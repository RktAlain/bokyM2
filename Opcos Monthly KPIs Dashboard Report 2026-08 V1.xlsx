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Utilisateurs\Faniry25\Desktop\KPI 26 YAS MG\"/>
    </mc:Choice>
  </mc:AlternateContent>
  <xr:revisionPtr revIDLastSave="0" documentId="13_ncr:1_{1AEB6831-1D66-4E0E-B0D1-1CDD837B5683}" xr6:coauthVersionLast="47" xr6:coauthVersionMax="47" xr10:uidLastSave="{00000000-0000-0000-0000-000000000000}"/>
  <bookViews>
    <workbookView xWindow="-120" yWindow="-16320" windowWidth="29040" windowHeight="15720" xr2:uid="{00000000-000D-0000-FFFF-FFFF00000000}"/>
  </bookViews>
  <sheets>
    <sheet name="DASHBOARD" sheetId="1" r:id="rId1"/>
    <sheet name="PR-PO SLA &amp; Contract%" sheetId="3" r:id="rId2"/>
    <sheet name="Customs_Clearance" sheetId="4" r:id="rId3"/>
    <sheet name="Open Projects" sheetId="6" state="hidden" r:id="rId4"/>
    <sheet name="Open Projects Pivot" sheetId="10" state="hidden" r:id="rId5"/>
    <sheet name="List" sheetId="7" state="hidden" r:id="rId6"/>
    <sheet name="PPOT" sheetId="5" r:id="rId7"/>
    <sheet name="M-1 YTD performance" sheetId="2" r:id="rId8"/>
    <sheet name="Submissions" sheetId="8" r:id="rId9"/>
  </sheets>
  <externalReferences>
    <externalReference r:id="rId10"/>
  </externalReferences>
  <definedNames>
    <definedName name="_xlnm._FilterDatabase" localSheetId="2" hidden="1">Customs_Clearance!$B$4:$M$702</definedName>
    <definedName name="_xlnm._FilterDatabase" localSheetId="3" hidden="1">'Open Projects'!$A$1:$AG$1</definedName>
    <definedName name="_xlnm._FilterDatabase" localSheetId="6" hidden="1">PPOT!$B$4:$O$876</definedName>
    <definedName name="_xlnm._FilterDatabase" localSheetId="1" hidden="1">'PR-PO SLA &amp; Contract%'!$B$4:$W$477</definedName>
  </definedNames>
  <calcPr calcId="191029"/>
  <pivotCaches>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1" i="4" l="1"/>
  <c r="M5" i="3"/>
  <c r="K5" i="3"/>
  <c r="F2" i="3" l="1"/>
  <c r="F3" i="3"/>
  <c r="I5" i="3"/>
  <c r="S5" i="3"/>
  <c r="V5" i="3"/>
  <c r="W5" i="3"/>
  <c r="I6" i="3"/>
  <c r="K6" i="3"/>
  <c r="M6" i="3"/>
  <c r="S6" i="3"/>
  <c r="V6" i="3"/>
  <c r="W6" i="3"/>
  <c r="I7" i="3"/>
  <c r="K7" i="3"/>
  <c r="M7" i="3"/>
  <c r="S7" i="3"/>
  <c r="V7" i="3"/>
  <c r="W7" i="3"/>
  <c r="I8" i="3"/>
  <c r="K8" i="3"/>
  <c r="M8" i="3"/>
  <c r="S8" i="3"/>
  <c r="V8" i="3"/>
  <c r="W8" i="3"/>
  <c r="I9" i="3"/>
  <c r="K9" i="3"/>
  <c r="M9" i="3"/>
  <c r="S9" i="3"/>
  <c r="V9" i="3"/>
  <c r="W9" i="3"/>
  <c r="I10" i="3"/>
  <c r="K10" i="3"/>
  <c r="M10" i="3"/>
  <c r="S10" i="3"/>
  <c r="V10" i="3"/>
  <c r="W10" i="3"/>
  <c r="I11" i="3"/>
  <c r="K11" i="3"/>
  <c r="M11" i="3"/>
  <c r="S11" i="3"/>
  <c r="V11" i="3"/>
  <c r="W11" i="3"/>
  <c r="I12" i="3"/>
  <c r="K12" i="3"/>
  <c r="M12" i="3"/>
  <c r="S12" i="3"/>
  <c r="V12" i="3"/>
  <c r="W12" i="3"/>
  <c r="I13" i="3"/>
  <c r="K13" i="3"/>
  <c r="M13" i="3"/>
  <c r="S13" i="3"/>
  <c r="V13" i="3"/>
  <c r="W13" i="3"/>
  <c r="I14" i="3"/>
  <c r="K14" i="3"/>
  <c r="M14" i="3"/>
  <c r="S14" i="3"/>
  <c r="V14" i="3"/>
  <c r="W14" i="3"/>
  <c r="I15" i="3"/>
  <c r="K15" i="3"/>
  <c r="M15" i="3"/>
  <c r="S15" i="3"/>
  <c r="V15" i="3"/>
  <c r="W15" i="3"/>
  <c r="I16" i="3"/>
  <c r="K16" i="3"/>
  <c r="M16" i="3"/>
  <c r="S16" i="3"/>
  <c r="V16" i="3"/>
  <c r="W16" i="3"/>
  <c r="I17" i="3"/>
  <c r="K17" i="3"/>
  <c r="M17" i="3"/>
  <c r="S17" i="3"/>
  <c r="V17" i="3"/>
  <c r="W17" i="3"/>
  <c r="I18" i="3"/>
  <c r="K18" i="3"/>
  <c r="M18" i="3"/>
  <c r="S18" i="3"/>
  <c r="V18" i="3"/>
  <c r="W18" i="3"/>
  <c r="I19" i="3"/>
  <c r="K19" i="3"/>
  <c r="M19" i="3"/>
  <c r="S19" i="3"/>
  <c r="V19" i="3"/>
  <c r="W19" i="3"/>
  <c r="I20" i="3"/>
  <c r="K20" i="3"/>
  <c r="M20" i="3"/>
  <c r="S20" i="3"/>
  <c r="V20" i="3"/>
  <c r="W20" i="3"/>
  <c r="I21" i="3"/>
  <c r="K21" i="3"/>
  <c r="M21" i="3"/>
  <c r="S21" i="3"/>
  <c r="V21" i="3"/>
  <c r="W21" i="3"/>
  <c r="I22" i="3"/>
  <c r="K22" i="3"/>
  <c r="M22" i="3"/>
  <c r="S22" i="3"/>
  <c r="V22" i="3"/>
  <c r="W22" i="3"/>
  <c r="I23" i="3"/>
  <c r="K23" i="3"/>
  <c r="M23" i="3"/>
  <c r="S23" i="3"/>
  <c r="V23" i="3"/>
  <c r="W23" i="3"/>
  <c r="I24" i="3"/>
  <c r="K24" i="3"/>
  <c r="M24" i="3"/>
  <c r="S24" i="3"/>
  <c r="V24" i="3"/>
  <c r="W24" i="3"/>
  <c r="I25" i="3"/>
  <c r="K25" i="3"/>
  <c r="M25" i="3"/>
  <c r="S25" i="3"/>
  <c r="V25" i="3"/>
  <c r="W25" i="3"/>
  <c r="I26" i="3"/>
  <c r="K26" i="3"/>
  <c r="M26" i="3"/>
  <c r="S26" i="3"/>
  <c r="V26" i="3"/>
  <c r="W26" i="3"/>
  <c r="I27" i="3"/>
  <c r="K27" i="3"/>
  <c r="M27" i="3"/>
  <c r="S27" i="3"/>
  <c r="V27" i="3"/>
  <c r="W27" i="3"/>
  <c r="I28" i="3"/>
  <c r="K28" i="3"/>
  <c r="M28" i="3"/>
  <c r="S28" i="3"/>
  <c r="V28" i="3"/>
  <c r="W28" i="3"/>
  <c r="I29" i="3"/>
  <c r="K29" i="3"/>
  <c r="M29" i="3"/>
  <c r="S29" i="3"/>
  <c r="V29" i="3"/>
  <c r="W29" i="3"/>
  <c r="I30" i="3"/>
  <c r="K30" i="3"/>
  <c r="M30" i="3"/>
  <c r="S30" i="3"/>
  <c r="V30" i="3"/>
  <c r="W30" i="3"/>
  <c r="I31" i="3"/>
  <c r="K31" i="3"/>
  <c r="M31" i="3"/>
  <c r="S31" i="3"/>
  <c r="V31" i="3"/>
  <c r="W31" i="3"/>
  <c r="I32" i="3"/>
  <c r="K32" i="3"/>
  <c r="M32" i="3"/>
  <c r="S32" i="3"/>
  <c r="V32" i="3"/>
  <c r="W32" i="3"/>
  <c r="I33" i="3"/>
  <c r="K33" i="3"/>
  <c r="M33" i="3"/>
  <c r="S33" i="3"/>
  <c r="V33" i="3"/>
  <c r="W33" i="3"/>
  <c r="I34" i="3"/>
  <c r="K34" i="3"/>
  <c r="M34" i="3"/>
  <c r="S34" i="3"/>
  <c r="V34" i="3"/>
  <c r="W34" i="3"/>
  <c r="I35" i="3"/>
  <c r="K35" i="3"/>
  <c r="M35" i="3"/>
  <c r="S35" i="3"/>
  <c r="V35" i="3"/>
  <c r="W35" i="3"/>
  <c r="I36" i="3"/>
  <c r="K36" i="3"/>
  <c r="M36" i="3"/>
  <c r="S36" i="3"/>
  <c r="V36" i="3"/>
  <c r="W36" i="3"/>
  <c r="I37" i="3"/>
  <c r="K37" i="3"/>
  <c r="M37" i="3"/>
  <c r="S37" i="3"/>
  <c r="V37" i="3"/>
  <c r="W37" i="3"/>
  <c r="I38" i="3"/>
  <c r="K38" i="3"/>
  <c r="M38" i="3"/>
  <c r="S38" i="3"/>
  <c r="V38" i="3"/>
  <c r="W38" i="3"/>
  <c r="I39" i="3"/>
  <c r="K39" i="3"/>
  <c r="M39" i="3"/>
  <c r="S39" i="3"/>
  <c r="V39" i="3"/>
  <c r="W39" i="3"/>
  <c r="I40" i="3"/>
  <c r="K40" i="3"/>
  <c r="M40" i="3"/>
  <c r="S40" i="3"/>
  <c r="V40" i="3"/>
  <c r="W40" i="3"/>
  <c r="I41" i="3"/>
  <c r="K41" i="3"/>
  <c r="M41" i="3"/>
  <c r="S41" i="3"/>
  <c r="V41" i="3"/>
  <c r="W41" i="3"/>
  <c r="I42" i="3"/>
  <c r="K42" i="3"/>
  <c r="M42" i="3"/>
  <c r="S42" i="3"/>
  <c r="V42" i="3"/>
  <c r="W42" i="3"/>
  <c r="I43" i="3"/>
  <c r="K43" i="3"/>
  <c r="M43" i="3"/>
  <c r="S43" i="3"/>
  <c r="V43" i="3"/>
  <c r="W43" i="3"/>
  <c r="I44" i="3"/>
  <c r="K44" i="3"/>
  <c r="M44" i="3"/>
  <c r="S44" i="3"/>
  <c r="V44" i="3"/>
  <c r="W44" i="3"/>
  <c r="I45" i="3"/>
  <c r="K45" i="3"/>
  <c r="M45" i="3"/>
  <c r="S45" i="3"/>
  <c r="V45" i="3"/>
  <c r="W45" i="3"/>
  <c r="I46" i="3"/>
  <c r="K46" i="3"/>
  <c r="M46" i="3"/>
  <c r="S46" i="3"/>
  <c r="V46" i="3"/>
  <c r="W46" i="3"/>
  <c r="I47" i="3"/>
  <c r="K47" i="3"/>
  <c r="M47" i="3"/>
  <c r="S47" i="3"/>
  <c r="V47" i="3"/>
  <c r="W47" i="3"/>
  <c r="I48" i="3"/>
  <c r="K48" i="3"/>
  <c r="M48" i="3"/>
  <c r="S48" i="3"/>
  <c r="V48" i="3"/>
  <c r="W48" i="3"/>
  <c r="I49" i="3"/>
  <c r="K49" i="3"/>
  <c r="M49" i="3"/>
  <c r="S49" i="3"/>
  <c r="V49" i="3"/>
  <c r="W49" i="3"/>
  <c r="I50" i="3"/>
  <c r="K50" i="3"/>
  <c r="M50" i="3"/>
  <c r="S50" i="3"/>
  <c r="V50" i="3"/>
  <c r="W50" i="3"/>
  <c r="I51" i="3"/>
  <c r="K51" i="3"/>
  <c r="M51" i="3"/>
  <c r="S51" i="3"/>
  <c r="V51" i="3"/>
  <c r="W51" i="3"/>
  <c r="I52" i="3"/>
  <c r="K52" i="3"/>
  <c r="M52" i="3"/>
  <c r="S52" i="3"/>
  <c r="V52" i="3"/>
  <c r="W52" i="3"/>
  <c r="I53" i="3"/>
  <c r="K53" i="3"/>
  <c r="M53" i="3"/>
  <c r="S53" i="3"/>
  <c r="V53" i="3"/>
  <c r="W53" i="3"/>
  <c r="I54" i="3"/>
  <c r="K54" i="3"/>
  <c r="M54" i="3"/>
  <c r="S54" i="3"/>
  <c r="V54" i="3"/>
  <c r="W54" i="3"/>
  <c r="I55" i="3"/>
  <c r="K55" i="3"/>
  <c r="M55" i="3"/>
  <c r="S55" i="3"/>
  <c r="V55" i="3"/>
  <c r="W55" i="3"/>
  <c r="I56" i="3"/>
  <c r="K56" i="3"/>
  <c r="M56" i="3"/>
  <c r="S56" i="3"/>
  <c r="V56" i="3"/>
  <c r="W56" i="3"/>
  <c r="I57" i="3"/>
  <c r="K57" i="3"/>
  <c r="M57" i="3"/>
  <c r="S57" i="3"/>
  <c r="V57" i="3"/>
  <c r="W57" i="3"/>
  <c r="I58" i="3"/>
  <c r="K58" i="3"/>
  <c r="M58" i="3"/>
  <c r="S58" i="3"/>
  <c r="V58" i="3"/>
  <c r="W58" i="3"/>
  <c r="I59" i="3"/>
  <c r="K59" i="3"/>
  <c r="M59" i="3"/>
  <c r="S59" i="3"/>
  <c r="V59" i="3"/>
  <c r="W59" i="3"/>
  <c r="I60" i="3"/>
  <c r="K60" i="3"/>
  <c r="M60" i="3"/>
  <c r="S60" i="3"/>
  <c r="V60" i="3"/>
  <c r="W60" i="3"/>
  <c r="I61" i="3"/>
  <c r="K61" i="3"/>
  <c r="M61" i="3"/>
  <c r="S61" i="3"/>
  <c r="V61" i="3"/>
  <c r="W61" i="3"/>
  <c r="I62" i="3"/>
  <c r="K62" i="3"/>
  <c r="M62" i="3"/>
  <c r="S62" i="3"/>
  <c r="V62" i="3"/>
  <c r="W62" i="3"/>
  <c r="I63" i="3"/>
  <c r="K63" i="3"/>
  <c r="M63" i="3"/>
  <c r="S63" i="3"/>
  <c r="V63" i="3"/>
  <c r="W63" i="3"/>
  <c r="I64" i="3"/>
  <c r="K64" i="3"/>
  <c r="M64" i="3"/>
  <c r="S64" i="3"/>
  <c r="V64" i="3"/>
  <c r="W64" i="3"/>
  <c r="I65" i="3"/>
  <c r="K65" i="3"/>
  <c r="M65" i="3"/>
  <c r="S65" i="3"/>
  <c r="V65" i="3"/>
  <c r="W65" i="3"/>
  <c r="I66" i="3"/>
  <c r="K66" i="3"/>
  <c r="M66" i="3"/>
  <c r="S66" i="3"/>
  <c r="V66" i="3"/>
  <c r="W66" i="3"/>
  <c r="I67" i="3"/>
  <c r="K67" i="3"/>
  <c r="M67" i="3"/>
  <c r="S67" i="3"/>
  <c r="V67" i="3"/>
  <c r="W67" i="3"/>
  <c r="I68" i="3"/>
  <c r="K68" i="3"/>
  <c r="M68" i="3"/>
  <c r="S68" i="3"/>
  <c r="V68" i="3"/>
  <c r="W68" i="3"/>
  <c r="I69" i="3"/>
  <c r="K69" i="3"/>
  <c r="M69" i="3"/>
  <c r="S69" i="3"/>
  <c r="V69" i="3"/>
  <c r="W69" i="3"/>
  <c r="I70" i="3"/>
  <c r="K70" i="3"/>
  <c r="M70" i="3"/>
  <c r="S70" i="3"/>
  <c r="V70" i="3"/>
  <c r="W70" i="3"/>
  <c r="I71" i="3"/>
  <c r="K71" i="3"/>
  <c r="M71" i="3"/>
  <c r="S71" i="3"/>
  <c r="V71" i="3"/>
  <c r="W71" i="3"/>
  <c r="I72" i="3"/>
  <c r="K72" i="3"/>
  <c r="M72" i="3"/>
  <c r="S72" i="3"/>
  <c r="V72" i="3"/>
  <c r="W72" i="3"/>
  <c r="I73" i="3"/>
  <c r="K73" i="3"/>
  <c r="M73" i="3"/>
  <c r="S73" i="3"/>
  <c r="V73" i="3"/>
  <c r="W73" i="3"/>
  <c r="I74" i="3"/>
  <c r="K74" i="3"/>
  <c r="M74" i="3"/>
  <c r="S74" i="3"/>
  <c r="V74" i="3"/>
  <c r="W74" i="3"/>
  <c r="I75" i="3"/>
  <c r="K75" i="3"/>
  <c r="M75" i="3"/>
  <c r="S75" i="3"/>
  <c r="V75" i="3"/>
  <c r="W75" i="3"/>
  <c r="I76" i="3"/>
  <c r="K76" i="3"/>
  <c r="M76" i="3"/>
  <c r="S76" i="3"/>
  <c r="V76" i="3"/>
  <c r="W76" i="3"/>
  <c r="I77" i="3"/>
  <c r="K77" i="3"/>
  <c r="M77" i="3"/>
  <c r="S77" i="3"/>
  <c r="V77" i="3"/>
  <c r="W77" i="3"/>
  <c r="I78" i="3"/>
  <c r="K78" i="3"/>
  <c r="M78" i="3"/>
  <c r="S78" i="3"/>
  <c r="V78" i="3"/>
  <c r="W78" i="3"/>
  <c r="I79" i="3"/>
  <c r="K79" i="3"/>
  <c r="M79" i="3"/>
  <c r="S79" i="3"/>
  <c r="V79" i="3"/>
  <c r="W79" i="3"/>
  <c r="I80" i="3"/>
  <c r="K80" i="3"/>
  <c r="M80" i="3"/>
  <c r="S80" i="3"/>
  <c r="V80" i="3"/>
  <c r="W80" i="3"/>
  <c r="I81" i="3"/>
  <c r="K81" i="3"/>
  <c r="M81" i="3"/>
  <c r="S81" i="3"/>
  <c r="V81" i="3"/>
  <c r="W81" i="3"/>
  <c r="I82" i="3"/>
  <c r="K82" i="3"/>
  <c r="M82" i="3"/>
  <c r="S82" i="3"/>
  <c r="V82" i="3"/>
  <c r="W82" i="3"/>
  <c r="I83" i="3"/>
  <c r="K83" i="3"/>
  <c r="M83" i="3"/>
  <c r="S83" i="3"/>
  <c r="V83" i="3"/>
  <c r="W83" i="3"/>
  <c r="I84" i="3"/>
  <c r="K84" i="3"/>
  <c r="M84" i="3"/>
  <c r="S84" i="3"/>
  <c r="V84" i="3"/>
  <c r="W84" i="3"/>
  <c r="I85" i="3"/>
  <c r="K85" i="3"/>
  <c r="M85" i="3"/>
  <c r="S85" i="3"/>
  <c r="V85" i="3"/>
  <c r="W85" i="3"/>
  <c r="I86" i="3"/>
  <c r="K86" i="3"/>
  <c r="M86" i="3"/>
  <c r="S86" i="3"/>
  <c r="V86" i="3"/>
  <c r="W86" i="3"/>
  <c r="I87" i="3"/>
  <c r="K87" i="3"/>
  <c r="M87" i="3"/>
  <c r="S87" i="3"/>
  <c r="V87" i="3"/>
  <c r="W87" i="3"/>
  <c r="I88" i="3"/>
  <c r="K88" i="3"/>
  <c r="M88" i="3"/>
  <c r="S88" i="3"/>
  <c r="V88" i="3"/>
  <c r="W88" i="3"/>
  <c r="I89" i="3"/>
  <c r="K89" i="3"/>
  <c r="M89" i="3"/>
  <c r="S89" i="3"/>
  <c r="V89" i="3"/>
  <c r="W89" i="3"/>
  <c r="I90" i="3"/>
  <c r="K90" i="3"/>
  <c r="M90" i="3"/>
  <c r="S90" i="3"/>
  <c r="V90" i="3"/>
  <c r="W90" i="3"/>
  <c r="I91" i="3"/>
  <c r="K91" i="3"/>
  <c r="M91" i="3"/>
  <c r="S91" i="3"/>
  <c r="V91" i="3"/>
  <c r="W91" i="3"/>
  <c r="I92" i="3"/>
  <c r="K92" i="3"/>
  <c r="M92" i="3"/>
  <c r="S92" i="3"/>
  <c r="V92" i="3"/>
  <c r="W92" i="3"/>
  <c r="I93" i="3"/>
  <c r="K93" i="3"/>
  <c r="M93" i="3"/>
  <c r="S93" i="3"/>
  <c r="V93" i="3"/>
  <c r="W93" i="3"/>
  <c r="I94" i="3"/>
  <c r="K94" i="3"/>
  <c r="M94" i="3"/>
  <c r="S94" i="3"/>
  <c r="V94" i="3"/>
  <c r="W94" i="3"/>
  <c r="I95" i="3"/>
  <c r="K95" i="3"/>
  <c r="M95" i="3"/>
  <c r="S95" i="3"/>
  <c r="V95" i="3"/>
  <c r="W95" i="3"/>
  <c r="I96" i="3"/>
  <c r="K96" i="3"/>
  <c r="M96" i="3"/>
  <c r="S96" i="3"/>
  <c r="V96" i="3"/>
  <c r="W96" i="3"/>
  <c r="I97" i="3"/>
  <c r="K97" i="3"/>
  <c r="M97" i="3"/>
  <c r="S97" i="3"/>
  <c r="V97" i="3"/>
  <c r="W97" i="3"/>
  <c r="I98" i="3"/>
  <c r="K98" i="3"/>
  <c r="M98" i="3"/>
  <c r="S98" i="3"/>
  <c r="V98" i="3"/>
  <c r="W98" i="3"/>
  <c r="I99" i="3"/>
  <c r="K99" i="3"/>
  <c r="M99" i="3"/>
  <c r="S99" i="3"/>
  <c r="V99" i="3"/>
  <c r="W99" i="3"/>
  <c r="I100" i="3"/>
  <c r="K100" i="3"/>
  <c r="M100" i="3"/>
  <c r="S100" i="3"/>
  <c r="V100" i="3"/>
  <c r="W100" i="3"/>
  <c r="I101" i="3"/>
  <c r="K101" i="3"/>
  <c r="M101" i="3"/>
  <c r="S101" i="3"/>
  <c r="V101" i="3"/>
  <c r="W101" i="3"/>
  <c r="I102" i="3"/>
  <c r="K102" i="3"/>
  <c r="M102" i="3"/>
  <c r="S102" i="3"/>
  <c r="V102" i="3"/>
  <c r="W102" i="3"/>
  <c r="I103" i="3"/>
  <c r="K103" i="3"/>
  <c r="M103" i="3"/>
  <c r="S103" i="3"/>
  <c r="V103" i="3"/>
  <c r="W103" i="3"/>
  <c r="I104" i="3"/>
  <c r="K104" i="3"/>
  <c r="M104" i="3"/>
  <c r="S104" i="3"/>
  <c r="V104" i="3"/>
  <c r="W104" i="3"/>
  <c r="I105" i="3"/>
  <c r="K105" i="3"/>
  <c r="M105" i="3"/>
  <c r="S105" i="3"/>
  <c r="V105" i="3"/>
  <c r="W105" i="3"/>
  <c r="I106" i="3"/>
  <c r="K106" i="3"/>
  <c r="M106" i="3"/>
  <c r="S106" i="3"/>
  <c r="V106" i="3"/>
  <c r="W106" i="3"/>
  <c r="I107" i="3"/>
  <c r="K107" i="3"/>
  <c r="M107" i="3"/>
  <c r="S107" i="3"/>
  <c r="V107" i="3"/>
  <c r="W107" i="3"/>
  <c r="I108" i="3"/>
  <c r="K108" i="3"/>
  <c r="M108" i="3"/>
  <c r="S108" i="3"/>
  <c r="V108" i="3"/>
  <c r="W108" i="3"/>
  <c r="I109" i="3"/>
  <c r="K109" i="3"/>
  <c r="M109" i="3"/>
  <c r="S109" i="3"/>
  <c r="V109" i="3"/>
  <c r="W109" i="3"/>
  <c r="I110" i="3"/>
  <c r="K110" i="3"/>
  <c r="M110" i="3"/>
  <c r="S110" i="3"/>
  <c r="V110" i="3"/>
  <c r="W110" i="3"/>
  <c r="I111" i="3"/>
  <c r="K111" i="3"/>
  <c r="M111" i="3"/>
  <c r="S111" i="3"/>
  <c r="V111" i="3"/>
  <c r="W111" i="3"/>
  <c r="I112" i="3"/>
  <c r="K112" i="3"/>
  <c r="M112" i="3"/>
  <c r="S112" i="3"/>
  <c r="V112" i="3"/>
  <c r="W112" i="3"/>
  <c r="I113" i="3"/>
  <c r="K113" i="3"/>
  <c r="M113" i="3"/>
  <c r="S113" i="3"/>
  <c r="V113" i="3"/>
  <c r="W113" i="3"/>
  <c r="I114" i="3"/>
  <c r="K114" i="3"/>
  <c r="M114" i="3"/>
  <c r="S114" i="3"/>
  <c r="V114" i="3"/>
  <c r="W114" i="3"/>
  <c r="I115" i="3"/>
  <c r="K115" i="3"/>
  <c r="M115" i="3"/>
  <c r="S115" i="3"/>
  <c r="V115" i="3"/>
  <c r="W115" i="3"/>
  <c r="I116" i="3"/>
  <c r="K116" i="3"/>
  <c r="M116" i="3"/>
  <c r="S116" i="3"/>
  <c r="V116" i="3"/>
  <c r="W116" i="3"/>
  <c r="I117" i="3"/>
  <c r="K117" i="3"/>
  <c r="M117" i="3"/>
  <c r="S117" i="3"/>
  <c r="V117" i="3"/>
  <c r="W117" i="3"/>
  <c r="I118" i="3"/>
  <c r="K118" i="3"/>
  <c r="M118" i="3"/>
  <c r="S118" i="3"/>
  <c r="V118" i="3"/>
  <c r="W118" i="3"/>
  <c r="I119" i="3"/>
  <c r="K119" i="3"/>
  <c r="M119" i="3"/>
  <c r="S119" i="3"/>
  <c r="V119" i="3"/>
  <c r="W119" i="3"/>
  <c r="I120" i="3"/>
  <c r="K120" i="3"/>
  <c r="M120" i="3"/>
  <c r="S120" i="3"/>
  <c r="V120" i="3"/>
  <c r="W120" i="3"/>
  <c r="I121" i="3"/>
  <c r="K121" i="3"/>
  <c r="M121" i="3"/>
  <c r="S121" i="3"/>
  <c r="V121" i="3"/>
  <c r="W121" i="3"/>
  <c r="I122" i="3"/>
  <c r="K122" i="3"/>
  <c r="M122" i="3"/>
  <c r="S122" i="3"/>
  <c r="V122" i="3"/>
  <c r="W122" i="3"/>
  <c r="I123" i="3"/>
  <c r="K123" i="3"/>
  <c r="M123" i="3"/>
  <c r="S123" i="3"/>
  <c r="V123" i="3"/>
  <c r="W123" i="3"/>
  <c r="I124" i="3"/>
  <c r="K124" i="3"/>
  <c r="M124" i="3"/>
  <c r="S124" i="3"/>
  <c r="V124" i="3"/>
  <c r="W124" i="3"/>
  <c r="I125" i="3"/>
  <c r="K125" i="3"/>
  <c r="M125" i="3"/>
  <c r="S125" i="3"/>
  <c r="V125" i="3"/>
  <c r="W125" i="3"/>
  <c r="I126" i="3"/>
  <c r="K126" i="3"/>
  <c r="M126" i="3"/>
  <c r="S126" i="3"/>
  <c r="V126" i="3"/>
  <c r="W126" i="3"/>
  <c r="I127" i="3"/>
  <c r="K127" i="3"/>
  <c r="M127" i="3"/>
  <c r="S127" i="3"/>
  <c r="V127" i="3"/>
  <c r="W127" i="3"/>
  <c r="I128" i="3"/>
  <c r="K128" i="3"/>
  <c r="M128" i="3"/>
  <c r="S128" i="3"/>
  <c r="V128" i="3"/>
  <c r="W128" i="3"/>
  <c r="I129" i="3"/>
  <c r="K129" i="3"/>
  <c r="M129" i="3"/>
  <c r="S129" i="3"/>
  <c r="V129" i="3"/>
  <c r="W129" i="3"/>
  <c r="I130" i="3"/>
  <c r="K130" i="3"/>
  <c r="M130" i="3"/>
  <c r="S130" i="3"/>
  <c r="V130" i="3"/>
  <c r="W130" i="3"/>
  <c r="I131" i="3"/>
  <c r="K131" i="3"/>
  <c r="M131" i="3"/>
  <c r="S131" i="3"/>
  <c r="V131" i="3"/>
  <c r="W131" i="3"/>
  <c r="I132" i="3"/>
  <c r="K132" i="3"/>
  <c r="M132" i="3"/>
  <c r="S132" i="3"/>
  <c r="V132" i="3"/>
  <c r="W132" i="3"/>
  <c r="I133" i="3"/>
  <c r="K133" i="3"/>
  <c r="M133" i="3"/>
  <c r="S133" i="3"/>
  <c r="V133" i="3"/>
  <c r="W133" i="3"/>
  <c r="I134" i="3"/>
  <c r="K134" i="3"/>
  <c r="M134" i="3"/>
  <c r="S134" i="3"/>
  <c r="V134" i="3"/>
  <c r="W134" i="3"/>
  <c r="I135" i="3"/>
  <c r="K135" i="3"/>
  <c r="M135" i="3"/>
  <c r="S135" i="3"/>
  <c r="V135" i="3"/>
  <c r="W135" i="3"/>
  <c r="I136" i="3"/>
  <c r="K136" i="3"/>
  <c r="M136" i="3"/>
  <c r="S136" i="3"/>
  <c r="V136" i="3"/>
  <c r="W136" i="3"/>
  <c r="I137" i="3"/>
  <c r="K137" i="3"/>
  <c r="M137" i="3"/>
  <c r="S137" i="3"/>
  <c r="V137" i="3"/>
  <c r="W137" i="3"/>
  <c r="I138" i="3"/>
  <c r="K138" i="3"/>
  <c r="M138" i="3"/>
  <c r="S138" i="3"/>
  <c r="V138" i="3"/>
  <c r="W138" i="3"/>
  <c r="I139" i="3"/>
  <c r="K139" i="3"/>
  <c r="M139" i="3"/>
  <c r="S139" i="3"/>
  <c r="V139" i="3"/>
  <c r="W139" i="3"/>
  <c r="I140" i="3"/>
  <c r="K140" i="3"/>
  <c r="M140" i="3"/>
  <c r="S140" i="3"/>
  <c r="V140" i="3"/>
  <c r="W140" i="3"/>
  <c r="I141" i="3"/>
  <c r="K141" i="3"/>
  <c r="M141" i="3"/>
  <c r="S141" i="3"/>
  <c r="V141" i="3"/>
  <c r="W141" i="3"/>
  <c r="I142" i="3"/>
  <c r="K142" i="3"/>
  <c r="M142" i="3"/>
  <c r="S142" i="3"/>
  <c r="V142" i="3"/>
  <c r="W142" i="3"/>
  <c r="I143" i="3"/>
  <c r="K143" i="3"/>
  <c r="M143" i="3"/>
  <c r="S143" i="3"/>
  <c r="V143" i="3"/>
  <c r="W143" i="3"/>
  <c r="I144" i="3"/>
  <c r="K144" i="3"/>
  <c r="M144" i="3"/>
  <c r="S144" i="3"/>
  <c r="V144" i="3"/>
  <c r="W144" i="3"/>
  <c r="I145" i="3"/>
  <c r="K145" i="3"/>
  <c r="M145" i="3"/>
  <c r="S145" i="3"/>
  <c r="V145" i="3"/>
  <c r="W145" i="3"/>
  <c r="I146" i="3"/>
  <c r="K146" i="3"/>
  <c r="M146" i="3"/>
  <c r="S146" i="3"/>
  <c r="V146" i="3"/>
  <c r="W146" i="3"/>
  <c r="I147" i="3"/>
  <c r="K147" i="3"/>
  <c r="M147" i="3"/>
  <c r="S147" i="3"/>
  <c r="V147" i="3"/>
  <c r="W147" i="3"/>
  <c r="I148" i="3"/>
  <c r="K148" i="3"/>
  <c r="M148" i="3"/>
  <c r="S148" i="3"/>
  <c r="V148" i="3"/>
  <c r="W148" i="3"/>
  <c r="I149" i="3"/>
  <c r="K149" i="3"/>
  <c r="M149" i="3"/>
  <c r="S149" i="3"/>
  <c r="V149" i="3"/>
  <c r="W149" i="3"/>
  <c r="I150" i="3"/>
  <c r="K150" i="3"/>
  <c r="M150" i="3"/>
  <c r="S150" i="3"/>
  <c r="V150" i="3"/>
  <c r="W150" i="3"/>
  <c r="I151" i="3"/>
  <c r="K151" i="3"/>
  <c r="M151" i="3"/>
  <c r="S151" i="3"/>
  <c r="V151" i="3"/>
  <c r="W151" i="3"/>
  <c r="I152" i="3"/>
  <c r="K152" i="3"/>
  <c r="M152" i="3"/>
  <c r="S152" i="3"/>
  <c r="V152" i="3"/>
  <c r="W152" i="3"/>
  <c r="I153" i="3"/>
  <c r="K153" i="3"/>
  <c r="M153" i="3"/>
  <c r="S153" i="3"/>
  <c r="V153" i="3"/>
  <c r="W153" i="3"/>
  <c r="I154" i="3"/>
  <c r="K154" i="3"/>
  <c r="M154" i="3"/>
  <c r="S154" i="3"/>
  <c r="V154" i="3"/>
  <c r="W154" i="3"/>
  <c r="I155" i="3"/>
  <c r="K155" i="3"/>
  <c r="M155" i="3"/>
  <c r="S155" i="3"/>
  <c r="V155" i="3"/>
  <c r="W155" i="3"/>
  <c r="I156" i="3"/>
  <c r="K156" i="3"/>
  <c r="M156" i="3"/>
  <c r="S156" i="3"/>
  <c r="V156" i="3"/>
  <c r="W156" i="3"/>
  <c r="I157" i="3"/>
  <c r="K157" i="3"/>
  <c r="M157" i="3"/>
  <c r="S157" i="3"/>
  <c r="V157" i="3"/>
  <c r="W157" i="3"/>
  <c r="I158" i="3"/>
  <c r="K158" i="3"/>
  <c r="M158" i="3"/>
  <c r="S158" i="3"/>
  <c r="V158" i="3"/>
  <c r="W158" i="3"/>
  <c r="I159" i="3"/>
  <c r="K159" i="3"/>
  <c r="M159" i="3"/>
  <c r="S159" i="3"/>
  <c r="V159" i="3"/>
  <c r="W159" i="3"/>
  <c r="I160" i="3"/>
  <c r="K160" i="3"/>
  <c r="M160" i="3"/>
  <c r="S160" i="3"/>
  <c r="V160" i="3"/>
  <c r="W160" i="3"/>
  <c r="I161" i="3"/>
  <c r="K161" i="3"/>
  <c r="M161" i="3"/>
  <c r="S161" i="3"/>
  <c r="V161" i="3"/>
  <c r="W161" i="3"/>
  <c r="I162" i="3"/>
  <c r="K162" i="3"/>
  <c r="M162" i="3"/>
  <c r="S162" i="3"/>
  <c r="V162" i="3"/>
  <c r="W162" i="3"/>
  <c r="I163" i="3"/>
  <c r="K163" i="3"/>
  <c r="M163" i="3"/>
  <c r="V163" i="3"/>
  <c r="W163" i="3"/>
  <c r="I164" i="3"/>
  <c r="K164" i="3"/>
  <c r="M164" i="3"/>
  <c r="V164" i="3"/>
  <c r="W164" i="3"/>
  <c r="I165" i="3"/>
  <c r="K165" i="3"/>
  <c r="M165" i="3"/>
  <c r="V165" i="3"/>
  <c r="W165" i="3"/>
  <c r="I166" i="3"/>
  <c r="K166" i="3"/>
  <c r="M166" i="3"/>
  <c r="V166" i="3"/>
  <c r="W166" i="3"/>
  <c r="I167" i="3"/>
  <c r="K167" i="3"/>
  <c r="M167" i="3"/>
  <c r="V167" i="3"/>
  <c r="W167" i="3"/>
  <c r="I168" i="3"/>
  <c r="K168" i="3"/>
  <c r="M168" i="3"/>
  <c r="V168" i="3"/>
  <c r="W168" i="3"/>
  <c r="I169" i="3"/>
  <c r="K169" i="3"/>
  <c r="M169" i="3"/>
  <c r="V169" i="3"/>
  <c r="W169" i="3"/>
  <c r="I170" i="3"/>
  <c r="K170" i="3"/>
  <c r="M170" i="3"/>
  <c r="V170" i="3"/>
  <c r="W170" i="3"/>
  <c r="I171" i="3"/>
  <c r="K171" i="3"/>
  <c r="M171" i="3"/>
  <c r="V171" i="3"/>
  <c r="W171" i="3"/>
  <c r="I172" i="3"/>
  <c r="K172" i="3"/>
  <c r="M172" i="3"/>
  <c r="V172" i="3"/>
  <c r="W172" i="3"/>
  <c r="I173" i="3"/>
  <c r="K173" i="3"/>
  <c r="M173" i="3"/>
  <c r="V173" i="3"/>
  <c r="W173" i="3"/>
  <c r="I174" i="3"/>
  <c r="K174" i="3"/>
  <c r="M174" i="3"/>
  <c r="V174" i="3"/>
  <c r="W174" i="3"/>
  <c r="I175" i="3"/>
  <c r="K175" i="3"/>
  <c r="M175" i="3"/>
  <c r="V175" i="3"/>
  <c r="W175" i="3"/>
  <c r="I176" i="3"/>
  <c r="K176" i="3"/>
  <c r="M176" i="3"/>
  <c r="V176" i="3"/>
  <c r="W176" i="3"/>
  <c r="I177" i="3"/>
  <c r="K177" i="3"/>
  <c r="M177" i="3"/>
  <c r="V177" i="3"/>
  <c r="W177" i="3"/>
  <c r="I178" i="3"/>
  <c r="K178" i="3"/>
  <c r="M178" i="3"/>
  <c r="V178" i="3"/>
  <c r="W178" i="3"/>
  <c r="I179" i="3"/>
  <c r="K179" i="3"/>
  <c r="M179" i="3"/>
  <c r="V179" i="3"/>
  <c r="W179" i="3"/>
  <c r="I180" i="3"/>
  <c r="K180" i="3"/>
  <c r="M180" i="3"/>
  <c r="V180" i="3"/>
  <c r="W180" i="3"/>
  <c r="I181" i="3"/>
  <c r="K181" i="3"/>
  <c r="M181" i="3"/>
  <c r="V181" i="3"/>
  <c r="W181" i="3"/>
  <c r="I182" i="3"/>
  <c r="K182" i="3"/>
  <c r="M182" i="3"/>
  <c r="V182" i="3"/>
  <c r="W182" i="3"/>
  <c r="I183" i="3"/>
  <c r="K183" i="3"/>
  <c r="M183" i="3"/>
  <c r="V183" i="3"/>
  <c r="W183" i="3"/>
  <c r="I184" i="3"/>
  <c r="K184" i="3"/>
  <c r="M184" i="3"/>
  <c r="S184" i="3"/>
  <c r="V184" i="3"/>
  <c r="W184" i="3"/>
  <c r="I185" i="3"/>
  <c r="K185" i="3"/>
  <c r="M185" i="3"/>
  <c r="S185" i="3"/>
  <c r="V185" i="3"/>
  <c r="W185" i="3"/>
  <c r="I186" i="3"/>
  <c r="K186" i="3"/>
  <c r="M186" i="3"/>
  <c r="S186" i="3"/>
  <c r="V186" i="3"/>
  <c r="W186" i="3"/>
  <c r="I187" i="3"/>
  <c r="K187" i="3"/>
  <c r="M187" i="3"/>
  <c r="S187" i="3"/>
  <c r="V187" i="3"/>
  <c r="W187" i="3"/>
  <c r="I188" i="3"/>
  <c r="K188" i="3"/>
  <c r="M188" i="3"/>
  <c r="S188" i="3"/>
  <c r="V188" i="3"/>
  <c r="W188" i="3"/>
  <c r="I189" i="3"/>
  <c r="K189" i="3"/>
  <c r="M189" i="3"/>
  <c r="S189" i="3"/>
  <c r="V189" i="3"/>
  <c r="W189" i="3"/>
  <c r="I190" i="3"/>
  <c r="K190" i="3"/>
  <c r="M190" i="3"/>
  <c r="S190" i="3"/>
  <c r="V190" i="3"/>
  <c r="W190" i="3"/>
  <c r="I191" i="3"/>
  <c r="K191" i="3"/>
  <c r="M191" i="3"/>
  <c r="S191" i="3"/>
  <c r="V191" i="3"/>
  <c r="W191" i="3"/>
  <c r="I192" i="3"/>
  <c r="K192" i="3"/>
  <c r="M192" i="3"/>
  <c r="S192" i="3"/>
  <c r="V192" i="3"/>
  <c r="W192" i="3"/>
  <c r="I193" i="3"/>
  <c r="K193" i="3"/>
  <c r="M193" i="3"/>
  <c r="S193" i="3"/>
  <c r="V193" i="3"/>
  <c r="W193" i="3"/>
  <c r="I194" i="3"/>
  <c r="K194" i="3"/>
  <c r="M194" i="3"/>
  <c r="S194" i="3"/>
  <c r="V194" i="3"/>
  <c r="W194" i="3"/>
  <c r="I195" i="3"/>
  <c r="K195" i="3"/>
  <c r="M195" i="3"/>
  <c r="S195" i="3"/>
  <c r="V195" i="3"/>
  <c r="W195" i="3"/>
  <c r="I196" i="3"/>
  <c r="K196" i="3"/>
  <c r="M196" i="3"/>
  <c r="S196" i="3"/>
  <c r="V196" i="3"/>
  <c r="W196" i="3"/>
  <c r="I197" i="3"/>
  <c r="K197" i="3"/>
  <c r="M197" i="3"/>
  <c r="S197" i="3"/>
  <c r="V197" i="3"/>
  <c r="W197" i="3"/>
  <c r="I198" i="3"/>
  <c r="K198" i="3"/>
  <c r="M198" i="3"/>
  <c r="S198" i="3"/>
  <c r="V198" i="3"/>
  <c r="W198" i="3"/>
  <c r="I199" i="3"/>
  <c r="K199" i="3"/>
  <c r="M199" i="3"/>
  <c r="S199" i="3"/>
  <c r="V199" i="3"/>
  <c r="W199" i="3"/>
  <c r="I200" i="3"/>
  <c r="K200" i="3"/>
  <c r="M200" i="3"/>
  <c r="S200" i="3"/>
  <c r="V200" i="3"/>
  <c r="W200" i="3"/>
  <c r="I201" i="3"/>
  <c r="K201" i="3"/>
  <c r="M201" i="3"/>
  <c r="S201" i="3"/>
  <c r="V201" i="3"/>
  <c r="W201" i="3"/>
  <c r="I202" i="3"/>
  <c r="K202" i="3"/>
  <c r="M202" i="3"/>
  <c r="S202" i="3"/>
  <c r="V202" i="3"/>
  <c r="W202" i="3"/>
  <c r="I203" i="3"/>
  <c r="K203" i="3"/>
  <c r="M203" i="3"/>
  <c r="S203" i="3"/>
  <c r="V203" i="3"/>
  <c r="W203" i="3"/>
  <c r="I204" i="3"/>
  <c r="K204" i="3"/>
  <c r="M204" i="3"/>
  <c r="S204" i="3"/>
  <c r="V204" i="3"/>
  <c r="W204" i="3"/>
  <c r="I205" i="3"/>
  <c r="K205" i="3"/>
  <c r="M205" i="3"/>
  <c r="S205" i="3"/>
  <c r="V205" i="3"/>
  <c r="W205" i="3"/>
  <c r="I206" i="3"/>
  <c r="K206" i="3"/>
  <c r="M206" i="3"/>
  <c r="S206" i="3"/>
  <c r="V206" i="3"/>
  <c r="W206" i="3"/>
  <c r="I207" i="3"/>
  <c r="K207" i="3"/>
  <c r="M207" i="3"/>
  <c r="S207" i="3"/>
  <c r="V207" i="3"/>
  <c r="W207" i="3"/>
  <c r="I208" i="3"/>
  <c r="K208" i="3"/>
  <c r="M208" i="3"/>
  <c r="S208" i="3"/>
  <c r="V208" i="3"/>
  <c r="W208" i="3"/>
  <c r="I209" i="3"/>
  <c r="K209" i="3"/>
  <c r="M209" i="3"/>
  <c r="S209" i="3"/>
  <c r="V209" i="3"/>
  <c r="W209" i="3"/>
  <c r="I210" i="3"/>
  <c r="K210" i="3"/>
  <c r="M210" i="3"/>
  <c r="S210" i="3"/>
  <c r="V210" i="3"/>
  <c r="W210" i="3"/>
  <c r="I211" i="3"/>
  <c r="K211" i="3"/>
  <c r="M211" i="3"/>
  <c r="S211" i="3"/>
  <c r="V211" i="3"/>
  <c r="W211" i="3"/>
  <c r="I212" i="3"/>
  <c r="K212" i="3"/>
  <c r="M212" i="3"/>
  <c r="S212" i="3"/>
  <c r="V212" i="3"/>
  <c r="W212" i="3"/>
  <c r="I213" i="3"/>
  <c r="K213" i="3"/>
  <c r="M213" i="3"/>
  <c r="S213" i="3"/>
  <c r="V213" i="3"/>
  <c r="W213" i="3"/>
  <c r="I214" i="3"/>
  <c r="K214" i="3"/>
  <c r="M214" i="3"/>
  <c r="S214" i="3"/>
  <c r="V214" i="3"/>
  <c r="W214" i="3"/>
  <c r="I215" i="3"/>
  <c r="K215" i="3"/>
  <c r="M215" i="3"/>
  <c r="S215" i="3"/>
  <c r="V215" i="3"/>
  <c r="W215" i="3"/>
  <c r="I216" i="3"/>
  <c r="K216" i="3"/>
  <c r="M216" i="3"/>
  <c r="S216" i="3"/>
  <c r="V216" i="3"/>
  <c r="W216" i="3"/>
  <c r="I217" i="3"/>
  <c r="K217" i="3"/>
  <c r="M217" i="3"/>
  <c r="S217" i="3"/>
  <c r="V217" i="3"/>
  <c r="W217" i="3"/>
  <c r="I218" i="3"/>
  <c r="K218" i="3"/>
  <c r="M218" i="3"/>
  <c r="S218" i="3"/>
  <c r="V218" i="3"/>
  <c r="W218" i="3"/>
  <c r="I219" i="3"/>
  <c r="K219" i="3"/>
  <c r="M219" i="3"/>
  <c r="S219" i="3"/>
  <c r="V219" i="3"/>
  <c r="W219" i="3"/>
  <c r="I220" i="3"/>
  <c r="K220" i="3"/>
  <c r="M220" i="3"/>
  <c r="S220" i="3"/>
  <c r="V220" i="3"/>
  <c r="W220" i="3"/>
  <c r="I221" i="3"/>
  <c r="K221" i="3"/>
  <c r="M221" i="3"/>
  <c r="S221" i="3"/>
  <c r="V221" i="3"/>
  <c r="W221" i="3"/>
  <c r="I222" i="3"/>
  <c r="K222" i="3"/>
  <c r="M222" i="3"/>
  <c r="S222" i="3"/>
  <c r="V222" i="3"/>
  <c r="W222" i="3"/>
  <c r="I223" i="3"/>
  <c r="K223" i="3"/>
  <c r="M223" i="3"/>
  <c r="S223" i="3"/>
  <c r="V223" i="3"/>
  <c r="W223" i="3"/>
  <c r="I224" i="3"/>
  <c r="K224" i="3"/>
  <c r="M224" i="3"/>
  <c r="S224" i="3"/>
  <c r="V224" i="3"/>
  <c r="W224" i="3"/>
  <c r="I225" i="3"/>
  <c r="K225" i="3"/>
  <c r="M225" i="3"/>
  <c r="S225" i="3"/>
  <c r="V225" i="3"/>
  <c r="W225" i="3"/>
  <c r="I226" i="3"/>
  <c r="K226" i="3"/>
  <c r="M226" i="3"/>
  <c r="S226" i="3"/>
  <c r="V226" i="3"/>
  <c r="W226" i="3"/>
  <c r="I227" i="3"/>
  <c r="K227" i="3"/>
  <c r="M227" i="3"/>
  <c r="S227" i="3"/>
  <c r="V227" i="3"/>
  <c r="W227" i="3"/>
  <c r="I228" i="3"/>
  <c r="K228" i="3"/>
  <c r="M228" i="3"/>
  <c r="S228" i="3"/>
  <c r="V228" i="3"/>
  <c r="W228" i="3"/>
  <c r="I229" i="3"/>
  <c r="K229" i="3"/>
  <c r="M229" i="3"/>
  <c r="S229" i="3"/>
  <c r="V229" i="3"/>
  <c r="W229" i="3"/>
  <c r="I230" i="3"/>
  <c r="K230" i="3"/>
  <c r="M230" i="3"/>
  <c r="S230" i="3"/>
  <c r="V230" i="3"/>
  <c r="W230" i="3"/>
  <c r="I231" i="3"/>
  <c r="K231" i="3"/>
  <c r="M231" i="3"/>
  <c r="S231" i="3"/>
  <c r="V231" i="3"/>
  <c r="W231" i="3"/>
  <c r="I232" i="3"/>
  <c r="K232" i="3"/>
  <c r="M232" i="3"/>
  <c r="S232" i="3"/>
  <c r="V232" i="3"/>
  <c r="W232" i="3"/>
  <c r="I233" i="3"/>
  <c r="K233" i="3"/>
  <c r="M233" i="3"/>
  <c r="S233" i="3"/>
  <c r="V233" i="3"/>
  <c r="W233" i="3"/>
  <c r="I234" i="3"/>
  <c r="K234" i="3"/>
  <c r="M234" i="3"/>
  <c r="S234" i="3"/>
  <c r="V234" i="3"/>
  <c r="W234" i="3"/>
  <c r="I235" i="3"/>
  <c r="K235" i="3"/>
  <c r="M235" i="3"/>
  <c r="S235" i="3"/>
  <c r="V235" i="3"/>
  <c r="W235" i="3"/>
  <c r="I236" i="3"/>
  <c r="K236" i="3"/>
  <c r="M236" i="3"/>
  <c r="S236" i="3"/>
  <c r="V236" i="3"/>
  <c r="W236" i="3"/>
  <c r="I237" i="3"/>
  <c r="K237" i="3"/>
  <c r="M237" i="3"/>
  <c r="S237" i="3"/>
  <c r="V237" i="3"/>
  <c r="W237" i="3"/>
  <c r="I238" i="3"/>
  <c r="K238" i="3"/>
  <c r="M238" i="3"/>
  <c r="S238" i="3"/>
  <c r="V238" i="3"/>
  <c r="W238" i="3"/>
  <c r="I239" i="3"/>
  <c r="K239" i="3"/>
  <c r="M239" i="3"/>
  <c r="S239" i="3"/>
  <c r="V239" i="3"/>
  <c r="W239" i="3"/>
  <c r="I240" i="3"/>
  <c r="K240" i="3"/>
  <c r="M240" i="3"/>
  <c r="S240" i="3"/>
  <c r="V240" i="3"/>
  <c r="W240" i="3"/>
  <c r="I241" i="3"/>
  <c r="K241" i="3"/>
  <c r="M241" i="3"/>
  <c r="S241" i="3"/>
  <c r="V241" i="3"/>
  <c r="W241" i="3"/>
  <c r="I242" i="3"/>
  <c r="K242" i="3"/>
  <c r="M242" i="3"/>
  <c r="S242" i="3"/>
  <c r="V242" i="3"/>
  <c r="W242" i="3"/>
  <c r="I243" i="3"/>
  <c r="K243" i="3"/>
  <c r="M243" i="3"/>
  <c r="S243" i="3"/>
  <c r="V243" i="3"/>
  <c r="W243" i="3"/>
  <c r="I244" i="3"/>
  <c r="K244" i="3"/>
  <c r="M244" i="3"/>
  <c r="S244" i="3"/>
  <c r="V244" i="3"/>
  <c r="W244" i="3"/>
  <c r="I245" i="3"/>
  <c r="K245" i="3"/>
  <c r="M245" i="3"/>
  <c r="S245" i="3"/>
  <c r="V245" i="3"/>
  <c r="W245" i="3"/>
  <c r="I246" i="3"/>
  <c r="K246" i="3"/>
  <c r="M246" i="3"/>
  <c r="S246" i="3"/>
  <c r="V246" i="3"/>
  <c r="W246" i="3"/>
  <c r="I247" i="3"/>
  <c r="K247" i="3"/>
  <c r="M247" i="3"/>
  <c r="S247" i="3"/>
  <c r="V247" i="3"/>
  <c r="W247" i="3"/>
  <c r="I248" i="3"/>
  <c r="K248" i="3"/>
  <c r="M248" i="3"/>
  <c r="S248" i="3"/>
  <c r="V248" i="3"/>
  <c r="W248" i="3"/>
  <c r="I249" i="3"/>
  <c r="K249" i="3"/>
  <c r="M249" i="3"/>
  <c r="S249" i="3"/>
  <c r="V249" i="3"/>
  <c r="W249" i="3"/>
  <c r="I250" i="3"/>
  <c r="K250" i="3"/>
  <c r="M250" i="3"/>
  <c r="S250" i="3"/>
  <c r="V250" i="3"/>
  <c r="W250" i="3"/>
  <c r="I251" i="3"/>
  <c r="K251" i="3"/>
  <c r="M251" i="3"/>
  <c r="S251" i="3"/>
  <c r="V251" i="3"/>
  <c r="W251" i="3"/>
  <c r="I252" i="3"/>
  <c r="K252" i="3"/>
  <c r="M252" i="3"/>
  <c r="S252" i="3"/>
  <c r="V252" i="3"/>
  <c r="W252" i="3"/>
  <c r="I253" i="3"/>
  <c r="K253" i="3"/>
  <c r="M253" i="3"/>
  <c r="S253" i="3"/>
  <c r="V253" i="3"/>
  <c r="W253" i="3"/>
  <c r="I254" i="3"/>
  <c r="K254" i="3"/>
  <c r="M254" i="3"/>
  <c r="S254" i="3"/>
  <c r="V254" i="3"/>
  <c r="W254" i="3"/>
  <c r="I255" i="3"/>
  <c r="K255" i="3"/>
  <c r="M255" i="3"/>
  <c r="S255" i="3"/>
  <c r="V255" i="3"/>
  <c r="W255" i="3"/>
  <c r="I256" i="3"/>
  <c r="K256" i="3"/>
  <c r="M256" i="3"/>
  <c r="S256" i="3"/>
  <c r="V256" i="3"/>
  <c r="W256" i="3"/>
  <c r="I257" i="3"/>
  <c r="K257" i="3"/>
  <c r="M257" i="3"/>
  <c r="S257" i="3"/>
  <c r="V257" i="3"/>
  <c r="W257" i="3"/>
  <c r="I258" i="3"/>
  <c r="K258" i="3"/>
  <c r="M258" i="3"/>
  <c r="S258" i="3"/>
  <c r="V258" i="3"/>
  <c r="W258" i="3"/>
  <c r="I259" i="3"/>
  <c r="K259" i="3"/>
  <c r="M259" i="3"/>
  <c r="S259" i="3"/>
  <c r="V259" i="3"/>
  <c r="W259" i="3"/>
  <c r="I260" i="3"/>
  <c r="K260" i="3"/>
  <c r="M260" i="3"/>
  <c r="S260" i="3"/>
  <c r="V260" i="3"/>
  <c r="W260" i="3"/>
  <c r="I261" i="3"/>
  <c r="K261" i="3"/>
  <c r="M261" i="3"/>
  <c r="S261" i="3"/>
  <c r="V261" i="3"/>
  <c r="W261" i="3"/>
  <c r="I262" i="3"/>
  <c r="K262" i="3"/>
  <c r="M262" i="3"/>
  <c r="S262" i="3"/>
  <c r="V262" i="3"/>
  <c r="W262" i="3"/>
  <c r="I263" i="3"/>
  <c r="K263" i="3"/>
  <c r="M263" i="3"/>
  <c r="S263" i="3"/>
  <c r="V263" i="3"/>
  <c r="W263" i="3"/>
  <c r="I264" i="3"/>
  <c r="K264" i="3"/>
  <c r="M264" i="3"/>
  <c r="S264" i="3"/>
  <c r="V264" i="3"/>
  <c r="W264" i="3"/>
  <c r="I265" i="3"/>
  <c r="K265" i="3"/>
  <c r="M265" i="3"/>
  <c r="S265" i="3"/>
  <c r="V265" i="3"/>
  <c r="W265" i="3"/>
  <c r="I266" i="3"/>
  <c r="K266" i="3"/>
  <c r="M266" i="3"/>
  <c r="S266" i="3"/>
  <c r="V266" i="3"/>
  <c r="W266" i="3"/>
  <c r="I267" i="3"/>
  <c r="K267" i="3"/>
  <c r="M267" i="3"/>
  <c r="S267" i="3"/>
  <c r="V267" i="3"/>
  <c r="W267" i="3"/>
  <c r="I268" i="3"/>
  <c r="K268" i="3"/>
  <c r="M268" i="3"/>
  <c r="S268" i="3"/>
  <c r="V268" i="3"/>
  <c r="W268" i="3"/>
  <c r="I269" i="3"/>
  <c r="K269" i="3"/>
  <c r="M269" i="3"/>
  <c r="S269" i="3"/>
  <c r="V269" i="3"/>
  <c r="W269" i="3"/>
  <c r="I270" i="3"/>
  <c r="K270" i="3"/>
  <c r="M270" i="3"/>
  <c r="S270" i="3"/>
  <c r="V270" i="3"/>
  <c r="W270" i="3"/>
  <c r="I271" i="3"/>
  <c r="K271" i="3"/>
  <c r="M271" i="3"/>
  <c r="S271" i="3"/>
  <c r="V271" i="3"/>
  <c r="W271" i="3"/>
  <c r="I272" i="3"/>
  <c r="K272" i="3"/>
  <c r="M272" i="3"/>
  <c r="S272" i="3"/>
  <c r="V272" i="3"/>
  <c r="W272" i="3"/>
  <c r="I273" i="3"/>
  <c r="K273" i="3"/>
  <c r="M273" i="3"/>
  <c r="S273" i="3"/>
  <c r="V273" i="3"/>
  <c r="W273" i="3"/>
  <c r="I274" i="3"/>
  <c r="K274" i="3"/>
  <c r="M274" i="3"/>
  <c r="S274" i="3"/>
  <c r="V274" i="3"/>
  <c r="W274" i="3"/>
  <c r="I275" i="3"/>
  <c r="K275" i="3"/>
  <c r="M275" i="3"/>
  <c r="S275" i="3"/>
  <c r="V275" i="3"/>
  <c r="W275" i="3"/>
  <c r="I276" i="3"/>
  <c r="K276" i="3"/>
  <c r="M276" i="3"/>
  <c r="S276" i="3"/>
  <c r="V276" i="3"/>
  <c r="W276" i="3"/>
  <c r="I277" i="3"/>
  <c r="K277" i="3"/>
  <c r="M277" i="3"/>
  <c r="S277" i="3"/>
  <c r="V277" i="3"/>
  <c r="W277" i="3"/>
  <c r="I278" i="3"/>
  <c r="K278" i="3"/>
  <c r="M278" i="3"/>
  <c r="S278" i="3"/>
  <c r="V278" i="3"/>
  <c r="W278" i="3"/>
  <c r="I279" i="3"/>
  <c r="K279" i="3"/>
  <c r="M279" i="3"/>
  <c r="S279" i="3"/>
  <c r="V279" i="3"/>
  <c r="W279" i="3"/>
  <c r="I280" i="3"/>
  <c r="K280" i="3"/>
  <c r="M280" i="3"/>
  <c r="S280" i="3"/>
  <c r="V280" i="3"/>
  <c r="W280" i="3"/>
  <c r="I281" i="3"/>
  <c r="K281" i="3"/>
  <c r="M281" i="3"/>
  <c r="S281" i="3"/>
  <c r="V281" i="3"/>
  <c r="W281" i="3"/>
  <c r="I282" i="3"/>
  <c r="K282" i="3"/>
  <c r="M282" i="3"/>
  <c r="S282" i="3"/>
  <c r="V282" i="3"/>
  <c r="W282" i="3"/>
  <c r="I283" i="3"/>
  <c r="K283" i="3"/>
  <c r="M283" i="3"/>
  <c r="S283" i="3"/>
  <c r="V283" i="3"/>
  <c r="W283" i="3"/>
  <c r="I284" i="3"/>
  <c r="K284" i="3"/>
  <c r="M284" i="3"/>
  <c r="S284" i="3"/>
  <c r="V284" i="3"/>
  <c r="W284" i="3"/>
  <c r="I285" i="3"/>
  <c r="K285" i="3"/>
  <c r="M285" i="3"/>
  <c r="S285" i="3"/>
  <c r="V285" i="3"/>
  <c r="W285" i="3"/>
  <c r="I286" i="3"/>
  <c r="K286" i="3"/>
  <c r="M286" i="3"/>
  <c r="S286" i="3"/>
  <c r="V286" i="3"/>
  <c r="W286" i="3"/>
  <c r="I287" i="3"/>
  <c r="K287" i="3"/>
  <c r="M287" i="3"/>
  <c r="S287" i="3"/>
  <c r="V287" i="3"/>
  <c r="W287" i="3"/>
  <c r="I288" i="3"/>
  <c r="K288" i="3"/>
  <c r="M288" i="3"/>
  <c r="S288" i="3"/>
  <c r="V288" i="3"/>
  <c r="W288" i="3"/>
  <c r="I289" i="3"/>
  <c r="K289" i="3"/>
  <c r="M289" i="3"/>
  <c r="S289" i="3"/>
  <c r="V289" i="3"/>
  <c r="W289" i="3"/>
  <c r="I290" i="3"/>
  <c r="K290" i="3"/>
  <c r="M290" i="3"/>
  <c r="S290" i="3"/>
  <c r="V290" i="3"/>
  <c r="W290" i="3"/>
  <c r="I291" i="3"/>
  <c r="K291" i="3"/>
  <c r="M291" i="3"/>
  <c r="S291" i="3"/>
  <c r="V291" i="3"/>
  <c r="W291" i="3"/>
  <c r="I292" i="3"/>
  <c r="K292" i="3"/>
  <c r="M292" i="3"/>
  <c r="S292" i="3"/>
  <c r="V292" i="3"/>
  <c r="W292" i="3"/>
  <c r="I293" i="3"/>
  <c r="K293" i="3"/>
  <c r="M293" i="3"/>
  <c r="S293" i="3"/>
  <c r="V293" i="3"/>
  <c r="W293" i="3"/>
  <c r="I294" i="3"/>
  <c r="K294" i="3"/>
  <c r="M294" i="3"/>
  <c r="S294" i="3"/>
  <c r="V294" i="3"/>
  <c r="W294" i="3"/>
  <c r="I295" i="3"/>
  <c r="K295" i="3"/>
  <c r="M295" i="3"/>
  <c r="S295" i="3"/>
  <c r="V295" i="3"/>
  <c r="W295" i="3"/>
  <c r="I296" i="3"/>
  <c r="K296" i="3"/>
  <c r="M296" i="3"/>
  <c r="S296" i="3"/>
  <c r="V296" i="3"/>
  <c r="W296" i="3"/>
  <c r="I297" i="3"/>
  <c r="K297" i="3"/>
  <c r="M297" i="3"/>
  <c r="S297" i="3"/>
  <c r="V297" i="3"/>
  <c r="W297" i="3"/>
  <c r="I298" i="3"/>
  <c r="K298" i="3"/>
  <c r="M298" i="3"/>
  <c r="S298" i="3"/>
  <c r="V298" i="3"/>
  <c r="W298" i="3"/>
  <c r="I299" i="3"/>
  <c r="K299" i="3"/>
  <c r="M299" i="3"/>
  <c r="S299" i="3"/>
  <c r="V299" i="3"/>
  <c r="W299" i="3"/>
  <c r="I300" i="3"/>
  <c r="K300" i="3"/>
  <c r="M300" i="3"/>
  <c r="S300" i="3"/>
  <c r="V300" i="3"/>
  <c r="W300" i="3"/>
  <c r="I301" i="3"/>
  <c r="K301" i="3"/>
  <c r="M301" i="3"/>
  <c r="S301" i="3"/>
  <c r="V301" i="3"/>
  <c r="W301" i="3"/>
  <c r="I302" i="3"/>
  <c r="K302" i="3"/>
  <c r="M302" i="3"/>
  <c r="S302" i="3"/>
  <c r="V302" i="3"/>
  <c r="W302" i="3"/>
  <c r="I303" i="3"/>
  <c r="K303" i="3"/>
  <c r="M303" i="3"/>
  <c r="S303" i="3"/>
  <c r="V303" i="3"/>
  <c r="W303" i="3"/>
  <c r="I304" i="3"/>
  <c r="K304" i="3"/>
  <c r="M304" i="3"/>
  <c r="S304" i="3"/>
  <c r="V304" i="3"/>
  <c r="W304" i="3"/>
  <c r="I305" i="3"/>
  <c r="K305" i="3"/>
  <c r="M305" i="3"/>
  <c r="S305" i="3"/>
  <c r="V305" i="3"/>
  <c r="W305" i="3"/>
  <c r="I306" i="3"/>
  <c r="K306" i="3"/>
  <c r="M306" i="3"/>
  <c r="S306" i="3"/>
  <c r="V306" i="3"/>
  <c r="W306" i="3"/>
  <c r="I307" i="3"/>
  <c r="K307" i="3"/>
  <c r="M307" i="3"/>
  <c r="S307" i="3"/>
  <c r="V307" i="3"/>
  <c r="W307" i="3"/>
  <c r="I308" i="3"/>
  <c r="K308" i="3"/>
  <c r="M308" i="3"/>
  <c r="S308" i="3"/>
  <c r="V308" i="3"/>
  <c r="W308" i="3"/>
  <c r="I309" i="3"/>
  <c r="K309" i="3"/>
  <c r="M309" i="3"/>
  <c r="S309" i="3"/>
  <c r="V309" i="3"/>
  <c r="W309" i="3"/>
  <c r="I310" i="3"/>
  <c r="K310" i="3"/>
  <c r="M310" i="3"/>
  <c r="S310" i="3"/>
  <c r="V310" i="3"/>
  <c r="W310" i="3"/>
  <c r="I311" i="3"/>
  <c r="K311" i="3"/>
  <c r="M311" i="3"/>
  <c r="S311" i="3"/>
  <c r="V311" i="3"/>
  <c r="W311" i="3"/>
  <c r="I312" i="3"/>
  <c r="K312" i="3"/>
  <c r="M312" i="3"/>
  <c r="S312" i="3"/>
  <c r="V312" i="3"/>
  <c r="W312" i="3"/>
  <c r="I313" i="3"/>
  <c r="K313" i="3"/>
  <c r="M313" i="3"/>
  <c r="S313" i="3"/>
  <c r="V313" i="3"/>
  <c r="W313" i="3"/>
  <c r="I314" i="3"/>
  <c r="K314" i="3"/>
  <c r="M314" i="3"/>
  <c r="S314" i="3"/>
  <c r="V314" i="3"/>
  <c r="W314" i="3"/>
  <c r="I315" i="3"/>
  <c r="K315" i="3"/>
  <c r="M315" i="3"/>
  <c r="S315" i="3"/>
  <c r="V315" i="3"/>
  <c r="W315" i="3"/>
  <c r="I316" i="3"/>
  <c r="K316" i="3"/>
  <c r="M316" i="3"/>
  <c r="S316" i="3"/>
  <c r="V316" i="3"/>
  <c r="W316" i="3"/>
  <c r="I317" i="3"/>
  <c r="K317" i="3"/>
  <c r="M317" i="3"/>
  <c r="S317" i="3"/>
  <c r="V317" i="3"/>
  <c r="W317" i="3"/>
  <c r="I318" i="3"/>
  <c r="K318" i="3"/>
  <c r="M318" i="3"/>
  <c r="S318" i="3"/>
  <c r="V318" i="3"/>
  <c r="W318" i="3"/>
  <c r="I319" i="3"/>
  <c r="K319" i="3"/>
  <c r="M319" i="3"/>
  <c r="S319" i="3"/>
  <c r="V319" i="3"/>
  <c r="W319" i="3"/>
  <c r="I320" i="3"/>
  <c r="K320" i="3"/>
  <c r="M320" i="3"/>
  <c r="S320" i="3"/>
  <c r="V320" i="3"/>
  <c r="W320" i="3"/>
  <c r="I321" i="3"/>
  <c r="K321" i="3"/>
  <c r="M321" i="3"/>
  <c r="S321" i="3"/>
  <c r="V321" i="3"/>
  <c r="W321" i="3"/>
  <c r="I322" i="3"/>
  <c r="K322" i="3"/>
  <c r="M322" i="3"/>
  <c r="S322" i="3"/>
  <c r="V322" i="3"/>
  <c r="W322" i="3"/>
  <c r="I323" i="3"/>
  <c r="K323" i="3"/>
  <c r="M323" i="3"/>
  <c r="S323" i="3"/>
  <c r="V323" i="3"/>
  <c r="W323" i="3"/>
  <c r="I324" i="3"/>
  <c r="K324" i="3"/>
  <c r="M324" i="3"/>
  <c r="S324" i="3"/>
  <c r="V324" i="3"/>
  <c r="W324" i="3"/>
  <c r="I325" i="3"/>
  <c r="K325" i="3"/>
  <c r="M325" i="3"/>
  <c r="S325" i="3"/>
  <c r="V325" i="3"/>
  <c r="W325" i="3"/>
  <c r="I326" i="3"/>
  <c r="K326" i="3"/>
  <c r="M326" i="3"/>
  <c r="S326" i="3"/>
  <c r="V326" i="3"/>
  <c r="W326" i="3"/>
  <c r="I327" i="3"/>
  <c r="K327" i="3"/>
  <c r="M327" i="3"/>
  <c r="S327" i="3"/>
  <c r="V327" i="3"/>
  <c r="W327" i="3"/>
  <c r="I328" i="3"/>
  <c r="K328" i="3"/>
  <c r="M328" i="3"/>
  <c r="S328" i="3"/>
  <c r="V328" i="3"/>
  <c r="W328" i="3"/>
  <c r="I329" i="3"/>
  <c r="K329" i="3"/>
  <c r="M329" i="3"/>
  <c r="S329" i="3"/>
  <c r="V329" i="3"/>
  <c r="W329" i="3"/>
  <c r="I330" i="3"/>
  <c r="K330" i="3"/>
  <c r="M330" i="3"/>
  <c r="S330" i="3"/>
  <c r="V330" i="3"/>
  <c r="W330" i="3"/>
  <c r="I331" i="3"/>
  <c r="K331" i="3"/>
  <c r="M331" i="3"/>
  <c r="S331" i="3"/>
  <c r="V331" i="3"/>
  <c r="W331" i="3"/>
  <c r="I332" i="3"/>
  <c r="K332" i="3"/>
  <c r="M332" i="3"/>
  <c r="S332" i="3"/>
  <c r="V332" i="3"/>
  <c r="W332" i="3"/>
  <c r="I333" i="3"/>
  <c r="K333" i="3"/>
  <c r="M333" i="3"/>
  <c r="S333" i="3"/>
  <c r="V333" i="3"/>
  <c r="W333" i="3"/>
  <c r="I334" i="3"/>
  <c r="K334" i="3"/>
  <c r="M334" i="3"/>
  <c r="S334" i="3"/>
  <c r="V334" i="3"/>
  <c r="W334" i="3"/>
  <c r="I335" i="3"/>
  <c r="K335" i="3"/>
  <c r="M335" i="3"/>
  <c r="S335" i="3"/>
  <c r="V335" i="3"/>
  <c r="W335" i="3"/>
  <c r="I336" i="3"/>
  <c r="K336" i="3"/>
  <c r="M336" i="3"/>
  <c r="S336" i="3"/>
  <c r="V336" i="3"/>
  <c r="W336" i="3"/>
  <c r="I337" i="3"/>
  <c r="K337" i="3"/>
  <c r="M337" i="3"/>
  <c r="S337" i="3"/>
  <c r="V337" i="3"/>
  <c r="W337" i="3"/>
  <c r="I338" i="3"/>
  <c r="K338" i="3"/>
  <c r="M338" i="3"/>
  <c r="S338" i="3"/>
  <c r="V338" i="3"/>
  <c r="W338" i="3"/>
  <c r="I339" i="3"/>
  <c r="K339" i="3"/>
  <c r="M339" i="3"/>
  <c r="S339" i="3"/>
  <c r="V339" i="3"/>
  <c r="W339" i="3"/>
  <c r="I340" i="3"/>
  <c r="K340" i="3"/>
  <c r="M340" i="3"/>
  <c r="S340" i="3"/>
  <c r="V340" i="3"/>
  <c r="W340" i="3"/>
  <c r="I341" i="3"/>
  <c r="K341" i="3"/>
  <c r="M341" i="3"/>
  <c r="S341" i="3"/>
  <c r="V341" i="3"/>
  <c r="W341" i="3"/>
  <c r="I342" i="3"/>
  <c r="K342" i="3"/>
  <c r="M342" i="3"/>
  <c r="S342" i="3"/>
  <c r="V342" i="3"/>
  <c r="W342" i="3"/>
  <c r="I343" i="3"/>
  <c r="K343" i="3"/>
  <c r="M343" i="3"/>
  <c r="S343" i="3"/>
  <c r="V343" i="3"/>
  <c r="W343" i="3"/>
  <c r="I344" i="3"/>
  <c r="K344" i="3"/>
  <c r="M344" i="3"/>
  <c r="S344" i="3"/>
  <c r="V344" i="3"/>
  <c r="W344" i="3"/>
  <c r="I345" i="3"/>
  <c r="K345" i="3"/>
  <c r="M345" i="3"/>
  <c r="S345" i="3"/>
  <c r="V345" i="3"/>
  <c r="W345" i="3"/>
  <c r="I346" i="3"/>
  <c r="K346" i="3"/>
  <c r="M346" i="3"/>
  <c r="S346" i="3"/>
  <c r="V346" i="3"/>
  <c r="W346" i="3"/>
  <c r="I347" i="3"/>
  <c r="K347" i="3"/>
  <c r="M347" i="3"/>
  <c r="S347" i="3"/>
  <c r="V347" i="3"/>
  <c r="W347" i="3"/>
  <c r="I348" i="3"/>
  <c r="K348" i="3"/>
  <c r="M348" i="3"/>
  <c r="S348" i="3"/>
  <c r="V348" i="3"/>
  <c r="W348" i="3"/>
  <c r="I349" i="3"/>
  <c r="K349" i="3"/>
  <c r="M349" i="3"/>
  <c r="S349" i="3"/>
  <c r="V349" i="3"/>
  <c r="W349" i="3"/>
  <c r="I350" i="3"/>
  <c r="K350" i="3"/>
  <c r="M350" i="3"/>
  <c r="S350" i="3"/>
  <c r="V350" i="3"/>
  <c r="W350" i="3"/>
  <c r="I351" i="3"/>
  <c r="K351" i="3"/>
  <c r="M351" i="3"/>
  <c r="S351" i="3"/>
  <c r="V351" i="3"/>
  <c r="W351" i="3"/>
  <c r="I352" i="3"/>
  <c r="K352" i="3"/>
  <c r="M352" i="3"/>
  <c r="S352" i="3"/>
  <c r="V352" i="3"/>
  <c r="W352" i="3"/>
  <c r="I353" i="3"/>
  <c r="K353" i="3"/>
  <c r="M353" i="3"/>
  <c r="S353" i="3"/>
  <c r="V353" i="3"/>
  <c r="W353" i="3"/>
  <c r="I354" i="3"/>
  <c r="K354" i="3"/>
  <c r="M354" i="3"/>
  <c r="S354" i="3"/>
  <c r="V354" i="3"/>
  <c r="W354" i="3"/>
  <c r="I355" i="3"/>
  <c r="K355" i="3"/>
  <c r="M355" i="3"/>
  <c r="S355" i="3"/>
  <c r="V355" i="3"/>
  <c r="W355" i="3"/>
  <c r="I356" i="3"/>
  <c r="K356" i="3"/>
  <c r="M356" i="3"/>
  <c r="S356" i="3"/>
  <c r="V356" i="3"/>
  <c r="W356" i="3"/>
  <c r="I357" i="3"/>
  <c r="K357" i="3"/>
  <c r="M357" i="3"/>
  <c r="S357" i="3"/>
  <c r="V357" i="3"/>
  <c r="W357" i="3"/>
  <c r="I358" i="3"/>
  <c r="K358" i="3"/>
  <c r="M358" i="3"/>
  <c r="S358" i="3"/>
  <c r="V358" i="3"/>
  <c r="W358" i="3"/>
  <c r="I359" i="3"/>
  <c r="K359" i="3"/>
  <c r="M359" i="3"/>
  <c r="S359" i="3"/>
  <c r="V359" i="3"/>
  <c r="W359" i="3"/>
  <c r="I360" i="3"/>
  <c r="K360" i="3"/>
  <c r="M360" i="3"/>
  <c r="S360" i="3"/>
  <c r="V360" i="3"/>
  <c r="W360" i="3"/>
  <c r="I361" i="3"/>
  <c r="K361" i="3"/>
  <c r="M361" i="3"/>
  <c r="S361" i="3"/>
  <c r="V361" i="3"/>
  <c r="W361" i="3"/>
  <c r="I362" i="3"/>
  <c r="K362" i="3"/>
  <c r="M362" i="3"/>
  <c r="S362" i="3"/>
  <c r="V362" i="3"/>
  <c r="W362" i="3"/>
  <c r="I363" i="3"/>
  <c r="K363" i="3"/>
  <c r="M363" i="3"/>
  <c r="S363" i="3"/>
  <c r="V363" i="3"/>
  <c r="W363" i="3"/>
  <c r="I364" i="3"/>
  <c r="K364" i="3"/>
  <c r="M364" i="3"/>
  <c r="S364" i="3"/>
  <c r="V364" i="3"/>
  <c r="W364" i="3"/>
  <c r="I365" i="3"/>
  <c r="K365" i="3"/>
  <c r="M365" i="3"/>
  <c r="S365" i="3"/>
  <c r="V365" i="3"/>
  <c r="W365" i="3"/>
  <c r="I366" i="3"/>
  <c r="K366" i="3"/>
  <c r="M366" i="3"/>
  <c r="S366" i="3"/>
  <c r="V366" i="3"/>
  <c r="W366" i="3"/>
  <c r="I367" i="3"/>
  <c r="K367" i="3"/>
  <c r="M367" i="3"/>
  <c r="S367" i="3"/>
  <c r="V367" i="3"/>
  <c r="W367" i="3"/>
  <c r="I368" i="3"/>
  <c r="K368" i="3"/>
  <c r="M368" i="3"/>
  <c r="S368" i="3"/>
  <c r="V368" i="3"/>
  <c r="W368" i="3"/>
  <c r="I369" i="3"/>
  <c r="K369" i="3"/>
  <c r="M369" i="3"/>
  <c r="S369" i="3"/>
  <c r="V369" i="3"/>
  <c r="W369" i="3"/>
  <c r="I370" i="3"/>
  <c r="K370" i="3"/>
  <c r="M370" i="3"/>
  <c r="S370" i="3"/>
  <c r="V370" i="3"/>
  <c r="W370" i="3"/>
  <c r="I371" i="3"/>
  <c r="K371" i="3"/>
  <c r="M371" i="3"/>
  <c r="S371" i="3"/>
  <c r="V371" i="3"/>
  <c r="W371" i="3"/>
  <c r="I372" i="3"/>
  <c r="K372" i="3"/>
  <c r="M372" i="3"/>
  <c r="S372" i="3"/>
  <c r="V372" i="3"/>
  <c r="W372" i="3"/>
  <c r="I373" i="3"/>
  <c r="K373" i="3"/>
  <c r="M373" i="3"/>
  <c r="S373" i="3"/>
  <c r="V373" i="3"/>
  <c r="W373" i="3"/>
  <c r="I374" i="3"/>
  <c r="K374" i="3"/>
  <c r="M374" i="3"/>
  <c r="S374" i="3"/>
  <c r="V374" i="3"/>
  <c r="W374" i="3"/>
  <c r="I375" i="3"/>
  <c r="K375" i="3"/>
  <c r="M375" i="3"/>
  <c r="S375" i="3"/>
  <c r="V375" i="3"/>
  <c r="W375" i="3"/>
  <c r="I376" i="3"/>
  <c r="K376" i="3"/>
  <c r="M376" i="3"/>
  <c r="S376" i="3"/>
  <c r="V376" i="3"/>
  <c r="W376" i="3"/>
  <c r="I377" i="3"/>
  <c r="K377" i="3"/>
  <c r="M377" i="3"/>
  <c r="S377" i="3"/>
  <c r="V377" i="3"/>
  <c r="W377" i="3"/>
  <c r="I378" i="3"/>
  <c r="K378" i="3"/>
  <c r="M378" i="3"/>
  <c r="S378" i="3"/>
  <c r="V378" i="3"/>
  <c r="W378" i="3"/>
  <c r="I379" i="3"/>
  <c r="K379" i="3"/>
  <c r="M379" i="3"/>
  <c r="S379" i="3"/>
  <c r="V379" i="3"/>
  <c r="W379" i="3"/>
  <c r="I380" i="3"/>
  <c r="K380" i="3"/>
  <c r="M380" i="3"/>
  <c r="S380" i="3"/>
  <c r="V380" i="3"/>
  <c r="W380" i="3"/>
  <c r="I381" i="3"/>
  <c r="K381" i="3"/>
  <c r="M381" i="3"/>
  <c r="S381" i="3"/>
  <c r="V381" i="3"/>
  <c r="W381" i="3"/>
  <c r="I382" i="3"/>
  <c r="K382" i="3"/>
  <c r="M382" i="3"/>
  <c r="S382" i="3"/>
  <c r="V382" i="3"/>
  <c r="W382" i="3"/>
  <c r="I383" i="3"/>
  <c r="K383" i="3"/>
  <c r="M383" i="3"/>
  <c r="S383" i="3"/>
  <c r="V383" i="3"/>
  <c r="W383" i="3"/>
  <c r="I384" i="3"/>
  <c r="K384" i="3"/>
  <c r="M384" i="3"/>
  <c r="S384" i="3"/>
  <c r="V384" i="3"/>
  <c r="W384" i="3"/>
  <c r="I385" i="3"/>
  <c r="K385" i="3"/>
  <c r="M385" i="3"/>
  <c r="S385" i="3"/>
  <c r="V385" i="3"/>
  <c r="W385" i="3"/>
  <c r="I386" i="3"/>
  <c r="K386" i="3"/>
  <c r="M386" i="3"/>
  <c r="S386" i="3"/>
  <c r="V386" i="3"/>
  <c r="W386" i="3"/>
  <c r="I387" i="3"/>
  <c r="K387" i="3"/>
  <c r="M387" i="3"/>
  <c r="S387" i="3"/>
  <c r="V387" i="3"/>
  <c r="W387" i="3"/>
  <c r="I388" i="3"/>
  <c r="K388" i="3"/>
  <c r="M388" i="3"/>
  <c r="S388" i="3"/>
  <c r="V388" i="3"/>
  <c r="W388" i="3"/>
  <c r="I389" i="3"/>
  <c r="K389" i="3"/>
  <c r="M389" i="3"/>
  <c r="S389" i="3"/>
  <c r="V389" i="3"/>
  <c r="W389" i="3"/>
  <c r="I390" i="3"/>
  <c r="K390" i="3"/>
  <c r="M390" i="3"/>
  <c r="S390" i="3"/>
  <c r="V390" i="3"/>
  <c r="W390" i="3"/>
  <c r="I391" i="3"/>
  <c r="K391" i="3"/>
  <c r="M391" i="3"/>
  <c r="S391" i="3"/>
  <c r="V391" i="3"/>
  <c r="W391" i="3"/>
  <c r="I392" i="3"/>
  <c r="K392" i="3"/>
  <c r="M392" i="3"/>
  <c r="S392" i="3"/>
  <c r="V392" i="3"/>
  <c r="W392" i="3"/>
  <c r="I393" i="3"/>
  <c r="K393" i="3"/>
  <c r="M393" i="3"/>
  <c r="S393" i="3"/>
  <c r="V393" i="3"/>
  <c r="W393" i="3"/>
  <c r="I394" i="3"/>
  <c r="K394" i="3"/>
  <c r="M394" i="3"/>
  <c r="S394" i="3"/>
  <c r="V394" i="3"/>
  <c r="W394" i="3"/>
  <c r="I395" i="3"/>
  <c r="K395" i="3"/>
  <c r="M395" i="3"/>
  <c r="S395" i="3"/>
  <c r="V395" i="3"/>
  <c r="W395" i="3"/>
  <c r="I396" i="3"/>
  <c r="K396" i="3"/>
  <c r="M396" i="3"/>
  <c r="S396" i="3"/>
  <c r="V396" i="3"/>
  <c r="W396" i="3"/>
  <c r="I397" i="3"/>
  <c r="K397" i="3"/>
  <c r="M397" i="3"/>
  <c r="S397" i="3"/>
  <c r="V397" i="3"/>
  <c r="W397" i="3"/>
  <c r="I398" i="3"/>
  <c r="K398" i="3"/>
  <c r="M398" i="3"/>
  <c r="S398" i="3"/>
  <c r="V398" i="3"/>
  <c r="W398" i="3"/>
  <c r="I399" i="3"/>
  <c r="K399" i="3"/>
  <c r="M399" i="3"/>
  <c r="S399" i="3"/>
  <c r="V399" i="3"/>
  <c r="W399" i="3"/>
  <c r="I400" i="3"/>
  <c r="K400" i="3"/>
  <c r="M400" i="3"/>
  <c r="S400" i="3"/>
  <c r="V400" i="3"/>
  <c r="W400" i="3"/>
  <c r="I401" i="3"/>
  <c r="K401" i="3"/>
  <c r="M401" i="3"/>
  <c r="S401" i="3"/>
  <c r="V401" i="3"/>
  <c r="W401" i="3"/>
  <c r="I402" i="3"/>
  <c r="K402" i="3"/>
  <c r="M402" i="3"/>
  <c r="S402" i="3"/>
  <c r="V402" i="3"/>
  <c r="W402" i="3"/>
  <c r="I403" i="3"/>
  <c r="K403" i="3"/>
  <c r="M403" i="3"/>
  <c r="S403" i="3"/>
  <c r="V403" i="3"/>
  <c r="W403" i="3"/>
  <c r="I404" i="3"/>
  <c r="K404" i="3"/>
  <c r="M404" i="3"/>
  <c r="S404" i="3"/>
  <c r="V404" i="3"/>
  <c r="W404" i="3"/>
  <c r="I405" i="3"/>
  <c r="K405" i="3"/>
  <c r="M405" i="3"/>
  <c r="S405" i="3"/>
  <c r="V405" i="3"/>
  <c r="W405" i="3"/>
  <c r="I406" i="3"/>
  <c r="K406" i="3"/>
  <c r="M406" i="3"/>
  <c r="S406" i="3"/>
  <c r="V406" i="3"/>
  <c r="W406" i="3"/>
  <c r="I407" i="3"/>
  <c r="K407" i="3"/>
  <c r="M407" i="3"/>
  <c r="S407" i="3"/>
  <c r="V407" i="3"/>
  <c r="W407" i="3"/>
  <c r="I408" i="3"/>
  <c r="K408" i="3"/>
  <c r="M408" i="3"/>
  <c r="S408" i="3"/>
  <c r="V408" i="3"/>
  <c r="W408" i="3"/>
  <c r="I409" i="3"/>
  <c r="K409" i="3"/>
  <c r="M409" i="3"/>
  <c r="S409" i="3"/>
  <c r="V409" i="3"/>
  <c r="W409" i="3"/>
  <c r="I410" i="3"/>
  <c r="K410" i="3"/>
  <c r="M410" i="3"/>
  <c r="S410" i="3"/>
  <c r="V410" i="3"/>
  <c r="W410" i="3"/>
  <c r="I411" i="3"/>
  <c r="K411" i="3"/>
  <c r="M411" i="3"/>
  <c r="S411" i="3"/>
  <c r="V411" i="3"/>
  <c r="W411" i="3"/>
  <c r="I412" i="3"/>
  <c r="K412" i="3"/>
  <c r="M412" i="3"/>
  <c r="S412" i="3"/>
  <c r="V412" i="3"/>
  <c r="W412" i="3"/>
  <c r="I413" i="3"/>
  <c r="K413" i="3"/>
  <c r="M413" i="3"/>
  <c r="S413" i="3"/>
  <c r="V413" i="3"/>
  <c r="W413" i="3"/>
  <c r="I414" i="3"/>
  <c r="K414" i="3"/>
  <c r="M414" i="3"/>
  <c r="S414" i="3"/>
  <c r="V414" i="3"/>
  <c r="W414" i="3"/>
  <c r="I415" i="3"/>
  <c r="K415" i="3"/>
  <c r="M415" i="3"/>
  <c r="S415" i="3"/>
  <c r="V415" i="3"/>
  <c r="W415" i="3"/>
  <c r="I416" i="3"/>
  <c r="K416" i="3"/>
  <c r="M416" i="3"/>
  <c r="S416" i="3"/>
  <c r="V416" i="3"/>
  <c r="W416" i="3"/>
  <c r="I417" i="3"/>
  <c r="K417" i="3"/>
  <c r="M417" i="3"/>
  <c r="S417" i="3"/>
  <c r="V417" i="3"/>
  <c r="W417" i="3"/>
  <c r="I418" i="3"/>
  <c r="K418" i="3"/>
  <c r="M418" i="3"/>
  <c r="S418" i="3"/>
  <c r="V418" i="3"/>
  <c r="W418" i="3"/>
  <c r="I419" i="3"/>
  <c r="K419" i="3"/>
  <c r="M419" i="3"/>
  <c r="S419" i="3"/>
  <c r="V419" i="3"/>
  <c r="W419" i="3"/>
  <c r="I420" i="3"/>
  <c r="K420" i="3"/>
  <c r="M420" i="3"/>
  <c r="S420" i="3"/>
  <c r="V420" i="3"/>
  <c r="W420" i="3"/>
  <c r="I421" i="3"/>
  <c r="K421" i="3"/>
  <c r="M421" i="3"/>
  <c r="S421" i="3"/>
  <c r="V421" i="3"/>
  <c r="W421" i="3"/>
  <c r="I422" i="3"/>
  <c r="K422" i="3"/>
  <c r="M422" i="3"/>
  <c r="S422" i="3"/>
  <c r="V422" i="3"/>
  <c r="W422" i="3"/>
  <c r="I423" i="3"/>
  <c r="K423" i="3"/>
  <c r="M423" i="3"/>
  <c r="S423" i="3"/>
  <c r="V423" i="3"/>
  <c r="W423" i="3"/>
  <c r="I424" i="3"/>
  <c r="K424" i="3"/>
  <c r="M424" i="3"/>
  <c r="S424" i="3"/>
  <c r="V424" i="3"/>
  <c r="W424" i="3"/>
  <c r="I425" i="3"/>
  <c r="K425" i="3"/>
  <c r="M425" i="3"/>
  <c r="S425" i="3"/>
  <c r="V425" i="3"/>
  <c r="W425" i="3"/>
  <c r="I426" i="3"/>
  <c r="K426" i="3"/>
  <c r="M426" i="3"/>
  <c r="S426" i="3"/>
  <c r="V426" i="3"/>
  <c r="W426" i="3"/>
  <c r="I427" i="3"/>
  <c r="K427" i="3"/>
  <c r="M427" i="3"/>
  <c r="S427" i="3"/>
  <c r="V427" i="3"/>
  <c r="W427" i="3"/>
  <c r="I428" i="3"/>
  <c r="K428" i="3"/>
  <c r="M428" i="3"/>
  <c r="S428" i="3"/>
  <c r="V428" i="3"/>
  <c r="W428" i="3"/>
  <c r="I429" i="3"/>
  <c r="K429" i="3"/>
  <c r="M429" i="3"/>
  <c r="S429" i="3"/>
  <c r="V429" i="3"/>
  <c r="W429" i="3"/>
  <c r="I430" i="3"/>
  <c r="K430" i="3"/>
  <c r="M430" i="3"/>
  <c r="S430" i="3"/>
  <c r="V430" i="3"/>
  <c r="W430" i="3"/>
  <c r="I431" i="3"/>
  <c r="K431" i="3"/>
  <c r="M431" i="3"/>
  <c r="S431" i="3"/>
  <c r="V431" i="3"/>
  <c r="W431" i="3"/>
  <c r="I432" i="3"/>
  <c r="K432" i="3"/>
  <c r="M432" i="3"/>
  <c r="S432" i="3"/>
  <c r="V432" i="3"/>
  <c r="W432" i="3"/>
  <c r="I433" i="3"/>
  <c r="K433" i="3"/>
  <c r="M433" i="3"/>
  <c r="S433" i="3"/>
  <c r="V433" i="3"/>
  <c r="W433" i="3"/>
  <c r="I434" i="3"/>
  <c r="K434" i="3"/>
  <c r="M434" i="3"/>
  <c r="S434" i="3"/>
  <c r="V434" i="3"/>
  <c r="W434" i="3"/>
  <c r="I435" i="3"/>
  <c r="K435" i="3"/>
  <c r="M435" i="3"/>
  <c r="S435" i="3"/>
  <c r="V435" i="3"/>
  <c r="W435" i="3"/>
  <c r="I436" i="3"/>
  <c r="K436" i="3"/>
  <c r="M436" i="3"/>
  <c r="S436" i="3"/>
  <c r="V436" i="3"/>
  <c r="W436" i="3"/>
  <c r="I437" i="3"/>
  <c r="K437" i="3"/>
  <c r="M437" i="3"/>
  <c r="S437" i="3"/>
  <c r="V437" i="3"/>
  <c r="W437" i="3"/>
  <c r="I438" i="3"/>
  <c r="K438" i="3"/>
  <c r="M438" i="3"/>
  <c r="S438" i="3"/>
  <c r="V438" i="3"/>
  <c r="W438" i="3"/>
  <c r="I439" i="3"/>
  <c r="K439" i="3"/>
  <c r="M439" i="3"/>
  <c r="S439" i="3"/>
  <c r="V439" i="3"/>
  <c r="W439" i="3"/>
  <c r="I440" i="3"/>
  <c r="K440" i="3"/>
  <c r="M440" i="3"/>
  <c r="S440" i="3"/>
  <c r="V440" i="3"/>
  <c r="W440" i="3"/>
  <c r="I441" i="3"/>
  <c r="K441" i="3"/>
  <c r="M441" i="3"/>
  <c r="S441" i="3"/>
  <c r="V441" i="3"/>
  <c r="W441" i="3"/>
  <c r="I442" i="3"/>
  <c r="K442" i="3"/>
  <c r="M442" i="3"/>
  <c r="S442" i="3"/>
  <c r="V442" i="3"/>
  <c r="W442" i="3"/>
  <c r="I443" i="3"/>
  <c r="K443" i="3"/>
  <c r="M443" i="3"/>
  <c r="S443" i="3"/>
  <c r="V443" i="3"/>
  <c r="W443" i="3"/>
  <c r="I444" i="3"/>
  <c r="K444" i="3"/>
  <c r="M444" i="3"/>
  <c r="S444" i="3"/>
  <c r="V444" i="3"/>
  <c r="W444" i="3"/>
  <c r="I445" i="3"/>
  <c r="K445" i="3"/>
  <c r="M445" i="3"/>
  <c r="S445" i="3"/>
  <c r="V445" i="3"/>
  <c r="W445" i="3"/>
  <c r="I446" i="3"/>
  <c r="K446" i="3"/>
  <c r="M446" i="3"/>
  <c r="S446" i="3"/>
  <c r="V446" i="3"/>
  <c r="W446" i="3"/>
  <c r="I447" i="3"/>
  <c r="K447" i="3"/>
  <c r="M447" i="3"/>
  <c r="S447" i="3"/>
  <c r="V447" i="3"/>
  <c r="W447" i="3"/>
  <c r="I448" i="3"/>
  <c r="K448" i="3"/>
  <c r="M448" i="3"/>
  <c r="S448" i="3"/>
  <c r="V448" i="3"/>
  <c r="W448" i="3"/>
  <c r="I449" i="3"/>
  <c r="K449" i="3"/>
  <c r="M449" i="3"/>
  <c r="S449" i="3"/>
  <c r="V449" i="3"/>
  <c r="W449" i="3"/>
  <c r="I450" i="3"/>
  <c r="K450" i="3"/>
  <c r="M450" i="3"/>
  <c r="S450" i="3"/>
  <c r="V450" i="3"/>
  <c r="W450" i="3"/>
  <c r="I451" i="3"/>
  <c r="K451" i="3"/>
  <c r="M451" i="3"/>
  <c r="S451" i="3"/>
  <c r="V451" i="3"/>
  <c r="W451" i="3"/>
  <c r="I452" i="3"/>
  <c r="K452" i="3"/>
  <c r="M452" i="3"/>
  <c r="S452" i="3"/>
  <c r="V452" i="3"/>
  <c r="W452" i="3"/>
  <c r="I453" i="3"/>
  <c r="K453" i="3"/>
  <c r="M453" i="3"/>
  <c r="S453" i="3"/>
  <c r="V453" i="3"/>
  <c r="W453" i="3"/>
  <c r="I454" i="3"/>
  <c r="K454" i="3"/>
  <c r="M454" i="3"/>
  <c r="S454" i="3"/>
  <c r="V454" i="3"/>
  <c r="W454" i="3"/>
  <c r="I455" i="3"/>
  <c r="K455" i="3"/>
  <c r="M455" i="3"/>
  <c r="S455" i="3"/>
  <c r="V455" i="3"/>
  <c r="W455" i="3"/>
  <c r="I456" i="3"/>
  <c r="K456" i="3"/>
  <c r="M456" i="3"/>
  <c r="S456" i="3"/>
  <c r="V456" i="3"/>
  <c r="W456" i="3"/>
  <c r="I457" i="3"/>
  <c r="K457" i="3"/>
  <c r="M457" i="3"/>
  <c r="S457" i="3"/>
  <c r="V457" i="3"/>
  <c r="W457" i="3"/>
  <c r="I458" i="3"/>
  <c r="K458" i="3"/>
  <c r="M458" i="3"/>
  <c r="S458" i="3"/>
  <c r="V458" i="3"/>
  <c r="W458" i="3"/>
  <c r="I459" i="3"/>
  <c r="K459" i="3"/>
  <c r="M459" i="3"/>
  <c r="S459" i="3"/>
  <c r="V459" i="3"/>
  <c r="W459" i="3"/>
  <c r="I460" i="3"/>
  <c r="K460" i="3"/>
  <c r="M460" i="3"/>
  <c r="S460" i="3"/>
  <c r="V460" i="3"/>
  <c r="W460" i="3"/>
  <c r="I461" i="3"/>
  <c r="K461" i="3"/>
  <c r="M461" i="3"/>
  <c r="S461" i="3"/>
  <c r="V461" i="3"/>
  <c r="W461" i="3"/>
  <c r="I462" i="3"/>
  <c r="K462" i="3"/>
  <c r="M462" i="3"/>
  <c r="S462" i="3"/>
  <c r="V462" i="3"/>
  <c r="W462" i="3"/>
  <c r="I463" i="3"/>
  <c r="K463" i="3"/>
  <c r="M463" i="3"/>
  <c r="S463" i="3"/>
  <c r="V463" i="3"/>
  <c r="W463" i="3"/>
  <c r="I464" i="3"/>
  <c r="K464" i="3"/>
  <c r="M464" i="3"/>
  <c r="S464" i="3"/>
  <c r="V464" i="3"/>
  <c r="W464" i="3"/>
  <c r="I465" i="3"/>
  <c r="K465" i="3"/>
  <c r="M465" i="3"/>
  <c r="S465" i="3"/>
  <c r="V465" i="3"/>
  <c r="W465" i="3"/>
  <c r="I466" i="3"/>
  <c r="K466" i="3"/>
  <c r="M466" i="3"/>
  <c r="S466" i="3"/>
  <c r="V466" i="3"/>
  <c r="W466" i="3"/>
  <c r="I467" i="3"/>
  <c r="K467" i="3"/>
  <c r="M467" i="3"/>
  <c r="S467" i="3"/>
  <c r="V467" i="3"/>
  <c r="W467" i="3"/>
  <c r="I468" i="3"/>
  <c r="K468" i="3"/>
  <c r="M468" i="3"/>
  <c r="S468" i="3"/>
  <c r="V468" i="3"/>
  <c r="W468" i="3"/>
  <c r="I469" i="3"/>
  <c r="K469" i="3"/>
  <c r="M469" i="3"/>
  <c r="S469" i="3"/>
  <c r="V469" i="3"/>
  <c r="W469" i="3"/>
  <c r="I470" i="3"/>
  <c r="K470" i="3"/>
  <c r="M470" i="3"/>
  <c r="S470" i="3"/>
  <c r="V470" i="3"/>
  <c r="W470" i="3"/>
  <c r="I471" i="3"/>
  <c r="K471" i="3"/>
  <c r="M471" i="3"/>
  <c r="S471" i="3"/>
  <c r="V471" i="3"/>
  <c r="W471" i="3"/>
  <c r="I472" i="3"/>
  <c r="K472" i="3"/>
  <c r="M472" i="3"/>
  <c r="S472" i="3"/>
  <c r="V472" i="3"/>
  <c r="W472" i="3"/>
  <c r="I473" i="3"/>
  <c r="K473" i="3"/>
  <c r="M473" i="3"/>
  <c r="S473" i="3"/>
  <c r="V473" i="3"/>
  <c r="W473" i="3"/>
  <c r="I474" i="3"/>
  <c r="K474" i="3"/>
  <c r="M474" i="3"/>
  <c r="S474" i="3"/>
  <c r="V474" i="3"/>
  <c r="W474" i="3"/>
  <c r="I475" i="3"/>
  <c r="K475" i="3"/>
  <c r="M475" i="3"/>
  <c r="S475" i="3"/>
  <c r="V475" i="3"/>
  <c r="W475" i="3"/>
  <c r="I476" i="3"/>
  <c r="K476" i="3"/>
  <c r="M476" i="3"/>
  <c r="S476" i="3"/>
  <c r="V476" i="3"/>
  <c r="W476" i="3"/>
  <c r="I477" i="3"/>
  <c r="K477" i="3"/>
  <c r="M477" i="3"/>
  <c r="S477" i="3"/>
  <c r="V477" i="3"/>
  <c r="W477" i="3"/>
  <c r="E12" i="1"/>
  <c r="E43" i="1" s="1"/>
  <c r="D8" i="1" l="1"/>
  <c r="F12" i="1"/>
  <c r="F43" i="1" s="1"/>
  <c r="N724" i="5" l="1"/>
  <c r="O724" i="5"/>
  <c r="N725" i="5"/>
  <c r="O725" i="5"/>
  <c r="N726" i="5"/>
  <c r="O726" i="5"/>
  <c r="N727" i="5"/>
  <c r="O727" i="5"/>
  <c r="N728" i="5"/>
  <c r="O728" i="5"/>
  <c r="N729" i="5"/>
  <c r="O729" i="5"/>
  <c r="N730" i="5"/>
  <c r="O730" i="5"/>
  <c r="N731" i="5"/>
  <c r="O731" i="5"/>
  <c r="N732" i="5"/>
  <c r="O732" i="5"/>
  <c r="N733" i="5"/>
  <c r="O733" i="5"/>
  <c r="N734" i="5"/>
  <c r="O734" i="5"/>
  <c r="N735" i="5"/>
  <c r="O735" i="5"/>
  <c r="N736" i="5"/>
  <c r="O736" i="5"/>
  <c r="N737" i="5"/>
  <c r="O737" i="5"/>
  <c r="N738" i="5"/>
  <c r="O738" i="5"/>
  <c r="N739" i="5"/>
  <c r="O739" i="5"/>
  <c r="N740" i="5"/>
  <c r="O740" i="5"/>
  <c r="N741" i="5"/>
  <c r="O741" i="5"/>
  <c r="N742" i="5"/>
  <c r="O742" i="5"/>
  <c r="N743" i="5"/>
  <c r="O743" i="5"/>
  <c r="N744" i="5"/>
  <c r="O744" i="5"/>
  <c r="N745" i="5"/>
  <c r="O745" i="5"/>
  <c r="N746" i="5"/>
  <c r="O746" i="5"/>
  <c r="N747" i="5"/>
  <c r="O747" i="5"/>
  <c r="N748" i="5"/>
  <c r="O748" i="5"/>
  <c r="N749" i="5"/>
  <c r="O749" i="5"/>
  <c r="N750" i="5"/>
  <c r="O750" i="5"/>
  <c r="N751" i="5"/>
  <c r="O751" i="5"/>
  <c r="N752" i="5"/>
  <c r="O752" i="5"/>
  <c r="N753" i="5"/>
  <c r="O753" i="5"/>
  <c r="N754" i="5"/>
  <c r="O754" i="5"/>
  <c r="N755" i="5"/>
  <c r="O755" i="5"/>
  <c r="N756" i="5"/>
  <c r="O756" i="5"/>
  <c r="N757" i="5"/>
  <c r="O757" i="5"/>
  <c r="N758" i="5"/>
  <c r="O758" i="5"/>
  <c r="N759" i="5"/>
  <c r="O759" i="5"/>
  <c r="N760" i="5"/>
  <c r="O760" i="5"/>
  <c r="N761" i="5"/>
  <c r="O761" i="5"/>
  <c r="N762" i="5"/>
  <c r="O762" i="5"/>
  <c r="N763" i="5"/>
  <c r="O763" i="5"/>
  <c r="N764" i="5"/>
  <c r="O764" i="5"/>
  <c r="N765" i="5"/>
  <c r="O765" i="5"/>
  <c r="N766" i="5"/>
  <c r="O766" i="5"/>
  <c r="N767" i="5"/>
  <c r="O767" i="5"/>
  <c r="N768" i="5"/>
  <c r="O768" i="5"/>
  <c r="N769" i="5"/>
  <c r="O769" i="5"/>
  <c r="N770" i="5"/>
  <c r="O770" i="5"/>
  <c r="N771" i="5"/>
  <c r="O771" i="5"/>
  <c r="N772" i="5"/>
  <c r="O772" i="5"/>
  <c r="N773" i="5"/>
  <c r="O773" i="5"/>
  <c r="N774" i="5"/>
  <c r="O774" i="5"/>
  <c r="N775" i="5"/>
  <c r="O775" i="5"/>
  <c r="N776" i="5"/>
  <c r="O776" i="5"/>
  <c r="N777" i="5"/>
  <c r="O777" i="5"/>
  <c r="N778" i="5"/>
  <c r="O778" i="5"/>
  <c r="N779" i="5"/>
  <c r="O779" i="5"/>
  <c r="N780" i="5"/>
  <c r="O780" i="5"/>
  <c r="N781" i="5"/>
  <c r="O781" i="5"/>
  <c r="N782" i="5"/>
  <c r="O782" i="5"/>
  <c r="N783" i="5"/>
  <c r="O783" i="5"/>
  <c r="N784" i="5"/>
  <c r="O784" i="5"/>
  <c r="N785" i="5"/>
  <c r="O785" i="5"/>
  <c r="N786" i="5"/>
  <c r="O786" i="5"/>
  <c r="N787" i="5"/>
  <c r="O787" i="5"/>
  <c r="N788" i="5"/>
  <c r="O788" i="5"/>
  <c r="N789" i="5"/>
  <c r="O789" i="5"/>
  <c r="N790" i="5"/>
  <c r="O790" i="5"/>
  <c r="N791" i="5"/>
  <c r="O791" i="5"/>
  <c r="N792" i="5"/>
  <c r="O792" i="5"/>
  <c r="N793" i="5"/>
  <c r="O793" i="5"/>
  <c r="N794" i="5"/>
  <c r="O794" i="5"/>
  <c r="N795" i="5"/>
  <c r="O795" i="5"/>
  <c r="N796" i="5"/>
  <c r="O796" i="5"/>
  <c r="N797" i="5"/>
  <c r="O797" i="5"/>
  <c r="N798" i="5"/>
  <c r="O798" i="5"/>
  <c r="N799" i="5"/>
  <c r="O799" i="5"/>
  <c r="N800" i="5"/>
  <c r="O800" i="5"/>
  <c r="N801" i="5"/>
  <c r="O801" i="5"/>
  <c r="N802" i="5"/>
  <c r="O802" i="5"/>
  <c r="N803" i="5"/>
  <c r="O803" i="5"/>
  <c r="N804" i="5"/>
  <c r="O804" i="5"/>
  <c r="N805" i="5"/>
  <c r="O805" i="5"/>
  <c r="N806" i="5"/>
  <c r="O806" i="5"/>
  <c r="N807" i="5"/>
  <c r="O807" i="5"/>
  <c r="N808" i="5"/>
  <c r="O808" i="5"/>
  <c r="N809" i="5"/>
  <c r="O809" i="5"/>
  <c r="N810" i="5"/>
  <c r="O810" i="5"/>
  <c r="N811" i="5"/>
  <c r="O811" i="5"/>
  <c r="N812" i="5"/>
  <c r="O812" i="5"/>
  <c r="N813" i="5"/>
  <c r="O813" i="5"/>
  <c r="N814" i="5"/>
  <c r="O814" i="5"/>
  <c r="N815" i="5"/>
  <c r="O815" i="5"/>
  <c r="N816" i="5"/>
  <c r="O816" i="5"/>
  <c r="N817" i="5"/>
  <c r="O817" i="5"/>
  <c r="N818" i="5"/>
  <c r="O818" i="5"/>
  <c r="N819" i="5"/>
  <c r="O819" i="5"/>
  <c r="N820" i="5"/>
  <c r="O820" i="5"/>
  <c r="N821" i="5"/>
  <c r="O821" i="5"/>
  <c r="N822" i="5"/>
  <c r="O822" i="5"/>
  <c r="N823" i="5"/>
  <c r="O823" i="5"/>
  <c r="N824" i="5"/>
  <c r="O824" i="5"/>
  <c r="N825" i="5"/>
  <c r="O825" i="5"/>
  <c r="N826" i="5"/>
  <c r="O826" i="5"/>
  <c r="N827" i="5"/>
  <c r="O827" i="5"/>
  <c r="N828" i="5"/>
  <c r="O828" i="5"/>
  <c r="N829" i="5"/>
  <c r="O829" i="5"/>
  <c r="N830" i="5"/>
  <c r="O830" i="5"/>
  <c r="N831" i="5"/>
  <c r="O831" i="5"/>
  <c r="N832" i="5"/>
  <c r="O832" i="5"/>
  <c r="N833" i="5"/>
  <c r="O833" i="5"/>
  <c r="N834" i="5"/>
  <c r="O834" i="5"/>
  <c r="N835" i="5"/>
  <c r="O835" i="5"/>
  <c r="N836" i="5"/>
  <c r="O836" i="5"/>
  <c r="N837" i="5"/>
  <c r="O837" i="5"/>
  <c r="N838" i="5"/>
  <c r="O838" i="5"/>
  <c r="N839" i="5"/>
  <c r="O839" i="5"/>
  <c r="N840" i="5"/>
  <c r="O840" i="5"/>
  <c r="N841" i="5"/>
  <c r="O841" i="5"/>
  <c r="N842" i="5"/>
  <c r="O842" i="5"/>
  <c r="N843" i="5"/>
  <c r="O843" i="5"/>
  <c r="N844" i="5"/>
  <c r="O844" i="5"/>
  <c r="N845" i="5"/>
  <c r="O845" i="5"/>
  <c r="N846" i="5"/>
  <c r="O846" i="5"/>
  <c r="N847" i="5"/>
  <c r="O847" i="5"/>
  <c r="N848" i="5"/>
  <c r="O848" i="5"/>
  <c r="N849" i="5"/>
  <c r="O849" i="5"/>
  <c r="N850" i="5"/>
  <c r="O850" i="5"/>
  <c r="N851" i="5"/>
  <c r="O851" i="5"/>
  <c r="N852" i="5"/>
  <c r="O852" i="5"/>
  <c r="N853" i="5"/>
  <c r="O853" i="5"/>
  <c r="N854" i="5"/>
  <c r="O854" i="5"/>
  <c r="N855" i="5"/>
  <c r="O855" i="5"/>
  <c r="N856" i="5"/>
  <c r="O856" i="5"/>
  <c r="N857" i="5"/>
  <c r="O857" i="5"/>
  <c r="N858" i="5"/>
  <c r="O858" i="5"/>
  <c r="N859" i="5"/>
  <c r="O859" i="5"/>
  <c r="N860" i="5"/>
  <c r="O860" i="5"/>
  <c r="N861" i="5"/>
  <c r="O861" i="5"/>
  <c r="N862" i="5"/>
  <c r="O862" i="5"/>
  <c r="N863" i="5"/>
  <c r="O863" i="5"/>
  <c r="N864" i="5"/>
  <c r="O864" i="5"/>
  <c r="N865" i="5"/>
  <c r="O865" i="5"/>
  <c r="N866" i="5"/>
  <c r="O866" i="5"/>
  <c r="N867" i="5"/>
  <c r="O867" i="5"/>
  <c r="N868" i="5"/>
  <c r="O868" i="5"/>
  <c r="N869" i="5"/>
  <c r="O869" i="5"/>
  <c r="N870" i="5"/>
  <c r="O870" i="5"/>
  <c r="N871" i="5"/>
  <c r="O871" i="5"/>
  <c r="N872" i="5"/>
  <c r="O872" i="5"/>
  <c r="N873" i="5"/>
  <c r="O873" i="5"/>
  <c r="N874" i="5"/>
  <c r="O874" i="5"/>
  <c r="N875" i="5"/>
  <c r="O875" i="5"/>
  <c r="N876" i="5"/>
  <c r="O876" i="5"/>
  <c r="P7" i="6" l="1"/>
  <c r="O7" i="6"/>
  <c r="Q7" i="6"/>
  <c r="Q3" i="6"/>
  <c r="Q4" i="6"/>
  <c r="Q5" i="6"/>
  <c r="Q6" i="6"/>
  <c r="Q8" i="6"/>
  <c r="Q9" i="6"/>
  <c r="Q2" i="6"/>
  <c r="H8" i="1" l="1"/>
  <c r="G8" i="1"/>
  <c r="F8" i="1"/>
  <c r="E8" i="1"/>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M5" i="4" l="1"/>
  <c r="L5" i="4"/>
  <c r="E14" i="1" l="1"/>
  <c r="E45" i="1" s="1"/>
  <c r="F14" i="1"/>
  <c r="F45" i="1" s="1"/>
  <c r="G14" i="1"/>
  <c r="G45" i="1" s="1"/>
  <c r="H14" i="1"/>
  <c r="H45" i="1" s="1"/>
  <c r="D14" i="1"/>
  <c r="D45" i="1" s="1"/>
  <c r="N723" i="5"/>
  <c r="N722" i="5"/>
  <c r="N721" i="5"/>
  <c r="N720" i="5"/>
  <c r="N719" i="5"/>
  <c r="N718" i="5"/>
  <c r="N717" i="5"/>
  <c r="N716" i="5"/>
  <c r="N715" i="5"/>
  <c r="N714" i="5"/>
  <c r="N713" i="5"/>
  <c r="N712" i="5"/>
  <c r="N711" i="5"/>
  <c r="N710" i="5"/>
  <c r="N709" i="5"/>
  <c r="N708" i="5"/>
  <c r="N707" i="5"/>
  <c r="N706" i="5"/>
  <c r="N705" i="5"/>
  <c r="N704" i="5"/>
  <c r="N703" i="5"/>
  <c r="N702" i="5"/>
  <c r="N701" i="5"/>
  <c r="N700" i="5"/>
  <c r="N699" i="5"/>
  <c r="N698" i="5"/>
  <c r="N697" i="5"/>
  <c r="N696" i="5"/>
  <c r="N695" i="5"/>
  <c r="N694" i="5"/>
  <c r="N693" i="5"/>
  <c r="N692" i="5"/>
  <c r="N691" i="5"/>
  <c r="N690" i="5"/>
  <c r="N689" i="5"/>
  <c r="N688" i="5"/>
  <c r="N687" i="5"/>
  <c r="N686" i="5"/>
  <c r="N685" i="5"/>
  <c r="N684" i="5"/>
  <c r="N683" i="5"/>
  <c r="N682" i="5"/>
  <c r="N681" i="5"/>
  <c r="N680" i="5"/>
  <c r="N679" i="5"/>
  <c r="N678" i="5"/>
  <c r="N677" i="5"/>
  <c r="N676" i="5"/>
  <c r="N675" i="5"/>
  <c r="N674" i="5"/>
  <c r="N673" i="5"/>
  <c r="N672" i="5"/>
  <c r="N671" i="5"/>
  <c r="N670" i="5"/>
  <c r="N669" i="5"/>
  <c r="N668" i="5"/>
  <c r="N667" i="5"/>
  <c r="N666" i="5"/>
  <c r="N665" i="5"/>
  <c r="N664" i="5"/>
  <c r="N663" i="5"/>
  <c r="N662" i="5"/>
  <c r="N661" i="5"/>
  <c r="N660" i="5"/>
  <c r="N659" i="5"/>
  <c r="N658" i="5"/>
  <c r="N657" i="5"/>
  <c r="N656" i="5"/>
  <c r="N655" i="5"/>
  <c r="N654" i="5"/>
  <c r="N653" i="5"/>
  <c r="N652" i="5"/>
  <c r="N651" i="5"/>
  <c r="N650" i="5"/>
  <c r="N649" i="5"/>
  <c r="N648" i="5"/>
  <c r="N647" i="5"/>
  <c r="N646" i="5"/>
  <c r="N645" i="5"/>
  <c r="N644" i="5"/>
  <c r="N643" i="5"/>
  <c r="N642" i="5"/>
  <c r="N641" i="5"/>
  <c r="N640" i="5"/>
  <c r="N639" i="5"/>
  <c r="N638" i="5"/>
  <c r="N637" i="5"/>
  <c r="N636" i="5"/>
  <c r="N635" i="5"/>
  <c r="N634" i="5"/>
  <c r="N633" i="5"/>
  <c r="N632" i="5"/>
  <c r="N631" i="5"/>
  <c r="N630" i="5"/>
  <c r="N629" i="5"/>
  <c r="N628" i="5"/>
  <c r="N627" i="5"/>
  <c r="N626" i="5"/>
  <c r="N625" i="5"/>
  <c r="N624" i="5"/>
  <c r="N623" i="5"/>
  <c r="N622" i="5"/>
  <c r="N621" i="5"/>
  <c r="N620" i="5"/>
  <c r="N619" i="5"/>
  <c r="N618" i="5"/>
  <c r="N617" i="5"/>
  <c r="N616" i="5"/>
  <c r="N615" i="5"/>
  <c r="N614" i="5"/>
  <c r="N613" i="5"/>
  <c r="N612" i="5"/>
  <c r="N611" i="5"/>
  <c r="N610" i="5"/>
  <c r="N609" i="5"/>
  <c r="N608" i="5"/>
  <c r="N607" i="5"/>
  <c r="N606" i="5"/>
  <c r="N605" i="5"/>
  <c r="N604" i="5"/>
  <c r="N603" i="5"/>
  <c r="N602" i="5"/>
  <c r="N601" i="5"/>
  <c r="N600" i="5"/>
  <c r="N599" i="5"/>
  <c r="N598" i="5"/>
  <c r="N597" i="5"/>
  <c r="N596" i="5"/>
  <c r="N595" i="5"/>
  <c r="N594" i="5"/>
  <c r="N593" i="5"/>
  <c r="N592" i="5"/>
  <c r="N591" i="5"/>
  <c r="N590" i="5"/>
  <c r="N589" i="5"/>
  <c r="N588" i="5"/>
  <c r="N587" i="5"/>
  <c r="N586" i="5"/>
  <c r="N585" i="5"/>
  <c r="N584" i="5"/>
  <c r="N583" i="5"/>
  <c r="N582" i="5"/>
  <c r="N581" i="5"/>
  <c r="N580" i="5"/>
  <c r="N579" i="5"/>
  <c r="N578" i="5"/>
  <c r="N577" i="5"/>
  <c r="N576" i="5"/>
  <c r="N575" i="5"/>
  <c r="N574" i="5"/>
  <c r="N573" i="5"/>
  <c r="N572" i="5"/>
  <c r="N571" i="5"/>
  <c r="N570" i="5"/>
  <c r="N569" i="5"/>
  <c r="N568" i="5"/>
  <c r="N567" i="5"/>
  <c r="N566" i="5"/>
  <c r="N565" i="5"/>
  <c r="N564" i="5"/>
  <c r="N563" i="5"/>
  <c r="N562" i="5"/>
  <c r="N561" i="5"/>
  <c r="N560" i="5"/>
  <c r="N559" i="5"/>
  <c r="N558" i="5"/>
  <c r="N557" i="5"/>
  <c r="N556" i="5"/>
  <c r="N555" i="5"/>
  <c r="N554" i="5"/>
  <c r="N553" i="5"/>
  <c r="N552" i="5"/>
  <c r="N551" i="5"/>
  <c r="N550" i="5"/>
  <c r="N549" i="5"/>
  <c r="N548" i="5"/>
  <c r="N547" i="5"/>
  <c r="N546" i="5"/>
  <c r="N545" i="5"/>
  <c r="N544" i="5"/>
  <c r="N543" i="5"/>
  <c r="N542" i="5"/>
  <c r="N541" i="5"/>
  <c r="N540" i="5"/>
  <c r="N539" i="5"/>
  <c r="N538" i="5"/>
  <c r="N537" i="5"/>
  <c r="N536" i="5"/>
  <c r="N535" i="5"/>
  <c r="N534" i="5"/>
  <c r="N533" i="5"/>
  <c r="N532" i="5"/>
  <c r="N531" i="5"/>
  <c r="N530" i="5"/>
  <c r="N529" i="5"/>
  <c r="N528" i="5"/>
  <c r="N527" i="5"/>
  <c r="N526" i="5"/>
  <c r="N525" i="5"/>
  <c r="N524" i="5"/>
  <c r="N523" i="5"/>
  <c r="N522" i="5"/>
  <c r="N521" i="5"/>
  <c r="N520" i="5"/>
  <c r="N519" i="5"/>
  <c r="N518" i="5"/>
  <c r="N517" i="5"/>
  <c r="N516" i="5"/>
  <c r="N515" i="5"/>
  <c r="N514" i="5"/>
  <c r="N513" i="5"/>
  <c r="N512" i="5"/>
  <c r="N511" i="5"/>
  <c r="N510" i="5"/>
  <c r="N509" i="5"/>
  <c r="N508" i="5"/>
  <c r="N507" i="5"/>
  <c r="N506" i="5"/>
  <c r="N505" i="5"/>
  <c r="N504" i="5"/>
  <c r="N503" i="5"/>
  <c r="N502" i="5"/>
  <c r="N501" i="5"/>
  <c r="N500" i="5"/>
  <c r="N499" i="5"/>
  <c r="N498" i="5"/>
  <c r="N497" i="5"/>
  <c r="N496" i="5"/>
  <c r="N495" i="5"/>
  <c r="N494" i="5"/>
  <c r="N493" i="5"/>
  <c r="N492" i="5"/>
  <c r="N491" i="5"/>
  <c r="N490" i="5"/>
  <c r="N489" i="5"/>
  <c r="N488" i="5"/>
  <c r="N487" i="5"/>
  <c r="N486" i="5"/>
  <c r="N485" i="5"/>
  <c r="N484" i="5"/>
  <c r="N483" i="5"/>
  <c r="N482" i="5"/>
  <c r="N481" i="5"/>
  <c r="N480" i="5"/>
  <c r="N479" i="5"/>
  <c r="N478" i="5"/>
  <c r="N477" i="5"/>
  <c r="N476" i="5"/>
  <c r="N475" i="5"/>
  <c r="N474" i="5"/>
  <c r="N473" i="5"/>
  <c r="N472" i="5"/>
  <c r="N471" i="5"/>
  <c r="N470" i="5"/>
  <c r="N469" i="5"/>
  <c r="N468" i="5"/>
  <c r="N467" i="5"/>
  <c r="N466" i="5"/>
  <c r="N465" i="5"/>
  <c r="N464" i="5"/>
  <c r="N463" i="5"/>
  <c r="N462" i="5"/>
  <c r="N461" i="5"/>
  <c r="N460" i="5"/>
  <c r="N459" i="5"/>
  <c r="N458" i="5"/>
  <c r="N457" i="5"/>
  <c r="N456" i="5"/>
  <c r="N455" i="5"/>
  <c r="N454" i="5"/>
  <c r="N453" i="5"/>
  <c r="N452" i="5"/>
  <c r="N451" i="5"/>
  <c r="N450" i="5"/>
  <c r="N449" i="5"/>
  <c r="N448" i="5"/>
  <c r="N447" i="5"/>
  <c r="N446" i="5"/>
  <c r="N445" i="5"/>
  <c r="N444" i="5"/>
  <c r="N443" i="5"/>
  <c r="N442" i="5"/>
  <c r="N441" i="5"/>
  <c r="N440" i="5"/>
  <c r="N439" i="5"/>
  <c r="N438" i="5"/>
  <c r="N437" i="5"/>
  <c r="N436" i="5"/>
  <c r="N435" i="5"/>
  <c r="N434" i="5"/>
  <c r="N433" i="5"/>
  <c r="N432" i="5"/>
  <c r="N431" i="5"/>
  <c r="N430" i="5"/>
  <c r="N429" i="5"/>
  <c r="N428" i="5"/>
  <c r="N427" i="5"/>
  <c r="N426" i="5"/>
  <c r="N425" i="5"/>
  <c r="N424" i="5"/>
  <c r="N423" i="5"/>
  <c r="N422" i="5"/>
  <c r="N421" i="5"/>
  <c r="N420" i="5"/>
  <c r="N419" i="5"/>
  <c r="N418" i="5"/>
  <c r="N417" i="5"/>
  <c r="N416" i="5"/>
  <c r="N415" i="5"/>
  <c r="N414" i="5"/>
  <c r="N413" i="5"/>
  <c r="N412" i="5"/>
  <c r="N411" i="5"/>
  <c r="N410" i="5"/>
  <c r="N409" i="5"/>
  <c r="N408" i="5"/>
  <c r="N407" i="5"/>
  <c r="N406" i="5"/>
  <c r="N405" i="5"/>
  <c r="N404" i="5"/>
  <c r="N403" i="5"/>
  <c r="N402" i="5"/>
  <c r="N401" i="5"/>
  <c r="N400" i="5"/>
  <c r="N399" i="5"/>
  <c r="N398" i="5"/>
  <c r="N397" i="5"/>
  <c r="N396" i="5"/>
  <c r="N395" i="5"/>
  <c r="N394" i="5"/>
  <c r="N393" i="5"/>
  <c r="N392" i="5"/>
  <c r="N391" i="5"/>
  <c r="N390" i="5"/>
  <c r="N389" i="5"/>
  <c r="N388" i="5"/>
  <c r="N387" i="5"/>
  <c r="N386" i="5"/>
  <c r="N385" i="5"/>
  <c r="N384" i="5"/>
  <c r="N383" i="5"/>
  <c r="N382" i="5"/>
  <c r="N381" i="5"/>
  <c r="N380" i="5"/>
  <c r="N379" i="5"/>
  <c r="N378" i="5"/>
  <c r="N377" i="5"/>
  <c r="N376" i="5"/>
  <c r="N375" i="5"/>
  <c r="N374" i="5"/>
  <c r="N373" i="5"/>
  <c r="N372" i="5"/>
  <c r="N371" i="5"/>
  <c r="N370" i="5"/>
  <c r="N369" i="5"/>
  <c r="N368" i="5"/>
  <c r="N367" i="5"/>
  <c r="N366" i="5"/>
  <c r="N365" i="5"/>
  <c r="N364" i="5"/>
  <c r="N363" i="5"/>
  <c r="N362" i="5"/>
  <c r="N361" i="5"/>
  <c r="N360" i="5"/>
  <c r="N359" i="5"/>
  <c r="N358" i="5"/>
  <c r="N357" i="5"/>
  <c r="N356" i="5"/>
  <c r="N355" i="5"/>
  <c r="N354" i="5"/>
  <c r="N353" i="5"/>
  <c r="N352" i="5"/>
  <c r="N351" i="5"/>
  <c r="N350" i="5"/>
  <c r="N349" i="5"/>
  <c r="N348" i="5"/>
  <c r="N347" i="5"/>
  <c r="N346" i="5"/>
  <c r="N345" i="5"/>
  <c r="N344" i="5"/>
  <c r="N343" i="5"/>
  <c r="N342" i="5"/>
  <c r="N341" i="5"/>
  <c r="N340" i="5"/>
  <c r="N339" i="5"/>
  <c r="N338" i="5"/>
  <c r="N337" i="5"/>
  <c r="N336" i="5"/>
  <c r="N335" i="5"/>
  <c r="N334" i="5"/>
  <c r="N333" i="5"/>
  <c r="N332" i="5"/>
  <c r="N331" i="5"/>
  <c r="N330" i="5"/>
  <c r="N329" i="5"/>
  <c r="N328" i="5"/>
  <c r="N327" i="5"/>
  <c r="N326" i="5"/>
  <c r="N325" i="5"/>
  <c r="N324" i="5"/>
  <c r="N323" i="5"/>
  <c r="N322" i="5"/>
  <c r="N321" i="5"/>
  <c r="N320" i="5"/>
  <c r="N319" i="5"/>
  <c r="N318" i="5"/>
  <c r="N317" i="5"/>
  <c r="N316" i="5"/>
  <c r="N315" i="5"/>
  <c r="N314" i="5"/>
  <c r="N313" i="5"/>
  <c r="N312" i="5"/>
  <c r="N311" i="5"/>
  <c r="N310" i="5"/>
  <c r="N309" i="5"/>
  <c r="N308" i="5"/>
  <c r="N307" i="5"/>
  <c r="N306" i="5"/>
  <c r="N305" i="5"/>
  <c r="N304" i="5"/>
  <c r="N303" i="5"/>
  <c r="N302" i="5"/>
  <c r="N301" i="5"/>
  <c r="N300" i="5"/>
  <c r="N299" i="5"/>
  <c r="N298" i="5"/>
  <c r="N297" i="5"/>
  <c r="N296" i="5"/>
  <c r="N295" i="5"/>
  <c r="N294" i="5"/>
  <c r="N293" i="5"/>
  <c r="N292" i="5"/>
  <c r="N291" i="5"/>
  <c r="N290" i="5"/>
  <c r="N289" i="5"/>
  <c r="N288" i="5"/>
  <c r="N287" i="5"/>
  <c r="N286" i="5"/>
  <c r="N285" i="5"/>
  <c r="N284" i="5"/>
  <c r="N283" i="5"/>
  <c r="N282" i="5"/>
  <c r="N281" i="5"/>
  <c r="N280" i="5"/>
  <c r="N279" i="5"/>
  <c r="N278" i="5"/>
  <c r="N277" i="5"/>
  <c r="N276" i="5"/>
  <c r="N275" i="5"/>
  <c r="N274" i="5"/>
  <c r="N273" i="5"/>
  <c r="N272" i="5"/>
  <c r="N271" i="5"/>
  <c r="N270" i="5"/>
  <c r="N269" i="5"/>
  <c r="N268" i="5"/>
  <c r="N267" i="5"/>
  <c r="N266" i="5"/>
  <c r="N265" i="5"/>
  <c r="N264" i="5"/>
  <c r="N263" i="5"/>
  <c r="N262" i="5"/>
  <c r="N261" i="5"/>
  <c r="N260" i="5"/>
  <c r="N259" i="5"/>
  <c r="N258" i="5"/>
  <c r="N257" i="5"/>
  <c r="N256" i="5"/>
  <c r="N255" i="5"/>
  <c r="N254" i="5"/>
  <c r="N253" i="5"/>
  <c r="N252" i="5"/>
  <c r="N251" i="5"/>
  <c r="N250" i="5"/>
  <c r="N249" i="5"/>
  <c r="N248" i="5"/>
  <c r="N247" i="5"/>
  <c r="N246" i="5"/>
  <c r="N245" i="5"/>
  <c r="N244" i="5"/>
  <c r="N243" i="5"/>
  <c r="N242" i="5"/>
  <c r="N241" i="5"/>
  <c r="N240" i="5"/>
  <c r="N239" i="5"/>
  <c r="N238" i="5"/>
  <c r="N237" i="5"/>
  <c r="N236" i="5"/>
  <c r="N235" i="5"/>
  <c r="N234" i="5"/>
  <c r="N233" i="5"/>
  <c r="N232" i="5"/>
  <c r="N231" i="5"/>
  <c r="N230" i="5"/>
  <c r="N229" i="5"/>
  <c r="N228" i="5"/>
  <c r="N227" i="5"/>
  <c r="N226" i="5"/>
  <c r="N225" i="5"/>
  <c r="N224" i="5"/>
  <c r="N223" i="5"/>
  <c r="N222" i="5"/>
  <c r="N221" i="5"/>
  <c r="N220" i="5"/>
  <c r="N219" i="5"/>
  <c r="N218" i="5"/>
  <c r="N217" i="5"/>
  <c r="N216" i="5"/>
  <c r="N215" i="5"/>
  <c r="N214" i="5"/>
  <c r="N213" i="5"/>
  <c r="N212" i="5"/>
  <c r="N211" i="5"/>
  <c r="N210" i="5"/>
  <c r="N209" i="5"/>
  <c r="N208" i="5"/>
  <c r="N207" i="5"/>
  <c r="N206" i="5"/>
  <c r="N205" i="5"/>
  <c r="N204" i="5"/>
  <c r="N203" i="5"/>
  <c r="N202" i="5"/>
  <c r="N201" i="5"/>
  <c r="N200" i="5"/>
  <c r="N199" i="5"/>
  <c r="N198" i="5"/>
  <c r="N197" i="5"/>
  <c r="N196" i="5"/>
  <c r="N195" i="5"/>
  <c r="N194" i="5"/>
  <c r="N193" i="5"/>
  <c r="N192" i="5"/>
  <c r="N191" i="5"/>
  <c r="N190" i="5"/>
  <c r="N189" i="5"/>
  <c r="N188" i="5"/>
  <c r="N187" i="5"/>
  <c r="N186" i="5"/>
  <c r="N185" i="5"/>
  <c r="N184" i="5"/>
  <c r="N183" i="5"/>
  <c r="N182" i="5"/>
  <c r="N181" i="5"/>
  <c r="N180" i="5"/>
  <c r="N179" i="5"/>
  <c r="N178" i="5"/>
  <c r="N177" i="5"/>
  <c r="N176" i="5"/>
  <c r="N175" i="5"/>
  <c r="N174" i="5"/>
  <c r="N173" i="5"/>
  <c r="N172" i="5"/>
  <c r="N171" i="5"/>
  <c r="N170" i="5"/>
  <c r="N169" i="5"/>
  <c r="N168" i="5"/>
  <c r="N167" i="5"/>
  <c r="N166" i="5"/>
  <c r="N165" i="5"/>
  <c r="N164" i="5"/>
  <c r="N163" i="5"/>
  <c r="N162" i="5"/>
  <c r="N161" i="5"/>
  <c r="N160" i="5"/>
  <c r="N159" i="5"/>
  <c r="N158" i="5"/>
  <c r="N157" i="5"/>
  <c r="N156" i="5"/>
  <c r="N155" i="5"/>
  <c r="N154" i="5"/>
  <c r="N153" i="5"/>
  <c r="N152" i="5"/>
  <c r="N151" i="5"/>
  <c r="N150" i="5"/>
  <c r="N149" i="5"/>
  <c r="N148" i="5"/>
  <c r="N147" i="5"/>
  <c r="N146"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8" i="5"/>
  <c r="N117"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M702" i="4"/>
  <c r="L702" i="4"/>
  <c r="M701" i="4"/>
  <c r="L701" i="4"/>
  <c r="M700" i="4"/>
  <c r="L700" i="4"/>
  <c r="M699" i="4"/>
  <c r="L699" i="4"/>
  <c r="M698" i="4"/>
  <c r="L698" i="4"/>
  <c r="M697" i="4"/>
  <c r="L697" i="4"/>
  <c r="M696" i="4"/>
  <c r="L696" i="4"/>
  <c r="M695" i="4"/>
  <c r="L695" i="4"/>
  <c r="M694" i="4"/>
  <c r="L694" i="4"/>
  <c r="M693" i="4"/>
  <c r="L693" i="4"/>
  <c r="M692" i="4"/>
  <c r="L692" i="4"/>
  <c r="M691" i="4"/>
  <c r="L691" i="4"/>
  <c r="M690" i="4"/>
  <c r="L690" i="4"/>
  <c r="M689" i="4"/>
  <c r="L689" i="4"/>
  <c r="M688" i="4"/>
  <c r="L688" i="4"/>
  <c r="M687" i="4"/>
  <c r="L687" i="4"/>
  <c r="M686" i="4"/>
  <c r="L686" i="4"/>
  <c r="M685" i="4"/>
  <c r="L685" i="4"/>
  <c r="M684" i="4"/>
  <c r="L684" i="4"/>
  <c r="M683" i="4"/>
  <c r="L683" i="4"/>
  <c r="M682" i="4"/>
  <c r="L682" i="4"/>
  <c r="M681" i="4"/>
  <c r="L681" i="4"/>
  <c r="M680" i="4"/>
  <c r="L680" i="4"/>
  <c r="M679" i="4"/>
  <c r="L679" i="4"/>
  <c r="M678" i="4"/>
  <c r="L678" i="4"/>
  <c r="M677" i="4"/>
  <c r="L677" i="4"/>
  <c r="M676" i="4"/>
  <c r="L676" i="4"/>
  <c r="M675" i="4"/>
  <c r="L675" i="4"/>
  <c r="M674" i="4"/>
  <c r="L674" i="4"/>
  <c r="M673" i="4"/>
  <c r="L673" i="4"/>
  <c r="M672" i="4"/>
  <c r="L672" i="4"/>
  <c r="M671" i="4"/>
  <c r="L671" i="4"/>
  <c r="M670" i="4"/>
  <c r="L670" i="4"/>
  <c r="M669" i="4"/>
  <c r="L669" i="4"/>
  <c r="M668" i="4"/>
  <c r="L668" i="4"/>
  <c r="M667" i="4"/>
  <c r="L667" i="4"/>
  <c r="M666" i="4"/>
  <c r="L666" i="4"/>
  <c r="M665" i="4"/>
  <c r="L665" i="4"/>
  <c r="M664" i="4"/>
  <c r="L664" i="4"/>
  <c r="M663" i="4"/>
  <c r="L663" i="4"/>
  <c r="M662" i="4"/>
  <c r="L662" i="4"/>
  <c r="M661" i="4"/>
  <c r="L661" i="4"/>
  <c r="M660" i="4"/>
  <c r="L660" i="4"/>
  <c r="M659" i="4"/>
  <c r="L659" i="4"/>
  <c r="M658" i="4"/>
  <c r="L658" i="4"/>
  <c r="M657" i="4"/>
  <c r="L657" i="4"/>
  <c r="M656" i="4"/>
  <c r="L656" i="4"/>
  <c r="M655" i="4"/>
  <c r="L655" i="4"/>
  <c r="M654" i="4"/>
  <c r="L654" i="4"/>
  <c r="M653" i="4"/>
  <c r="L653" i="4"/>
  <c r="M652" i="4"/>
  <c r="L652" i="4"/>
  <c r="M651" i="4"/>
  <c r="L651" i="4"/>
  <c r="M650" i="4"/>
  <c r="L650" i="4"/>
  <c r="M649" i="4"/>
  <c r="L649" i="4"/>
  <c r="M648" i="4"/>
  <c r="L648" i="4"/>
  <c r="M647" i="4"/>
  <c r="L647" i="4"/>
  <c r="M646" i="4"/>
  <c r="L646" i="4"/>
  <c r="M645" i="4"/>
  <c r="L645" i="4"/>
  <c r="M644" i="4"/>
  <c r="L644" i="4"/>
  <c r="M643" i="4"/>
  <c r="L643" i="4"/>
  <c r="M642" i="4"/>
  <c r="L642" i="4"/>
  <c r="M641" i="4"/>
  <c r="L641" i="4"/>
  <c r="M640" i="4"/>
  <c r="L640" i="4"/>
  <c r="M639" i="4"/>
  <c r="L639" i="4"/>
  <c r="M638" i="4"/>
  <c r="L638" i="4"/>
  <c r="M637" i="4"/>
  <c r="L637" i="4"/>
  <c r="M636" i="4"/>
  <c r="L636" i="4"/>
  <c r="M635" i="4"/>
  <c r="L635" i="4"/>
  <c r="M634" i="4"/>
  <c r="L634" i="4"/>
  <c r="M633" i="4"/>
  <c r="L633" i="4"/>
  <c r="M632" i="4"/>
  <c r="L632" i="4"/>
  <c r="M631" i="4"/>
  <c r="L631" i="4"/>
  <c r="M630" i="4"/>
  <c r="L630" i="4"/>
  <c r="M629" i="4"/>
  <c r="L629" i="4"/>
  <c r="M628" i="4"/>
  <c r="L628" i="4"/>
  <c r="M627" i="4"/>
  <c r="L627" i="4"/>
  <c r="M626" i="4"/>
  <c r="L626" i="4"/>
  <c r="M625" i="4"/>
  <c r="L625" i="4"/>
  <c r="M624" i="4"/>
  <c r="L624" i="4"/>
  <c r="M623" i="4"/>
  <c r="L623" i="4"/>
  <c r="M622" i="4"/>
  <c r="L622" i="4"/>
  <c r="M621" i="4"/>
  <c r="L621" i="4"/>
  <c r="M620" i="4"/>
  <c r="L620" i="4"/>
  <c r="M619" i="4"/>
  <c r="L619" i="4"/>
  <c r="M618" i="4"/>
  <c r="L618" i="4"/>
  <c r="M617" i="4"/>
  <c r="L617" i="4"/>
  <c r="M616" i="4"/>
  <c r="L616" i="4"/>
  <c r="M615" i="4"/>
  <c r="L615" i="4"/>
  <c r="M614" i="4"/>
  <c r="L614" i="4"/>
  <c r="M613" i="4"/>
  <c r="L613" i="4"/>
  <c r="M612" i="4"/>
  <c r="L612" i="4"/>
  <c r="M611" i="4"/>
  <c r="L611" i="4"/>
  <c r="M610" i="4"/>
  <c r="L610" i="4"/>
  <c r="M609" i="4"/>
  <c r="L609" i="4"/>
  <c r="M608" i="4"/>
  <c r="L608" i="4"/>
  <c r="M607" i="4"/>
  <c r="L607" i="4"/>
  <c r="M606" i="4"/>
  <c r="L606" i="4"/>
  <c r="M605" i="4"/>
  <c r="L605" i="4"/>
  <c r="M604" i="4"/>
  <c r="L604" i="4"/>
  <c r="M603" i="4"/>
  <c r="L603" i="4"/>
  <c r="M602" i="4"/>
  <c r="L602" i="4"/>
  <c r="M601" i="4"/>
  <c r="L601" i="4"/>
  <c r="M600" i="4"/>
  <c r="L600" i="4"/>
  <c r="M599" i="4"/>
  <c r="L599" i="4"/>
  <c r="M598" i="4"/>
  <c r="L598" i="4"/>
  <c r="M597" i="4"/>
  <c r="L597" i="4"/>
  <c r="M596" i="4"/>
  <c r="L596" i="4"/>
  <c r="M595" i="4"/>
  <c r="L595" i="4"/>
  <c r="M594" i="4"/>
  <c r="L594" i="4"/>
  <c r="M593" i="4"/>
  <c r="L593" i="4"/>
  <c r="M592" i="4"/>
  <c r="L592" i="4"/>
  <c r="M591" i="4"/>
  <c r="L591" i="4"/>
  <c r="M590" i="4"/>
  <c r="L590" i="4"/>
  <c r="M589" i="4"/>
  <c r="L589" i="4"/>
  <c r="M588" i="4"/>
  <c r="L588" i="4"/>
  <c r="M587" i="4"/>
  <c r="L587" i="4"/>
  <c r="M586" i="4"/>
  <c r="L586" i="4"/>
  <c r="M585" i="4"/>
  <c r="L585" i="4"/>
  <c r="M584" i="4"/>
  <c r="L584" i="4"/>
  <c r="M583" i="4"/>
  <c r="L583" i="4"/>
  <c r="M582" i="4"/>
  <c r="L582" i="4"/>
  <c r="M581" i="4"/>
  <c r="L581" i="4"/>
  <c r="M580" i="4"/>
  <c r="L580" i="4"/>
  <c r="M579" i="4"/>
  <c r="L579" i="4"/>
  <c r="M578" i="4"/>
  <c r="L578" i="4"/>
  <c r="M577" i="4"/>
  <c r="L577" i="4"/>
  <c r="M576" i="4"/>
  <c r="L576" i="4"/>
  <c r="M575" i="4"/>
  <c r="L575" i="4"/>
  <c r="M574" i="4"/>
  <c r="L574" i="4"/>
  <c r="M573" i="4"/>
  <c r="L573" i="4"/>
  <c r="M572" i="4"/>
  <c r="L572" i="4"/>
  <c r="M571" i="4"/>
  <c r="L571" i="4"/>
  <c r="M570" i="4"/>
  <c r="L570" i="4"/>
  <c r="M569" i="4"/>
  <c r="L569" i="4"/>
  <c r="M568" i="4"/>
  <c r="L568" i="4"/>
  <c r="M567" i="4"/>
  <c r="L567" i="4"/>
  <c r="M566" i="4"/>
  <c r="L566" i="4"/>
  <c r="M565" i="4"/>
  <c r="L565" i="4"/>
  <c r="M564" i="4"/>
  <c r="L564" i="4"/>
  <c r="M563" i="4"/>
  <c r="L563" i="4"/>
  <c r="M562" i="4"/>
  <c r="L562" i="4"/>
  <c r="M561" i="4"/>
  <c r="L561"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7" i="4"/>
  <c r="L547" i="4"/>
  <c r="M546" i="4"/>
  <c r="L546" i="4"/>
  <c r="M545" i="4"/>
  <c r="L545" i="4"/>
  <c r="M544" i="4"/>
  <c r="L544" i="4"/>
  <c r="M543" i="4"/>
  <c r="L543" i="4"/>
  <c r="M542" i="4"/>
  <c r="L542" i="4"/>
  <c r="M541" i="4"/>
  <c r="L541" i="4"/>
  <c r="M540" i="4"/>
  <c r="L540" i="4"/>
  <c r="M539" i="4"/>
  <c r="L539" i="4"/>
  <c r="M538" i="4"/>
  <c r="L538" i="4"/>
  <c r="M537" i="4"/>
  <c r="L537" i="4"/>
  <c r="M536" i="4"/>
  <c r="L536" i="4"/>
  <c r="M535" i="4"/>
  <c r="L535" i="4"/>
  <c r="M534" i="4"/>
  <c r="L534" i="4"/>
  <c r="M533" i="4"/>
  <c r="L533" i="4"/>
  <c r="M532" i="4"/>
  <c r="L532" i="4"/>
  <c r="M531" i="4"/>
  <c r="L531" i="4"/>
  <c r="M530" i="4"/>
  <c r="L530" i="4"/>
  <c r="M529" i="4"/>
  <c r="L529" i="4"/>
  <c r="M528" i="4"/>
  <c r="L528" i="4"/>
  <c r="M527" i="4"/>
  <c r="L527" i="4"/>
  <c r="M526" i="4"/>
  <c r="L526" i="4"/>
  <c r="M525" i="4"/>
  <c r="L525" i="4"/>
  <c r="M524" i="4"/>
  <c r="L524" i="4"/>
  <c r="M523" i="4"/>
  <c r="L523" i="4"/>
  <c r="M522" i="4"/>
  <c r="L522" i="4"/>
  <c r="M521" i="4"/>
  <c r="L521" i="4"/>
  <c r="M520" i="4"/>
  <c r="L520" i="4"/>
  <c r="M519" i="4"/>
  <c r="L519" i="4"/>
  <c r="M518" i="4"/>
  <c r="L518" i="4"/>
  <c r="M517" i="4"/>
  <c r="L517" i="4"/>
  <c r="M516" i="4"/>
  <c r="L516" i="4"/>
  <c r="M515" i="4"/>
  <c r="L515" i="4"/>
  <c r="M514" i="4"/>
  <c r="L514" i="4"/>
  <c r="M513" i="4"/>
  <c r="L513" i="4"/>
  <c r="M512" i="4"/>
  <c r="L512" i="4"/>
  <c r="M511" i="4"/>
  <c r="L511" i="4"/>
  <c r="M510" i="4"/>
  <c r="L510" i="4"/>
  <c r="M509" i="4"/>
  <c r="L509" i="4"/>
  <c r="M508" i="4"/>
  <c r="L508" i="4"/>
  <c r="M507" i="4"/>
  <c r="L507" i="4"/>
  <c r="M506" i="4"/>
  <c r="L506" i="4"/>
  <c r="M505" i="4"/>
  <c r="L505" i="4"/>
  <c r="M504" i="4"/>
  <c r="L504" i="4"/>
  <c r="M503" i="4"/>
  <c r="L503" i="4"/>
  <c r="M502" i="4"/>
  <c r="L502" i="4"/>
  <c r="M501" i="4"/>
  <c r="L501" i="4"/>
  <c r="M500" i="4"/>
  <c r="L500" i="4"/>
  <c r="M499" i="4"/>
  <c r="L499" i="4"/>
  <c r="M498" i="4"/>
  <c r="L498" i="4"/>
  <c r="M497" i="4"/>
  <c r="L497" i="4"/>
  <c r="M496" i="4"/>
  <c r="L496" i="4"/>
  <c r="M495" i="4"/>
  <c r="L495" i="4"/>
  <c r="M494" i="4"/>
  <c r="L494" i="4"/>
  <c r="M493" i="4"/>
  <c r="L493" i="4"/>
  <c r="M492" i="4"/>
  <c r="L492" i="4"/>
  <c r="M491" i="4"/>
  <c r="L491" i="4"/>
  <c r="M490" i="4"/>
  <c r="L490" i="4"/>
  <c r="M489" i="4"/>
  <c r="L489" i="4"/>
  <c r="M488" i="4"/>
  <c r="L488" i="4"/>
  <c r="M487" i="4"/>
  <c r="L487" i="4"/>
  <c r="M486" i="4"/>
  <c r="L486" i="4"/>
  <c r="M485" i="4"/>
  <c r="L485" i="4"/>
  <c r="M484" i="4"/>
  <c r="L484" i="4"/>
  <c r="M483" i="4"/>
  <c r="L483" i="4"/>
  <c r="M482" i="4"/>
  <c r="L482" i="4"/>
  <c r="M481" i="4"/>
  <c r="L481" i="4"/>
  <c r="M480" i="4"/>
  <c r="L480" i="4"/>
  <c r="M479" i="4"/>
  <c r="L479" i="4"/>
  <c r="M478" i="4"/>
  <c r="L478" i="4"/>
  <c r="M477" i="4"/>
  <c r="L477" i="4"/>
  <c r="M476" i="4"/>
  <c r="L476" i="4"/>
  <c r="M475" i="4"/>
  <c r="L475" i="4"/>
  <c r="M474" i="4"/>
  <c r="L474" i="4"/>
  <c r="M473" i="4"/>
  <c r="L473" i="4"/>
  <c r="M472" i="4"/>
  <c r="L472" i="4"/>
  <c r="M471" i="4"/>
  <c r="L471" i="4"/>
  <c r="M470" i="4"/>
  <c r="L470" i="4"/>
  <c r="M469" i="4"/>
  <c r="L469" i="4"/>
  <c r="M468" i="4"/>
  <c r="L468" i="4"/>
  <c r="M467" i="4"/>
  <c r="L467" i="4"/>
  <c r="M466" i="4"/>
  <c r="L466" i="4"/>
  <c r="M465" i="4"/>
  <c r="L465" i="4"/>
  <c r="M464" i="4"/>
  <c r="L464" i="4"/>
  <c r="M463" i="4"/>
  <c r="L463" i="4"/>
  <c r="M462" i="4"/>
  <c r="L462" i="4"/>
  <c r="M461" i="4"/>
  <c r="L461" i="4"/>
  <c r="M460" i="4"/>
  <c r="L460" i="4"/>
  <c r="M459" i="4"/>
  <c r="L459" i="4"/>
  <c r="M458" i="4"/>
  <c r="L458" i="4"/>
  <c r="M457" i="4"/>
  <c r="L457" i="4"/>
  <c r="M456" i="4"/>
  <c r="L456" i="4"/>
  <c r="M455" i="4"/>
  <c r="L455" i="4"/>
  <c r="M454" i="4"/>
  <c r="L454" i="4"/>
  <c r="M453" i="4"/>
  <c r="L453" i="4"/>
  <c r="M452" i="4"/>
  <c r="L452" i="4"/>
  <c r="M451" i="4"/>
  <c r="L451" i="4"/>
  <c r="M450" i="4"/>
  <c r="L450" i="4"/>
  <c r="M449" i="4"/>
  <c r="L449" i="4"/>
  <c r="M448" i="4"/>
  <c r="L448" i="4"/>
  <c r="M447" i="4"/>
  <c r="L447" i="4"/>
  <c r="M446" i="4"/>
  <c r="L446" i="4"/>
  <c r="M445" i="4"/>
  <c r="L445" i="4"/>
  <c r="M444" i="4"/>
  <c r="L444" i="4"/>
  <c r="M443" i="4"/>
  <c r="L443" i="4"/>
  <c r="M442" i="4"/>
  <c r="L442" i="4"/>
  <c r="M441" i="4"/>
  <c r="L441" i="4"/>
  <c r="M440" i="4"/>
  <c r="L440" i="4"/>
  <c r="M439" i="4"/>
  <c r="L439" i="4"/>
  <c r="M438" i="4"/>
  <c r="L438" i="4"/>
  <c r="M437" i="4"/>
  <c r="L437" i="4"/>
  <c r="M436" i="4"/>
  <c r="L436" i="4"/>
  <c r="M435" i="4"/>
  <c r="L435" i="4"/>
  <c r="M434" i="4"/>
  <c r="L434" i="4"/>
  <c r="M433" i="4"/>
  <c r="L433" i="4"/>
  <c r="M432" i="4"/>
  <c r="L432" i="4"/>
  <c r="M431" i="4"/>
  <c r="L431" i="4"/>
  <c r="M430" i="4"/>
  <c r="L430" i="4"/>
  <c r="M429" i="4"/>
  <c r="L429" i="4"/>
  <c r="M428" i="4"/>
  <c r="L428" i="4"/>
  <c r="M427" i="4"/>
  <c r="L427" i="4"/>
  <c r="M426" i="4"/>
  <c r="L426" i="4"/>
  <c r="M425" i="4"/>
  <c r="L425"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1" i="4"/>
  <c r="L411" i="4"/>
  <c r="M410" i="4"/>
  <c r="L410" i="4"/>
  <c r="M409" i="4"/>
  <c r="L409" i="4"/>
  <c r="M408" i="4"/>
  <c r="L408" i="4"/>
  <c r="M407" i="4"/>
  <c r="L407" i="4"/>
  <c r="M406" i="4"/>
  <c r="L406" i="4"/>
  <c r="M405" i="4"/>
  <c r="L405" i="4"/>
  <c r="M404" i="4"/>
  <c r="L404" i="4"/>
  <c r="M403" i="4"/>
  <c r="L403" i="4"/>
  <c r="M402" i="4"/>
  <c r="L402" i="4"/>
  <c r="M401" i="4"/>
  <c r="L401" i="4"/>
  <c r="M400" i="4"/>
  <c r="L400" i="4"/>
  <c r="M399" i="4"/>
  <c r="L399" i="4"/>
  <c r="M398" i="4"/>
  <c r="L398" i="4"/>
  <c r="M397" i="4"/>
  <c r="L397" i="4"/>
  <c r="M396" i="4"/>
  <c r="L396" i="4"/>
  <c r="M395" i="4"/>
  <c r="L395" i="4"/>
  <c r="M394" i="4"/>
  <c r="L394" i="4"/>
  <c r="M393" i="4"/>
  <c r="L393" i="4"/>
  <c r="M392" i="4"/>
  <c r="L392" i="4"/>
  <c r="M391" i="4"/>
  <c r="L391" i="4"/>
  <c r="M390" i="4"/>
  <c r="L390" i="4"/>
  <c r="M389" i="4"/>
  <c r="L389" i="4"/>
  <c r="M388" i="4"/>
  <c r="L388" i="4"/>
  <c r="M387" i="4"/>
  <c r="L387" i="4"/>
  <c r="M386" i="4"/>
  <c r="L386" i="4"/>
  <c r="M385" i="4"/>
  <c r="L385" i="4"/>
  <c r="M384" i="4"/>
  <c r="L384" i="4"/>
  <c r="M383" i="4"/>
  <c r="L383" i="4"/>
  <c r="M382" i="4"/>
  <c r="L382" i="4"/>
  <c r="M381" i="4"/>
  <c r="L381" i="4"/>
  <c r="M380" i="4"/>
  <c r="L380" i="4"/>
  <c r="M379" i="4"/>
  <c r="L379" i="4"/>
  <c r="M378" i="4"/>
  <c r="L378" i="4"/>
  <c r="M377" i="4"/>
  <c r="L377" i="4"/>
  <c r="M376" i="4"/>
  <c r="L376" i="4"/>
  <c r="M375" i="4"/>
  <c r="L375" i="4"/>
  <c r="M374" i="4"/>
  <c r="L374" i="4"/>
  <c r="M373" i="4"/>
  <c r="L373" i="4"/>
  <c r="M372" i="4"/>
  <c r="L372" i="4"/>
  <c r="M371" i="4"/>
  <c r="L371" i="4"/>
  <c r="M370" i="4"/>
  <c r="L370" i="4"/>
  <c r="M369" i="4"/>
  <c r="L369" i="4"/>
  <c r="M368" i="4"/>
  <c r="L368" i="4"/>
  <c r="M367" i="4"/>
  <c r="L367" i="4"/>
  <c r="M366" i="4"/>
  <c r="L366" i="4"/>
  <c r="M365" i="4"/>
  <c r="L365" i="4"/>
  <c r="M364" i="4"/>
  <c r="L364" i="4"/>
  <c r="M363" i="4"/>
  <c r="L363" i="4"/>
  <c r="M362" i="4"/>
  <c r="L362" i="4"/>
  <c r="M361" i="4"/>
  <c r="L361" i="4"/>
  <c r="M360" i="4"/>
  <c r="L360" i="4"/>
  <c r="M359" i="4"/>
  <c r="L359" i="4"/>
  <c r="M358" i="4"/>
  <c r="L358" i="4"/>
  <c r="M357" i="4"/>
  <c r="L357" i="4"/>
  <c r="M356" i="4"/>
  <c r="L356" i="4"/>
  <c r="M355" i="4"/>
  <c r="L355" i="4"/>
  <c r="M354" i="4"/>
  <c r="L354" i="4"/>
  <c r="M353" i="4"/>
  <c r="L353" i="4"/>
  <c r="M352" i="4"/>
  <c r="L352"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8" i="4"/>
  <c r="L338" i="4"/>
  <c r="M337" i="4"/>
  <c r="L337" i="4"/>
  <c r="M336" i="4"/>
  <c r="L336"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2" i="4"/>
  <c r="L322"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9" i="4"/>
  <c r="L299" i="4"/>
  <c r="M298" i="4"/>
  <c r="L298" i="4"/>
  <c r="M297" i="4"/>
  <c r="L297" i="4"/>
  <c r="M296" i="4"/>
  <c r="L296" i="4"/>
  <c r="M295" i="4"/>
  <c r="L295" i="4"/>
  <c r="M294" i="4"/>
  <c r="L294" i="4"/>
  <c r="M293" i="4"/>
  <c r="L293" i="4"/>
  <c r="M292" i="4"/>
  <c r="L292" i="4"/>
  <c r="M291" i="4"/>
  <c r="L291" i="4"/>
  <c r="M290" i="4"/>
  <c r="L290" i="4"/>
  <c r="M289" i="4"/>
  <c r="L289" i="4"/>
  <c r="M288" i="4"/>
  <c r="L288" i="4"/>
  <c r="M287" i="4"/>
  <c r="L287" i="4"/>
  <c r="M286" i="4"/>
  <c r="L286" i="4"/>
  <c r="M285" i="4"/>
  <c r="L285" i="4"/>
  <c r="M284" i="4"/>
  <c r="L284" i="4"/>
  <c r="M283" i="4"/>
  <c r="L283" i="4"/>
  <c r="M282" i="4"/>
  <c r="L282" i="4"/>
  <c r="M281" i="4"/>
  <c r="L281" i="4"/>
  <c r="M280" i="4"/>
  <c r="L280" i="4"/>
  <c r="M279" i="4"/>
  <c r="L279" i="4"/>
  <c r="M278" i="4"/>
  <c r="L278" i="4"/>
  <c r="M277" i="4"/>
  <c r="L277" i="4"/>
  <c r="M276" i="4"/>
  <c r="L276" i="4"/>
  <c r="M275" i="4"/>
  <c r="L275" i="4"/>
  <c r="M274" i="4"/>
  <c r="L274" i="4"/>
  <c r="M273" i="4"/>
  <c r="L273" i="4"/>
  <c r="M272" i="4"/>
  <c r="L272" i="4"/>
  <c r="M271" i="4"/>
  <c r="L271" i="4"/>
  <c r="M270" i="4"/>
  <c r="L270" i="4"/>
  <c r="M269" i="4"/>
  <c r="L269" i="4"/>
  <c r="M268" i="4"/>
  <c r="L268" i="4"/>
  <c r="M267" i="4"/>
  <c r="L267" i="4"/>
  <c r="M266" i="4"/>
  <c r="L266" i="4"/>
  <c r="M265" i="4"/>
  <c r="L265" i="4"/>
  <c r="M264" i="4"/>
  <c r="L264" i="4"/>
  <c r="M263" i="4"/>
  <c r="L263" i="4"/>
  <c r="M262" i="4"/>
  <c r="L262" i="4"/>
  <c r="M261" i="4"/>
  <c r="L261" i="4"/>
  <c r="M260" i="4"/>
  <c r="L260" i="4"/>
  <c r="M259" i="4"/>
  <c r="L259" i="4"/>
  <c r="M258" i="4"/>
  <c r="L258" i="4"/>
  <c r="M257" i="4"/>
  <c r="L257" i="4"/>
  <c r="M256" i="4"/>
  <c r="L256" i="4"/>
  <c r="M255" i="4"/>
  <c r="L255" i="4"/>
  <c r="M254" i="4"/>
  <c r="L254" i="4"/>
  <c r="M253" i="4"/>
  <c r="L253" i="4"/>
  <c r="M252" i="4"/>
  <c r="L252" i="4"/>
  <c r="M251" i="4"/>
  <c r="L251" i="4"/>
  <c r="M250" i="4"/>
  <c r="L250" i="4"/>
  <c r="M249" i="4"/>
  <c r="L249" i="4"/>
  <c r="M248" i="4"/>
  <c r="L248" i="4"/>
  <c r="M247" i="4"/>
  <c r="L247" i="4"/>
  <c r="M246" i="4"/>
  <c r="L246" i="4"/>
  <c r="M245" i="4"/>
  <c r="L245" i="4"/>
  <c r="M244" i="4"/>
  <c r="L244" i="4"/>
  <c r="M243" i="4"/>
  <c r="L243" i="4"/>
  <c r="M242" i="4"/>
  <c r="L242" i="4"/>
  <c r="M241" i="4"/>
  <c r="L241" i="4"/>
  <c r="M240" i="4"/>
  <c r="L240" i="4"/>
  <c r="M239" i="4"/>
  <c r="L239" i="4"/>
  <c r="M238" i="4"/>
  <c r="L238" i="4"/>
  <c r="M237" i="4"/>
  <c r="L237" i="4"/>
  <c r="M236" i="4"/>
  <c r="L236" i="4"/>
  <c r="M235" i="4"/>
  <c r="L235" i="4"/>
  <c r="M234" i="4"/>
  <c r="L234" i="4"/>
  <c r="M233" i="4"/>
  <c r="L233" i="4"/>
  <c r="M232" i="4"/>
  <c r="L232" i="4"/>
  <c r="M231" i="4"/>
  <c r="L231" i="4"/>
  <c r="M230" i="4"/>
  <c r="L230" i="4"/>
  <c r="M229" i="4"/>
  <c r="L229"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3" i="4"/>
  <c r="L213" i="4"/>
  <c r="M212" i="4"/>
  <c r="L212" i="4"/>
  <c r="M211" i="4"/>
  <c r="L211" i="4"/>
  <c r="M210" i="4"/>
  <c r="L210" i="4"/>
  <c r="M209" i="4"/>
  <c r="L209" i="4"/>
  <c r="M208" i="4"/>
  <c r="L208" i="4"/>
  <c r="M207" i="4"/>
  <c r="L207" i="4"/>
  <c r="M206" i="4"/>
  <c r="L206" i="4"/>
  <c r="M205" i="4"/>
  <c r="L205" i="4"/>
  <c r="M204" i="4"/>
  <c r="L204" i="4"/>
  <c r="M203" i="4"/>
  <c r="L203" i="4"/>
  <c r="M202" i="4"/>
  <c r="L202" i="4"/>
  <c r="M201" i="4"/>
  <c r="L201" i="4"/>
  <c r="M200" i="4"/>
  <c r="L200" i="4"/>
  <c r="M199" i="4"/>
  <c r="L199" i="4"/>
  <c r="M198" i="4"/>
  <c r="L198" i="4"/>
  <c r="M197" i="4"/>
  <c r="L197"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5" i="4"/>
  <c r="L75" i="4"/>
  <c r="M74" i="4"/>
  <c r="L74" i="4"/>
  <c r="M73" i="4"/>
  <c r="L73" i="4"/>
  <c r="M72" i="4"/>
  <c r="L72" i="4"/>
  <c r="M71" i="4"/>
  <c r="L71" i="4"/>
  <c r="M70" i="4"/>
  <c r="L70" i="4"/>
  <c r="M69" i="4"/>
  <c r="L69" i="4"/>
  <c r="M68" i="4"/>
  <c r="L68" i="4"/>
  <c r="M67" i="4"/>
  <c r="L67" i="4"/>
  <c r="M66" i="4"/>
  <c r="L66" i="4"/>
  <c r="M65" i="4"/>
  <c r="L65" i="4"/>
  <c r="M64" i="4"/>
  <c r="L64" i="4"/>
  <c r="M63" i="4"/>
  <c r="L63" i="4"/>
  <c r="M62" i="4"/>
  <c r="L62" i="4"/>
  <c r="M61" i="4"/>
  <c r="L61" i="4"/>
  <c r="M60" i="4"/>
  <c r="L60" i="4"/>
  <c r="M59" i="4"/>
  <c r="L59" i="4"/>
  <c r="M58" i="4"/>
  <c r="L58" i="4"/>
  <c r="M57" i="4"/>
  <c r="L57" i="4"/>
  <c r="M56" i="4"/>
  <c r="L56" i="4"/>
  <c r="M55" i="4"/>
  <c r="L55" i="4"/>
  <c r="M54" i="4"/>
  <c r="L54" i="4"/>
  <c r="M53" i="4"/>
  <c r="L53" i="4"/>
  <c r="M52" i="4"/>
  <c r="L52" i="4"/>
  <c r="M51" i="4"/>
  <c r="L51" i="4"/>
  <c r="M50" i="4"/>
  <c r="L50" i="4"/>
  <c r="M49" i="4"/>
  <c r="L49" i="4"/>
  <c r="M48" i="4"/>
  <c r="L48" i="4"/>
  <c r="M47" i="4"/>
  <c r="L47" i="4"/>
  <c r="M46" i="4"/>
  <c r="L46" i="4"/>
  <c r="M45" i="4"/>
  <c r="L45" i="4"/>
  <c r="M44" i="4"/>
  <c r="L44" i="4"/>
  <c r="M43" i="4"/>
  <c r="L43" i="4"/>
  <c r="M42" i="4"/>
  <c r="L42" i="4"/>
  <c r="M41" i="4"/>
  <c r="L41" i="4"/>
  <c r="M40" i="4"/>
  <c r="L40" i="4"/>
  <c r="M39" i="4"/>
  <c r="L39" i="4"/>
  <c r="M38" i="4"/>
  <c r="L38" i="4"/>
  <c r="M37" i="4"/>
  <c r="L37" i="4"/>
  <c r="M36" i="4"/>
  <c r="L36" i="4"/>
  <c r="M35" i="4"/>
  <c r="L35" i="4"/>
  <c r="M34" i="4"/>
  <c r="L34" i="4"/>
  <c r="M33" i="4"/>
  <c r="L33" i="4"/>
  <c r="M32" i="4"/>
  <c r="L32" i="4"/>
  <c r="M31" i="4"/>
  <c r="L31"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M10" i="4"/>
  <c r="L10" i="4"/>
  <c r="M9" i="4"/>
  <c r="L9" i="4"/>
  <c r="M8" i="4"/>
  <c r="L8" i="4"/>
  <c r="M7" i="4"/>
  <c r="L7" i="4"/>
  <c r="M6" i="4"/>
  <c r="L6" i="4"/>
  <c r="D9" i="1"/>
  <c r="G9" i="1"/>
  <c r="E6" i="1"/>
  <c r="E37" i="1" s="1"/>
  <c r="E9" i="1"/>
  <c r="F9" i="1"/>
  <c r="H7" i="1"/>
  <c r="H10" i="1"/>
  <c r="G10" i="1"/>
  <c r="H9" i="1"/>
  <c r="B30" i="1"/>
  <c r="B29" i="1"/>
  <c r="B28" i="1"/>
  <c r="B27" i="1"/>
  <c r="B25" i="1"/>
  <c r="B24" i="1"/>
  <c r="B23" i="1"/>
  <c r="B22" i="1"/>
  <c r="B21" i="1"/>
  <c r="F15" i="1"/>
  <c r="F46" i="1" s="1"/>
  <c r="H13" i="1"/>
  <c r="H44" i="1" s="1"/>
  <c r="G13" i="1"/>
  <c r="G44" i="1" s="1"/>
  <c r="F13" i="1"/>
  <c r="F44" i="1" s="1"/>
  <c r="E13" i="1"/>
  <c r="D13" i="1"/>
  <c r="D44" i="1" s="1"/>
  <c r="E11" i="1"/>
  <c r="G7" i="1"/>
  <c r="G38" i="1" s="1"/>
  <c r="D7" i="1"/>
  <c r="D38" i="1" s="1"/>
  <c r="H12" i="1" l="1"/>
  <c r="H43" i="1" s="1"/>
  <c r="G11" i="1"/>
  <c r="G42" i="1" s="1"/>
  <c r="G12" i="1"/>
  <c r="G43" i="1" s="1"/>
  <c r="H11" i="1"/>
  <c r="H42" i="1" s="1"/>
  <c r="F11" i="1"/>
  <c r="F42" i="1" s="1"/>
  <c r="D12" i="1"/>
  <c r="D43" i="1" s="1"/>
  <c r="G5" i="1"/>
  <c r="G36" i="1" s="1"/>
  <c r="G6" i="1"/>
  <c r="F6" i="1"/>
  <c r="F37" i="1" s="1"/>
  <c r="F5" i="1"/>
  <c r="F36" i="1" s="1"/>
  <c r="H6" i="1"/>
  <c r="H5" i="1"/>
  <c r="D6" i="1"/>
  <c r="D37" i="1" s="1"/>
  <c r="D11" i="1"/>
  <c r="H15" i="1"/>
  <c r="H46" i="1" s="1"/>
  <c r="H29" i="1"/>
  <c r="F29" i="1"/>
  <c r="E29" i="1"/>
  <c r="E44" i="1"/>
  <c r="D29" i="1"/>
  <c r="F39" i="1"/>
  <c r="F24" i="1"/>
  <c r="H24" i="1"/>
  <c r="H39" i="1"/>
  <c r="H38" i="1"/>
  <c r="E39" i="1"/>
  <c r="E24" i="1"/>
  <c r="G25" i="1"/>
  <c r="G40" i="1"/>
  <c r="F25" i="1"/>
  <c r="F40" i="1"/>
  <c r="H25" i="1"/>
  <c r="H40" i="1"/>
  <c r="G41" i="1"/>
  <c r="E25" i="1"/>
  <c r="E40" i="1"/>
  <c r="D25" i="1"/>
  <c r="D40" i="1"/>
  <c r="G24" i="1"/>
  <c r="G39" i="1"/>
  <c r="H41" i="1"/>
  <c r="D24" i="1"/>
  <c r="E7" i="1"/>
  <c r="F7" i="1"/>
  <c r="G29" i="1"/>
  <c r="E42" i="1"/>
  <c r="E15" i="1"/>
  <c r="D5" i="1"/>
  <c r="D15" i="1"/>
  <c r="D10" i="1"/>
  <c r="E10" i="1"/>
  <c r="G15" i="1"/>
  <c r="E5" i="1"/>
  <c r="F10" i="1"/>
  <c r="D39" i="1"/>
  <c r="H36" i="1" l="1"/>
  <c r="G37" i="1"/>
  <c r="H37" i="1"/>
  <c r="F28" i="1"/>
  <c r="D28" i="1"/>
  <c r="D27" i="1"/>
  <c r="E28" i="1"/>
  <c r="H28" i="1"/>
  <c r="G28" i="1"/>
  <c r="D22" i="1"/>
  <c r="H27" i="1"/>
  <c r="F22" i="1"/>
  <c r="E22" i="1"/>
  <c r="G22" i="1"/>
  <c r="H22" i="1"/>
  <c r="G27" i="1"/>
  <c r="F27" i="1"/>
  <c r="E27" i="1"/>
  <c r="D42" i="1"/>
  <c r="G21" i="1"/>
  <c r="E30" i="1"/>
  <c r="E46" i="1"/>
  <c r="D41" i="1"/>
  <c r="D26" i="1"/>
  <c r="F21" i="1"/>
  <c r="E38" i="1"/>
  <c r="E23" i="1"/>
  <c r="E41" i="1"/>
  <c r="E26" i="1"/>
  <c r="H21" i="1"/>
  <c r="F38" i="1"/>
  <c r="F23" i="1"/>
  <c r="G26" i="1"/>
  <c r="H23" i="1"/>
  <c r="H30" i="1"/>
  <c r="D30" i="1"/>
  <c r="F30" i="1"/>
  <c r="D46" i="1"/>
  <c r="F41" i="1"/>
  <c r="F26" i="1"/>
  <c r="G30" i="1"/>
  <c r="G46" i="1"/>
  <c r="D36" i="1"/>
  <c r="D21" i="1"/>
  <c r="D23" i="1"/>
  <c r="E21" i="1"/>
  <c r="E36" i="1"/>
  <c r="H26" i="1"/>
  <c r="G23" i="1"/>
  <c r="G31" i="1" l="1"/>
  <c r="F31" i="1"/>
  <c r="E31" i="1"/>
  <c r="H31" i="1"/>
  <c r="D31" i="1"/>
  <c r="D16" i="1" l="1"/>
  <c r="H16" i="1"/>
  <c r="E16" i="1"/>
  <c r="F16" i="1"/>
  <c r="G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tc={8EA13ADC-085D-46AE-950D-3A5B95A5D4D7}</author>
    <author>tc={DC9C2DFB-79BD-4B56-93E1-86190E616D12}</author>
    <author>Bachir Houmadi Soumaila</author>
  </authors>
  <commentList>
    <comment ref="B1" authorId="0" shapeId="0" xr:uid="{8EA13ADC-085D-46AE-950D-3A5B95A5D4D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 OpCo, specify which one</t>
      </text>
    </comment>
    <comment ref="H1" authorId="1" shapeId="0" xr:uid="{DC9C2DFB-79BD-4B56-93E1-86190E616D1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Add list of supplier at the end</t>
      </text>
    </comment>
    <comment ref="F4" authorId="2" shapeId="0" xr:uid="{97E18C03-C30A-409F-84C8-10AA7B6AA8CB}">
      <text>
        <r>
          <rPr>
            <b/>
            <sz val="9"/>
            <color indexed="81"/>
            <rFont val="Tahoma"/>
            <family val="2"/>
          </rPr>
          <t>Bachir Houmadi Soumaila:</t>
        </r>
        <r>
          <rPr>
            <sz val="9"/>
            <color indexed="81"/>
            <rFont val="Tahoma"/>
            <family val="2"/>
          </rPr>
          <t xml:space="preserve">
Consultation directe des fournisseurs afin d’accélérer le processus.
</t>
        </r>
      </text>
    </comment>
    <comment ref="N7" authorId="2" shapeId="0" xr:uid="{5CDCF8FF-8C2A-48AC-B91C-8407AF4C7106}">
      <text>
        <r>
          <rPr>
            <b/>
            <sz val="9"/>
            <color indexed="81"/>
            <rFont val="Tahoma"/>
            <family val="2"/>
          </rPr>
          <t>Bachir Houmadi Soumaila:</t>
        </r>
        <r>
          <rPr>
            <sz val="9"/>
            <color indexed="81"/>
            <rFont val="Tahoma"/>
            <family val="2"/>
          </rPr>
          <t xml:space="preserve">
nous avons réparti la quantité entre différents fournisseurs afin de bénéficier à la fois du meilleur prix et d’une livraison rapide.</t>
        </r>
      </text>
    </comment>
    <comment ref="H9" authorId="2" shapeId="0" xr:uid="{00E7B3F9-D5F4-40D9-AEEA-277087AAEFB0}">
      <text>
        <r>
          <rPr>
            <b/>
            <sz val="9"/>
            <color indexed="81"/>
            <rFont val="Tahoma"/>
            <family val="2"/>
          </rPr>
          <t>Bachir Houmadi Soumaila:</t>
        </r>
        <r>
          <rPr>
            <sz val="9"/>
            <color indexed="81"/>
            <rFont val="Tahoma"/>
            <family val="2"/>
          </rPr>
          <t xml:space="preserve">
 Single source: Seule fournisseur capable de repondre au besoin technique et operationnel</t>
        </r>
      </text>
    </comment>
  </commentList>
</comments>
</file>

<file path=xl/sharedStrings.xml><?xml version="1.0" encoding="utf-8"?>
<sst xmlns="http://schemas.openxmlformats.org/spreadsheetml/2006/main" count="7971" uniqueCount="2584">
  <si>
    <t>OPCOs</t>
  </si>
  <si>
    <t>MADAGASCAR</t>
  </si>
  <si>
    <t>COMOROS</t>
  </si>
  <si>
    <t>SENEGAL</t>
  </si>
  <si>
    <t>TANZANIA</t>
  </si>
  <si>
    <t>TOGO</t>
  </si>
  <si>
    <t>Target YTD</t>
  </si>
  <si>
    <t>Section</t>
  </si>
  <si>
    <t>KPI</t>
  </si>
  <si>
    <t>Savings</t>
  </si>
  <si>
    <t>% of Saving after Negotiations</t>
  </si>
  <si>
    <t>Purchase Request - Purchase Order</t>
  </si>
  <si>
    <t>TAT for PR Approval (Days)</t>
  </si>
  <si>
    <t>TAT for PR Approval vs. SLA Compliance (%)</t>
  </si>
  <si>
    <t>TAT for PR to PO SLA Conversion (Days)</t>
  </si>
  <si>
    <t>TAT for PO Approval vs. SLA Compliance (%)</t>
  </si>
  <si>
    <t>Custom Clearance</t>
  </si>
  <si>
    <t>TAT for custom clearance (AIR): SLA compliance (Days)</t>
  </si>
  <si>
    <t>TAT for custom clearance (SEA): SLA compliance (Days)</t>
  </si>
  <si>
    <t>Contracts Compliance (% Purchase on Contracts)</t>
  </si>
  <si>
    <t>Payment</t>
  </si>
  <si>
    <t>PPOT (% Due invoices paid)</t>
  </si>
  <si>
    <t xml:space="preserve">Ranking </t>
  </si>
  <si>
    <t>The section below is to aid in normalizing scores, weighting them for ranking purposes.</t>
  </si>
  <si>
    <t>Weighting</t>
  </si>
  <si>
    <t>Normalized TAT for PO Approval vs. SLA Compliance (%)</t>
  </si>
  <si>
    <t>Global Weighted Score</t>
  </si>
  <si>
    <t>Month Over Month Progress</t>
  </si>
  <si>
    <t>% of Saving after Negotiations (bps)</t>
  </si>
  <si>
    <t>Savings: % of Saving after Negotiations</t>
  </si>
  <si>
    <t>Savings: Absolute Value ($)</t>
  </si>
  <si>
    <t>TAT for PO:PO SLA Conversion (Days)</t>
  </si>
  <si>
    <t>OPCOS MONTHLY DETAILS TRACKER</t>
  </si>
  <si>
    <t>N°</t>
  </si>
  <si>
    <t>OPCO</t>
  </si>
  <si>
    <t>PO reference</t>
  </si>
  <si>
    <t>Under contract
(Yes or No)</t>
  </si>
  <si>
    <t>PR Number</t>
  </si>
  <si>
    <t>PR Created Date</t>
  </si>
  <si>
    <t>PR Approved Date</t>
  </si>
  <si>
    <t>PR Approval TAT</t>
  </si>
  <si>
    <t>PO Created Date</t>
  </si>
  <si>
    <t>Approved PR - PO TAT</t>
  </si>
  <si>
    <t>PO Approved Date</t>
  </si>
  <si>
    <t>PO Approval TAT</t>
  </si>
  <si>
    <t xml:space="preserve">Designation </t>
  </si>
  <si>
    <t>Partner</t>
  </si>
  <si>
    <t>Currency usd</t>
  </si>
  <si>
    <t>Amount before Negotiation</t>
  </si>
  <si>
    <t>Amount after Negotiation</t>
  </si>
  <si>
    <t>Saving</t>
  </si>
  <si>
    <t>Target Savings</t>
  </si>
  <si>
    <t>% Savings</t>
  </si>
  <si>
    <t>USD</t>
  </si>
  <si>
    <t>OPCOS MONTHLY CUSTOMS CLEARANCE TRACKER</t>
  </si>
  <si>
    <t>SEA/AIR</t>
  </si>
  <si>
    <t>Date of Arrival in Country</t>
  </si>
  <si>
    <t>Date of Warehouse Delivery</t>
  </si>
  <si>
    <t>GRN
(TAT)</t>
  </si>
  <si>
    <t>Agreed SLA days</t>
  </si>
  <si>
    <t>OPCOS MONTHLY PPOT TRACKER</t>
  </si>
  <si>
    <t>Invoice Ref</t>
  </si>
  <si>
    <t>PO Ref</t>
  </si>
  <si>
    <t>Invoice Amount</t>
  </si>
  <si>
    <t>Invoice Receipt Date</t>
  </si>
  <si>
    <t>Agreed Payment Days/Jours (Terms)</t>
  </si>
  <si>
    <t>Invoice
Payment Date</t>
  </si>
  <si>
    <t>Invoice Payment
(TAT)</t>
  </si>
  <si>
    <t>PPOT (Yes/No)</t>
  </si>
  <si>
    <t>Contracts Compliance</t>
  </si>
  <si>
    <t>contracts conpliance in value</t>
  </si>
  <si>
    <t>same OpCo spelling as in the Dashboard</t>
  </si>
  <si>
    <t>Date in MM/DD/YYYY format</t>
  </si>
  <si>
    <t>SEA/AIR fromat only</t>
  </si>
  <si>
    <t>use same OpCo spelling as in the Dashboard</t>
  </si>
  <si>
    <t>agreed paypment term with Supplier</t>
  </si>
  <si>
    <t>Automatic Formula</t>
  </si>
  <si>
    <t>exchange to USD</t>
  </si>
  <si>
    <t>Entity Initiator</t>
  </si>
  <si>
    <t>Category</t>
  </si>
  <si>
    <t>Global Status</t>
  </si>
  <si>
    <t>Project description</t>
  </si>
  <si>
    <t>Business Owner</t>
  </si>
  <si>
    <t>Number of suppliers contacted</t>
  </si>
  <si>
    <t>RFP Received</t>
  </si>
  <si>
    <t>RFP Issuance</t>
  </si>
  <si>
    <t>RFP Offer date</t>
  </si>
  <si>
    <t>Status</t>
  </si>
  <si>
    <t>Action Owner</t>
  </si>
  <si>
    <t>Selected supplier</t>
  </si>
  <si>
    <t>Initial price</t>
  </si>
  <si>
    <t>Final price</t>
  </si>
  <si>
    <t>SAVING</t>
  </si>
  <si>
    <t>Contract start date</t>
  </si>
  <si>
    <t>Contract signature target date</t>
  </si>
  <si>
    <t>Actual Contract signature date</t>
  </si>
  <si>
    <t xml:space="preserve">Tender target closing date </t>
  </si>
  <si>
    <t>Buyer</t>
  </si>
  <si>
    <t>Supplier 1</t>
  </si>
  <si>
    <t>Supplier 2</t>
  </si>
  <si>
    <t>Supplier 3</t>
  </si>
  <si>
    <t>Supplier 4</t>
  </si>
  <si>
    <t>Supplier 5</t>
  </si>
  <si>
    <t>Supplier 6</t>
  </si>
  <si>
    <t>Supplier 7</t>
  </si>
  <si>
    <t>Supplier 8</t>
  </si>
  <si>
    <t>Supplier 9</t>
  </si>
  <si>
    <t>Supplier 10</t>
  </si>
  <si>
    <t>Supplier 11</t>
  </si>
  <si>
    <t>OpCo</t>
  </si>
  <si>
    <t>Commercial D&amp;S</t>
  </si>
  <si>
    <t>CANCELLED</t>
  </si>
  <si>
    <t>Communication</t>
  </si>
  <si>
    <t>CLOSED</t>
  </si>
  <si>
    <t>CONSULTING</t>
  </si>
  <si>
    <t>COMINVEST</t>
  </si>
  <si>
    <t>DEVICE</t>
  </si>
  <si>
    <t>CONTRACT</t>
  </si>
  <si>
    <t>GROUP</t>
  </si>
  <si>
    <t>EVALUATION</t>
  </si>
  <si>
    <t>HR</t>
  </si>
  <si>
    <t>NEEDS</t>
  </si>
  <si>
    <t>IT</t>
  </si>
  <si>
    <t>NEGO</t>
  </si>
  <si>
    <t>OFFER</t>
  </si>
  <si>
    <t>OTHERS</t>
  </si>
  <si>
    <t>RFI</t>
  </si>
  <si>
    <t>OTHERS / SERVICES CONSULTANCY</t>
  </si>
  <si>
    <t>RFP</t>
  </si>
  <si>
    <t>SIM</t>
  </si>
  <si>
    <t>STAND BY</t>
  </si>
  <si>
    <t>TELECOM</t>
  </si>
  <si>
    <t>(vide)</t>
  </si>
  <si>
    <t>VEHICLE</t>
  </si>
  <si>
    <t>Project</t>
  </si>
  <si>
    <t>Submission Status</t>
  </si>
  <si>
    <t>Absolute YTD Savings ($)</t>
  </si>
  <si>
    <t>TAT for PR Approval vs. SLA Compliance (bps)</t>
  </si>
  <si>
    <t>TAT for PO Approval vs. SLA Compliance (bps)</t>
  </si>
  <si>
    <t>% Purchase on Contracts (Count)</t>
  </si>
  <si>
    <t>% Purchase on Contracts (Value)</t>
  </si>
  <si>
    <t>% Purchase on Contracts (Count - bps)</t>
  </si>
  <si>
    <t>% Purchase on Contracts (Value-bps)</t>
  </si>
  <si>
    <t>PPOT -% Due invoices paid (bps)</t>
  </si>
  <si>
    <t>STC</t>
  </si>
  <si>
    <t>Yas Comores</t>
  </si>
  <si>
    <t xml:space="preserve">Ando </t>
  </si>
  <si>
    <t>Chimba Nghemning Henri</t>
  </si>
  <si>
    <t>Entreprise OBT</t>
  </si>
  <si>
    <t>Issoufi Djamal-Edine</t>
  </si>
  <si>
    <t>ELM construction</t>
  </si>
  <si>
    <t>Societé Nahouza</t>
  </si>
  <si>
    <t xml:space="preserve">STE Beta </t>
  </si>
  <si>
    <t>Bundo construct</t>
  </si>
  <si>
    <t xml:space="preserve">Sec Daniel </t>
  </si>
  <si>
    <t>Sidi Aman Ahmed</t>
  </si>
  <si>
    <t>No contrat</t>
  </si>
  <si>
    <t xml:space="preserve">No contrat </t>
  </si>
  <si>
    <t xml:space="preserve">ELM construction </t>
  </si>
  <si>
    <t>Raymane Ali Matoir</t>
  </si>
  <si>
    <t>Ocopharma</t>
  </si>
  <si>
    <t>Ligapharma</t>
  </si>
  <si>
    <t>Ahmed Mohamed</t>
  </si>
  <si>
    <t>Nazlye/ Olivier</t>
  </si>
  <si>
    <t>Fan pro services</t>
  </si>
  <si>
    <t>Hakimi multimedia</t>
  </si>
  <si>
    <t>Pateterie des Comores</t>
  </si>
  <si>
    <t>Mak technoligie</t>
  </si>
  <si>
    <t>Karim Attoumani Mohamed</t>
  </si>
  <si>
    <t>Irchad Radjabou</t>
  </si>
  <si>
    <t>Comores multiservices</t>
  </si>
  <si>
    <t>Magasin said Hassane Fils</t>
  </si>
  <si>
    <t>Rehamani SARL</t>
  </si>
  <si>
    <t>Photo soleil</t>
  </si>
  <si>
    <t>Chenaz Abdallah</t>
  </si>
  <si>
    <t>Bachir Houamadi</t>
  </si>
  <si>
    <t>NLN</t>
  </si>
  <si>
    <t>Electro foid</t>
  </si>
  <si>
    <t>Electro froid</t>
  </si>
  <si>
    <t>Civil engineering works and installation of 5GE on sites.</t>
  </si>
  <si>
    <t>Fiber-optic connection works for El Maarouf Hospital.</t>
  </si>
  <si>
    <t>Hydroalcoholic gels for Mpox prevention.</t>
  </si>
  <si>
    <t>The project consists of assigning laptops based on actual needs: standard models are intended for roles with simple tasks, while high-end laptops are reserved for employees using tools or software requiring higher performance.</t>
  </si>
  <si>
    <t>Equipment for FTTX installations.</t>
  </si>
  <si>
    <t>Ubiquiti stock order</t>
  </si>
  <si>
    <t>This project concerns concrete floor refurbishment works around the Djivani Store.</t>
  </si>
  <si>
    <t>12 KVA generator for the Mitsamihouli shop due to frequent power outages, which risk slowing down or interrupting commercial activities.</t>
  </si>
  <si>
    <t>Purchase request submitted today, 19/02/2026.</t>
  </si>
  <si>
    <t>Closed.</t>
  </si>
  <si>
    <t>Waiting for validation of the 2026 Facilities IT budget to confirm, together with Olivier (financial controller), the extent to which purchases can be committed. This validation is essential to determine the exact acquisition volume based on supplier prices.</t>
  </si>
  <si>
    <t>A supplier consultation was launched locally for the acquisition of this equipment. However, since it is not available in the country, it must be ordered from abroad, with a delivery lead time of 15–20 days. We are currently awaiting technical offers; once received and a supplier is selected, we will issue the purchase order.</t>
  </si>
  <si>
    <t>The purchase order has been sent to the supplier. Part of the goods has been received, and we are awaiting the remaining items.</t>
  </si>
  <si>
    <t>Work in Progress</t>
  </si>
  <si>
    <t>Supplier</t>
  </si>
  <si>
    <t>PO under processing by Procurement</t>
  </si>
  <si>
    <t>Civil engineering works and installation of 5GE on sites</t>
  </si>
  <si>
    <t>Fiber-optic connection works for El Maarouf Hospital</t>
  </si>
  <si>
    <t>MPox prevention (hydroalcoholic gels)</t>
  </si>
  <si>
    <t>Laptop acquisition</t>
  </si>
  <si>
    <t>FTTX equipment acquisition</t>
  </si>
  <si>
    <t>Ubiquiti equipment purchase</t>
  </si>
  <si>
    <t>Purchase of 12 KVA generator</t>
  </si>
  <si>
    <t xml:space="preserve"> store Djivani concrete floor renovation works </t>
  </si>
  <si>
    <t>Fan pro services/ Hakimi multimedia/ Comores multiservices</t>
  </si>
  <si>
    <t>No contrat for supplier 1&amp;3. in Progress for 2</t>
  </si>
  <si>
    <t>Row Labels</t>
  </si>
  <si>
    <t>Grand Total</t>
  </si>
  <si>
    <t>Column Labels</t>
  </si>
  <si>
    <t>(All)</t>
  </si>
  <si>
    <t>Overall Status</t>
  </si>
  <si>
    <t>Count of Project</t>
  </si>
  <si>
    <t>(Multiple Items)</t>
  </si>
  <si>
    <t>Sum of SAVING</t>
  </si>
  <si>
    <t>Timelines</t>
  </si>
  <si>
    <t>Week 1</t>
  </si>
  <si>
    <t>Process kick-off</t>
  </si>
  <si>
    <t>Week 2</t>
  </si>
  <si>
    <t>Week 3</t>
  </si>
  <si>
    <t>Week 4</t>
  </si>
  <si>
    <t>OpCos reports submission</t>
  </si>
  <si>
    <t>Analysis &amp; insights collection</t>
  </si>
  <si>
    <t>Dashboard circulation</t>
  </si>
  <si>
    <t>Completed</t>
  </si>
  <si>
    <t>In Progress</t>
  </si>
  <si>
    <t>Key Highlights and Drivers</t>
  </si>
  <si>
    <t>YTD Performance</t>
  </si>
  <si>
    <t>Current month cut off dates</t>
  </si>
  <si>
    <t>Custom Clearance Partner</t>
  </si>
  <si>
    <t>Vendor</t>
  </si>
  <si>
    <t>Sep 3rd</t>
  </si>
  <si>
    <t>Sep 14th</t>
  </si>
  <si>
    <t>Sep 28th</t>
  </si>
  <si>
    <t>Sep 21st</t>
  </si>
  <si>
    <t>Activity</t>
  </si>
  <si>
    <t>Incoterm</t>
  </si>
  <si>
    <t>Group saving</t>
  </si>
  <si>
    <t>OpCo saving</t>
  </si>
  <si>
    <t>indicate the saving from OpCo  nego effort (USD)</t>
  </si>
  <si>
    <t>indicate the saving from Group  nego effort (USD)</t>
  </si>
  <si>
    <t>2026-07-13</t>
  </si>
  <si>
    <t>2026-07-31</t>
  </si>
  <si>
    <t>2026-08-05</t>
  </si>
  <si>
    <t>2026-07-20</t>
  </si>
  <si>
    <t>2026-08-13</t>
  </si>
  <si>
    <t>2026-07-30</t>
  </si>
  <si>
    <t>2026-07-21</t>
  </si>
  <si>
    <t>2026-07-23</t>
  </si>
  <si>
    <t>2026-07-28</t>
  </si>
  <si>
    <t>2026-08-17</t>
  </si>
  <si>
    <t>2026-07-27</t>
  </si>
  <si>
    <t>2026-08-03</t>
  </si>
  <si>
    <t>2026-08-04</t>
  </si>
  <si>
    <t>2026-08-12</t>
  </si>
  <si>
    <t>2026-08-18</t>
  </si>
  <si>
    <t>2026-08-11</t>
  </si>
  <si>
    <t>2026-08-07</t>
  </si>
  <si>
    <t>2026-08-06</t>
  </si>
  <si>
    <t>2026-08-24</t>
  </si>
  <si>
    <t>2026-08-10</t>
  </si>
  <si>
    <t>2026-08-14</t>
  </si>
  <si>
    <t>2026-08-25</t>
  </si>
  <si>
    <t>2026-08-19</t>
  </si>
  <si>
    <t>2026-08-21</t>
  </si>
  <si>
    <t>2026-08-20</t>
  </si>
  <si>
    <t>2026-08-26</t>
  </si>
  <si>
    <t>2026-08-27</t>
  </si>
  <si>
    <t>2026-08-28</t>
  </si>
  <si>
    <t>2026-08-31</t>
  </si>
  <si>
    <t>2026-09-09</t>
  </si>
  <si>
    <t>2026-09-02</t>
  </si>
  <si>
    <t>Badge sans puce</t>
  </si>
  <si>
    <t>RSE - Page RSE Yas dans le magazine EcoAustral</t>
  </si>
  <si>
    <t>DAET 13748</t>
  </si>
  <si>
    <t>DAET 13731/13730/13746/13751/13802/13747/13752/13803</t>
  </si>
  <si>
    <t>DAET 13732</t>
  </si>
  <si>
    <t>DAET 13749/13750/13754</t>
  </si>
  <si>
    <t>DAET 13735/13756/13807/13736/13737/13739/13808</t>
  </si>
  <si>
    <t>DAET 13801/13805/13734/13755/13806</t>
  </si>
  <si>
    <t>DAET 13738/13757</t>
  </si>
  <si>
    <t>Gant de manutention</t>
  </si>
  <si>
    <t>RSE - Vérification technique avant travaux MDN Antsirabe</t>
  </si>
  <si>
    <t>Agents Intérimaires KYC</t>
  </si>
  <si>
    <t>Calibration équipements de mesure HSE</t>
  </si>
  <si>
    <t>Accompagnement 5S des dépôt AGL et ADV</t>
  </si>
  <si>
    <t>REMBOURSEMENT IM AR &amp; FRAIS COLIS &amp; IM ADV</t>
  </si>
  <si>
    <t>COLLATION LE 24/07/2026</t>
  </si>
  <si>
    <t>RSE - Chèque Cadeau - Concours de projet Fokontany Madio</t>
  </si>
  <si>
    <t>Inspection et traitement 347 poteaux-DAET 13809</t>
  </si>
  <si>
    <t>Inspection et traitement 347 poteaux-DAET 13810</t>
  </si>
  <si>
    <t>TX lastmile Fttx Tamatave Axe Centre</t>
  </si>
  <si>
    <t>TX Lastmile FTTX Toliara du 13/07 au 25/07/26</t>
  </si>
  <si>
    <t>INSTALLATION BORNE TICKETING TANA &amp; EST &amp; MAJUNGA</t>
  </si>
  <si>
    <t>CHAMPIONNAT NATIONAL BEACH SOCCER</t>
  </si>
  <si>
    <t>SPONSORING</t>
  </si>
  <si>
    <t>FINALE YAS COUPE DE MADA 2026</t>
  </si>
  <si>
    <t>Inspection et traitement 345 poteaux</t>
  </si>
  <si>
    <t>YS AMBOHIPO</t>
  </si>
  <si>
    <t>YS ITAOSY</t>
  </si>
  <si>
    <t>INFLUENCEUR - FIANTSO</t>
  </si>
  <si>
    <t>CABLE</t>
  </si>
  <si>
    <t>DPDI-Projet DWDM Mod 2026-Achat gaine</t>
  </si>
  <si>
    <t>SPOT - RECORD TV</t>
  </si>
  <si>
    <t>STICKERS MBALIK</t>
  </si>
  <si>
    <t>AFRICA DAY</t>
  </si>
  <si>
    <t>ENTRETIEN MOTO - MORONDAVA</t>
  </si>
  <si>
    <t>ENTRETIEN MOTO - MBALIK</t>
  </si>
  <si>
    <t>ANNULE ET REMPLACE DA 139119</t>
  </si>
  <si>
    <t>SONO</t>
  </si>
  <si>
    <t>Paiement facture Paositra Malagasy 2024</t>
  </si>
  <si>
    <t>Achat de license capacité FH</t>
  </si>
  <si>
    <t>REMBOURSEMENT FRAIS BAC CDZ</t>
  </si>
  <si>
    <t>RAJOUT ARS DANS LA ZONE NORD</t>
  </si>
  <si>
    <t>Salaire VAD AOUT et SEPTEMBRE 2026</t>
  </si>
  <si>
    <t>FESTIVAL DONA BE</t>
  </si>
  <si>
    <t>ACHAT MOTO</t>
  </si>
  <si>
    <t>REGUL LA VERITE</t>
  </si>
  <si>
    <t>ATL &amp; DIGITAL RESSOURCES</t>
  </si>
  <si>
    <t>IM VAD JUILLET 2026</t>
  </si>
  <si>
    <t>Flocage Notyfolio - Validé en IC le 16/07/2026</t>
  </si>
  <si>
    <t>Déplacement Equipement Energie au RDC Analakely</t>
  </si>
  <si>
    <t>Stockage Mail - 1 an</t>
  </si>
  <si>
    <t>GE et Inverseur projet double GE ATS003 et MAT002</t>
  </si>
  <si>
    <t>GE 33KVA et Inverseur AL002 Amparafaravola</t>
  </si>
  <si>
    <t>Prestation installation double GE MAT002 Ambalavao</t>
  </si>
  <si>
    <t>Installation double GE ATS003 Brickaville</t>
  </si>
  <si>
    <t>Installation client à MANDRITSARA SOAFIAVY</t>
  </si>
  <si>
    <t>désinstallation des câbles sur SR03 DTG-208606</t>
  </si>
  <si>
    <t>désinstallation des câbles sur SR04 DTG-208607</t>
  </si>
  <si>
    <t>désinstallation des câbles sur SR02 DTG-208605</t>
  </si>
  <si>
    <t>Transport et Manut 50 Poteaux ANTALAHA vers SAMBAVA</t>
  </si>
  <si>
    <t>BLACK BOX COMPLEMENTAIRE BC135734</t>
  </si>
  <si>
    <t>Location LCD-Mission Tafita à Mahanoro 05 au 12 Août 2026</t>
  </si>
  <si>
    <t>Achat 15000 Enveloppes GM En tête pour facturation</t>
  </si>
  <si>
    <t>HOUSSE CHAPITEAU</t>
  </si>
  <si>
    <t>FESTIVAL SOROGNO 2026</t>
  </si>
  <si>
    <t>COFI 2026 - VOITURE GRS GASI PRO</t>
  </si>
  <si>
    <t>ENTRETIEN MOTO - FORT DAUPHIN</t>
  </si>
  <si>
    <t>ENVOI CHAUFFEURS POUR SOMAROHO</t>
  </si>
  <si>
    <t>Transport et manut 200 poteaux TANA vers MAHAJANGA</t>
  </si>
  <si>
    <t>Transport et manut 200 poteaux TANA vers AMBANJ</t>
  </si>
  <si>
    <t>NETTOYAGE CONDENSEUR MOIS DE JUIN 2026-PROVINCE</t>
  </si>
  <si>
    <t>CATERING TOURNAGE FILM</t>
  </si>
  <si>
    <t>Lancement de Moris Mada Connect - 6 AOUT</t>
  </si>
  <si>
    <t>TRANSPORT TEAM COMPTA TEAM BUILDING 31 JUILLET 2026</t>
  </si>
  <si>
    <t>YS BAOBAB CITY MAHAJANGA</t>
  </si>
  <si>
    <t>ANNULE ET REMPLACE DA 139381</t>
  </si>
  <si>
    <t>YS ANTANINARENINA</t>
  </si>
  <si>
    <t>COFI 2026 - VOITURE GRS MAXICOM</t>
  </si>
  <si>
    <t>REMISE EN ETAT FUITE D'EAU</t>
  </si>
  <si>
    <t>Formation Habilitation électrique H0B0-PRIMA</t>
  </si>
  <si>
    <t>Prestation Gestion de déchets CAMPUS- Trimestre 3</t>
  </si>
  <si>
    <t>Formation H0B0 - Techniciens prestataire 2MI</t>
  </si>
  <si>
    <t>Formation des Techniciens ENC-Habilitation électrique</t>
  </si>
  <si>
    <t>Achat (02)motos HONDA 125 TUFF Taxi</t>
  </si>
  <si>
    <t>Achat 6 motos HONDA XL 125L (Maintirano-Nosy Varika)</t>
  </si>
  <si>
    <t>Réparation moto 18892WWT(nettoyage carburateur...)</t>
  </si>
  <si>
    <t>Réparation moto 38477WWT</t>
  </si>
  <si>
    <t>FESTIVAL DES BALEINES 2026</t>
  </si>
  <si>
    <t>TRANSPORT PLV YAS</t>
  </si>
  <si>
    <t>Maintenance et Consommables MP-LOT3</t>
  </si>
  <si>
    <t>Achat 200 Enveloppe GM blanche pour facturation</t>
  </si>
  <si>
    <t>4G Capacity Expansion Q2-Q4 2026-TANA(Software)</t>
  </si>
  <si>
    <t>SOMAROHO 2026</t>
  </si>
  <si>
    <t>Refacturation Modification et Frais Aerien Ahmad Famille</t>
  </si>
  <si>
    <t>Maintenance et Consommables MP-LOT2</t>
  </si>
  <si>
    <t>POT de Départ-Hary Ramanitra  le 07/08/26</t>
  </si>
  <si>
    <t>Transfert Nom de domaine - 1 an</t>
  </si>
  <si>
    <t>CHAISE VISITEUR</t>
  </si>
  <si>
    <t>BUREAU SAM MANDRITSARA</t>
  </si>
  <si>
    <t>GARDIENNAGE MOTO</t>
  </si>
  <si>
    <t>FLYERS GENESYS</t>
  </si>
  <si>
    <t>Maintenance Préventive LOT6(251 sites)</t>
  </si>
  <si>
    <t>Transport des mobiliers -DOM Brickaville</t>
  </si>
  <si>
    <t>Maintenance et Consommables MP-LOT 05</t>
  </si>
  <si>
    <t>Ambassadeur - MAMAN'I TSOLOLO</t>
  </si>
  <si>
    <t>INFLUENCEUR - JE CROIS PAS</t>
  </si>
  <si>
    <t>COMMANDE DVI 2026</t>
  </si>
  <si>
    <t>Anémomètre portable</t>
  </si>
  <si>
    <t>Régul factures JUIN2026 -équipe DTG</t>
  </si>
  <si>
    <t>TX GC FO sur AAT067 FENOAMBANY</t>
  </si>
  <si>
    <t>TX GC FO sur SOF228 BEKORATSAKA</t>
  </si>
  <si>
    <t>Maintenance et Consommables MP-LOT1(197 sites)</t>
  </si>
  <si>
    <t>4G Capacity Expansion Q2-Q42026-TANA(Service)</t>
  </si>
  <si>
    <t>AR TANA/NAIROBI Séminaire Next 2030 - modif billet</t>
  </si>
  <si>
    <t>Appro DG - Transfo</t>
  </si>
  <si>
    <t>Facture d'honoraires 3eme trimestre 2026</t>
  </si>
  <si>
    <t>CLIENT AMBONDROMAMY Tojonirina JEAN PIERRE</t>
  </si>
  <si>
    <t>TX GC FO sur ANJ099 MANAMBATO</t>
  </si>
  <si>
    <t>FESTIVAL VOLAMENA 2026</t>
  </si>
  <si>
    <t>SEMAINE GENIE ELECTRIQUE 2026</t>
  </si>
  <si>
    <t>BILLET GAZO &amp; LA FOUINE</t>
  </si>
  <si>
    <t>FLYERS</t>
  </si>
  <si>
    <t>CALENDRIER 2027</t>
  </si>
  <si>
    <t>YAS COUPE MADAGASCAR 2026</t>
  </si>
  <si>
    <t>RSE - Formation numérique régionale vague 2_région 2</t>
  </si>
  <si>
    <t>Consommables MP-LOT4 et LOT6</t>
  </si>
  <si>
    <t>4G Capacity Expansion Q2-Q4 2026-TANA(Hardware)</t>
  </si>
  <si>
    <t>HABILLAGE VOITURE</t>
  </si>
  <si>
    <t>DEPANNAGE CAMION</t>
  </si>
  <si>
    <t>SALAIRE CDV &amp; AR &amp; ARM</t>
  </si>
  <si>
    <t>Abonnement Team standard annuel sur Claude Pro</t>
  </si>
  <si>
    <t>Achat stylos de nettoyage pour fibre</t>
  </si>
  <si>
    <t>SALAIRE AR MBALIK 2026</t>
  </si>
  <si>
    <t>REGUL RECORD TV</t>
  </si>
  <si>
    <t>REGUL REAL TV</t>
  </si>
  <si>
    <t>COLLATION DBEF</t>
  </si>
  <si>
    <t>Trousse de secours PM</t>
  </si>
  <si>
    <t>Achat chaussures de sécurité motards TANA(P40-41-42)</t>
  </si>
  <si>
    <t>CAFE DAF &amp; STAFF &amp; VISITEURS</t>
  </si>
  <si>
    <t>Bouilloire 1.8 L - Transfo</t>
  </si>
  <si>
    <t>BILLET D'AVION - RAZAFINDRAFARA NANCY</t>
  </si>
  <si>
    <t>Confection tuyau flexible Chariot élevateur</t>
  </si>
  <si>
    <t>YS MANDRITSARA</t>
  </si>
  <si>
    <t>ANNULE ET REMPLACE DA 139476</t>
  </si>
  <si>
    <t>Nom de domaine - 1 an</t>
  </si>
  <si>
    <t>FABRICATION ETAGERE MAGASIN DVIR TDDY</t>
  </si>
  <si>
    <t>Achat 30 Stickers collant pour clavier AZERTY Tablette</t>
  </si>
  <si>
    <t>Paiement facture Société ANDRY - Juin 2026 TANA et PROV</t>
  </si>
  <si>
    <t>Yas APP Tool Project</t>
  </si>
  <si>
    <t>Renouvellement Support et Licence Solution SIMU.IQ</t>
  </si>
  <si>
    <t>FILM JACQUIA</t>
  </si>
  <si>
    <t>SAMSUNG A26</t>
  </si>
  <si>
    <t>COMMANDE MBALIK 2026</t>
  </si>
  <si>
    <t>INFLUENCEUR - BLAST'IN DANSE</t>
  </si>
  <si>
    <t>Transport et manut 50 Poteaux TOAMASINA vers SAINTE MARIE</t>
  </si>
  <si>
    <t>BILLET D'AVION - SANDRA ANDRIAMPARANY</t>
  </si>
  <si>
    <t>Analytics &amp; Data Specialist (Telco / CVM) Africa</t>
  </si>
  <si>
    <t>RSE - Annule et remplace DA 138741 peinture et plaque MDN</t>
  </si>
  <si>
    <t>QVT - Analyse de l'eau potable</t>
  </si>
  <si>
    <t>PULSE - Prestation de service 1 et 3 - Avril2026</t>
  </si>
  <si>
    <t>Achat 05 adaptateurs RJ45 femelle-femelle pour DG</t>
  </si>
  <si>
    <t>Frais pénalité changement date-billet d'avion G.Liwag</t>
  </si>
  <si>
    <t>Réparation moto CITI31(Brake pade)</t>
  </si>
  <si>
    <t>Réparation moto 23693WWT -TANA</t>
  </si>
  <si>
    <t>COFI 2026 - TRANSPORT MOTOS</t>
  </si>
  <si>
    <t>COFI 2026 - EXPEDITION MOTOS</t>
  </si>
  <si>
    <t>INSTALLATION FILM OPAQUE ET REMPLACEMENT VITRE</t>
  </si>
  <si>
    <t>COFI 2026 - MOTO GRS ARC EN CIEL</t>
  </si>
  <si>
    <t>PERDIEM COORDINATEUR</t>
  </si>
  <si>
    <t>ANNULE ET REMPLACE BC 134883</t>
  </si>
  <si>
    <t>IM VAD</t>
  </si>
  <si>
    <t>SECURITE PENDANT SOMAROHO 2026</t>
  </si>
  <si>
    <t>PEINTURE MOBILIER YS</t>
  </si>
  <si>
    <t>COUVERTURE PHOTO</t>
  </si>
  <si>
    <t>Néttoyage de la salle d'archive à Behoririka</t>
  </si>
  <si>
    <t>Déchargement de 02 conteneurs de poteaux à Ambohimangakely</t>
  </si>
  <si>
    <t>Achat de 3 Licences supplémentaires DevOpsArk</t>
  </si>
  <si>
    <t>BC de couverture:Consommation RICOH-Juillet à Déc2026</t>
  </si>
  <si>
    <t>Billet SVA_TNR A&amp;R_RAMAROSON LEONG Tong Michel</t>
  </si>
  <si>
    <t>RALLONGE VEHICULE - 3894TBR</t>
  </si>
  <si>
    <t>ENTRETIEN CAMION - TOAMASINA</t>
  </si>
  <si>
    <t>BILLET D'AVION - TAHINARISATA HASINA FABRICE</t>
  </si>
  <si>
    <t>YS VANGAINDRANO</t>
  </si>
  <si>
    <t>YS TOAMASINA AVENUE</t>
  </si>
  <si>
    <t>IM VAD du 12/08 au 17/08/2026</t>
  </si>
  <si>
    <t>Rallonge location voiture 22680WWT-4009TBU</t>
  </si>
  <si>
    <t>Validation DG PI le 10/08/2026</t>
  </si>
  <si>
    <t>REGUL EXPRESS DE MADAGASCAR</t>
  </si>
  <si>
    <t>INSERTION Communiqué de presse</t>
  </si>
  <si>
    <t>SECURITE EQUIPE</t>
  </si>
  <si>
    <t>REGUL IBC</t>
  </si>
  <si>
    <t>Don q3 2026 ALTERRA</t>
  </si>
  <si>
    <t>Devis Manutentionaire Ilafy PO4 MGS</t>
  </si>
  <si>
    <t>REPARATION CAMION - TANA</t>
  </si>
  <si>
    <t>TRANSPORT</t>
  </si>
  <si>
    <t>Prestation IM et Frais Colis AR MBALIK</t>
  </si>
  <si>
    <t>Prestation d'Installation PRAMIAN</t>
  </si>
  <si>
    <t>Location de Sucettes</t>
  </si>
  <si>
    <t>Renouvellement Licences DUO (05/08/2026 au 04/08/2027)</t>
  </si>
  <si>
    <t>Remplacement 05 pneus-véhicule 8540TBV</t>
  </si>
  <si>
    <t>Implantation de 30 poteaux à Majunga 91ème vague</t>
  </si>
  <si>
    <t>Implantation de 30 poteaux Fianarantsoa 26eme vague</t>
  </si>
  <si>
    <t>Implantation de 30 poteaux à Majunga 92ème vague</t>
  </si>
  <si>
    <t>Rehausse 2 chambres L3T et curage 1 chambre à sainte Marie</t>
  </si>
  <si>
    <t>DAET Travaux PRIMA Lot N°78</t>
  </si>
  <si>
    <t>DAET Travaux PRIMA Lot N°77 Toamasina</t>
  </si>
  <si>
    <t>Implantation de 30 poteaux à Majunga 93ème vague</t>
  </si>
  <si>
    <t>Lalatiana William 2254135765 Fénérive Est</t>
  </si>
  <si>
    <t>Pub Aéroport - AEROPUB</t>
  </si>
  <si>
    <t>Changement Visuel Mur</t>
  </si>
  <si>
    <t>Confection et Installation Arche</t>
  </si>
  <si>
    <t>Rajout Support Abribus 67HA</t>
  </si>
  <si>
    <t>Rajout Support Abribus</t>
  </si>
  <si>
    <t>MADA BUSINESS CONNECT 2026</t>
  </si>
  <si>
    <t>Location Fourgon - Transport des matériels</t>
  </si>
  <si>
    <t>Location Plantes Vertes</t>
  </si>
  <si>
    <t>Frais Divers - LightBox</t>
  </si>
  <si>
    <t>TS-TX GC FO sur ATS205 ZEBU TOA STAR</t>
  </si>
  <si>
    <t>Création cloison salle CDMA au RDC Analakely</t>
  </si>
  <si>
    <t>Réhabilitation bâtiment MEN010 Morondava</t>
  </si>
  <si>
    <t>Constrution nouveau bâtiment Admin DIA032 Ambanja</t>
  </si>
  <si>
    <t>Réhablitation total Infra -BET012 Maevatanana</t>
  </si>
  <si>
    <t>Réhabilitation ATS001 Toamasina suite dégât cyclonique</t>
  </si>
  <si>
    <t>Réappro H2 - WOWsolar60</t>
  </si>
  <si>
    <t>Réappro H2 - WOW TV 32''</t>
  </si>
  <si>
    <t>Ambassadrice Somaroho 2026 - Maman'i Tsololo</t>
  </si>
  <si>
    <t>Bc de couverture 2026 &amp; 2027 - RADIO NOSY MAGNITRY</t>
  </si>
  <si>
    <t>Certification SSL de klaod.telma.net</t>
  </si>
  <si>
    <t>Travaux Energie réhabilitation MEN010 Morondava Admin</t>
  </si>
  <si>
    <t>Travaux Energie réhabilitation AAN001 Farafangana</t>
  </si>
  <si>
    <t>Travaux Energie réhabilitation VAT001 Manajary</t>
  </si>
  <si>
    <t>Réhabilitation Data Center Morondava</t>
  </si>
  <si>
    <t>Bc de Couverture 2026 - RNA</t>
  </si>
  <si>
    <t>Da de couverture 2026 &amp; 2027 - VIVA</t>
  </si>
  <si>
    <t>Régie Vidéo DONA BE ANTSOHIHY</t>
  </si>
  <si>
    <t>Bc de couverture 2026 &amp; 2027 - RADIO AMBILOBE RLA</t>
  </si>
  <si>
    <t>Ambassadeur SOMAROHO 2026 - Basta Lion</t>
  </si>
  <si>
    <t>Ambassadrice Somaroho 2026 - Tence Mena</t>
  </si>
  <si>
    <t>Ambassadrice Somaroho 2026 - Rijade</t>
  </si>
  <si>
    <t>Régularisation de prestation d'escorte de fonds</t>
  </si>
  <si>
    <t>Survey-Réhabilitation infra 2026-SAV003</t>
  </si>
  <si>
    <t>Survey-Réhabilitation infra 2026-SAV018</t>
  </si>
  <si>
    <t>Survey-réhabilitation infra 2026-SOF001</t>
  </si>
  <si>
    <t>LLD 48 MOIS - TOYOTA HILUX</t>
  </si>
  <si>
    <t>LLD 48 MOIS - LAND CRUISER</t>
  </si>
  <si>
    <t>LLD 48 MOIS - ISUZU D-MAX</t>
  </si>
  <si>
    <t>Collecte et traitement des déchets issue de refueling</t>
  </si>
  <si>
    <t>Travaux Energie réhabilitation VAT002 Manakara</t>
  </si>
  <si>
    <t>Travaux Energie réhabilitation BA DIA032 Ambanja</t>
  </si>
  <si>
    <t>Travaux Energie Réhabilitation BOE018 Ambondromamy</t>
  </si>
  <si>
    <t>Travaux Energie réhabilitation MEN001 Morondava</t>
  </si>
  <si>
    <t>Travaux Energie Rehabilitation ANM062 Ankazobe</t>
  </si>
  <si>
    <t>Travaux Energie réhabilitation BA Maeavatanana BET012</t>
  </si>
  <si>
    <t>Travaux Energie projet réhabilitation ATS010 Mahanoro</t>
  </si>
  <si>
    <t>DOM REGION _Transport PEHD TANA  vers Mananara</t>
  </si>
  <si>
    <t>DOUDOUNE ET HOODIE</t>
  </si>
  <si>
    <t>Partenariat Commune Antsohihy</t>
  </si>
  <si>
    <t>Travaux déviation câble FO-compte QMM FortDauphin</t>
  </si>
  <si>
    <t>DOM REGION_E-314_TS Repose de câble BKB  Tanandava Toamasina</t>
  </si>
  <si>
    <t>MENABE CONNEXION 2026</t>
  </si>
  <si>
    <t>Réappro H2 - Mbalik</t>
  </si>
  <si>
    <t>Foire Internationale de l'Agriculture, de l'Elevage</t>
  </si>
  <si>
    <t>RAJOUT RESTAURATION TEAM COMPTA</t>
  </si>
  <si>
    <t>Achat 01 Clavier et 01 Souris pour les TV SOC IT</t>
  </si>
  <si>
    <t>Renouvellement Support USSD et SMSC ADAPT IT 2027</t>
  </si>
  <si>
    <t>Moto Honda - Cofi 2026 - GRS KASSAMALY RICHAD</t>
  </si>
  <si>
    <t>LANCEMENT NEW STORE</t>
  </si>
  <si>
    <t>Flight Cage 60x70x50</t>
  </si>
  <si>
    <t>RAJOUT ARS</t>
  </si>
  <si>
    <t>Refresh Panneau - Salon de l'Auto</t>
  </si>
  <si>
    <t>DPDI-MRFI Du site MSC02 Galaxy-Porjet DWDM Mod</t>
  </si>
  <si>
    <t>Renouvellement du Support &amp; Maintenance Huawei 2026</t>
  </si>
  <si>
    <t>Residence des filles Akamasoa - AK_TS_01_3007</t>
  </si>
  <si>
    <t>Frais émis_N° pièce F-68 0049062</t>
  </si>
  <si>
    <t>Renouvellement Licences BURP 26/11/2026 au 26/11/2027</t>
  </si>
  <si>
    <t>SALON AERO EXPO 2026</t>
  </si>
  <si>
    <t>YS STORE MAJUNGA</t>
  </si>
  <si>
    <t>Lancement new concept Store Tana</t>
  </si>
  <si>
    <t>RSE - Réhabilitation Sekoly Amika Tuléar MDN</t>
  </si>
  <si>
    <t>Transport Mobilier vers VANGAINDRANO</t>
  </si>
  <si>
    <t>IM VAD FIANARANTSOA -MANANJARY -FIANARANTSOA</t>
  </si>
  <si>
    <t>Diffusion Radio SOA FY - Bc de Couverture</t>
  </si>
  <si>
    <t>Trav. Maint. FTTx FENERIVE-EST (DTG-202105)</t>
  </si>
  <si>
    <t>Trav. GC Murielle RAKOTOMANANTSOA - MNJ</t>
  </si>
  <si>
    <t>TRANSPORT PLV</t>
  </si>
  <si>
    <t>Prestations IT WE DO</t>
  </si>
  <si>
    <t>IMPRESSION STICKERS</t>
  </si>
  <si>
    <t>Diffusion Concept New Store -  Real TV</t>
  </si>
  <si>
    <t>Campagne Salon de l'Auto - Refresh Panneau</t>
  </si>
  <si>
    <t>Diffusion Concept New Store -  TV PLUS</t>
  </si>
  <si>
    <t>Diffusion Concept New Store -  CANAL 7 EVENT</t>
  </si>
  <si>
    <t>Diffusion Concept New Store -  Malagasy TV</t>
  </si>
  <si>
    <t>Diffusion Concept New Store -  Pixelse TVM</t>
  </si>
  <si>
    <t>Travaux Energie projet MSAN HUAWEI</t>
  </si>
  <si>
    <t>Diffusion Concept New Store -  DREAM ON</t>
  </si>
  <si>
    <t>Diffusion Concept New Store -  Record TV</t>
  </si>
  <si>
    <t>Diffusion Concept New Store -  Midi</t>
  </si>
  <si>
    <t>Diffusion Concept New Store -  Ultima Média</t>
  </si>
  <si>
    <t>Diffusion Concept New Store -  Express</t>
  </si>
  <si>
    <t>Couverture Photos le 18 juillet et le 5 au 09 aout 2026</t>
  </si>
  <si>
    <t>Pose Stickers</t>
  </si>
  <si>
    <t>KIT SONO</t>
  </si>
  <si>
    <t>Habillage - New Stores Transformation</t>
  </si>
  <si>
    <t>Prestaion MC Event - Lancement new concept Store Tana</t>
  </si>
  <si>
    <t>DTG/DOM : TVX GC VSAT-C - Capex 2026-DT-061007</t>
  </si>
  <si>
    <t>COFI 2026 - MOTO GRS R.RADO</t>
  </si>
  <si>
    <t>BILLET D'AVION - COM</t>
  </si>
  <si>
    <t>ENTRETIEN MOTO - TANA</t>
  </si>
  <si>
    <t>INFLUENCEUR - ODILON</t>
  </si>
  <si>
    <t>Diffusion Spot TV - Kolo Tv - New Store</t>
  </si>
  <si>
    <t>REGUL SALAIRE AR MBALIK</t>
  </si>
  <si>
    <t>2è BC de couverture Maître BAHOLY CLARA</t>
  </si>
  <si>
    <t>RSE- réhabilitation de la toiture EPP Garbit Antsirabe</t>
  </si>
  <si>
    <t>APF Q2 2026_FONDATION AXIAN</t>
  </si>
  <si>
    <t>Décommissionnement équipements obsolètes sur TNR01-TNR02</t>
  </si>
  <si>
    <t>libération  salle OCB R+1 et supervision ANM002</t>
  </si>
  <si>
    <t>AR TANA MAJUNGA 11-14/09</t>
  </si>
  <si>
    <t>RIGTHCOM QMS</t>
  </si>
  <si>
    <t>réparation moto Tanà 12855WWT</t>
  </si>
  <si>
    <t>Lumineuses YAS Campus (TS)</t>
  </si>
  <si>
    <t>Réparation moto Tanà 18879WWT</t>
  </si>
  <si>
    <t>LOCATION DE VEHICULE LLD PENDANT 48 MOIS AVEC CHAUFFEUR</t>
  </si>
  <si>
    <t>Couverture photos - Fita Production</t>
  </si>
  <si>
    <t>Régie Comm interne CAMPUS</t>
  </si>
  <si>
    <t>NEXTHOPE_Offre_ACI Upgrade &amp; APIC swap (M2 ? M4)</t>
  </si>
  <si>
    <t>CHAMPIONNAT NATIONAU U16</t>
  </si>
  <si>
    <t>Achat 2800 PTO</t>
  </si>
  <si>
    <t>BILLET D'AVION</t>
  </si>
  <si>
    <t>CARTON D'EXPEDITIONS  ADN</t>
  </si>
  <si>
    <t>Renouvellement support ICB-Roaming PRM Dec26 - Nov27</t>
  </si>
  <si>
    <t>Billet d'Avion - RABEONY HAINGONIRINA</t>
  </si>
  <si>
    <t>Ruban New Concept Store</t>
  </si>
  <si>
    <t>Fournitures de déménagement équipes ADN</t>
  </si>
  <si>
    <t>HABILLAGE VITRE PORTE-annule et remplace BC136040</t>
  </si>
  <si>
    <t>TECHNOALARME</t>
  </si>
  <si>
    <t>LCS CONSULTING</t>
  </si>
  <si>
    <t>RAHANTAMALALA FANJANIRINA SYLVIENE</t>
  </si>
  <si>
    <t>EDITIONS AUSTRALES INTERNATIONALES LTD</t>
  </si>
  <si>
    <t>EASY NETCOM</t>
  </si>
  <si>
    <t>PRIMA CE SARLU</t>
  </si>
  <si>
    <t>ALL TRADE SARLU</t>
  </si>
  <si>
    <t>SOCOTEC MADAGASCAR</t>
  </si>
  <si>
    <t>MADAJOB</t>
  </si>
  <si>
    <t>BCL (BUREAU DE CONTROLE LABOTECH)</t>
  </si>
  <si>
    <t>SUSTAINABLE MANAGEMENT SYSTEMS CONSULTING</t>
  </si>
  <si>
    <t>SOCIETE DE GESTION ET EXPLOITATION DE M/CAR</t>
  </si>
  <si>
    <t>INJET</t>
  </si>
  <si>
    <t>MANAJ SARL</t>
  </si>
  <si>
    <t>ANDRIANOMENJANAHARY Brice Marie Jocelyn</t>
  </si>
  <si>
    <t>FEDERATION MALAGASY DE FOOT BALL</t>
  </si>
  <si>
    <t>ZANAKIHARANA TONGASAINA</t>
  </si>
  <si>
    <t>TSOTRA JESCARD DESTIN( MOUJANGAYA PROD)</t>
  </si>
  <si>
    <t>LUCKKY COMPANY</t>
  </si>
  <si>
    <t>AVRA BTP</t>
  </si>
  <si>
    <t>ALLIANCE FRANCAISE ANTSAHABE</t>
  </si>
  <si>
    <t>MONDE PARALLELE AGENCY</t>
  </si>
  <si>
    <t>PRICE</t>
  </si>
  <si>
    <t>SMTP</t>
  </si>
  <si>
    <t>RTV RECORD</t>
  </si>
  <si>
    <t>SIGN</t>
  </si>
  <si>
    <t>ROOTS CONSEILS</t>
  </si>
  <si>
    <t>RAMANAMBONONA LALANIRIANA HANITRINIAINA</t>
  </si>
  <si>
    <t>MADAGASCAR AUTOMOBILE</t>
  </si>
  <si>
    <t>MIDI PUBLICITE</t>
  </si>
  <si>
    <t>UNITE DE DISTRIBUTION TECHNOLOGIQUE - UDITEC</t>
  </si>
  <si>
    <t>PAOSITRA MALAGASY</t>
  </si>
  <si>
    <t>ERICSSON AB SWEDEN</t>
  </si>
  <si>
    <t>JUMELLES PRODUCTION</t>
  </si>
  <si>
    <t>STE MALGACHE DE COMMUNICATION ET DE PRESSE</t>
  </si>
  <si>
    <t>EATIFA HOLDING SRL U</t>
  </si>
  <si>
    <t>Ogilvy South Africa - Johannesburg</t>
  </si>
  <si>
    <t>GRANDE DISTRIBUTION SERVICE</t>
  </si>
  <si>
    <t>SMART Elec</t>
  </si>
  <si>
    <t>STELLAR - IX SA</t>
  </si>
  <si>
    <t>HENRI FRAISE FILS ET CIE</t>
  </si>
  <si>
    <t>NEA MADAGASCAR SA</t>
  </si>
  <si>
    <t>BESSADARA ORLANDO</t>
  </si>
  <si>
    <t>RAZAFIMAHATRATRA ANDRIATSITOHAINA</t>
  </si>
  <si>
    <t>BLACK BOX</t>
  </si>
  <si>
    <t>LOXEA MADAGASCAR</t>
  </si>
  <si>
    <t>MEGAPRINT</t>
  </si>
  <si>
    <t>MORA MARKET</t>
  </si>
  <si>
    <t>ONG SOROGNO</t>
  </si>
  <si>
    <t>CFAO MOBILITY MADAGASCAR</t>
  </si>
  <si>
    <t>RANDRIAMBAO Vola(MADA SCOOT RACING</t>
  </si>
  <si>
    <t>OCEAN TRADE CO</t>
  </si>
  <si>
    <t>MADAGASCAR LOGISTICS ET SERVICES</t>
  </si>
  <si>
    <t>TECHNI-FROID MADAGASCAR</t>
  </si>
  <si>
    <t>MI SAKAFO</t>
  </si>
  <si>
    <t>RAMPARISON ANDRIAMIHAJA HANITRI (TOP LINK)</t>
  </si>
  <si>
    <t>RANDRIANASOLO HANTA BEBY</t>
  </si>
  <si>
    <t>SOCIETE ML STONE</t>
  </si>
  <si>
    <t>STRUCTURES SARL</t>
  </si>
  <si>
    <t>AXIAN UNIVERSITY</t>
  </si>
  <si>
    <t>Funbike Sarl</t>
  </si>
  <si>
    <t>FESTIV</t>
  </si>
  <si>
    <t>ROTARY</t>
  </si>
  <si>
    <t>FLORA BEAUTY</t>
  </si>
  <si>
    <t>RANDRIAMANARIVO NICOLAS</t>
  </si>
  <si>
    <t>SMART TECHNOLOGIES ET ENGINEERING</t>
  </si>
  <si>
    <t>HUAWEI TECHNOLOGIES CO., LTD</t>
  </si>
  <si>
    <t>TSGV</t>
  </si>
  <si>
    <t>VOYAGEXPERT</t>
  </si>
  <si>
    <t>NEXTHOPE</t>
  </si>
  <si>
    <t>SAEM</t>
  </si>
  <si>
    <t>KAZE TRADING CO</t>
  </si>
  <si>
    <t>HASSANALY CHAHICK (LUXOR)</t>
  </si>
  <si>
    <t>MADISCO</t>
  </si>
  <si>
    <t>AUTO TRACTOR TULEAR</t>
  </si>
  <si>
    <t>NETWORK GENERAL SERVICE</t>
  </si>
  <si>
    <t>H-TELI DRC SUCCURSALE MADAGASCAR</t>
  </si>
  <si>
    <t>MAMAN'I TSÔLÔLÔ</t>
  </si>
  <si>
    <t>IMPERIAL BEAUTE (Je crois pas)</t>
  </si>
  <si>
    <t>ALLIANCE FRANCAISE D ANTANANARIVO</t>
  </si>
  <si>
    <t>GEKA TELECOM</t>
  </si>
  <si>
    <t>COLIS EXPRESS</t>
  </si>
  <si>
    <t>AFRO EGYPT</t>
  </si>
  <si>
    <t>HUAWEI TECHNOLOGIES (MADAGASCAR) S.A.R.L.U</t>
  </si>
  <si>
    <t>LEXEL</t>
  </si>
  <si>
    <t>NUIT DES AILES</t>
  </si>
  <si>
    <t>REGION VAKINANKARATRA</t>
  </si>
  <si>
    <t>AMBININTSOA SAFIDY ZO</t>
  </si>
  <si>
    <t>DAMA Andrianarisedo Marius</t>
  </si>
  <si>
    <t>JAOTOMBO Philibert</t>
  </si>
  <si>
    <t>ELECTRICAL ENGINEERING STUDENT UNITY</t>
  </si>
  <si>
    <t>GRAPH EXPRESS IMPRIMERIE</t>
  </si>
  <si>
    <t>RANDRIAMAMPIANINA HERIHARISOA</t>
  </si>
  <si>
    <t>ONG IDEA ACADEMY</t>
  </si>
  <si>
    <t>HUAWEI INTERNATIONAL CO. LIMITED</t>
  </si>
  <si>
    <t>MAGENTA</t>
  </si>
  <si>
    <t>SOCIETE MUNICIPALE DE GESTION DIGITALE</t>
  </si>
  <si>
    <t>ECO FUSION</t>
  </si>
  <si>
    <t>Anthropic, PBC</t>
  </si>
  <si>
    <t>ANDRIAMIFIDISOA SYLVAIN(SOCIETE ANDRY)</t>
  </si>
  <si>
    <t>SHENZHEN SOPTO TECHNOLOGY CO LTD</t>
  </si>
  <si>
    <t>REAL TV 94 FM</t>
  </si>
  <si>
    <t>BATIMAX</t>
  </si>
  <si>
    <t>CENTRALE ALIMENTAIRE SARL</t>
  </si>
  <si>
    <t>SIDEF</t>
  </si>
  <si>
    <t>VOYAGES BOURDON</t>
  </si>
  <si>
    <t>TRIUMPH INTERNATIONAL MADAGASCAR SARL</t>
  </si>
  <si>
    <t>CHRONO COLIS</t>
  </si>
  <si>
    <t>JOCKER GRAPHICS</t>
  </si>
  <si>
    <t>ANDRIANJAFY Nampoina</t>
  </si>
  <si>
    <t>SERVICE ELECTRONIQUE(SET SARLU)</t>
  </si>
  <si>
    <t>PULSE</t>
  </si>
  <si>
    <t>SIMU.IQ LLC</t>
  </si>
  <si>
    <t>ABDOUL KAID MELISA MARINA(HOTEL DE LA POSTE)</t>
  </si>
  <si>
    <t>GDS LTD</t>
  </si>
  <si>
    <t>BLAST'IN DANSE</t>
  </si>
  <si>
    <t>ARCHIDIOCESE D'ANTSIRANANA</t>
  </si>
  <si>
    <t>ASSOCIATION DES MANANTANY</t>
  </si>
  <si>
    <t>MALT COMMUNITY</t>
  </si>
  <si>
    <t>RANDRIAMBOLOLONA HARINAVALONA (RAITRA)</t>
  </si>
  <si>
    <t>INSTITUT PASTEUR DE M/SCAR</t>
  </si>
  <si>
    <t>SOCIETE DE DIFFUSION AUTOMOBILE DE MADAGASCAR</t>
  </si>
  <si>
    <t>EUROP ALU</t>
  </si>
  <si>
    <t>CT MOTORS</t>
  </si>
  <si>
    <t>ETABLISSEMENT AMBIANCE ECLAIRAGE SARL</t>
  </si>
  <si>
    <t>ANTOKA SECURITE</t>
  </si>
  <si>
    <t>MAITRE RAKOTO RAHANTAPAHENDRENA VIRGINIE</t>
  </si>
  <si>
    <t>ANDRIAMITAHA DIMBINIAINA HENRI PAUL</t>
  </si>
  <si>
    <t>ME ANDRIANASOLO ANDRY FIANKINANA</t>
  </si>
  <si>
    <t>AUGIAS MADAGASCAR</t>
  </si>
  <si>
    <t>HK SERVICES</t>
  </si>
  <si>
    <t>SIMPLIFY3X SOFTWARE PRIVATE LIMITED</t>
  </si>
  <si>
    <t>SOCIETE DE DISTRIBUTION DE MAD (SODIM SARLU)</t>
  </si>
  <si>
    <t>RATSIMIROKAMANANA Andriaherivelo</t>
  </si>
  <si>
    <t>KIBO SARLU</t>
  </si>
  <si>
    <t>L EXPRESS DE MADAGASCAR</t>
  </si>
  <si>
    <t>IBC</t>
  </si>
  <si>
    <t>ASSOCIATION PEEC</t>
  </si>
  <si>
    <t>JS AGENCY</t>
  </si>
  <si>
    <t>LOHASAHA MADAGASCO (ALTERRA)</t>
  </si>
  <si>
    <t>MALAGASY GENERAL SERVICES</t>
  </si>
  <si>
    <t>REVISION 5000KM SARLU</t>
  </si>
  <si>
    <t>PRAMIAN</t>
  </si>
  <si>
    <t>ETS ARINJAKA</t>
  </si>
  <si>
    <t>RAMAMPIANDRA JOSVAH JEAN FIDELE</t>
  </si>
  <si>
    <t>ENTREPRISE RAFIA</t>
  </si>
  <si>
    <t>UNITED MALAGASY</t>
  </si>
  <si>
    <t>AEROPUB</t>
  </si>
  <si>
    <t>JR PRINT</t>
  </si>
  <si>
    <t>ZOOM PUBLICITE</t>
  </si>
  <si>
    <t>HOTEL RESTAURANT CHEZ KARON SARL</t>
  </si>
  <si>
    <t>FMVB</t>
  </si>
  <si>
    <t>Comité d'organisation des Jeux de Melaky</t>
  </si>
  <si>
    <t>SECUR PRO</t>
  </si>
  <si>
    <t>RAVELOMANANTSOA JULIETTE</t>
  </si>
  <si>
    <t>LIGHTBOX SARL</t>
  </si>
  <si>
    <t>AMPED INNOVATION</t>
  </si>
  <si>
    <t>RADIO NOSY MAGNITRY</t>
  </si>
  <si>
    <t>ONIX ENGINEERING GROUP</t>
  </si>
  <si>
    <t>TARATRA RR</t>
  </si>
  <si>
    <t>VIVA</t>
  </si>
  <si>
    <t>MG (MALAGASY GRAPHIC)</t>
  </si>
  <si>
    <t>RLA</t>
  </si>
  <si>
    <t>MADAJAM</t>
  </si>
  <si>
    <t>MAROANJARA HORTENCIA</t>
  </si>
  <si>
    <t>RAHERINJATOVO TARATRA NY AINA</t>
  </si>
  <si>
    <t>GLOBAL CONSTRUCTION MADAGASCAR</t>
  </si>
  <si>
    <t>CONTINENTAL AUTO</t>
  </si>
  <si>
    <t>ADONIS ENVIRONNEMENT</t>
  </si>
  <si>
    <t>CU ANTSOHIHY</t>
  </si>
  <si>
    <t>HERTS MADAGASCAR SARLU</t>
  </si>
  <si>
    <t>MENABE CONNEXION</t>
  </si>
  <si>
    <t>GREENLIGHT PLANET</t>
  </si>
  <si>
    <t>AVIAVY</t>
  </si>
  <si>
    <t>DIRECTION DES GRANDES ENTREPRISES</t>
  </si>
  <si>
    <t>COMPUTEK TECHNOLOGY SARL</t>
  </si>
  <si>
    <t>ADAPT IT</t>
  </si>
  <si>
    <t>RASOLOJAONA TAHIANA HARIFETRA (JAYAUDIO/RDJ)</t>
  </si>
  <si>
    <t>RANAIVOSOA ANDRIAMAHERY LANTO</t>
  </si>
  <si>
    <t>RAVELOARIMANANA VONY</t>
  </si>
  <si>
    <t>SEQUOIA JR</t>
  </si>
  <si>
    <t>ETAT MAJOR DE L'ARMEE DE L'AIR</t>
  </si>
  <si>
    <t>NOMENJANAHARY FY-AINA SANDYH FORD</t>
  </si>
  <si>
    <t>RABEMANANJARA TAHIANA ROBERTO LANDRY</t>
  </si>
  <si>
    <t>RADIO SOAFY</t>
  </si>
  <si>
    <t>SOCIETE HOTELIERE SAKALAVA SARL</t>
  </si>
  <si>
    <t>RANDRIANANTENAINA PATRICIA (ENTREPRISE MANDA)</t>
  </si>
  <si>
    <t>IT WE DO SARL</t>
  </si>
  <si>
    <t>DOMAPUB (DOMA)</t>
  </si>
  <si>
    <t>TV PLUS MADAGASCAR</t>
  </si>
  <si>
    <t>CANAL 7 VIDEO ET EVENTS</t>
  </si>
  <si>
    <t>MALAGASY TV</t>
  </si>
  <si>
    <t>PIXELSE</t>
  </si>
  <si>
    <t>DREAM ON RADIO SARL</t>
  </si>
  <si>
    <t>ULTIMA MEDIA</t>
  </si>
  <si>
    <t>FITAHIA FANOMEZANTSOA NIRINA BIEN AIME</t>
  </si>
  <si>
    <t>MAMPIRAY MAMIHERY JUSTINOT JOSEPH</t>
  </si>
  <si>
    <t>LI CHO HSIEN MATHIEU</t>
  </si>
  <si>
    <t>RAMAKAVELO HANTANIRINA NOROMALALA</t>
  </si>
  <si>
    <t>ANDRIANTIANA JACQUES ULRICH</t>
  </si>
  <si>
    <t>KOLO TV</t>
  </si>
  <si>
    <t>MALAGASY PRO TOUR</t>
  </si>
  <si>
    <t>Maître RAKOTONOMBANA Baholy Clara</t>
  </si>
  <si>
    <t>RAVAOHARISOLO Mirana Nirina</t>
  </si>
  <si>
    <t>FONDATION AXIAN</t>
  </si>
  <si>
    <t>RIGHTCOM</t>
  </si>
  <si>
    <t>FRANCE PUB</t>
  </si>
  <si>
    <t>SOKA AFRICA</t>
  </si>
  <si>
    <t>SOKA HOLDING OU S H</t>
  </si>
  <si>
    <t>ASSOCIATION INVIKTUS CORP</t>
  </si>
  <si>
    <t>ARNO TRIGALLEZ EI</t>
  </si>
  <si>
    <t>RASOAMAMONJY MARIE ESTHER</t>
  </si>
  <si>
    <t>ANDRINIRINA ERICK</t>
  </si>
  <si>
    <t>IDRENTAL</t>
  </si>
  <si>
    <t>NETIS HOLDING LTD</t>
  </si>
  <si>
    <t>INDUSTRIAL PAPER CONVERTING SARLU</t>
  </si>
  <si>
    <t>6D TECHNOLOGIES</t>
  </si>
  <si>
    <t>RALALA ANDRIAMANALINA TANTELY NY HASINA</t>
  </si>
  <si>
    <t>Madagascar</t>
  </si>
  <si>
    <t>128 K LTE SIM</t>
  </si>
  <si>
    <t>FIRE EMERGENCY LIGHT</t>
  </si>
  <si>
    <t>DIRECTIONAL ANTENNA</t>
  </si>
  <si>
    <t xml:space="preserve">POINT ACCES ROCKET </t>
  </si>
  <si>
    <t>OPTICAL TRANSCEIVER</t>
  </si>
  <si>
    <t>KIT DROP CABLE</t>
  </si>
  <si>
    <t>DECLENCHEUR GODOX</t>
  </si>
  <si>
    <t>ETIQUETEUSE</t>
  </si>
  <si>
    <t>LASER TRANCEIVER</t>
  </si>
  <si>
    <t>PEHD 27/32 + 34/40</t>
  </si>
  <si>
    <t>PBO T2 PRECO</t>
  </si>
  <si>
    <t>VEVOR ANEMOMETRE</t>
  </si>
  <si>
    <t>VALID</t>
  </si>
  <si>
    <t>TRIDENT</t>
  </si>
  <si>
    <t>PROJET PHOENIX HUAWEI</t>
  </si>
  <si>
    <t>NF TECH</t>
  </si>
  <si>
    <t>HUAWEI</t>
  </si>
  <si>
    <t>GEKA</t>
  </si>
  <si>
    <t>OBJECTIF BASTILLE</t>
  </si>
  <si>
    <t>SAGEMCOM</t>
  </si>
  <si>
    <t>AIR</t>
  </si>
  <si>
    <t>SEA</t>
  </si>
  <si>
    <t>Prestation intérimaire: PERDIEM Suivi routier - Eudes, Aldo, Tolotra mars au juillet 26# FACTURE PROFORMA N°335-A/FP/TELMA/2026 DU 10/07/2026</t>
  </si>
  <si>
    <t>Prestation intérimaire: PERDIEM Suivi routier - Eric juillet 26# FACTURE PROFORMA N°333-A/FP/TELMA/2026 DU 10/07/2026</t>
  </si>
  <si>
    <t>Prestation intérimaire: PERDIEM mission - 01 Formateur Commercial du 130726 au 040826# FACTURE PROFORMA N°332-A/FP/TELMA/2026 DU 09/07/2026</t>
  </si>
  <si>
    <t>Prestation intérimaire: PERDIEM Mission - Moïbe, Bernard, Haja, Hilaire,Chistien avril au juillet 26# FACTURE PROFORMA N°334-A/FP/TELMA/2026 DU 10/07/2026</t>
  </si>
  <si>
    <t>Prestation intérimaire: PERDIEM Suivi routier - Tsiry, Niriana, Thierry, Tahiry mai au juillet 26# FACTURE PROFORMA N°336-A/FP/TELMA/2026 DU 13/07/2026</t>
  </si>
  <si>
    <t>Transport bagages SAMBATRA suite rapatriement# DEVIS N° 058 DU 13/06/2026</t>
  </si>
  <si>
    <t>Prestation intérimaire: 01 NOC Spécialist HC pour 4 mois (annulation BC  n°135794)# DEVIS N°2873</t>
  </si>
  <si>
    <t>Prestation intérimaire: 582 AR Terrain en Axe Régions pour 2 mois# FACTURE PROFORMA N°356-A/FP/TELMA /2026 DU 17/07/2026</t>
  </si>
  <si>
    <t>Prestation intérimaire: 01 Analyste Fonctionnel VE pour 2 mois# FACTURE PROFORMA N°366-A/FP/TELMA/2026 DU 17/07/2026</t>
  </si>
  <si>
    <t>Prestation intérimaire: 75 AR Roadshow pour 2 mois# FACTURE PROFORMA N°355-A/FP/TELMA /2026 DU 17/07/2026</t>
  </si>
  <si>
    <t>Prestation intérimaire: IM 66 AR Terrain en Siège pour 2 mois# FACTURE PROFORMA N° 376-A/FP/TELMA /2026 du 17/07/2026</t>
  </si>
  <si>
    <t>Prestation intérimaire: IM 37 CT Tanà et Régions pour 2 mois# FACTURE PROFORMA N° 375-A/FP/TELMA /2026 DU 17/07/2026</t>
  </si>
  <si>
    <t>Prestation intérimaire: IM 75 AR Roadshow Régions pour 2 mois# FACTURE PROFORMA N°374-A/FP/TELMA/2026 DU 17/07/2026</t>
  </si>
  <si>
    <t>Prestation intérimaire: IM 05 AR Micro Régions pour 2 mois# FACTURE PROFORMA N°373-A/FP/TELMA /2026 DU 17/07/2026</t>
  </si>
  <si>
    <t>Prestation intérimaire: Logement 22 Tech Pol pour 2 mois# FACTURE PROFORMA N°372-A/FP/TELMA/2026 DU 17/07/2026</t>
  </si>
  <si>
    <t>Prestation intérimaire: 23 Tech Pol pour 2 mois# FACTURE PROFORMA N°371-A/FP/TELMA/2026 du 17/07/2026</t>
  </si>
  <si>
    <t>Prestation intérimaire: 02 Ing d'Audit Filaire et FO pour 2 mois# FACTURE PROFORMA N°370-A/FP/TELMA/2026 du 17/07/2026</t>
  </si>
  <si>
    <t>Prestation intérimaire: 191 CDZ Tanà et Régions pour 2 mois# FACTURE PROFORMA N°359-A/FP/TELMA /2026 DU 17/07/2026</t>
  </si>
  <si>
    <t>Prestation intérimaire: 01 Formateur Commercial Junior pour 2 mois# FACTURE PROFORMA N°369-A/FP/TELMA/2026 DU 17/07/2026</t>
  </si>
  <si>
    <t>Prestation intérimaire: 22 CYS Tanà pour 2 mois# FACTURE PROFORMA N°368-A/FP/TELMA/2026 DU 17/07/2026</t>
  </si>
  <si>
    <t>Prestation intérimaire: 08 CYS Région pour 2 mois# FACTURE PROFORMA N°367-A/FP/TELMA/2026 DU 17/07/2026</t>
  </si>
  <si>
    <t>Prestation intérimaire: 02 Chargés d'Accueil pour 2 mois# FACTURE PROFORMA N°365-A/FP/TELMA/2026 DU 17/07/2026</t>
  </si>
  <si>
    <t>Prestation intérimaire: 03 AR en Kioska Région pour 2 mois# FACTURE PROFORMA N°364-A/FP/TELMA /2026 DU 17/07/2026</t>
  </si>
  <si>
    <t>Prestation intérimaire: 77 AR Renfort Tanà et Région pour 2 mois# FACTURE PROFORMA N°362-A/FP/TELMA /2026 DU 17/07/2026</t>
  </si>
  <si>
    <t>Prestation intérimaire: 20 AR en Shop Région pour 2 mois# FACTURE PROFORMA N°363-A/FP/TELMA /2026 DU 17/07/2026</t>
  </si>
  <si>
    <t>Prestation intérimaire: 37 CT Tanà et Région pour 2 mois# FACTURE PROFORMA N°360-A/FP/TELMA /2026 DU 17/07/2026</t>
  </si>
  <si>
    <t>Prestation intérimaire: 25 BO Régions pour 2 mois# FACTURE PROFORMA N°358-A/FP/TELMA /2026 DU 17/07/2026</t>
  </si>
  <si>
    <t>Prestation intérimaire: 66 AR Terrain en Siège pour 2 mois# FACTURE PROFORMA N°357-A/FP/TELMA /2026 DU 17/07/2026</t>
  </si>
  <si>
    <t>Prestation intérimaire: 05 AR Micro Régions pour 2 mois# FACTURE PROFORMA N°354-A/FP/TELMA /2026 DU 17/07/2026</t>
  </si>
  <si>
    <t>Prestation intérimaire: 150 AR Gemini Tanà et Régions pour 2 mois# FACTURE PROFORMA N°353-A/FP/TELMA /2026 DU 17/07/2026</t>
  </si>
  <si>
    <t>Collation intégration Yas // pour 15 personnes, Parklife 27 juillet 2026# DEVIS DU 23/07/2026</t>
  </si>
  <si>
    <t>Location petite salle de réunion à Ihosy - du 060726 au 100726# DEVIS DU 02/07/2026</t>
  </si>
  <si>
    <t>Prestation intérimaire: 01 Technicien Drive Test et Performance Radio pour 2 mois# DEVIS N°3914 DU 03/07/2026</t>
  </si>
  <si>
    <t>Prestation intérimaire: PERDIEM Mission - Rina juillet 26# FACTURE PROFORMA N°398-A/FP/TELMA/2026 du 28/07/2026</t>
  </si>
  <si>
    <t>Prestation intérimaire: Frais d'installation 01 Tech Pol en juillet 2026# FACTURE PROFORMA N°395-A/FP/TELMA/2026 du 28/07/2026</t>
  </si>
  <si>
    <t>Prestation intérimaire: PERDIEM Suivi routier - Steve juillet 26# FACTURE PROFORMA N°397-A/FP/TELMA/2026 du 28/07/2026</t>
  </si>
  <si>
    <t>Prestation intérimaire: PERDIEM Suivi routier - Tsiry, Nirintsoa, Thierry, Tahiry août 26# FACTURE PROFORMA N°396-A/FP/TELMA/2026 du 28/07/2026</t>
  </si>
  <si>
    <t>Prestation intérimaire: 02 AR Micro Tanà pour 2 mois# DEVIS N° 002880 DU 20/07/2026</t>
  </si>
  <si>
    <t>Prestation intérimaire: IM 02 AR Micro Tanà pour 2 mois# DEVIS N° 002882 DU 20/07/2026</t>
  </si>
  <si>
    <t>Prestation intérimaire: IM 30 AR Roadshow Tanà pour 2 mois# DEVIS N° 002881 DU 20/07/2026</t>
  </si>
  <si>
    <t>Prestation intérimaire: 30 AR Roadshow Tanà pour 2 mois# DEVIS N° 002879 DU 20/07/2026</t>
  </si>
  <si>
    <t>Prestation intérimaire: 13 BO Tanà pour 2 mois# DEVIS N°002878 DU 20/07/2026</t>
  </si>
  <si>
    <t>Prestation intérimaire: 20 AR en Poste Fixe pour 2 mois# DEVIS N° 002877 DU 20/07/2026</t>
  </si>
  <si>
    <t>Prestation intérimaire: 02 Tech Superv Filaire pour 2 mois# DEVIS N°3915 DU 03/07/2026</t>
  </si>
  <si>
    <t>Prestation intérimaire: 44 AR en Kioska pour 2 mois# DEVIS N° 002876 DU 20/07/2026</t>
  </si>
  <si>
    <t>Prestation intérimaire: 19 AR en Shop pour 2 mois# DEVIS N° 002875 DU 20/07/2026</t>
  </si>
  <si>
    <t>Prestation intérimaire: 01 Tech Testeur Service Perf pour 2 mois# DEVIS N°3916 DU 03/07/2026</t>
  </si>
  <si>
    <t>Prestation intérimaire: 01 Support BI pour 2 mois# DEVIS N°3913 DU 03/07/2026</t>
  </si>
  <si>
    <t>Prestation intérimaire: 01 PHD pour 2 mois# DEVIS N°3912 DU 03/07/2026</t>
  </si>
  <si>
    <t>Prestation intérimaire: 01 Gest de Stock Xts vendables TITAN3 pour 2 mois# DEVIS N°3910 DU 03/07/2026</t>
  </si>
  <si>
    <t>Prestation intérimaire: 02 Juriste pour 2 mois# DEVIS N° 3911 DU 03/07/2026</t>
  </si>
  <si>
    <t>Prestation intérimaire: 01 Gest de Stock Xts vendables pour 2 mois# DEVIS N° 3909 DU 03/07/2026</t>
  </si>
  <si>
    <t>Prestation intérimaire: 01 Chargé QVT/DEI pour 2 mois# DEVIS N° 3906 DU 03/07/2026</t>
  </si>
  <si>
    <t>Prestation intérimaire: 10 Coordinateur Sales Outsourcing Tanà et Région pour 2 mois# DEVIS N° 3908 DU 03/07/2026</t>
  </si>
  <si>
    <t>Prestation intérimaire: 01 Comptable pour 2 mois# DEVIS N° 3907 DU 03/07/2026</t>
  </si>
  <si>
    <t>Prestation intérimaire: 01 Gestionnaire Recouvrement pour 2 mois# DEVIS N° 3905 DU 03/07/2026</t>
  </si>
  <si>
    <t>Prestation intérimaire: 01 BO Admin et Orga pour 2 mois# DEVIS N° 3904 DU 03/07/2026</t>
  </si>
  <si>
    <t>Prestation intérimaire: 01 Assistants RH pour 2 mois# DEVIS N° 3903 DU 03/07/2026</t>
  </si>
  <si>
    <t>Prestation intérimaire: 02 Agent de mis sous pli pour 2 mois# devis N° 3902 du 03/07/2026</t>
  </si>
  <si>
    <t>Prestation intérimaire: 08 ADV Tanà et Région pour 2 mois# DEVIS N° 3901 DU 03/07/2026</t>
  </si>
  <si>
    <t>Prestation intérimaire: Frais de déplac 01 Tech Pol mois de juillet 2026# FACTURE PROFORMA N°388-A/FP/TELMA/2026 DU 23/07/2026</t>
  </si>
  <si>
    <t>Transport bagages RAPHAEL suite affectation# N° Proforma : FP-2026-063 du 30/06/2026</t>
  </si>
  <si>
    <t>Transport bagages FRANCISCO suite affectation# DEVIS N° AR2607DIE0866982 DU 13/07/2026</t>
  </si>
  <si>
    <t>Location holiday inn Express Utrecht# FACTURE N° F-068 0056150 DU 30/06/2026</t>
  </si>
  <si>
    <t>Travaux de conseils et de d'assistance pour la période du 29  au 31 juillet 2026#
FACTURE N°2026-0593 DU 04/08/2026</t>
  </si>
  <si>
    <t>DA MAGENTA Travaux de conseils et d'assistance pour la période du 01 au 28 février 2026# FACTURE N°2026-0400  DU 21/05/2026</t>
  </si>
  <si>
    <t>DA Paiement droit d'abonnement PARKING NOC Analakely
FA SMGD# FACTURE N° F015180 DU 04/08/2026</t>
  </si>
  <si>
    <t>PRESTATION TRAVAUX DIVERS# DEVIS N° 206/2026 INDICE 0  du 24/07/2026</t>
  </si>
  <si>
    <t>Facture Ste Andry Moi Juin 2026# FACTURE N° ADV/06/26 DU 03/07/2026</t>
  </si>
  <si>
    <t>Demande achat billet d'avion M FIENENA RICHARD Mission à tolanaro</t>
  </si>
  <si>
    <t>Collation intégration Yas 10/08/2026, 15 personnes, Parklife# FACTURE PROFORMA/EVENT/PRKL/2026 du 07/08/2026</t>
  </si>
  <si>
    <t>Honoraire Huissier - Mtre Virginie du 030626# FACTURE N°045/26 DU 07/08/2026</t>
  </si>
  <si>
    <t>DA Me Andry FIANKINANA abonnement mois de'août 26# FACTURE N°10/26 DU 04/08/2026</t>
  </si>
  <si>
    <t>Bon d'achat 125 000 Ar x 4, Magasin KIBO, cadeau meilleur joueurs Pronostic Game 2025 lors de la CAN2025#DEVIS N° KIB012608SQN00000040 DU  06/08/2026</t>
  </si>
  <si>
    <t>Prestation intérimaire: 01 CYS Tanà Eddinoh HC pour 3 mois# FACTURE PROFORMA N°411-A/FP/TELMA/2026 du 03/08/2026</t>
  </si>
  <si>
    <t>Prestation intérimaire: 01 TAS HC du 040826 au 210826, suite prolongation# FACTURE PROFORMA N°412-A/FP/TELMA/2026 du 03/08/2026</t>
  </si>
  <si>
    <t>Prestation intérimaire: 01 Comptable HC pour 3 mois# FACTURE PROFORMA N°413-A/FP/TELMA/2026 DU 03/08/2026</t>
  </si>
  <si>
    <t>Prestation intérimaire: 01 Juriste HC pour 3 mois# DEVIS N°2888 DU 03/08/2026</t>
  </si>
  <si>
    <t>Achat billet d'avion KALVIN, Tanà - Sambava</t>
  </si>
  <si>
    <t>Billet d'avion de Rakotoarivelo Lova Sata pour Sambava suite prise de poste à Antalaha</t>
  </si>
  <si>
    <t>Prestation intérimaire: PERDIEM mission - Moïbe, Bernard, Manda, Hilaire, Christien juillet 26# FACTURE PROFORMA N°424-A/FP/TELMA/2026 du 11/08/2026</t>
  </si>
  <si>
    <t>Transport bagages FABIEN suite prise de poste# FACTURE N° 013/FRN/2026 DU 21/07/2026</t>
  </si>
  <si>
    <t>Transport bagages TSIAHIANA suite affectation# DEVIS N° PF 201-08-LC-26 DU 10/08/2026 COMPLEMENT BC N° 136335</t>
  </si>
  <si>
    <t>DA DGE paiement droit d'enregistrement Contrat de bail Yas Maroantsetra et Ambatolampy</t>
  </si>
  <si>
    <t>Prestation intérimaire: PERDIEM Suivi routier - Christien, Manda, Moïbe, Tojo, Alphonse août 26# FACTURE PROFORMA N°434-A/FP/TELMA/2026 DU 17/08/2026</t>
  </si>
  <si>
    <t>Prestation de service - Residence des filles Akamasoa (travaux supplémentaires- lot métallique- alu)- 053-04 rev1</t>
  </si>
  <si>
    <t>Régul salaire AR en AXE Tanà suite à l'augmentation salariale, mars - juillet 2026# DEVIS N° 002884 DU 20/07/2026</t>
  </si>
  <si>
    <t>Régul salaire AR en Siège suite à l'augmentation salariale, mars - juillet 2026# FACTURE PROFORMA N°430-A/FP/TELMA /2026 du 17/08/2026</t>
  </si>
  <si>
    <t>Régul salaire AR en AXE Région suite à l'augmentation salariale, mars - juillet 2026# FACTURE PROFORMA N°429-A/FP/TELMA /2026 du 17/08/2026</t>
  </si>
  <si>
    <t>Régul frais Voyagexpert Paris - DRH F-068 0052271# FACTURE N° F-068 0053086 DU 02/06/2026</t>
  </si>
  <si>
    <t>DA Paiement logement Filao Eden SAKALAVA, prestation de l'ambassadrice YAS, Jacquia RAKOTOARISOA# FACTURE DU 18/08/2026</t>
  </si>
  <si>
    <t>DA SOKA AFRIKA direction et pilotage de projet Août 2026# 
FACTURE N° FA_2026_ 018 du 18/08/2026</t>
  </si>
  <si>
    <t>DA SOKA HOLDING direction et pilotage de projet Août 2026# 
FACTURE N°2026-0018 DU 18/08/2026</t>
  </si>
  <si>
    <t>DA INVIKTUS CORP monthly pack ferox &amp;Soka août  2026# 
FACTURE N° 260804 DU 19/08/2026</t>
  </si>
  <si>
    <t>DA ARNO TRIGALLEZ EI Fractional CTO pour SOKA prestation août  2026
#FACTURE N°F-08-2026-83 DU 19/08/202</t>
  </si>
  <si>
    <t>DA MARIE ESTHER RASOAMAMONJY Community Manangement SOKA août 2026# FACTURE N° 055 DU 19/08/2026</t>
  </si>
  <si>
    <t>DA Erick ANDRINIRINA Develppeur fullstack SOKA  août  2026# 
FACTURE N° F2600008 DU 11/08/2026</t>
  </si>
  <si>
    <t>RESA BILLET D AVION TANA vers FORT DAUPHIN</t>
  </si>
  <si>
    <t>MOBILISATION ET DEMOBILISATION du Chariot Elévateur</t>
  </si>
  <si>
    <t>Renouvellement contrat Berto : service de nettoyage TITAN III# DEVIS N°PF0408 DU 04/08/2026 - BC DE COUVERTURE DU 11/08/2026 AU 11/08/2027</t>
  </si>
  <si>
    <t>Yes</t>
  </si>
  <si>
    <t>No</t>
  </si>
  <si>
    <t>INV/2026/00032</t>
  </si>
  <si>
    <t>LN/00159/26</t>
  </si>
  <si>
    <t>TR/00098/26</t>
  </si>
  <si>
    <t>LN/00494/26</t>
  </si>
  <si>
    <t>226/2026</t>
  </si>
  <si>
    <t>414/2026</t>
  </si>
  <si>
    <t>330/2026</t>
  </si>
  <si>
    <t>FAC/OT/2026/8511</t>
  </si>
  <si>
    <t>FAC/OT/2026/8512</t>
  </si>
  <si>
    <t>FAC/OT/2026/8514</t>
  </si>
  <si>
    <t>FAC/OT/2026/9287</t>
  </si>
  <si>
    <t>0215/MOTO/2026</t>
  </si>
  <si>
    <t>0216/MOTO/2026</t>
  </si>
  <si>
    <t>0217/MOTO/2026</t>
  </si>
  <si>
    <t>001/06/2026</t>
  </si>
  <si>
    <t>22/2026/F</t>
  </si>
  <si>
    <t>sn</t>
  </si>
  <si>
    <t>CN-00863</t>
  </si>
  <si>
    <t>SN</t>
  </si>
  <si>
    <t>006/TELMA/FMBB/2026</t>
  </si>
  <si>
    <t>18072025/BC129775/NSB</t>
  </si>
  <si>
    <t>025/502/ENC-HR/Fact/TEL</t>
  </si>
  <si>
    <t>026/508/ENC-HR/Fact/TEL</t>
  </si>
  <si>
    <t>026/507/ENC-HR/Fact/TEL</t>
  </si>
  <si>
    <t>026/501/ENC-HR/Fact/TEL</t>
  </si>
  <si>
    <t>026/496/ENC-HR/Fact/TEL</t>
  </si>
  <si>
    <t>026/512/ENC-HR/Fact/TEL</t>
  </si>
  <si>
    <t>026/506/ENC-HR/Fact/TEL</t>
  </si>
  <si>
    <t>026/505/ENC-HR/Fact/TEL</t>
  </si>
  <si>
    <t>026/503/ENC-HR/Fact/TEL</t>
  </si>
  <si>
    <t>026/502/ENC-HR/Fact/TEL</t>
  </si>
  <si>
    <t>026/500/ENC-HR/Fact/TEL</t>
  </si>
  <si>
    <t>026/498/ENC-HR/Fact/TEL</t>
  </si>
  <si>
    <t>026/497/ENC-HR/Fact/TEL</t>
  </si>
  <si>
    <t>026/495/ENC-HR/Fact/TEL</t>
  </si>
  <si>
    <t>026/494/ENC-HR/Fact/TEL</t>
  </si>
  <si>
    <t>026/493/ENC-HR/Fact/TEL</t>
  </si>
  <si>
    <t>026/492/ENC-HR/Fact/TEL</t>
  </si>
  <si>
    <t>026/491/ENC-HR/Fact/TEL</t>
  </si>
  <si>
    <t>026/489/ENC-HR/Fact/TEL</t>
  </si>
  <si>
    <t>026/487/ENC-HR/Fact/TEL</t>
  </si>
  <si>
    <t>026/486/ENC-HR/Fact/TEL</t>
  </si>
  <si>
    <t>026/484/ENC-HR/Fact/TEL</t>
  </si>
  <si>
    <t>026/482/ENC-HR/Fact/TEL</t>
  </si>
  <si>
    <t>026/478/ENC-HR/Fact/TEL</t>
  </si>
  <si>
    <t>026/483/ENC-HR/Fact/TEL</t>
  </si>
  <si>
    <t>017/26</t>
  </si>
  <si>
    <t>016/26</t>
  </si>
  <si>
    <t>015/26</t>
  </si>
  <si>
    <t>No.361</t>
  </si>
  <si>
    <t>No.372</t>
  </si>
  <si>
    <t>No.370</t>
  </si>
  <si>
    <t>FI/01193/26</t>
  </si>
  <si>
    <t>INVOICE-061/2025/HM</t>
  </si>
  <si>
    <t>ING.M/2026/0040</t>
  </si>
  <si>
    <t>ING.M/2026/0039</t>
  </si>
  <si>
    <t>ING.M/2026/0038</t>
  </si>
  <si>
    <t>ING.M/2026/0037</t>
  </si>
  <si>
    <t>ING.M/2026/0036</t>
  </si>
  <si>
    <t>ING.M/2026/0035</t>
  </si>
  <si>
    <t>ING.M/2026/0034</t>
  </si>
  <si>
    <t>061/26</t>
  </si>
  <si>
    <t>PRIMA-FACT-0326-0788</t>
  </si>
  <si>
    <t>PRIMA-FACT-0626-0905</t>
  </si>
  <si>
    <t>PRIMA-FACT-0626-0906</t>
  </si>
  <si>
    <t>PRIMA-FACT-0626-0904</t>
  </si>
  <si>
    <t>PRIMA-FACT-0626-0903</t>
  </si>
  <si>
    <t>008/26</t>
  </si>
  <si>
    <t>007/26</t>
  </si>
  <si>
    <t>FAC/2026/02351</t>
  </si>
  <si>
    <t>157/AR/26</t>
  </si>
  <si>
    <t>156/AR/26</t>
  </si>
  <si>
    <t>TNR-143/2026</t>
  </si>
  <si>
    <t>FA000268</t>
  </si>
  <si>
    <t>FA000260</t>
  </si>
  <si>
    <t>YAS/FB/2026/00008</t>
  </si>
  <si>
    <t>YAS/WL/2026/00010</t>
  </si>
  <si>
    <t>FA-2026-0601</t>
  </si>
  <si>
    <t>FA-2026-0601-R2</t>
  </si>
  <si>
    <t>TANA/05/26</t>
  </si>
  <si>
    <t>PROV/05/26</t>
  </si>
  <si>
    <t>001/2026</t>
  </si>
  <si>
    <t>019/06/BS/2026</t>
  </si>
  <si>
    <t>0015/06/BS/2026</t>
  </si>
  <si>
    <t>FA11071</t>
  </si>
  <si>
    <t>M260000499</t>
  </si>
  <si>
    <t>M260000498</t>
  </si>
  <si>
    <t>M260000500</t>
  </si>
  <si>
    <t>M260000501</t>
  </si>
  <si>
    <t>M260000502</t>
  </si>
  <si>
    <t>M260000504</t>
  </si>
  <si>
    <t>M260000503</t>
  </si>
  <si>
    <t>FAC/CA/2026/1926</t>
  </si>
  <si>
    <t>6 422 / FA</t>
  </si>
  <si>
    <t>6 443 / FA</t>
  </si>
  <si>
    <t>6 444 / FA</t>
  </si>
  <si>
    <t>6 445 / FA</t>
  </si>
  <si>
    <t>6 446 / FA</t>
  </si>
  <si>
    <t>6 431 / FA</t>
  </si>
  <si>
    <t>6 439 / FA</t>
  </si>
  <si>
    <t>6 438 / FA</t>
  </si>
  <si>
    <t>6 437 / FA</t>
  </si>
  <si>
    <t>6 370 / FA</t>
  </si>
  <si>
    <t>6 373 / FA</t>
  </si>
  <si>
    <t>6 371 / FA</t>
  </si>
  <si>
    <t>6 374 / FA</t>
  </si>
  <si>
    <t>6 372 / FA</t>
  </si>
  <si>
    <t>6 375 / FA</t>
  </si>
  <si>
    <t>6 376 / FA</t>
  </si>
  <si>
    <t>6 377 / FA</t>
  </si>
  <si>
    <t>6 378 / FA</t>
  </si>
  <si>
    <t>6 379 / FA</t>
  </si>
  <si>
    <t>6 380 / FA</t>
  </si>
  <si>
    <t>6 381 / FA</t>
  </si>
  <si>
    <t>6 382 / FA</t>
  </si>
  <si>
    <t>6 385 / FA</t>
  </si>
  <si>
    <t>6 384 / FA</t>
  </si>
  <si>
    <t>6 383 / FA</t>
  </si>
  <si>
    <t>6 430 / FA</t>
  </si>
  <si>
    <t>016-2026</t>
  </si>
  <si>
    <t>0002/2026-FMF/SG/DAF/26</t>
  </si>
  <si>
    <t>0001/2026-FMF/SG/DAF/26</t>
  </si>
  <si>
    <t>004-05-26/FSBM</t>
  </si>
  <si>
    <t>098/2025</t>
  </si>
  <si>
    <t>FAC178/072026</t>
  </si>
  <si>
    <t>F2613502</t>
  </si>
  <si>
    <t>F2613482</t>
  </si>
  <si>
    <t>F2613436</t>
  </si>
  <si>
    <t>F2411356</t>
  </si>
  <si>
    <t>135601 3</t>
  </si>
  <si>
    <t>135601 2</t>
  </si>
  <si>
    <t>INJTVT/2026/00439</t>
  </si>
  <si>
    <t>INJTVT/2026/00441</t>
  </si>
  <si>
    <t>135602 3</t>
  </si>
  <si>
    <t>135602 2</t>
  </si>
  <si>
    <t>VTE/2026/00200</t>
  </si>
  <si>
    <t>VTE/2026/00199</t>
  </si>
  <si>
    <t>VTE/2026/00263</t>
  </si>
  <si>
    <t>2026-06-57</t>
  </si>
  <si>
    <t>KIBO12604FACLI19657</t>
  </si>
  <si>
    <t>676/2026</t>
  </si>
  <si>
    <t>675/2026</t>
  </si>
  <si>
    <t>674/226</t>
  </si>
  <si>
    <t>672/2026</t>
  </si>
  <si>
    <t>681/2026</t>
  </si>
  <si>
    <t>680/2026</t>
  </si>
  <si>
    <t>678/2026</t>
  </si>
  <si>
    <t>677/2026</t>
  </si>
  <si>
    <t>642/2026</t>
  </si>
  <si>
    <t>643/2026</t>
  </si>
  <si>
    <t>A327658</t>
  </si>
  <si>
    <t>A327656</t>
  </si>
  <si>
    <t>A327494</t>
  </si>
  <si>
    <t>A327491</t>
  </si>
  <si>
    <t>A328236</t>
  </si>
  <si>
    <t>A326904</t>
  </si>
  <si>
    <t>31/26/GC</t>
  </si>
  <si>
    <t>FAC-2026-06-TELMA-010</t>
  </si>
  <si>
    <t>032-05/LC/2026</t>
  </si>
  <si>
    <t>011/01/LC/2026</t>
  </si>
  <si>
    <t>INV-009228</t>
  </si>
  <si>
    <t>FP/0528/FM/2025</t>
  </si>
  <si>
    <t>2027-MADAJAM-01</t>
  </si>
  <si>
    <t>LMD07/080126/RED</t>
  </si>
  <si>
    <t>LMD23/260126/HOP</t>
  </si>
  <si>
    <t>LMD11/290925/25</t>
  </si>
  <si>
    <t>LMD77/290925/25</t>
  </si>
  <si>
    <t>LMD23/050126/ANJ</t>
  </si>
  <si>
    <t>LMD41/230126/JS</t>
  </si>
  <si>
    <t>LMD28/050126/05</t>
  </si>
  <si>
    <t>BA 28-LMD (39)</t>
  </si>
  <si>
    <t>BA 31-SOCIETE SEAM</t>
  </si>
  <si>
    <t>BA 30-RED CALL</t>
  </si>
  <si>
    <t>BA 32-LMD (35)</t>
  </si>
  <si>
    <t>BA 34-SIGNIFICATION JUGEMENT</t>
  </si>
  <si>
    <t>BA 35-SIGNIFICATION JUGEMENT</t>
  </si>
  <si>
    <t>BA 36-LMD (23)</t>
  </si>
  <si>
    <t>BA 38-SIGNIFICATION</t>
  </si>
  <si>
    <t>LMD02/140426</t>
  </si>
  <si>
    <t>BA 39-SAISIE ARRET BIS</t>
  </si>
  <si>
    <t>BA 40-LMD (40)</t>
  </si>
  <si>
    <t>BA 42-SIGNIFICATION</t>
  </si>
  <si>
    <t>BA 29-LMD (30)</t>
  </si>
  <si>
    <t>158/MPE/2026</t>
  </si>
  <si>
    <t>2026-05-YAS-23</t>
  </si>
  <si>
    <t>2026-05-YAS-19</t>
  </si>
  <si>
    <t>2026-05-YAS-22</t>
  </si>
  <si>
    <t>2026-05-YAS-20</t>
  </si>
  <si>
    <t>2026-05-YAS-21</t>
  </si>
  <si>
    <t>BC135205</t>
  </si>
  <si>
    <t>MOTO/2026</t>
  </si>
  <si>
    <t>01704/FA/26/MP/TNR</t>
  </si>
  <si>
    <t>01766/FA/26/MP/TNR</t>
  </si>
  <si>
    <t>FAC/2026/1435</t>
  </si>
  <si>
    <t>FAC/2026/2566</t>
  </si>
  <si>
    <t>02 / CTNO 2026</t>
  </si>
  <si>
    <t>102-2026/CCP/MCC</t>
  </si>
  <si>
    <t>FA2607-6177</t>
  </si>
  <si>
    <t>FA2607-6136</t>
  </si>
  <si>
    <t>FA2607-6143</t>
  </si>
  <si>
    <t>FA2607-6094</t>
  </si>
  <si>
    <t>FA2607-6119</t>
  </si>
  <si>
    <t>FA2607-6117</t>
  </si>
  <si>
    <t>FA2607-6118</t>
  </si>
  <si>
    <t>FA2607-6100</t>
  </si>
  <si>
    <t>FA2604-5675</t>
  </si>
  <si>
    <t>FA2607-6099</t>
  </si>
  <si>
    <t>BC135815</t>
  </si>
  <si>
    <t>2026FT118</t>
  </si>
  <si>
    <t>A19/AT/022-2-2026</t>
  </si>
  <si>
    <t>003/LFD</t>
  </si>
  <si>
    <t>FA2601-0204</t>
  </si>
  <si>
    <t>FA22571</t>
  </si>
  <si>
    <t>FA22414</t>
  </si>
  <si>
    <t>ND/ITM2026/031</t>
  </si>
  <si>
    <t>04/06</t>
  </si>
  <si>
    <t>INV/2026/00097</t>
  </si>
  <si>
    <t>FAOK-26-1382</t>
  </si>
  <si>
    <t>049/PIX/HAND/2026</t>
  </si>
  <si>
    <t>048/PIX/HAND/2026</t>
  </si>
  <si>
    <t>047/PIX/HAND/2026</t>
  </si>
  <si>
    <t>045/PIX/HAND/2026</t>
  </si>
  <si>
    <t>044/PIX/HAND/2026</t>
  </si>
  <si>
    <t>043/PIX/HAND/2026</t>
  </si>
  <si>
    <t>042/PIX/HAND/2026</t>
  </si>
  <si>
    <t>041/PIX/HAND/2026</t>
  </si>
  <si>
    <t>040/PIX/HAND/2026</t>
  </si>
  <si>
    <t>034/PIX/HAND/2026</t>
  </si>
  <si>
    <t>FACT09529</t>
  </si>
  <si>
    <t>FACT09228</t>
  </si>
  <si>
    <t>FACT09089</t>
  </si>
  <si>
    <t>FA134/RTS/2026</t>
  </si>
  <si>
    <t>FA135/RTS/2026</t>
  </si>
  <si>
    <t>FA109/RTS/2026</t>
  </si>
  <si>
    <t>FA108/RTS/2026</t>
  </si>
  <si>
    <t>06 Y-T/26</t>
  </si>
  <si>
    <t>FC3D02N</t>
  </si>
  <si>
    <t>FC0002E</t>
  </si>
  <si>
    <t>FC0001E</t>
  </si>
  <si>
    <t>FC0003E</t>
  </si>
  <si>
    <t>SL-TCH-017/2026</t>
  </si>
  <si>
    <t>BC135025 (2)</t>
  </si>
  <si>
    <t>BC134887</t>
  </si>
  <si>
    <t>123 SEE 2026</t>
  </si>
  <si>
    <t>163/26</t>
  </si>
  <si>
    <t>391 / 030726</t>
  </si>
  <si>
    <t>301 / 220526</t>
  </si>
  <si>
    <t>216/2026</t>
  </si>
  <si>
    <t>180/2026</t>
  </si>
  <si>
    <t>10-14351</t>
  </si>
  <si>
    <t>--94--/26/MCC/SG/DRCC-ANOSY</t>
  </si>
  <si>
    <t>--96--/26/MCC/SG/DRCC-ANOSY</t>
  </si>
  <si>
    <t>--91--/26/MCC/SG/DRCC-ANOSY</t>
  </si>
  <si>
    <t>--93--/26/MCC/SG/DRCC-ANOSY</t>
  </si>
  <si>
    <t>--92--/26/MCC/SG/DRCC-ANOSY</t>
  </si>
  <si>
    <t>--95--/26/MCC/SG/DRCC-ANOSY</t>
  </si>
  <si>
    <t>TV000000300</t>
  </si>
  <si>
    <t>RD000000472</t>
  </si>
  <si>
    <t>TV000000453</t>
  </si>
  <si>
    <t>TV000000452</t>
  </si>
  <si>
    <t>RD000000417</t>
  </si>
  <si>
    <t>RD000000416</t>
  </si>
  <si>
    <t>TV000000455</t>
  </si>
  <si>
    <t>TV000000456</t>
  </si>
  <si>
    <t>TV000000457</t>
  </si>
  <si>
    <t>TV000000458</t>
  </si>
  <si>
    <t>TV000000454</t>
  </si>
  <si>
    <t>RD000000380</t>
  </si>
  <si>
    <t>RD000000378</t>
  </si>
  <si>
    <t>RD000000379</t>
  </si>
  <si>
    <t>RD000000350</t>
  </si>
  <si>
    <t>RD000000471</t>
  </si>
  <si>
    <t>TV000000359</t>
  </si>
  <si>
    <t>FACTURE /2026/017197</t>
  </si>
  <si>
    <t>FCT01866</t>
  </si>
  <si>
    <t>FCT01863</t>
  </si>
  <si>
    <t>FCT01789</t>
  </si>
  <si>
    <t>F852716</t>
  </si>
  <si>
    <t>F850913</t>
  </si>
  <si>
    <t>F850796</t>
  </si>
  <si>
    <t>FM SGE000080</t>
  </si>
  <si>
    <t>FM SGE000074</t>
  </si>
  <si>
    <t>0256/EVENT/PRKL/2026</t>
  </si>
  <si>
    <t>F0022756</t>
  </si>
  <si>
    <t>M3T48717</t>
  </si>
  <si>
    <t>M3T48716</t>
  </si>
  <si>
    <t>ST260600034</t>
  </si>
  <si>
    <t>ST260500030</t>
  </si>
  <si>
    <t>ST260500029</t>
  </si>
  <si>
    <t>ST260600032</t>
  </si>
  <si>
    <t>ST260600031</t>
  </si>
  <si>
    <t>ST260600010</t>
  </si>
  <si>
    <t>ST260400040</t>
  </si>
  <si>
    <t>ST260300065</t>
  </si>
  <si>
    <t>ST260300064</t>
  </si>
  <si>
    <t>ST260100049</t>
  </si>
  <si>
    <t>ST260600080</t>
  </si>
  <si>
    <t>ST260600011</t>
  </si>
  <si>
    <t>ST260500068</t>
  </si>
  <si>
    <t>ST260500027</t>
  </si>
  <si>
    <t>325062026PCTC</t>
  </si>
  <si>
    <t>316062026PCTC</t>
  </si>
  <si>
    <t>FA2607-4549</t>
  </si>
  <si>
    <t>FA2607-4499</t>
  </si>
  <si>
    <t>FA2607-4498</t>
  </si>
  <si>
    <t>AC2606-0342</t>
  </si>
  <si>
    <t>FGR2606STR00346</t>
  </si>
  <si>
    <t>FGR2606STR00337</t>
  </si>
  <si>
    <t>FGR2606STR00329</t>
  </si>
  <si>
    <t>TR/00133/26</t>
  </si>
  <si>
    <t>AL/00070/26</t>
  </si>
  <si>
    <t>NM/00017/26</t>
  </si>
  <si>
    <t>TR/00205/26</t>
  </si>
  <si>
    <t>LN/01096/26</t>
  </si>
  <si>
    <t>AL/00069/26</t>
  </si>
  <si>
    <t>LN/00716/26</t>
  </si>
  <si>
    <t>PSI26-0098647</t>
  </si>
  <si>
    <t>PSI26-0098643</t>
  </si>
  <si>
    <t>PSI26-0098937</t>
  </si>
  <si>
    <t>002/2026</t>
  </si>
  <si>
    <t>FA003795</t>
  </si>
  <si>
    <t>N°22-07/2026</t>
  </si>
  <si>
    <t>N°00000266</t>
  </si>
  <si>
    <t>N°00000237</t>
  </si>
  <si>
    <t>N°04513</t>
  </si>
  <si>
    <t>MPT-2026/04-10-02</t>
  </si>
  <si>
    <t>025/07/2026</t>
  </si>
  <si>
    <t>025/06/2026</t>
  </si>
  <si>
    <t>025/05/2026</t>
  </si>
  <si>
    <t>F/082600111</t>
  </si>
  <si>
    <t>FI/1243/26/ND</t>
  </si>
  <si>
    <t>FI/1257/26/ND</t>
  </si>
  <si>
    <t>FI/1207/26/ND</t>
  </si>
  <si>
    <t>FI/1201/26/ND</t>
  </si>
  <si>
    <t>FI/0528/2026/EE</t>
  </si>
  <si>
    <t>FI/1188/26/ND</t>
  </si>
  <si>
    <t>FI/01178/26/ND</t>
  </si>
  <si>
    <t>FI/01174/26/ND</t>
  </si>
  <si>
    <t>FI/1078/26/ND</t>
  </si>
  <si>
    <t>FI/01176/26/ND</t>
  </si>
  <si>
    <t>FI/940/26/ND</t>
  </si>
  <si>
    <t>FI/1061/26/ND</t>
  </si>
  <si>
    <t>FC AXU001960</t>
  </si>
  <si>
    <t>FC AXU001959</t>
  </si>
  <si>
    <t>FC ATS000578</t>
  </si>
  <si>
    <t>FC ATS000626</t>
  </si>
  <si>
    <t>F/082600133</t>
  </si>
  <si>
    <t>158/FX/CPT/26</t>
  </si>
  <si>
    <t>F/AD082600139</t>
  </si>
  <si>
    <t>203/AV/TELMA/2026</t>
  </si>
  <si>
    <t>204/AV/TELMA/2026</t>
  </si>
  <si>
    <t>482/FA/TELMA/2026</t>
  </si>
  <si>
    <t>480/FA/TELMA/2026</t>
  </si>
  <si>
    <t>481/FA/TELMA/2026</t>
  </si>
  <si>
    <t>382/DMD/TELMA/2026</t>
  </si>
  <si>
    <t>485/FA/TELMA/2026</t>
  </si>
  <si>
    <t>486/FA/TELMA/2026</t>
  </si>
  <si>
    <t>487/FA/TELMA/2026</t>
  </si>
  <si>
    <t>488/FA/TELMA/2026</t>
  </si>
  <si>
    <t>489/FA/TELMA/2026</t>
  </si>
  <si>
    <t>219/DMD/TELMA/2026</t>
  </si>
  <si>
    <t>218/DMD/TELMA/2026</t>
  </si>
  <si>
    <t>225/DMD/TELMA/2026</t>
  </si>
  <si>
    <t>519/FA/TELMA/2026</t>
  </si>
  <si>
    <t>334/DMD/TELMA/2026</t>
  </si>
  <si>
    <t>342/DMD/TELMA/2026</t>
  </si>
  <si>
    <t>341/DMD/TELMA/2026</t>
  </si>
  <si>
    <t>332/DMD/TELMA/2026</t>
  </si>
  <si>
    <t>352/DMD/TELMA/2026</t>
  </si>
  <si>
    <t>CN-00878</t>
  </si>
  <si>
    <t>INV-13099</t>
  </si>
  <si>
    <t>INV-13161</t>
  </si>
  <si>
    <t>INV-13105</t>
  </si>
  <si>
    <t>INV-13034</t>
  </si>
  <si>
    <t>INV-13035</t>
  </si>
  <si>
    <t>INV-13036</t>
  </si>
  <si>
    <t>INV-13088</t>
  </si>
  <si>
    <t>INV-13049</t>
  </si>
  <si>
    <t>026/599/ENC-HR/Fact/TEL</t>
  </si>
  <si>
    <t>026/598/ENC-HR/Fact/TEL</t>
  </si>
  <si>
    <t>026/597/ENC-HR/Fact/TE</t>
  </si>
  <si>
    <t>PRIMA-FACT-0826-0928</t>
  </si>
  <si>
    <t>077/026/BS</t>
  </si>
  <si>
    <t>FAC0064/26</t>
  </si>
  <si>
    <t>FAC0059/26</t>
  </si>
  <si>
    <t>FAC0066/26</t>
  </si>
  <si>
    <t>FAC0067/26</t>
  </si>
  <si>
    <t>ING.M/2026/0122</t>
  </si>
  <si>
    <t>ING.M/2026/0121</t>
  </si>
  <si>
    <t>ING.M/2026/0120</t>
  </si>
  <si>
    <t>ING.M/2026/0119</t>
  </si>
  <si>
    <t>ING.M/2026/0118</t>
  </si>
  <si>
    <t>ING.M/2026/0117</t>
  </si>
  <si>
    <t>FAA/2026/05/0234</t>
  </si>
  <si>
    <t>FA2601-0071</t>
  </si>
  <si>
    <t>YAS/2026/00002</t>
  </si>
  <si>
    <t>YAS/2026/00001</t>
  </si>
  <si>
    <t>FAA/2026/06/09947</t>
  </si>
  <si>
    <t>FAC/2026/02421</t>
  </si>
  <si>
    <t>PROV/06/26</t>
  </si>
  <si>
    <t>TANA/06/2026</t>
  </si>
  <si>
    <t>20260617-23</t>
  </si>
  <si>
    <t>028/INTFACT/2026</t>
  </si>
  <si>
    <t>12/S/26</t>
  </si>
  <si>
    <t>31.07.26</t>
  </si>
  <si>
    <t>N-1</t>
  </si>
  <si>
    <t>00102/08/BS/2026</t>
  </si>
  <si>
    <t>001/06/BS/2026</t>
  </si>
  <si>
    <t>BC136239</t>
  </si>
  <si>
    <t>0022/2026</t>
  </si>
  <si>
    <t>0021/2026</t>
  </si>
  <si>
    <t>0020/2026</t>
  </si>
  <si>
    <t>0019/2026</t>
  </si>
  <si>
    <t>0018/2026</t>
  </si>
  <si>
    <t>0017/2026</t>
  </si>
  <si>
    <t>0016/2026</t>
  </si>
  <si>
    <t>0015/2026</t>
  </si>
  <si>
    <t>0014/2026</t>
  </si>
  <si>
    <t>0013/2026</t>
  </si>
  <si>
    <t>0012/2026</t>
  </si>
  <si>
    <t>0011/2026</t>
  </si>
  <si>
    <t>0010/2026</t>
  </si>
  <si>
    <t>0009/2026</t>
  </si>
  <si>
    <t>0008/2026</t>
  </si>
  <si>
    <t>0007/2026</t>
  </si>
  <si>
    <t>0006/2026</t>
  </si>
  <si>
    <t>0005/2026</t>
  </si>
  <si>
    <t>0004/2026</t>
  </si>
  <si>
    <t>0003/2026</t>
  </si>
  <si>
    <t>0002/2026</t>
  </si>
  <si>
    <t>0001/2026</t>
  </si>
  <si>
    <t>INV-S-000023374</t>
  </si>
  <si>
    <t>INV-S-000023373</t>
  </si>
  <si>
    <t>04/MEVA2026/CCID</t>
  </si>
  <si>
    <t>BC134820</t>
  </si>
  <si>
    <t>FV+SIE0226-001208</t>
  </si>
  <si>
    <t>120/26</t>
  </si>
  <si>
    <t>026/253/ENC-HR/Fact/TEL</t>
  </si>
  <si>
    <t>026/241/ENC-HR/Fact/TEL</t>
  </si>
  <si>
    <t>026/237/ENC-HR/Fact/TEL</t>
  </si>
  <si>
    <t>026/150/ENC-HR-Fact/TEL</t>
  </si>
  <si>
    <t>026/059/ENC-HR/Fact/TEL</t>
  </si>
  <si>
    <t>026/547/ENC-HR/Fact/TEL</t>
  </si>
  <si>
    <t>026/546/ENC-HR/Fact/TEL</t>
  </si>
  <si>
    <t>026/545/ENC-HR/Fact/TEL</t>
  </si>
  <si>
    <t>026/544/ENC-HR/Fact/TEL</t>
  </si>
  <si>
    <t>026/543/ENC-HR/Fact/TEL</t>
  </si>
  <si>
    <t>026/542/ENC-HR/Fact/TEL</t>
  </si>
  <si>
    <t>026/540/ENC-HR/DFact/TEL</t>
  </si>
  <si>
    <t>026/539/ENC-HR/Fact/TEL</t>
  </si>
  <si>
    <t>026/538/ENC-HR/Fact/TEL</t>
  </si>
  <si>
    <t>026/537/ENC-HR/Fact/TEL</t>
  </si>
  <si>
    <t>026/535/ENC-HR/Fact/TEL</t>
  </si>
  <si>
    <t>026/536/ENC-HR/Fact/TEL</t>
  </si>
  <si>
    <t>026/534/ENC-HR/Fact/TEL</t>
  </si>
  <si>
    <t>026/533/ENC-HR/Fact/TEL</t>
  </si>
  <si>
    <t>026/532/ENC-HR/Fact/TEL</t>
  </si>
  <si>
    <t>026/530/ENC-HR/Fact/TEL</t>
  </si>
  <si>
    <t>026/529/ENC-HR/Fact/TEL</t>
  </si>
  <si>
    <t>026/528/ENC-HR/Fact/TEL</t>
  </si>
  <si>
    <t>026/527/ENC-HR/Fact/TEL</t>
  </si>
  <si>
    <t>026/526/ENC-HR/Fact/TEL</t>
  </si>
  <si>
    <t>026/525/ENC-HR/Fact/TEL</t>
  </si>
  <si>
    <t>026/524/ENC-HR/Fact/TEL</t>
  </si>
  <si>
    <t>026/523/ENC-HR/Fact/TEL</t>
  </si>
  <si>
    <t>026/522/ENC-HR/Fact/TEL</t>
  </si>
  <si>
    <t>026/521/ENC-HR/Fact/TEL</t>
  </si>
  <si>
    <t>026/520/ENC-HR/Fact/TEL</t>
  </si>
  <si>
    <t>026/519/ENC-HR/Fact/TEL</t>
  </si>
  <si>
    <t>026/517/ENC-HR/Fact/TEL</t>
  </si>
  <si>
    <t>026/515/ENC-HR/Fact/TEL</t>
  </si>
  <si>
    <t>026/516/ENC-HR/Fact/TEL</t>
  </si>
  <si>
    <t>036/06/E/26</t>
  </si>
  <si>
    <t>041/07/E/26</t>
  </si>
  <si>
    <t>26/2054 ACPT</t>
  </si>
  <si>
    <t>013/26</t>
  </si>
  <si>
    <t>014/26</t>
  </si>
  <si>
    <t>FAAL03786</t>
  </si>
  <si>
    <t>FAAL03793</t>
  </si>
  <si>
    <t>FAAL03789</t>
  </si>
  <si>
    <t>FAAL03787</t>
  </si>
  <si>
    <t>17052/FP/26</t>
  </si>
  <si>
    <t>028/026/GC</t>
  </si>
  <si>
    <t>F0726019</t>
  </si>
  <si>
    <t>F0726016</t>
  </si>
  <si>
    <t>F2613572</t>
  </si>
  <si>
    <t>F2512631</t>
  </si>
  <si>
    <t>1636/26</t>
  </si>
  <si>
    <t>1633/26</t>
  </si>
  <si>
    <t>1631/26</t>
  </si>
  <si>
    <t>1635/26</t>
  </si>
  <si>
    <t>FAC/2026/00531</t>
  </si>
  <si>
    <t>851 / F24</t>
  </si>
  <si>
    <t>FAC/2026/0255</t>
  </si>
  <si>
    <t>VTE/2026/00289</t>
  </si>
  <si>
    <t>VTE/2026/00292</t>
  </si>
  <si>
    <t>F104/08/26/JR</t>
  </si>
  <si>
    <t>2026-04-059</t>
  </si>
  <si>
    <t>FA/0002/26/ND</t>
  </si>
  <si>
    <t>A329410</t>
  </si>
  <si>
    <t>A328826</t>
  </si>
  <si>
    <t>A328787</t>
  </si>
  <si>
    <t>A328418</t>
  </si>
  <si>
    <t>A328419</t>
  </si>
  <si>
    <t>A328413</t>
  </si>
  <si>
    <t>A328411</t>
  </si>
  <si>
    <t>A327965</t>
  </si>
  <si>
    <t>A326932</t>
  </si>
  <si>
    <t>LJF-26-0464</t>
  </si>
  <si>
    <t>034/06/LC/2026</t>
  </si>
  <si>
    <t>160-06/LC/2026</t>
  </si>
  <si>
    <t>047-07/LC/2026</t>
  </si>
  <si>
    <t>046-07/LC-26</t>
  </si>
  <si>
    <t>041-06/LC/2026</t>
  </si>
  <si>
    <t>037-06/LC/2026</t>
  </si>
  <si>
    <t>036-06/LC/2026</t>
  </si>
  <si>
    <t>052-07/LC/2026</t>
  </si>
  <si>
    <t>044-07/LC/2026</t>
  </si>
  <si>
    <t>043-06/LC/2026</t>
  </si>
  <si>
    <t>038-06/LC/2026</t>
  </si>
  <si>
    <t>059/26</t>
  </si>
  <si>
    <t>LMD40/260126/OKTA</t>
  </si>
  <si>
    <t>LMD23/230126/HOP</t>
  </si>
  <si>
    <t>LMD20/180326/05</t>
  </si>
  <si>
    <t>LMD05/140426/AJDM</t>
  </si>
  <si>
    <t>LMD28/050126/AMK</t>
  </si>
  <si>
    <t>SA05/2270226/AVN</t>
  </si>
  <si>
    <t>LMD02/090426/RMI</t>
  </si>
  <si>
    <t>LMD02/170326/STA</t>
  </si>
  <si>
    <t>LMD08/090126/ACSA</t>
  </si>
  <si>
    <t>LMD17/151025</t>
  </si>
  <si>
    <t>LMD20/151025</t>
  </si>
  <si>
    <t>ML02/act081225</t>
  </si>
  <si>
    <t>SA16/290925</t>
  </si>
  <si>
    <t>BA 12-SAISIE ARRET</t>
  </si>
  <si>
    <t>BA 11-SIGNIFICATION</t>
  </si>
  <si>
    <t>BA 07-ASSIGNATION</t>
  </si>
  <si>
    <t>BA 06-LMD (40) SIGN 01/2026</t>
  </si>
  <si>
    <t>BA 05-LMD SIGN 01/2026</t>
  </si>
  <si>
    <t>BA 04-LMD (23) SIGN 01/2026</t>
  </si>
  <si>
    <t>BA 03-SIGNIFICATION</t>
  </si>
  <si>
    <t>BA 104-SIGNIFICATION</t>
  </si>
  <si>
    <t>BA 27-CONSTRUCT SARL</t>
  </si>
  <si>
    <t>FA2607-050</t>
  </si>
  <si>
    <t>10/26</t>
  </si>
  <si>
    <t>02123/FA/26/MP/TNR</t>
  </si>
  <si>
    <t>02159/FA/26/MP/TNR</t>
  </si>
  <si>
    <t>MG 018-26</t>
  </si>
  <si>
    <t>MG 019-26</t>
  </si>
  <si>
    <t>CF-0078</t>
  </si>
  <si>
    <t>FA2607-6188</t>
  </si>
  <si>
    <t>FA2607-6207</t>
  </si>
  <si>
    <t>FA2607-6201</t>
  </si>
  <si>
    <t>FA2606-6252</t>
  </si>
  <si>
    <t>FA2607-6134</t>
  </si>
  <si>
    <t>FA/2026/00283</t>
  </si>
  <si>
    <t>00600</t>
  </si>
  <si>
    <t>0061</t>
  </si>
  <si>
    <t>004</t>
  </si>
  <si>
    <t>2026-0502</t>
  </si>
  <si>
    <t>0002</t>
  </si>
  <si>
    <t>077/PIX/HAND/2026</t>
  </si>
  <si>
    <t>076/PIX/HAND/2026</t>
  </si>
  <si>
    <t>075/PIX/HAND/2026</t>
  </si>
  <si>
    <t>074/PIX/HAND/2026</t>
  </si>
  <si>
    <t>073/PIX/HAND/2026</t>
  </si>
  <si>
    <t>072/PIX/HAND/2026</t>
  </si>
  <si>
    <t>071/PIX/HAND/2026</t>
  </si>
  <si>
    <t>070/PIX/HAND/2026</t>
  </si>
  <si>
    <t>069/PIX/HAND/2026</t>
  </si>
  <si>
    <t>068/PIX/HAND/2026</t>
  </si>
  <si>
    <t>067/PIX/HAND/2026</t>
  </si>
  <si>
    <t>066/PIX/HAND/2026</t>
  </si>
  <si>
    <t>058/PIX/HAND/2026</t>
  </si>
  <si>
    <t>057/PIX/HAND/2026</t>
  </si>
  <si>
    <t>FAC/2026/00819</t>
  </si>
  <si>
    <t>2026/001</t>
  </si>
  <si>
    <t>2026/006</t>
  </si>
  <si>
    <t>0963/26</t>
  </si>
  <si>
    <t>0942/26</t>
  </si>
  <si>
    <t>0913/26</t>
  </si>
  <si>
    <t>083/RTR/26</t>
  </si>
  <si>
    <t>084/RTR/26</t>
  </si>
  <si>
    <t>082/RTR/26</t>
  </si>
  <si>
    <t>FA162/RTS/2026</t>
  </si>
  <si>
    <t>FA161/RTS/2026</t>
  </si>
  <si>
    <t>439F/YAS</t>
  </si>
  <si>
    <t>426F_YAS</t>
  </si>
  <si>
    <t>429F /YAS/2026</t>
  </si>
  <si>
    <t>FA0556</t>
  </si>
  <si>
    <t>FC3106AND</t>
  </si>
  <si>
    <t>028/2026</t>
  </si>
  <si>
    <t>CLT-N1/26</t>
  </si>
  <si>
    <t>440612</t>
  </si>
  <si>
    <t>135981</t>
  </si>
  <si>
    <t>027/2026</t>
  </si>
  <si>
    <t>715/26-ABE</t>
  </si>
  <si>
    <t>RD000000152</t>
  </si>
  <si>
    <t>RD000000153</t>
  </si>
  <si>
    <t>RD000000317</t>
  </si>
  <si>
    <t>TV000000282</t>
  </si>
  <si>
    <t>RD000000288</t>
  </si>
  <si>
    <t>RD000000297</t>
  </si>
  <si>
    <t>RD000000296</t>
  </si>
  <si>
    <t>RD000000280</t>
  </si>
  <si>
    <t>RD000000270</t>
  </si>
  <si>
    <t>RD000000250</t>
  </si>
  <si>
    <t>TV000000477</t>
  </si>
  <si>
    <t>RD000000438</t>
  </si>
  <si>
    <t>TV000000494</t>
  </si>
  <si>
    <t>TV000000490</t>
  </si>
  <si>
    <t>RD000000451</t>
  </si>
  <si>
    <t>9833/26</t>
  </si>
  <si>
    <t>SAN012607FACI02402</t>
  </si>
  <si>
    <t>FT1040447</t>
  </si>
  <si>
    <t>FCT01924</t>
  </si>
  <si>
    <t>FCT01996</t>
  </si>
  <si>
    <t>FCT02000</t>
  </si>
  <si>
    <t>FCT01999</t>
  </si>
  <si>
    <t>FCT01861</t>
  </si>
  <si>
    <t>FCT01893</t>
  </si>
  <si>
    <t>F853638</t>
  </si>
  <si>
    <t>F852597</t>
  </si>
  <si>
    <t>313062026PCTC</t>
  </si>
  <si>
    <t>30362026PCDC</t>
  </si>
  <si>
    <t>342072026PCDC</t>
  </si>
  <si>
    <t>FA2606-4428</t>
  </si>
  <si>
    <t>FA2606-4425</t>
  </si>
  <si>
    <t>FA2606-4424</t>
  </si>
  <si>
    <t>FA2606-4423</t>
  </si>
  <si>
    <t>135987</t>
  </si>
  <si>
    <t>FA260521/TV PLUS 2026</t>
  </si>
  <si>
    <t>FA260570/TV PLUS 2026</t>
  </si>
  <si>
    <t>FA260518/TV PLUS 2026</t>
  </si>
  <si>
    <t>FA260517/TV PLUS 2026</t>
  </si>
  <si>
    <t>FA260522/TV PLUS 2026</t>
  </si>
  <si>
    <t>FA260520/TV PLUS 2026</t>
  </si>
  <si>
    <t>FA260519/TV PLUS 2026</t>
  </si>
  <si>
    <t>FA260492/TV PLUS 2026</t>
  </si>
  <si>
    <t>FA260495/TV PLUS 2026</t>
  </si>
  <si>
    <t>TRAIL D IBITY</t>
  </si>
  <si>
    <t>FA260494/TV PLUS 2026</t>
  </si>
  <si>
    <t>FA260488/TV PLUS 2026</t>
  </si>
  <si>
    <t>FA260487/TV PLUS 2026</t>
  </si>
  <si>
    <t>FA260486/TV PLUS 2026</t>
  </si>
  <si>
    <t>FA260485/TV  PLUS 2026</t>
  </si>
  <si>
    <t>FA260482/TV PLUS 2026</t>
  </si>
  <si>
    <t>FA260481/TV PLUS 2026</t>
  </si>
  <si>
    <t>FA260484/TV PLUS 2026</t>
  </si>
  <si>
    <t>FA260483/TV PLUS 2026</t>
  </si>
  <si>
    <t>FA260480/TV PLUS 2026</t>
  </si>
  <si>
    <t>FA260479/TV PLUS 2026</t>
  </si>
  <si>
    <t>FA260503/TV PLUS 2026</t>
  </si>
  <si>
    <t>FA260502/TV PLUS 2026</t>
  </si>
  <si>
    <t>PROMO RADIO ZTE</t>
  </si>
  <si>
    <t>FA260476/TV PLUS 2026</t>
  </si>
  <si>
    <t>FA260475/TV PLUS 2026</t>
  </si>
  <si>
    <t>FA260474/TV PLUS 2026</t>
  </si>
  <si>
    <t>FA260505/TV PLUS 2026</t>
  </si>
  <si>
    <t>FA260504/TV PLUS 2026</t>
  </si>
  <si>
    <t>FA260473/TV PLUS 2026</t>
  </si>
  <si>
    <t>FA260472/TV PLUS 2026</t>
  </si>
  <si>
    <t>FA260471/TV PLUS 2026</t>
  </si>
  <si>
    <t>FA260470/TV PLUS 2026</t>
  </si>
  <si>
    <t>FA260469/TV PLUS 2026</t>
  </si>
  <si>
    <t>FA260490/TV PLUS 2026</t>
  </si>
  <si>
    <t>FA260491/TV PLUS 2026</t>
  </si>
  <si>
    <t>FA260533/TV PLUS 2026</t>
  </si>
  <si>
    <t>FA260478/TV PLUS 2026</t>
  </si>
  <si>
    <t>FA260534/TV PLUS 2026</t>
  </si>
  <si>
    <t>FA260464/TV PLUS 2026</t>
  </si>
  <si>
    <t>FA260459/TV PLUS 2026</t>
  </si>
  <si>
    <t>FA260458/TV PLUS 2026</t>
  </si>
  <si>
    <t>FA260457/TV PLUS 2026</t>
  </si>
  <si>
    <t>FA260452/TV PLUS 2026</t>
  </si>
  <si>
    <t>FA260451/TV PLUS 2026</t>
  </si>
  <si>
    <t>FA260434/TV PLUS 2026</t>
  </si>
  <si>
    <t>FA260433/TV PLUS 2026</t>
  </si>
  <si>
    <t>FA260432/TV PLUS 2026</t>
  </si>
  <si>
    <t>FA260468/TV PLUS 2026</t>
  </si>
  <si>
    <t>FA260467 /TV PLUS 2026</t>
  </si>
  <si>
    <t>FA260466 /TV PLUS 2026</t>
  </si>
  <si>
    <t>FA260465 /TV PLUS 2026</t>
  </si>
  <si>
    <t>FA260454 /TV PLUS 2026</t>
  </si>
  <si>
    <t>FA260453 TV PLUS 2026</t>
  </si>
  <si>
    <t>FA260489 /TV PLUS 2026</t>
  </si>
  <si>
    <t>FU0191-26</t>
  </si>
  <si>
    <t>PSI26-0109080</t>
  </si>
  <si>
    <t>PSI26-0105208</t>
  </si>
  <si>
    <t>0104</t>
  </si>
  <si>
    <t>204446</t>
  </si>
  <si>
    <t>204442</t>
  </si>
  <si>
    <t>2026/026</t>
  </si>
  <si>
    <t>CN-00877</t>
  </si>
  <si>
    <t>CN-00876</t>
  </si>
  <si>
    <t>CN-00875</t>
  </si>
  <si>
    <t>CN-00870</t>
  </si>
  <si>
    <t>CN-00872</t>
  </si>
  <si>
    <t>CN-00873</t>
  </si>
  <si>
    <t>CN-00871</t>
  </si>
  <si>
    <t>CN-00868</t>
  </si>
  <si>
    <t>CN-00869</t>
  </si>
  <si>
    <t>INV-13163</t>
  </si>
  <si>
    <t>INV-13164</t>
  </si>
  <si>
    <t>INV-13165</t>
  </si>
  <si>
    <t>INV-13166</t>
  </si>
  <si>
    <t>INV-13167</t>
  </si>
  <si>
    <t>INV-13168</t>
  </si>
  <si>
    <t>DM-13169</t>
  </si>
  <si>
    <t>DM-13170</t>
  </si>
  <si>
    <t>INV-13172</t>
  </si>
  <si>
    <t>INV-13171</t>
  </si>
  <si>
    <t>INV-13176</t>
  </si>
  <si>
    <t>INV-13173</t>
  </si>
  <si>
    <t>INV-13174</t>
  </si>
  <si>
    <t>INV-13181</t>
  </si>
  <si>
    <t>INV-13190</t>
  </si>
  <si>
    <t>INV-13182</t>
  </si>
  <si>
    <t>INV-13179</t>
  </si>
  <si>
    <t>INV-13177</t>
  </si>
  <si>
    <t>INV-13175</t>
  </si>
  <si>
    <t>INV-13178</t>
  </si>
  <si>
    <t>INV-13185</t>
  </si>
  <si>
    <t>INV-13180</t>
  </si>
  <si>
    <t>INV-13184</t>
  </si>
  <si>
    <t>INV-13183</t>
  </si>
  <si>
    <t>INV-13186</t>
  </si>
  <si>
    <t>INV-13084</t>
  </si>
  <si>
    <t>28/P/26</t>
  </si>
  <si>
    <t>INV-13188</t>
  </si>
  <si>
    <t>INV-13189</t>
  </si>
  <si>
    <t>043-0426</t>
  </si>
  <si>
    <t>Titre de Sponsor Gold</t>
  </si>
  <si>
    <t>LES NOUVELLES/Publicité JNAV 2026</t>
  </si>
  <si>
    <t>TARATRA MARS 2026</t>
  </si>
  <si>
    <t>LES NOUVELLES/Publicité mois de mars 2026</t>
  </si>
  <si>
    <t>JTVM MARS 2026</t>
  </si>
  <si>
    <t>JVTM MOIS DE MAI 2026</t>
  </si>
  <si>
    <t>PACK PARRAINAGE AVRIL 2026</t>
  </si>
  <si>
    <t>RALLONGE D'UTILISATION NEW DUSTER 53044WWT -</t>
  </si>
  <si>
    <t>REPARATION AVEC PIECES DE RECHANGES</t>
  </si>
  <si>
    <t>RALLONGE D'UTILISATION - 56887WWT</t>
  </si>
  <si>
    <t>RALLONGE D'UTILISATION</t>
  </si>
  <si>
    <t>COFI 2026 - MOTO GRS IMPROVE EVOLUTION</t>
  </si>
  <si>
    <t>Cofinancements 2026 - MOTO GRS LOVASAH</t>
  </si>
  <si>
    <t>COFI 2026 - MOTO GRS ADR MOBILE</t>
  </si>
  <si>
    <t>Séminaire RAS 2026 - Ambanja</t>
  </si>
  <si>
    <t>Sponsoring Body Perfect 2026</t>
  </si>
  <si>
    <t>Séminaire RAS_RC Bongolava</t>
  </si>
  <si>
    <t>SFM1_135805_135805_Partenariat Commune Moramanga</t>
  </si>
  <si>
    <t>MADAJOB1_AVOIR Frais de transport JUIN 2026_FA N°CN-00863_BC 135260</t>
  </si>
  <si>
    <t>LESDELICES1_Location salle de réunion à Manakara du 27-07-26 au 31-07-26_BC 136051</t>
  </si>
  <si>
    <t>FMBB1_Consommation Internet et Flotte Mois de Juin 2026 _006/TELMA/FMBB/2026_135894</t>
  </si>
  <si>
    <t>Paiement Jeton de présence Avantages Asdministrateur YAS Mr Tahiry Trimosoa RABENANAHARY pour l'année 2026</t>
  </si>
  <si>
    <t>Transport et implantation poteau en bois-Client Nosy BE-9è vague</t>
  </si>
  <si>
    <t>Installation FO-Extension INFRA GPON Ambohimanambola</t>
  </si>
  <si>
    <t>Travaux de maintenance filaire- Ivato</t>
  </si>
  <si>
    <t>Travaux de maintenance filaire-Extension Analamahitsy</t>
  </si>
  <si>
    <t>Travaux de maintenance -GC Sabotsy Namehana</t>
  </si>
  <si>
    <t>Installation FO-Extension INFRA GPON Itaosy</t>
  </si>
  <si>
    <t>Travaux de extension filaire-Cuivre Ambilobe</t>
  </si>
  <si>
    <t>Travaux de maintenance filaire-Extension Ankatso</t>
  </si>
  <si>
    <t>Travaux de maintenande filaire-Extension Anosibe</t>
  </si>
  <si>
    <t>Travaux de rétablissement dégât Bibilava</t>
  </si>
  <si>
    <t>Travaux de rétablissement dégât Ivandry</t>
  </si>
  <si>
    <t>Travaux de maintenance GC Ambohitrimanjaka</t>
  </si>
  <si>
    <t>Travaux de maintenance filaire SUPERMAKI</t>
  </si>
  <si>
    <t>Travaux de maintenance filaire ENAC Ivatto</t>
  </si>
  <si>
    <t>INSTALLATION FO- AMBODIVOINA</t>
  </si>
  <si>
    <t>Travaux de maintenance filaire-GC Ambohimangakely</t>
  </si>
  <si>
    <t>TRAVAUX INFRA GPON ANKADIKELY</t>
  </si>
  <si>
    <t>TRAVAUX INFRA GPON SOANIERANA</t>
  </si>
  <si>
    <t>TRAVAUX INFRA GPON Ambohimanambola</t>
  </si>
  <si>
    <t>Travaux de déplacement filaire Ambodivoanjo</t>
  </si>
  <si>
    <t>Travaux de rétablissement dégât Frt-Voyron</t>
  </si>
  <si>
    <t>Travaux de dérangement dégât Anjomakely</t>
  </si>
  <si>
    <t>Travaux installation Fo -Extension INFRA GPON devant le Ministère de la défense Nationale</t>
  </si>
  <si>
    <t>Travaux de maintenance filaire-Cuivre Andoharanofotsy</t>
  </si>
  <si>
    <t>Travaux de maintenance-GC Ivato</t>
  </si>
  <si>
    <t>Travaux de maintenance filaire-Cuivre Alasora By-pass</t>
  </si>
  <si>
    <t>TRAVAUX DE GC  VILLE FIANARANTSOA</t>
  </si>
  <si>
    <t>TRAVAUX DE REHABILITATION CHAMBRE YAS FIANARANTSOA</t>
  </si>
  <si>
    <t>TRAVAUX GC POUR TIRAGE CABLE FO</t>
  </si>
  <si>
    <t>TIRAGE LAST MILE REGION DE LA SAVA 12è VAGUE</t>
  </si>
  <si>
    <t>Implantation poteaux en bois du 33è vague</t>
  </si>
  <si>
    <t>Implantation des poteaux en bois du 32è vague</t>
  </si>
  <si>
    <t>acompte 50%</t>
  </si>
  <si>
    <t>Travaux d'implantation 50 poteaux sur Fort Dauphin</t>
  </si>
  <si>
    <t>Acompte Plateau pour rack</t>
  </si>
  <si>
    <t>régie janvier 2026</t>
  </si>
  <si>
    <t>REGIE JANVIER 2026</t>
  </si>
  <si>
    <t>DEV ET TESTS JANVIER 2026</t>
  </si>
  <si>
    <t>REGIE JANVIER</t>
  </si>
  <si>
    <t>PILOTAGE JAN 2026</t>
  </si>
  <si>
    <t>TEST JANV 2026</t>
  </si>
  <si>
    <t>Transport 30PT 8m de Tana vers Morondava</t>
  </si>
  <si>
    <t>Mise à disposition équipes pour installation FO juin2026</t>
  </si>
  <si>
    <t>ACOMPTE SUR TRAVAUX GC ET TIRAGE FOAMBOHIBARY</t>
  </si>
  <si>
    <t>TRAVAUX LASTMILE FTTX TAMATAVE AXE CENTRE DE LA VILLE</t>
  </si>
  <si>
    <t>TRAVAUX LASTMILE FTTX TAMATAVE AXE SUD DE LA VILLE</t>
  </si>
  <si>
    <t>TRAVAUX LASTMILLE FTTX TAMATAVE AXE NORD</t>
  </si>
  <si>
    <t>INSPECTION ET TRAITEMENT POTEAUX BOIS</t>
  </si>
  <si>
    <t>TRAVAUX GC</t>
  </si>
  <si>
    <t>Chaise Visiteur SM-138</t>
  </si>
  <si>
    <t>Diffusion TRAIL D'IBITY 2026</t>
  </si>
  <si>
    <t>Spot radio - Tournoi Inter Universitaire</t>
  </si>
  <si>
    <t>Solvant périmés</t>
  </si>
  <si>
    <t>COUPE DU MONDE 2026</t>
  </si>
  <si>
    <t>Rajout Support Aéroport National</t>
  </si>
  <si>
    <t>SOLDE 50% -PRESTATION DES TRAVAUX FTTX</t>
  </si>
  <si>
    <t>Tx VSAT sur 04 sites</t>
  </si>
  <si>
    <t>SPONSORING ALLIANCE FRANCAISE AMBILOBE</t>
  </si>
  <si>
    <t>Méditation&amp;Tai chi</t>
  </si>
  <si>
    <t>Atelier massage</t>
  </si>
  <si>
    <t>Distribution PPN 2026</t>
  </si>
  <si>
    <t>TRANSPORT  Location camion</t>
  </si>
  <si>
    <t>RIZ HUILE</t>
  </si>
  <si>
    <t>TSIHY 150x80cm</t>
  </si>
  <si>
    <t>DISTRIBUTION PAR UNITE DE FACTURE TANA MOIS DE MAI 2026</t>
  </si>
  <si>
    <t>Distribution des factures en Province - Mai 2026</t>
  </si>
  <si>
    <t>Influenceur Antonis</t>
  </si>
  <si>
    <t>Manutentionnaire - Foire de la la fibre Tuléar</t>
  </si>
  <si>
    <t>SOLDE PRESTATION EVENT JUILLET 2026 TOLIARA</t>
  </si>
  <si>
    <t>Hébergement Baobab Tree</t>
  </si>
  <si>
    <t>GANT JETABLE</t>
  </si>
  <si>
    <t>CAMPAGNE JUIN 2026</t>
  </si>
  <si>
    <t>CAMPAGNE MOIS DE JUIN 2026</t>
  </si>
  <si>
    <t>DIFF MOIS DE JUIN 2026</t>
  </si>
  <si>
    <t>Sponsoring Course du Lac Anosy</t>
  </si>
  <si>
    <t>PNEU 235/85R16: PNEU BOTO RADIAL 235/85R16 D/XTERBA80+10PR</t>
  </si>
  <si>
    <t>SPOT PUB ENTRETIEN JANV 2026</t>
  </si>
  <si>
    <t>SPOT PUB JAN 2026</t>
  </si>
  <si>
    <t>SPOT PUB JANV 2026</t>
  </si>
  <si>
    <t>SPOT PUB FEV 2026</t>
  </si>
  <si>
    <t>SPOT PUB JUIN 2026</t>
  </si>
  <si>
    <t>SPOT PUB MOIS DE JUIN 2026</t>
  </si>
  <si>
    <t>SPOT PUB MARS 2026</t>
  </si>
  <si>
    <t>SPOT PUB MOIS DE MARS 2026</t>
  </si>
  <si>
    <t>SPOT PUB 2026</t>
  </si>
  <si>
    <t>SPOT PUB AVRIL 2026</t>
  </si>
  <si>
    <t>SPOT PUB</t>
  </si>
  <si>
    <t>SPOT PUB MAI 2026</t>
  </si>
  <si>
    <t>SPOT PUB MOIS DE MAI 2026</t>
  </si>
  <si>
    <t>SPONSORING EMISSION JITE juillet 2026</t>
  </si>
  <si>
    <t>PUB FEV 2026</t>
  </si>
  <si>
    <t>PUB ET ANNONCES AVRIL 2026</t>
  </si>
  <si>
    <t>PUB ANNONCES MARS 2026</t>
  </si>
  <si>
    <t>Location de véhicule(s ) avec carburant</t>
  </si>
  <si>
    <t>Subvention des équipes finalistes - Yas Coupe de Madagascar - Facture N°0001/2026-FMF/SG/DAF/26</t>
  </si>
  <si>
    <t>Primes Yas Coupe de Madagascar - Facture N°0001/2026-FMF/SG/DAF/26</t>
  </si>
  <si>
    <t>Participation YAS aux tournois nationaux</t>
  </si>
  <si>
    <t>REMPLACEMENT TOTEM TOAMASINA</t>
  </si>
  <si>
    <t>Location Pagode - YAS HOOPFEST</t>
  </si>
  <si>
    <t>CARTE DE VISTE AU NOM ZO MIHANTA</t>
  </si>
  <si>
    <t>CARTE INVITATION</t>
  </si>
  <si>
    <t>CARTE VISITE</t>
  </si>
  <si>
    <t>FLYERS FIA 2024</t>
  </si>
  <si>
    <t>Ambassadrice Sport MurieL</t>
  </si>
  <si>
    <t>Prestation Muriel suivant son bonus cumulatif 1er trimestre</t>
  </si>
  <si>
    <t>Bonus Trimestriel - Ambassadrice Sport Murie</t>
  </si>
  <si>
    <t>Rémunération fixe annuel - Ambassadeur Nina - Mars 2026 au Août 2026</t>
  </si>
  <si>
    <t>Prestation Ambassadeur Nina suivant son bonus cumulatif 1er trimestre 2026</t>
  </si>
  <si>
    <t>Rajout Panneaux Tsarasaotra</t>
  </si>
  <si>
    <t>Sortie de Promotion Inscae</t>
  </si>
  <si>
    <t>Partenaire Officiel Ladies Cup 2026</t>
  </si>
  <si>
    <t>Revenu Fixe Mensuel - Mars 2026 au Août 2026</t>
  </si>
  <si>
    <t>Bonus Trimestriel - Mars au Mai 2026 - Ambassadrice Sport Christiane</t>
  </si>
  <si>
    <t>Bonus Cumulatif - Ambassadrice Sport Christiane</t>
  </si>
  <si>
    <t>Habillage FIM 2026</t>
  </si>
  <si>
    <t>CHEQUE CADEAU</t>
  </si>
  <si>
    <t>Visibilité Event Partenariat</t>
  </si>
  <si>
    <t>Prestation Influenceur Kevin &amp; CO</t>
  </si>
  <si>
    <t>protections hygiéniques</t>
  </si>
  <si>
    <t>CAMPAGNE YAS JANVIER 2026</t>
  </si>
  <si>
    <t>CAPMPAGNE DEC 2025</t>
  </si>
  <si>
    <t>CAMPAGNE YAS MOIS D OCT 2025 RADIO/TV</t>
  </si>
  <si>
    <t>campagne yas moi de mai 2026</t>
  </si>
  <si>
    <t>Diffusion Publi reportage - Couverture Réseau RP</t>
  </si>
  <si>
    <t>Spot TV - Tournoi Inter U</t>
  </si>
  <si>
    <t>Publi-reportage Gezani</t>
  </si>
  <si>
    <t>pack parrainage juin 2026</t>
  </si>
  <si>
    <t>pack parrainage juillet 2026</t>
  </si>
  <si>
    <t>1 PAGE QUADRI DERNIERE PAGE AO RAHA DATES DE PARUTION : 03-28 NOVEMBRE 2025</t>
  </si>
  <si>
    <t>1 PAGE QUADRI DERNIERE PAGE EXPRESS DATES DE PARUTION : 03-28 NOVEMBRE 2025</t>
  </si>
  <si>
    <t>1 PAGE QUADRI DERNIERE PAGE AO RAHA DATES DE PARUTION : 22 OCTOBRE 2025</t>
  </si>
  <si>
    <t>1 PAGE QUADRI DERNIERE PAGE EXPRESS DATES DE PARUTION : 22 OCTOBRE 2025</t>
  </si>
  <si>
    <t>1/2 PAGE QUADRI HORIZONTALE EXPRESS DATES DE PARUTION : 18 DECEMBRE 2025</t>
  </si>
  <si>
    <t>DERNIERE PAGE SEPTEMBRE 2025</t>
  </si>
  <si>
    <t>Surplus - Restauration - Séminaire Mbalik 2026</t>
  </si>
  <si>
    <t>Facture Sp*nsoringNPC 2t26</t>
  </si>
  <si>
    <t>DEUX BONS CADEAUX</t>
  </si>
  <si>
    <t>Transport et emballage de matériels :</t>
  </si>
  <si>
    <t>Location camion pour Transport PLV</t>
  </si>
  <si>
    <t>Traitement mois de Mai 2026</t>
  </si>
  <si>
    <t>mois d avril 2026</t>
  </si>
  <si>
    <t>A MADATOURS Paiment frais de déplacement courses urgentes mois de mai 2026</t>
  </si>
  <si>
    <t>PERIODE MOIS DE MAI 2026</t>
  </si>
  <si>
    <t>AMBASSADEUR YAS ANNEE 2026</t>
  </si>
  <si>
    <t>SIGNIFICATION LMD (ANTANANARIVO)</t>
  </si>
  <si>
    <t>SIGNIFICATION LMD (TOAMASINA)</t>
  </si>
  <si>
    <t>SIGNIFICATION LMD</t>
  </si>
  <si>
    <t>NOTE DE FRAIS Me SYLVIE ANNEE 2026</t>
  </si>
  <si>
    <t>SIGNIFICATION LMD ANTSIRABE</t>
  </si>
  <si>
    <t>Signification LMD Dayan Windo Soavina</t>
  </si>
  <si>
    <t>Coût signification SOCIETE SEAM</t>
  </si>
  <si>
    <t>ED CALL représentée par M. RANAIVOHALISON Andriniaina Jimmy</t>
  </si>
  <si>
    <t>Signification LMD Tsiory Fenitrarimamy</t>
  </si>
  <si>
    <t>AFFAIRE RABEFIRAISANA ANDRIAMALALA MAMY FRANKIE</t>
  </si>
  <si>
    <t>AFFAIRES RAKOTOARIVONY HERINIAINA JOSOA</t>
  </si>
  <si>
    <t>SIGNIFICATION LMD ISSAK CHRISTIAN</t>
  </si>
  <si>
    <t>LA FORCE SECURITE MADAGASCAR</t>
  </si>
  <si>
    <t>Coput signification avec PV de saisie arrêt de comptes</t>
  </si>
  <si>
    <t>SIGNIFICATION LMD Fanomezantsoa Alain</t>
  </si>
  <si>
    <t>Coût signification Mr Tahina Jeremia</t>
  </si>
  <si>
    <t>SIGNIFICATION LMD KAMARY</t>
  </si>
  <si>
    <t>Partenariat Ambassadeur avec SHYN 2026</t>
  </si>
  <si>
    <t>Partenariat Ambassadrice avec DENISE 2026</t>
  </si>
  <si>
    <t>Denise - Fête de la Musique 2026</t>
  </si>
  <si>
    <t>Sponsoring officiel  Foire FEPA  du  28 au 31 mai 2026 à la MPE  Nanisana</t>
  </si>
  <si>
    <t>DIFF MAI 2026</t>
  </si>
  <si>
    <t>DIFF JANV 2026</t>
  </si>
  <si>
    <t>DIFF AVRIL 2026</t>
  </si>
  <si>
    <t>DIFF FEV 2026</t>
  </si>
  <si>
    <t>DIFF MARS 2026</t>
  </si>
  <si>
    <t>Sponsoring - Festival Sabotsibe 2026</t>
  </si>
  <si>
    <t>Déménagement Mr Hery Zo à Ambanja - Antsohihy</t>
  </si>
  <si>
    <t>COFI 2026 - MOTO GRS EDMOND</t>
  </si>
  <si>
    <t>CARNET FICHE CLIENT DE SOUSCRIPTION</t>
  </si>
  <si>
    <t>PAPIER ENTETE</t>
  </si>
  <si>
    <t>Insertion Presse Midi - Couverture Réseau RP</t>
  </si>
  <si>
    <t>Midi - Site Web 728px * 90px (Mensuel) - 01 MAI 2026 AU 01 JUIN 2026</t>
  </si>
  <si>
    <t>ENTRETIEN MOTO - 1132WWT - AMBOSITRA</t>
  </si>
  <si>
    <t>ENTRETIEN MOTO - 7621WWT - AMBOSITRA</t>
  </si>
  <si>
    <t>ENTRETIEN MOTO - 7651WWT - AMBOSITRA</t>
  </si>
  <si>
    <t>ENTRETIEN MOTO - AMBOSITRA</t>
  </si>
  <si>
    <t>Partenariat - Célébration de la fête de l'Indépendance</t>
  </si>
  <si>
    <t>PATRICIPATION TSAPIKY FESTIVALY TULEAR 17 et 18 AVRIL2026</t>
  </si>
  <si>
    <t>COLLATION Q2 2026</t>
  </si>
  <si>
    <t>EAU VIVE</t>
  </si>
  <si>
    <t>Café collation</t>
  </si>
  <si>
    <t>DTG COLLATION Q2 2026</t>
  </si>
  <si>
    <t>DSI COLLATION Q2 2026</t>
  </si>
  <si>
    <t>MBALIK COLLATION Q2 2026</t>
  </si>
  <si>
    <t>COLLATION Q2 COMPTA</t>
  </si>
  <si>
    <t>DCG MKT COLLATION Q2 2026</t>
  </si>
  <si>
    <t>BOUTEILLE D EAU</t>
  </si>
  <si>
    <t>COTTERLEU THE NOIR SAVEUR CARAMEL</t>
  </si>
  <si>
    <t>TRANSPORT DES BAGAGES AMBANJA-DIEGO DE MANOROSOA NOELINA ELODIE</t>
  </si>
  <si>
    <t>Transport bagages Julio</t>
  </si>
  <si>
    <t>TOURNOI INTERNATIONAL DE DIRINION</t>
  </si>
  <si>
    <t>SPONSORING LIGUE DE FOOTBALL DIANA</t>
  </si>
  <si>
    <t>ENERGIE DE SECOURS TITAN VI JUIN 2026</t>
  </si>
  <si>
    <t>ENERGIE DE SECOURS CAMPUS JUIN 2026</t>
  </si>
  <si>
    <t>ENERGIE DE SECOURS ARIANE 5B JUIN 2026</t>
  </si>
  <si>
    <t>ENERGIE DE SECOURS TITAN VI MAI 2026</t>
  </si>
  <si>
    <t>ENEGIE DE SECOURS CAMPUS MAI</t>
  </si>
  <si>
    <t>MISE A DISPOSITION ET MAINTENANCE DE LA CENTRALE PHOTOVOLTAIQE: SITE  - SAMBAVA DATA CENTER   MARS 2026</t>
  </si>
  <si>
    <t>MISE A DISPOSITION ET MAINTENANCE DE LA CENTRALE PHOTOVOLTAIQE: SITE  - AMBATONDRAZAKA DATA  CENTER ALA019  - MARS 2026</t>
  </si>
  <si>
    <t>MISE A DISPOSITION ET MAINTENANCE DE LA CENTRALE PHOTOVOLTAIQE: SITE  - DIEGO DATA CENTER DIA002   MARS 2026</t>
  </si>
  <si>
    <t>MISE A DISPOSITION ET MAINTENANCE DE LA CENTRALE PHOTOVOLTAIQE: SITE  - MANAKARA DATA CENTER   MARS 2026</t>
  </si>
  <si>
    <t>MISE A DISPOSITION ET MAINTENANCE DE LA CENTRALE PHOTOVOLTAIQE: SITE  - NOSY BE DATA CENTER DIA013  - MARS 2026</t>
  </si>
  <si>
    <t>MISE A DISPOSITION ET MAINTENANCE DE LA CENTRALE PHOTOVOLTAIQE: SITE  - FORT DAUPHIN DATA CENTER  MARS 2026</t>
  </si>
  <si>
    <t>MISE A DISPOSITION ET MAINTENANCE DE LA CENTRALE PHOTOVOLTAIQE: SITE  - TULEAR DATA CENTER AAN001 - MARS 2026</t>
  </si>
  <si>
    <t>MISE A DISPOSITION ET MAINTENANCE DE LA CENTRALE PHOTOVOLTAIQE: SITE  - TULEAR DATA CENTER AAN001 - FEVRIER 2026</t>
  </si>
  <si>
    <t>MISE A DISPOSITION ET MAINTENANCE DE LA CENTRALE PHOTOVOLTAIQE: SITE  - MANAKARA DATA CENTER   FEVRIER 2026</t>
  </si>
  <si>
    <t>MISE A DISPOSITION ET MAINTENANCE DE LA CENTRALE PHOTOVOLTAIQE: SITE  - NOSY BE DATA CENTER DIA013  - FEVRIER 2026</t>
  </si>
  <si>
    <t>MISE A DISPOSITION ET MAINTENANCE DE LA CENTRALE PHOTOVOLTAIQE: SITE  - FORT DAUPHIN DATA CENTER  FEVRIER 2026</t>
  </si>
  <si>
    <t>MAINTENANCE PLANIFIEE PREVENTIVE CLIM SUR SITE: JANVIER 2026</t>
  </si>
  <si>
    <t>MAINTENANCE PLANIFIEE PREVENTIVE CLIM SUR SITE: FEVRIER 2026</t>
  </si>
  <si>
    <t>MAINTENANCE PLANIFIEE CLIM SUR SITES TELMA FIXE/326 SYSTEMES MOIS DE FEVRIER 2026 Période du  01/02/2026 au 28/02/2026</t>
  </si>
  <si>
    <t>MISE A DISPOSITION ET MAINTENANCE DE LA CENTRALE PHOTOVOLTAIQE: SITE  - DIEGO DATA CENTER DIA002   FEVRIER 2026</t>
  </si>
  <si>
    <t>INTERVENTION POSTE CYCLONIQUE</t>
  </si>
  <si>
    <t>ACHAT STATION D ACCEUIL HAUTE PERFORMANCE POUR ORDINATEUR</t>
  </si>
  <si>
    <t>LICENCE ISN SWITCHES</t>
  </si>
  <si>
    <t>Grand Forum de recrutement 30 avril 2026 // Hôtesses pack clé en main</t>
  </si>
  <si>
    <t>FOIRE INTERNATIONNALE DE MADAGASCAR 2026</t>
  </si>
  <si>
    <t>Sponsoring - Salon ITM 2026</t>
  </si>
  <si>
    <t>Organisation du salon régional du tourisme à Fianarantsoa</t>
  </si>
  <si>
    <t>Animation - Stand Fibre Tuléar</t>
  </si>
  <si>
    <t>MALLETTE DE SECOURS PM</t>
  </si>
  <si>
    <t>Prestation Influenceuse Paris</t>
  </si>
  <si>
    <t>MORENGY ENTRETIEN 2 Du 0B Mai au 06luin 2026 Diff: SPOT TV 30s</t>
  </si>
  <si>
    <t>MORENGY ENTRTNEN 1 Du 0B Mai au 06luin 2026 Diff: SPOT TV 30s</t>
  </si>
  <si>
    <t>MORENGY PROMO.2026 Du 0B Maiau 07 Juin 2026 Diff: SPOTTV 30s</t>
  </si>
  <si>
    <t>YELLOW UP ENTRETIEN</t>
  </si>
  <si>
    <t>FIM MBALIK PROMO 2026</t>
  </si>
  <si>
    <t>FIBRE NETFLIX PROMO 2026</t>
  </si>
  <si>
    <t>PROMO AVRIL 2026</t>
  </si>
  <si>
    <t>REALISATION FACTURE N°7</t>
  </si>
  <si>
    <t>PARRAINAGE DAGO CHART SEPTEMBRE - OCTOBRE - NOVEMBRE - DECEMBRE 2023</t>
  </si>
  <si>
    <t>PARRAINAGE DAGO CHART JUILLET - AOUT 2023</t>
  </si>
  <si>
    <t>PARRAINAGE DAGOCHART MAI - JUIN 2023</t>
  </si>
  <si>
    <t>DIFF JUIN 2026</t>
  </si>
  <si>
    <t>SOLDE DEBROUSSAILLAGE ET DESHERBAGE 3Ha</t>
  </si>
  <si>
    <t>Prestation Influenceur Let's See the Next</t>
  </si>
  <si>
    <t>Desinfection / désinsectisation/dératisation Zone Nord</t>
  </si>
  <si>
    <t>SERVICE NETTOYAGE FERVRIER/MARS 2026</t>
  </si>
  <si>
    <t>SERVICE NETTOYAGE JANVIER 2026</t>
  </si>
  <si>
    <t>SERVICE NETTOYAGE AVRIL-MAI 2026</t>
  </si>
  <si>
    <t>LOCATION STAREX RAMASSAGE-GALAXY REMISAGE</t>
  </si>
  <si>
    <t>Transport bagages EHEVETSE suite affectation</t>
  </si>
  <si>
    <t>Cyber Security 1 an YAS - Stand Virtual (20-21-25 Nov2025)</t>
  </si>
  <si>
    <t>Frais de transport de bagages pour l'affectation de Monsieur RANAIVOSON José Venedicte de SAMBAVA vers MANANARA NORD</t>
  </si>
  <si>
    <t>GOUTER</t>
  </si>
  <si>
    <t>Sponsor Officiel - Salon de l'Etudiant et de l'Emploi 2026</t>
  </si>
  <si>
    <t>Location Plantes</t>
  </si>
  <si>
    <t>Diffusion JUIN 2026</t>
  </si>
  <si>
    <t>DIFF JUILLET 2026</t>
  </si>
  <si>
    <t>Session de clôture des formations - CX Champion</t>
  </si>
  <si>
    <t>DIFF MOIS D AVRIL 2026</t>
  </si>
  <si>
    <t>DIFF MOIS DE MARS 2026</t>
  </si>
  <si>
    <t>DIFF MOIS DE FEV 2026</t>
  </si>
  <si>
    <t>DIFF MOIS DE MAI 2026</t>
  </si>
  <si>
    <t>Publireportage Gezani dans JT le 19 février 2026</t>
  </si>
  <si>
    <t>DIFF SPOT FEVRIER 2026</t>
  </si>
  <si>
    <t>DIFF SPOT TV FIBRE NETFLIX</t>
  </si>
  <si>
    <t>DIFF SPOT TV MBALIK FIM PROMO</t>
  </si>
  <si>
    <t>DIFF SPOT RD FIBRE NETFLIX</t>
  </si>
  <si>
    <t>DIFF SPOT RD MBALIKA FIM PROMO</t>
  </si>
  <si>
    <t>DIFF SPOT TV MORENGY ENTRETIEN MAI 2026</t>
  </si>
  <si>
    <t>DIFF SPOT TV MAI 2026</t>
  </si>
  <si>
    <t>DIFF SPOT TV MORAINGY ENTRETIEN</t>
  </si>
  <si>
    <t>DIFF SPOT TV YELLOW UP</t>
  </si>
  <si>
    <t>SPOT YELLOW ENTRETIEN  MAI 2026</t>
  </si>
  <si>
    <t>DIFF SPOT RD</t>
  </si>
  <si>
    <t>DIFF SPOT RD MBALIKA POWER PLAY</t>
  </si>
  <si>
    <t>Diffusion Trail d'IBITY 2026</t>
  </si>
  <si>
    <t>DIFF RADIO FEV 2026</t>
  </si>
  <si>
    <t>DIFFUSION SPOT TV</t>
  </si>
  <si>
    <t>Téiécomnrancie cie preseniation</t>
  </si>
  <si>
    <t>INAUGURATION MANINDAY</t>
  </si>
  <si>
    <t>FIM 2026</t>
  </si>
  <si>
    <t>STICKER MBALIK HOMEPLUS MAX</t>
  </si>
  <si>
    <t>ALIMENTATION ELECTRIQUE ET ECLAIRAGE</t>
  </si>
  <si>
    <t>APPRO RAME PAPIER S2 2026</t>
  </si>
  <si>
    <t>LOCATION RICOH MAI26</t>
  </si>
  <si>
    <t>LOC AVRIL 2026</t>
  </si>
  <si>
    <t>Prestations_FM_Telma Analakely[du 01/07/2026 au 30/09/2026]</t>
  </si>
  <si>
    <t>Prestations_FM_Campus[du 01/07/2026 au 30/09/2026]</t>
  </si>
  <si>
    <t>PETIT DEJEUNERCONSEILD'ADMINISTRATIONLE24JUIN 2026</t>
  </si>
  <si>
    <t>LOCATION MOIS DE JUILLET 2026</t>
  </si>
  <si>
    <t>Pack diffusion spot TV et RADIO CAMP du 01 au 31 Mai 2026</t>
  </si>
  <si>
    <t>Pack diffusion spot TV et RADIO CAMP du 1 Unité 1 300 00?, 01 au 31 Mai 2026</t>
  </si>
  <si>
    <t>VPS STELLAR CLOUD</t>
  </si>
  <si>
    <t>EXTENSION SOLUTION DE SAUVEGARDE NETBACKUP</t>
  </si>
  <si>
    <t>EXTENSION INFRA VERITAS NETBACKUP</t>
  </si>
  <si>
    <t>EXTENSION IAAS JUIN26</t>
  </si>
  <si>
    <t>HEBERGEMENT 2 RACK JUIN26</t>
  </si>
  <si>
    <t>BURP SUITE PROFESSIONAL 1YEAR</t>
  </si>
  <si>
    <t>HEBERGEMENT 2 RACK 12KVA</t>
  </si>
  <si>
    <t>EXTENSION IAAS MARS26</t>
  </si>
  <si>
    <t>TRUSTED ADVISOR PROGRAM SERVICE</t>
  </si>
  <si>
    <t>ENERGIE DE SECOURS</t>
  </si>
  <si>
    <t>FRAIS DE MISE EN SERVICE VPS</t>
  </si>
  <si>
    <t>DATA SERVICE CENTER AVIL AU JUIN26</t>
  </si>
  <si>
    <t>Equipements IT VPN AGGREGATOR ASAv10</t>
  </si>
  <si>
    <t>NETTOYAGE DES CONDENSEURS POUR LES UNITES DE PRECISION DE MOIS DE FEVRIER 2026</t>
  </si>
  <si>
    <t>REHABILITATION CLIMATISEUR SALLE 2 MAJUNGA</t>
  </si>
  <si>
    <t>Remplacement câble caméra</t>
  </si>
  <si>
    <t>Désinstallation des caméras et bouton panique Tanjombato</t>
  </si>
  <si>
    <t>Désinstallation des caméras et bouton panique Ampefiloha</t>
  </si>
  <si>
    <t>Acompte système de sécurité contrôle d'accès Majunga</t>
  </si>
  <si>
    <t>Paiement frais de branding véhicule ambassadeur YAS</t>
  </si>
  <si>
    <t>OFFRE DE RECOMONDATION APRES DIAGNOSTIC CHARIOT ELECTRIQUE</t>
  </si>
  <si>
    <t>VERIFICATION RACKS</t>
  </si>
  <si>
    <t>SUPPORT METALLIQUE EN TUBE 25X</t>
  </si>
  <si>
    <t>Couverture Photos</t>
  </si>
  <si>
    <t>Inauguration Hotspot et Festival Masova</t>
  </si>
  <si>
    <t>Prestation Influenceur - Bob Dobias</t>
  </si>
  <si>
    <t>TARATRA NOV 2025</t>
  </si>
  <si>
    <t>ALLIANCE MOIS DE JUIN 2026</t>
  </si>
  <si>
    <t>NEWSMADA/Publicité JUIN2026</t>
  </si>
  <si>
    <t>TARATRA JUIN 2026</t>
  </si>
  <si>
    <t>LES NOUVELLES/Publicité juin 2026</t>
  </si>
  <si>
    <t>TOP HORAIRE JUIN 2026</t>
  </si>
  <si>
    <t>LES NOUVELLES/Publicité</t>
  </si>
  <si>
    <t>losts projet GENESYS</t>
  </si>
  <si>
    <t>KICK OFF PROJETS VI</t>
  </si>
  <si>
    <t>ACHAT ARMOIRE BASSE</t>
  </si>
  <si>
    <t>Sponsoring numéraire Festival Mandrare</t>
  </si>
  <si>
    <t>BILLET NAO TANA NOSSI-BE TANA</t>
  </si>
  <si>
    <t>BILLET ANDRIAMBOLOLONA MIHANTA TANA ST MARIE TANA</t>
  </si>
  <si>
    <t>BILLET RAHARINJATOVO MAMINIRINA  TANA TUL TANA</t>
  </si>
  <si>
    <t>BILLET D 'AVION MR Rahajanirainy Jules César -SAMBAVA-TANA-SAMBAVA</t>
  </si>
  <si>
    <t>AR TANA-FRANCE-TANA</t>
  </si>
  <si>
    <t>BILLET RAMPANARIVO ET RAMIHARIMANANA TANA SVB TANA</t>
  </si>
  <si>
    <t>BILLET AVION RANDRIANJAFY TAN ST MARI TANA</t>
  </si>
  <si>
    <t>TCHI HONG JOC TS/MARCO ANTANANARIVO TULEAR ANTANANARIVO</t>
  </si>
  <si>
    <t>BILLET D'AVION ALLER/RETOUR TANA- DIEGO RANDRIAMANALINA Lucas</t>
  </si>
  <si>
    <t>BILLET D AVION MENA ARMIA ET ABDOUL RASSOUL</t>
  </si>
  <si>
    <t>BILLET RANDRIAMAHAZOSOA FENOTIANA ET CONSORT</t>
  </si>
  <si>
    <t>BILLET RANDRIAMIALY DAVID TANA NOSB TANA</t>
  </si>
  <si>
    <t>BILLET RAMAHEFARISOA JHAJANIRINA TANA MAROANTSETRA TANA</t>
  </si>
  <si>
    <t>BILLET RAHOLISON LALAINA NOSYB TANA</t>
  </si>
  <si>
    <t>BILLET AVION LIWAG GREGORIO ADDB TANA ABDS</t>
  </si>
  <si>
    <t>BILLET AVION RANAIVOARIVELO KOLOINA TAN ST MARIE TANA</t>
  </si>
  <si>
    <t>BILLET RAVELOMANANTSOA FENITRA TANA TUL TANA</t>
  </si>
  <si>
    <t>BILLET D'AVION - ANDRIAMBOAVONJY SANDRINE</t>
  </si>
  <si>
    <t>BILLET D AVION RAKOTOARISOA JACQUIA TUL TANA ANTSIRANANA TANA</t>
  </si>
  <si>
    <t>BILLET D AVION CHAN KENG FOY TANA TUL TANA</t>
  </si>
  <si>
    <t>Influenceur Willinay</t>
  </si>
  <si>
    <t>SAMSUNG Z FOLD 7</t>
  </si>
  <si>
    <t>SEQUOIA1_22 - 07/2026_128246_Réception provisoire des travaux en gros oeuvre</t>
  </si>
  <si>
    <t>PATIENCEIMMO1_00000266_133803_LOYER DRH MOIS D'AOUT 2026</t>
  </si>
  <si>
    <t>PATIENCE1_LOYER DRH MOIS DE JUILLET 2026_00000237_133803</t>
  </si>
  <si>
    <t>/CM_TERM_DCG/ MOHAMED AKIL SHAMIR ACHAT IPHONE 16 PRO MAX MT 34500000 BC 135884</t>
  </si>
  <si>
    <t>RORO1_CONTRAT EMBASSADEUR OCTOBRE-NOVEMBRE-DECEMBRE 2026_BC 134590</t>
  </si>
  <si>
    <t>RNA1_04513_134998_Refresh Somaroho- RNA</t>
  </si>
  <si>
    <t>MALAGASYPROPADEL1_ACOMPTE 25% PACK PARTENAIRE MAJEUR 2026_FA N°MPT-2026/04-10-02_BC 136007</t>
  </si>
  <si>
    <t>HARMONYBOX1_025/07/2026_135722_Loyer HARMONY BOX 02 locaux 125 -126 Sabotsy Namehana SHS JUILLET 2026</t>
  </si>
  <si>
    <t>HARMONYBOX1_025/06/2026_135722_Loyer HARMONY BOX 02 locaux 125 -126 Sabotsy Namehana SHS JUIN 2026</t>
  </si>
  <si>
    <t>HARMONYBOX1_025/05/2026_135722_Loyer HARMONY BOX 02 locaux 125 -126 Sabotsy Namehana SHS MAI 2026</t>
  </si>
  <si>
    <t>MOUJANGA1_136076_136076_SPONSORING FANOMPOAMBE 2026</t>
  </si>
  <si>
    <t>GRANDEDIS1_F/082600111_135820_EARBUDS / MINI SPEAKER / METAL PHONE STAND / BAGUE TELEPHONE</t>
  </si>
  <si>
    <t>FIMMO3_FI/1243/26/ND_135617_ELEC JUIN026_ WELLO MAJUNGA BOUTIQUE N°01</t>
  </si>
  <si>
    <t>FIMMO3_FI/1257/26/ND_135617_ ELEC JUIN2026_ WELLO IAVOLOHA BOUTIQUE N°02</t>
  </si>
  <si>
    <t>FIMMO3_FI/1207/26/ND_135617_ ELEC JUIN2026_ WELLO MORAMANGA BOUTIQUE N°04</t>
  </si>
  <si>
    <t>FIMMO3_FI/1201/26/ND_135488_ ELEC JUIN2026_  USI UNIMIX</t>
  </si>
  <si>
    <t>FIMMO3_FI/0528/2026/EE_132873_ ELEC ET EAU JUIN2026_  IMMEUBLE APPARTEMENT A31</t>
  </si>
  <si>
    <t>FIMMO3_FI/1188/26/ND_135487_ _ELEC JUIN2026_ TITAN III-ZONE GALAXY ANDRAHARO</t>
  </si>
  <si>
    <t>FIMMO3_FI/01178/26/ND_132871_EAU JUIN26_CAMPUS GALAXY ANDRAHARO</t>
  </si>
  <si>
    <t>FIMMO3_FI/01174/26/ND_132872_CLIMATISATION CAMPUS _JUIN2026</t>
  </si>
  <si>
    <t>FIMMO3_FI/1078/26/ND_135617_ ELEC MAI2026_ WELLO MORAMANGA BOUTIQUE N°04</t>
  </si>
  <si>
    <t>FIMMO3_FI/01176/26/ND_132962_ ELEC CAMPUS_ JUIN 2026</t>
  </si>
  <si>
    <t>FIMMO3_FI/940/26/ND_135617_ ELEC MAI2026_ WELLO MAJUNGA BOUTIQUE N°01</t>
  </si>
  <si>
    <t>FIMMO3_FI/1061/26/ND_135617_ELEC MAI2026_ WELLO IAVOLOHA BOUTIQUE N°02</t>
  </si>
  <si>
    <t>NEXTA3_FC AXU001960_133794_FORMATION DIGITAL/SALES/POLYTECH/SOFTSKILLS _JUIN2026</t>
  </si>
  <si>
    <t>NEXTA3_FC AXU001959_133794_FORMATION LEARNING DEVELOPMENT JUIN 26</t>
  </si>
  <si>
    <t>ANDRIANARISEDO1_sn_136295_SPONSORING - PARTENARIAT OFFICIEL FARAFANGANA</t>
  </si>
  <si>
    <t>ATSS3_FC ATS000578_REFACTURATION  FRAIS DE TRANSPORT MARS ET AVRIL 2026</t>
  </si>
  <si>
    <t>ATSS3_ FC ATS000626_REFACTURATION  FRAIS DE TRANSPORT MAI2026</t>
  </si>
  <si>
    <t>GRANDEDIS1_CHEMISE YAS BLANCHE AVEC PLECTRUM COL MAO BLEU_FA N°F/082600133_BC 135923</t>
  </si>
  <si>
    <t>ANTOKASECU1_158/FX/CPT/26_132992_STATION ANTANIFOTSY ET AUTRES JUILLET 2026</t>
  </si>
  <si>
    <t>GRANDEDIS1_ACOMPTE 50 % CASQUETTE - TSHIRT -SIM CARD HOLDER_FA N°F/AD082600139_BC 136315</t>
  </si>
  <si>
    <t>LCSCONSUL1_AVOIR RELIQUAT D'ABSENCE MOIS DE JUILLET 2026_FA N°203/AV/TELMA/2026_BC 135696</t>
  </si>
  <si>
    <t>LCSCONSUL1_AVOIR RELIQUAT D'ABSENCE MOIS DE JUILLET 2026_FA N°204/AV/TELMA/2026_BC 135696</t>
  </si>
  <si>
    <t>LCSCONSUL1_482/FA/TELMA/2026_136218_Prestation ARM Mbalik mois d'Août 2026</t>
  </si>
  <si>
    <t>LCSCONSUL1_480/FA/TELMA/2026_136218_Prestation 555 ARS Mbalik mois d'Août 2026</t>
  </si>
  <si>
    <t>LCSCONSUL1_481/FA/TELMA/2026_136218_Prestation de coordinateurs de ventes Mbalik mois d'Août 2026</t>
  </si>
  <si>
    <t>LCSCONSUL1_382/DMD/TELMA/2026_135191_Indemnité des missions des motards en Régions Juillet 2026</t>
  </si>
  <si>
    <t>LCSCONSUL1_485/FA/TELMA/2026_130195_Prestation intérimaire 02 Motards -TANA mois de juillet 2026</t>
  </si>
  <si>
    <t>LCSCONSUL1_486/FA/TELMA/2026_130195_Prestation intérimaire 02 Motards -TANA mois de juillet 2026</t>
  </si>
  <si>
    <t>LCSCONSUL1_487/FA/TELMA/2026_130042_Prestation intérimaire 04 Motards TANA mois de juillet 2026</t>
  </si>
  <si>
    <t>LCSCONSUL1_488/FA/TELMA/2026_130037_Prestation 15 intérimaires motards zone Region mois de Juillet 2026</t>
  </si>
  <si>
    <t>LCSCONSUL1_489/FA/TELMA/2026_133976_Prestation 01 intérimaire  motard zone Ankazobe mois de juillet 2026</t>
  </si>
  <si>
    <t>LCSCONSUL1_219/DMD/TELMA/2026_135538_IM 13 VAD - TANA-TULEAR-TANA mois de Juillet 2026</t>
  </si>
  <si>
    <t>LCSCONSUL1_218/DMD/TELMA/2026_135566_IM- Trois (03) VAD - Manjunga-Marovoay- Majunga mois de Juin 2026</t>
  </si>
  <si>
    <t>LCSCONSUL1_225/DMD/TELMA/2026_135695_IM VAD Sambava- Vohemar - Sambava mois de Juin - Juillet 2026</t>
  </si>
  <si>
    <t>LCSCONSUL1_519/FA/TELMA/2026_136064_Prestation intérimaire 265 VAD mois d'août 2026</t>
  </si>
  <si>
    <t>LCSCONSUL1_334/DMD/TELMA/2026_136107_IM VAD TAMATAVE -STE MARIE -TAMATAVE JUILLET 2026</t>
  </si>
  <si>
    <t>LCSCONSUL1_342/DMD/TELMA/2026_136082_AR MBALIK MOIS DE JUIN 2026</t>
  </si>
  <si>
    <t>LCSCONSUL1_341/DMD/TELMA/2026_136082_ IM AR MBALIK MOIS DE JUIN 2026</t>
  </si>
  <si>
    <t>LCSCONSUL1_332/DMD/TELMA/2026_136082_ IM CDV MBALIK MOIS DE MAI 2026</t>
  </si>
  <si>
    <t>LCSCONSUL1_352/DMD/TELMA/2026_135900_ANIMATEURS ROADSHOW Mois de Juillet 2026</t>
  </si>
  <si>
    <t>MADAJOB1_AVOIR MANUTENTIONNAIRE JEAN DONALIN_FA N°CN-00878_BC 128751</t>
  </si>
  <si>
    <t>MADAJOB1_INV-13099_136261_ANIMATEUR MBALIK JUILLET 2026</t>
  </si>
  <si>
    <t>MADAJOB1_INV-13161_136261_ANIMATEUR MBALIK AOUT 2026</t>
  </si>
  <si>
    <t>MADAJOB1_INV-13105_135308_IM motards mois de Juin 2026</t>
  </si>
  <si>
    <t>MADAJOB1_INV-13034_135545_IM équipes Coordinateurs Tulear - Fianarantsoa mois de Juillet 2026</t>
  </si>
  <si>
    <t>MADAJOB1_INV-13035_135545_IM équipes Coordinateurs Tulear mois de Juillet 2026</t>
  </si>
  <si>
    <t>MADAJOB1_INV-13036_135545_IM équipes Coordinateurs Tulear mois de Juillet 2026</t>
  </si>
  <si>
    <t>MADAJOB1_INV-13088_135936_IM coordinateur EST mois de Juillet 2026</t>
  </si>
  <si>
    <t>MADAJOB1_INV-13049_135392_Prestation 5 Motards TANA mois de Juillet 2026</t>
  </si>
  <si>
    <t>Sponsoring annuel club olympique de Tana 2026</t>
  </si>
  <si>
    <t>EASYNETCOM1_026/599/ENC-HR/Fact/TEL_132739_Travaux filaire 8 techniciens sur Tanà(2026)</t>
  </si>
  <si>
    <t>EASYNETCOM1_026/598/ENC-HR/Fact/TEL_132740_Travaux filaire 8 équipes sur Tanà (JANV26 à DEC26)</t>
  </si>
  <si>
    <t>EASYNETCOM1_026/597/ENC-HR/Fact/TE_132738_Travaux filaire 12équipes Tanà et 7équipes Régions(2026)</t>
  </si>
  <si>
    <t>PRIMACES1_PRIMA-FACT-0826-0928_132725_Travaux filaire 8équipes Tanà et 12équipes Régions(2026)</t>
  </si>
  <si>
    <t>MBS1_077/026/BS_131758_Location Site Pylône ANM068 AOUT 2026</t>
  </si>
  <si>
    <t>TRAVAUX SUPP AMPASANIMALO</t>
  </si>
  <si>
    <t>Travaux YS Colisée Ampasanimalo</t>
  </si>
  <si>
    <t>SOLDE Reamenagement ambositra</t>
  </si>
  <si>
    <t>TRAVAUX D AMENAGEMENT</t>
  </si>
  <si>
    <t>SD Network Management</t>
  </si>
  <si>
    <t>Rollout Services - Install &amp; SCM</t>
  </si>
  <si>
    <t>SD Core networks</t>
  </si>
  <si>
    <t>Rollout Services - Install &amp;amp; SCM</t>
  </si>
  <si>
    <t>SPMS ( 1 Apr - 30 June 2026)</t>
  </si>
  <si>
    <t>SPMS Support (1 April - 30 Jun 2026)</t>
  </si>
  <si>
    <t>Recurring Services</t>
  </si>
  <si>
    <t>YAS USSD 2026</t>
  </si>
  <si>
    <t>YAS SUPPORT APPLICATIF 2026</t>
  </si>
  <si>
    <t>YAS SUPPORT S3 2026</t>
  </si>
  <si>
    <t>YAS REQUISITIONS 2026</t>
  </si>
  <si>
    <t>YAS JAVA 2026</t>
  </si>
  <si>
    <t>R2GIE INTEGRATION COMORES MOIS DE MAI 2026</t>
  </si>
  <si>
    <t>SMART TV 55'' 1+8G ANDROID TOUCH</t>
  </si>
  <si>
    <t>Travaux sur Ampasanimalo</t>
  </si>
  <si>
    <t>Projet petite Elec 2026: Travaux Energie Projet Phoenix ANM003 Ivandry</t>
  </si>
  <si>
    <t>Projet petite elec 2026 : travaux Energie projet Phoenix ANM007 Tana FH</t>
  </si>
  <si>
    <t>FAUSCEAU RACK TITAN II</t>
  </si>
  <si>
    <t>Parafoudre schneider</t>
  </si>
  <si>
    <t>Shop Modernization - PoC - Validé par HJ le 16/01/2026</t>
  </si>
  <si>
    <t>DISTR PROV JUIN2026</t>
  </si>
  <si>
    <t>DIST UNITE TANA MOIS DE JUIN 2026</t>
  </si>
  <si>
    <t>FOIRE DE LA FIBRE</t>
  </si>
  <si>
    <t>Conférence Data Protection et AI_02Juillet2026</t>
  </si>
  <si>
    <t>Location de CARS avec chauffeurs pour un transport Ramassage par axes &gt; IVATO</t>
  </si>
  <si>
    <t>PRESTATION   MENSUELLE   YAS JUILLET 2026</t>
  </si>
  <si>
    <t>Influenceur JuJu</t>
  </si>
  <si>
    <t>LOCATION SPRINTER AUTO  TRAJET 2 ET 3</t>
  </si>
  <si>
    <t>Location Mobiliers - Foire de la Fibre TuleaR</t>
  </si>
  <si>
    <t>travaux dinstallation 2220377473 SOAFIAVY à Mandritsara</t>
  </si>
  <si>
    <t>spot pub juin 2026</t>
  </si>
  <si>
    <t>SPOT PUB TV MAI 2026</t>
  </si>
  <si>
    <t>spot pub mai 2026</t>
  </si>
  <si>
    <t>promo</t>
  </si>
  <si>
    <t>spot pub 25/04/2026</t>
  </si>
  <si>
    <t>spot 17/04 au 17/05/2026</t>
  </si>
  <si>
    <t>spot pub 13/04 au 13/05 2026</t>
  </si>
  <si>
    <t>spot pub avril 2026</t>
  </si>
  <si>
    <t>spot pub 04/04/2026 et 05/04/2026</t>
  </si>
  <si>
    <t>SPOT MARS 2026</t>
  </si>
  <si>
    <t>SPOT MOIS DE MARS 2026</t>
  </si>
  <si>
    <t>COFI 2026 - VOITURE GRS CLAURODIEN</t>
  </si>
  <si>
    <t>COFI 2026 - VOITURE TOYOTA HILUX 2.4GD Country Double Cab 6-MT 4x4 - GRS CHALLENGER</t>
  </si>
  <si>
    <t>Participation Partenaire GOLD à la foire MEVA 2026</t>
  </si>
  <si>
    <t>Transport bagages GERALDO suite déménagement</t>
  </si>
  <si>
    <t>COFI 2026 - BAJAJ GRS LEONG JUDE ERIKO</t>
  </si>
  <si>
    <t>Contrat Mensuel JUIN 2026.</t>
  </si>
  <si>
    <t>TRAVAUX INFRA GPON-IMPLANTATION POTEAU RAMAHANDRY</t>
  </si>
  <si>
    <t>TRAVAUX INFRA GPON-IMPLANTATIN POTEAU MALALATINA HANITRA</t>
  </si>
  <si>
    <t>TRAVAUX INFRA GPON-IMPLANTATION POTEAU DENISETTE</t>
  </si>
  <si>
    <t>Travaux maintnance filaire-GC Andranomena</t>
  </si>
  <si>
    <t>INSTALLATION FO- TRAVAUX GC SUR INRA GPON ANTANINARENINA</t>
  </si>
  <si>
    <t>INSTALLATION FO-TRAVAUX SUR INFRA GPON</t>
  </si>
  <si>
    <t>TRAVAUX INFRA GPON-IMPLANTATION POTEAU DIAMONDRA RABENIALA</t>
  </si>
  <si>
    <t>TRAVAUX INFRA GPON-IMPLANTATION POTEAU EUFONIE TSIADANA</t>
  </si>
  <si>
    <t>TRAVAUX INFRA GPON-IMPLANTATION POTEAU ONINTSOA</t>
  </si>
  <si>
    <t>TRAVAUX INFRA GPON-IMPLANTATION POTEAU RAMAROVAHINY</t>
  </si>
  <si>
    <t>Travaux INFRA GPON -Implantation Poteau Aline Mihoraniaina</t>
  </si>
  <si>
    <t>TRAVAUX INFRA GPON-IMPLANTATION POTEAU MIALISOA NICOLE</t>
  </si>
  <si>
    <t>Travaux INFRA GPON-Implantation poteau ILAFY</t>
  </si>
  <si>
    <t>TRAVAUX INFRA GPON-IMPLANTATION POTEAU VONISITRAKA</t>
  </si>
  <si>
    <t>TRAVAUX INFRA GPON -IMPLANTATION POTEAU HARINAMBININA</t>
  </si>
  <si>
    <t>TRAVAUX INFRA GPON - IMPLANTATION POTEAU TSANTATIANA RIVONOMENA</t>
  </si>
  <si>
    <t>INSTALLATION FO-TRAVAUX GC SUR INFRA GPON TECH MARINE VILLA CLOCHETTE</t>
  </si>
  <si>
    <t>TRAVAUX INFRA GPON-IMPLANTATION POTEAU RAMANITRANDRASANA</t>
  </si>
  <si>
    <t>TRAVAUX INFRA GPON-IMPLANTATION POTEAU FANOMEZANTSOA ANJARATIANA</t>
  </si>
  <si>
    <t>TRAVAUX INFRA GPON - IMPLANTATION POTEAU ANDOTIANA</t>
  </si>
  <si>
    <t>TRAVAUX INFRA GPON BMOI STAFF</t>
  </si>
  <si>
    <t>TRAVAUX INFRA GPON- FENOTSIKY STEPHEN</t>
  </si>
  <si>
    <t>TRAVAUX INFRA GGPON ANDRIAMIHAJA</t>
  </si>
  <si>
    <t>INSTALLATION FO-TRAVAUX GC SUR INFRA GPON SAHONDRA MARIE</t>
  </si>
  <si>
    <t>INSTALLATION FO-TRAVAUX GC SUR INFRA GPON AMBATOMALAZA</t>
  </si>
  <si>
    <t>INSTALLATION FO -TRAVAUX GC SUR INFRA GPON RAMANANKAVALY</t>
  </si>
  <si>
    <t>INSTALLATION FO-TRAVAUX GC SUR INFRA GPON AMORONAKONA</t>
  </si>
  <si>
    <t>INSTALLATION FO-TRAVAUX INFRA GPON SAMY MARIANA</t>
  </si>
  <si>
    <t>TRAVAUX INFRA GPON-IMPLANTATION POTEAU ANTSARARAY</t>
  </si>
  <si>
    <t>INSTALLATION FO-TRAVAUX GC SUR INFRA GPON TOKY ESTELLE</t>
  </si>
  <si>
    <t>INSTALLATION FO-TRAVAUX IGC SUR INFRA GPON RAHOLIMAHEFA ANDOFANOMEZANA</t>
  </si>
  <si>
    <t>INSTALLATION FO-TRAVAUX GC SUR INFRA GPON FARAVOLOLONIAINA RAHARIMIHANTA</t>
  </si>
  <si>
    <t>TRAVAUX INFRA GPON-IMPLANTATION POTEAU AIME HARDY LANTOANDRIANTSIFERANA</t>
  </si>
  <si>
    <t>INSTALLATION FO-TRAVAUX GC SUR INFRA GPON MINISTERE DE LA TELECOMMUNICATION</t>
  </si>
  <si>
    <t>TRAVAUX INFRA GPON -IMPLANTATION POTEAU RAKOTOARISOA DIAMONDRA</t>
  </si>
  <si>
    <t>ITM</t>
  </si>
  <si>
    <t>Installation Fronton - Stands Yas Hoopfest</t>
  </si>
  <si>
    <t>ACOMPTE - INSTALLATION ECLAIRAGEET PRISES MAGASIN-TITAN III</t>
  </si>
  <si>
    <t>TRANSPORT ET IMPLANTATION POTEAUX</t>
  </si>
  <si>
    <t>Diffusion de spot Trail d'Ibity de 30 sec sur radio RNA</t>
  </si>
  <si>
    <t>Diffusion spot Top Horaire et animation à la RNA  ANTANANARIVO</t>
  </si>
  <si>
    <t>LOCATION PANNEAUX PUBLICITAIRES - 1 AN</t>
  </si>
  <si>
    <t>Festival Mazava Loha et Championnat Beach Soccer du 03 au 09 Juin 2025</t>
  </si>
  <si>
    <t>LEASING AOUT 2026</t>
  </si>
  <si>
    <t>LEASING CANON AOUT 2026</t>
  </si>
  <si>
    <t>LEASING MOIS DAOUT 2026</t>
  </si>
  <si>
    <t>CARNET RECU MANUEL</t>
  </si>
  <si>
    <t>Réparation rideau métallique YAS Store Sambava</t>
  </si>
  <si>
    <t>SOMARHO 2026</t>
  </si>
  <si>
    <t>FINALE YAS COUPE MADAGASCAR 2026</t>
  </si>
  <si>
    <t>CARTE DE VISITE</t>
  </si>
  <si>
    <t>INVITATION + ENVELOPPE</t>
  </si>
  <si>
    <t>affichage abribus juin 2026</t>
  </si>
  <si>
    <t>location mur juin 2026</t>
  </si>
  <si>
    <t>affichage juin 2026</t>
  </si>
  <si>
    <t>affichage mois de juin 2026</t>
  </si>
  <si>
    <t>Technicien Polyvalent - Foire de la fibre Tulear</t>
  </si>
  <si>
    <t>TOP HORAIRE RADIO JANVIER 2026</t>
  </si>
  <si>
    <t>Contrepoids camion</t>
  </si>
  <si>
    <t>Impression Bâche - FIM 2026</t>
  </si>
  <si>
    <t>acompte 50 %  Table de Vente MBALIK</t>
  </si>
  <si>
    <t>Prestation Logistique et Locations - Fan Zone CUA Parvis</t>
  </si>
  <si>
    <t>Production billet CINE YAS</t>
  </si>
  <si>
    <t>CHEQUE GEANT GRAND FORMAT FESTIVAL DONA BE</t>
  </si>
  <si>
    <t>SOLDE CONFECTION</t>
  </si>
  <si>
    <t>Sponsoring Diamond YAS Excel Esports Madagascar 2026</t>
  </si>
  <si>
    <t>crèches MIKOLO ANALAKELY mois de juillet 2026 AU Décembre 2026</t>
  </si>
  <si>
    <t>ARTICLE PRIX ET QUALITE DE L'INTERNET</t>
  </si>
  <si>
    <t>BANDEAU A LA UNE FEVRIER 2026</t>
  </si>
  <si>
    <t>DERNIERE PAGE FEVRIER 2026</t>
  </si>
  <si>
    <t>bandeau a la une janvier 2026</t>
  </si>
  <si>
    <t>dernier page janvier 2026</t>
  </si>
  <si>
    <t>BANDEAU JAN 2026</t>
  </si>
  <si>
    <t>DERNIERE PAGE DECEMBRE 2025</t>
  </si>
  <si>
    <t>DERNIER PAGE SEPT 2025</t>
  </si>
  <si>
    <t>LOCATION CHARIOTS JUILLET 2026</t>
  </si>
  <si>
    <t>LOCATION JUIN 2026</t>
  </si>
  <si>
    <t>LOCATION MOIS DE MAI 2026</t>
  </si>
  <si>
    <t>LOCATION CHARIOTS AVRIL 2026</t>
  </si>
  <si>
    <t>LOCATION CHARIOTS MARS 2026</t>
  </si>
  <si>
    <t>LOCATION CHARIOTS JANVIER 2026</t>
  </si>
  <si>
    <t>Location camion, manutention au chargement et déchargement pour le transport équipements</t>
  </si>
  <si>
    <t>Location des camions pour transport STAND FIBRE</t>
  </si>
  <si>
    <t>FIM 2026 &amp; YBT ET ATELIER ADMIN MAJUNGA</t>
  </si>
  <si>
    <t>Location Fourgon</t>
  </si>
  <si>
    <t>Transport Lots performers</t>
  </si>
  <si>
    <t>Expédition Générateurs</t>
  </si>
  <si>
    <t>TRANSPORT EQUIPEMENTS</t>
  </si>
  <si>
    <t>Transport - Hoopfest Inter Universitaire 2026</t>
  </si>
  <si>
    <t>Transport Flag et Bâche</t>
  </si>
  <si>
    <t>Transport PLV YAS</t>
  </si>
  <si>
    <t>Transport PLV</t>
  </si>
  <si>
    <t>Transport 200pT 8m de Tana vers Antsirabe</t>
  </si>
  <si>
    <t>SIGNIFICATION LMD ANTANANARIVO</t>
  </si>
  <si>
    <t>SIGNIFICATION LMD MAHAJANGA</t>
  </si>
  <si>
    <t>SIGNIFICATION POUR LMD MAHAJANGA</t>
  </si>
  <si>
    <t>SAISIE ARRET ET OU SAISIE CONSERVATOIRE</t>
  </si>
  <si>
    <t>SIGNIFICATION POUR LMD ANTANANARIVO</t>
  </si>
  <si>
    <t>LMD MAHAJANGA</t>
  </si>
  <si>
    <t>MAIN LEVEE A LA BANQUE</t>
  </si>
  <si>
    <t>SAISIE ARRET SAMIRAH BEZARA</t>
  </si>
  <si>
    <t>AFFAIRE SOCIETE SEAM</t>
  </si>
  <si>
    <t>AFFAIRE PARABOLE MADAGASCAR</t>
  </si>
  <si>
    <t>AFFAIRE SOCIETE VOLAMAHASOA</t>
  </si>
  <si>
    <t>SIGNIFICATION LMD JEAN BERTIN RATIARISON</t>
  </si>
  <si>
    <t>SIGNIFICATION LMD SAM YONG RAHARITIANA</t>
  </si>
  <si>
    <t>SIGNIFICATION LMD CINDY YASUKA</t>
  </si>
  <si>
    <t>AFFAIRE TSARALAFY</t>
  </si>
  <si>
    <t>AFFAIRE GAMA LTD SARL</t>
  </si>
  <si>
    <t>AFFAIRE CONSTRUCT SARL</t>
  </si>
  <si>
    <t>YS AVENUE TAMATAVE</t>
  </si>
  <si>
    <t>Mise à disposition équipes pour installation FO juillet 2026</t>
  </si>
  <si>
    <t>abonnement aout 2026</t>
  </si>
  <si>
    <t>FLYERS AFFICHES SOMAROHO</t>
  </si>
  <si>
    <t>Régie Vidéo le 13 et 14 Juin 2026</t>
  </si>
  <si>
    <t>Couverture Photo &amp; Vidéo Antsirabe / Fianarantsoa</t>
  </si>
  <si>
    <t>ACHAT Q2</t>
  </si>
  <si>
    <t>CAFE</t>
  </si>
  <si>
    <t>NATUR EAU</t>
  </si>
  <si>
    <t>ADN COLLATION Q2 2026</t>
  </si>
  <si>
    <t>MOIS D AOUT 2026</t>
  </si>
  <si>
    <t>Prestation pour des Hôtesses à lévènement « AFRICA DAY » qui se déroulera le 22 Mai 2026</t>
  </si>
  <si>
    <t>AERO EXPO</t>
  </si>
  <si>
    <t>Hôtesses ITM 2026</t>
  </si>
  <si>
    <t>Prestation Hotesses - Hoopfest Inter -universitaire 2026</t>
  </si>
  <si>
    <t>PARTENAIRE BRONZE</t>
  </si>
  <si>
    <t>01 Programme Ampela</t>
  </si>
  <si>
    <t>Prestation Influenceur Paloma &amp; Scott</t>
  </si>
  <si>
    <t>FETE DE LA MUSIQUE CIRCUIT TRAINiNG FETE NATONALE CAMPAGNE INSTIT Du 18 Juin au 17 Juillet 2026</t>
  </si>
  <si>
    <t>FETE DE LA MUSIQUE CIRCUIT TRAINiNG FETE NATONALE CAMPAGNE INSNT Du 18 Juin au 18 Juillet 2026</t>
  </si>
  <si>
    <t>FOIRE FIBRE CAMPAGNE PROMO Du 12 Juin au 12 Juillet 2026</t>
  </si>
  <si>
    <t>FOIRE FIBRE CAMPAGNE PROMO Du 15 Juin au 11 Juillet 2026</t>
  </si>
  <si>
    <t>YELLOW ONE-YELLOW 25OO CAMPAGNE ENTREI-IEN Du 09 Juin au 0B Juillet 2026</t>
  </si>
  <si>
    <t>YELLOW ONE-YELLOW 25OO CAMPAGNE ENTRETiEN Du 09 Juin au 0B luillet 2026</t>
  </si>
  <si>
    <t>YAS PROMO MITSINJO CAMPAGNE PROMO Du 09 Juin au 09 Juillet 2026</t>
  </si>
  <si>
    <t>YAS PROMO MITSINJO CAMPAGNE PROMO JUIN 2026</t>
  </si>
  <si>
    <t>YAS COUPE DE MADA JUIN 2026</t>
  </si>
  <si>
    <t>YAS COUPE DE MADA CAMPAGNE LAUNCH 2026 JUIN 2026</t>
  </si>
  <si>
    <t>FIBRE NETFLIX</t>
  </si>
  <si>
    <t>FIBRE NETFLIX JUIN 2026</t>
  </si>
  <si>
    <t>PROMO FETES DES MERES ET YELLOW ONE MAI 2026</t>
  </si>
  <si>
    <t>COFI 2026 - MOTO PIACHI DEFENDER 250CC - GRS ERRA DISTRIBUTION -</t>
  </si>
  <si>
    <t>DIFFUSION SPOT YAS MOIS DE FEVRIER 2026</t>
  </si>
  <si>
    <t>facture mois de juillet 2026</t>
  </si>
  <si>
    <t>promo juin 2026</t>
  </si>
  <si>
    <t>YAS PROMO MITSINJO</t>
  </si>
  <si>
    <t>YAS LAUNCH YCM</t>
  </si>
  <si>
    <t>DIFF SPOTS RADIO ANNEE 2025-2026</t>
  </si>
  <si>
    <t>DIFF SPOTS RADIO ANNEE 2025</t>
  </si>
  <si>
    <t>DIFF SPOTS RADIO ANNEE2025</t>
  </si>
  <si>
    <t>DIFF SPOT TV JUILLET 2026</t>
  </si>
  <si>
    <t>Sandix Sono - Foire de la Fibre Tulear</t>
  </si>
  <si>
    <t>Sono stand fibre</t>
  </si>
  <si>
    <t>ACOMPTE 50%</t>
  </si>
  <si>
    <t>REPARATION CAMION -1175TCC</t>
  </si>
  <si>
    <t>Prestation 04 Agents de nettoyage TITAN III</t>
  </si>
  <si>
    <t>Transport bagages FARAH suite prise de poste</t>
  </si>
  <si>
    <t>LOCATION SPRINTER GALAXY-ARIVONIMAMO GALAXY CARBURANT INCLUS</t>
  </si>
  <si>
    <t>LOCATION SPRINTER GALAXY-REMISAGE</t>
  </si>
  <si>
    <t>Location Sprinter - Foire de la Fibre</t>
  </si>
  <si>
    <t>Influenceur DiarY</t>
  </si>
  <si>
    <t>FOIRE BE SATRANA 2026</t>
  </si>
  <si>
    <t>Influenceur ALVIN - Avril au Juin 2026</t>
  </si>
  <si>
    <t>loc salle</t>
  </si>
  <si>
    <t>PERIODE JUILLET 2026</t>
  </si>
  <si>
    <t>DIFF SPOT RD BLACK NOVEMBRE PROMO TERMINAUX NOV 2025</t>
  </si>
  <si>
    <t>DIFF SPOT RD PROMO ENTRETIENT  NOV 2025</t>
  </si>
  <si>
    <t>DIFF KADOA MARS 2026</t>
  </si>
  <si>
    <t>YAS DIFFUSION SPOTTV WEEK END §AINTVALENTIN DU 14 FEVRIER 2026</t>
  </si>
  <si>
    <t>YAS DIFFUSION SFOT RD LAUNCH NET IVEEK TvIONTH DU 10 AU FEVRIER 2026</t>
  </si>
  <si>
    <t>DIFFUSION SPOT RD YELLOW ONE PRO,iAO DU 29 JANVAU 28 FEVRIER 2026</t>
  </si>
  <si>
    <t>DIFFUSION SPOT RD FIBRE GENERIQUE +SUPERAPP DU 29 JANVAU 28 FEYRIER 2026</t>
  </si>
  <si>
    <t>DIFFUSION SPOT RD EASY DU 26 JANVIERAU 24 FEVRIER 2026</t>
  </si>
  <si>
    <t>DIFF JAN 2026</t>
  </si>
  <si>
    <t>DIFF SPOT JUIN 2026</t>
  </si>
  <si>
    <t>DIFF SPOT MOIS DE JUIN 2026</t>
  </si>
  <si>
    <t>DIFF SPOT JUILLET 2026</t>
  </si>
  <si>
    <t>Campagne du mois de JUILIET 2025</t>
  </si>
  <si>
    <t>EQUIPEMENT FOIRE DE LA FIBRE TULEAR</t>
  </si>
  <si>
    <t>MACHINE CAFE</t>
  </si>
  <si>
    <t>rajout stickers mbalik</t>
  </si>
  <si>
    <t>AFFICHE</t>
  </si>
  <si>
    <t>HABILLAGE YAS STORE TOAMASINA</t>
  </si>
  <si>
    <t>STICKERS STAND FIBRE</t>
  </si>
  <si>
    <t>FETES DES MERES 2026</t>
  </si>
  <si>
    <t>HABILLAGE STAND FIM</t>
  </si>
  <si>
    <t>LOC JUIN 2026</t>
  </si>
  <si>
    <t>Consommation RICOH et Loyer mensuel TELMA SA - Juin2026</t>
  </si>
  <si>
    <t>NETTOYAGE DES CONDENSEURS POUR LES UNITES DE PRECISION DE MOIS DE FEV 2026</t>
  </si>
  <si>
    <t>REFECTION ARMOIRE 01 SALLE OCB TULEAR</t>
  </si>
  <si>
    <t>RECHERCHE ET REPARATION FUITE S PLIT ORTU TULEAR</t>
  </si>
  <si>
    <t>Maintenance camera de surveillance Campus</t>
  </si>
  <si>
    <t>Installation Powerhub Yas Store Iavoloha</t>
  </si>
  <si>
    <t>Installation Powerhub</t>
  </si>
  <si>
    <t>Régularisation - Installation Powerhub</t>
  </si>
  <si>
    <t>PROJETS VI - GENESYS V.2 et JOLINGA</t>
  </si>
  <si>
    <t>Prise Photos - le 23 au 26 juillet 2026</t>
  </si>
  <si>
    <t>top horaire fevr2026</t>
  </si>
  <si>
    <t>TOP HORAIRE JUILLET 2026</t>
  </si>
  <si>
    <t>TOP HORAIRE MAI 2026</t>
  </si>
  <si>
    <t>TOP HORAIRE JANVIER 2026</t>
  </si>
  <si>
    <t>TOP HORAIRE MARS 2026</t>
  </si>
  <si>
    <t>top hioraire avril 2026</t>
  </si>
  <si>
    <t>GEZANI</t>
  </si>
  <si>
    <t>LANCEMENT FUTSAL</t>
  </si>
  <si>
    <t>WEEKEND KADOA RADIO</t>
  </si>
  <si>
    <t>WEEKEND KADOA</t>
  </si>
  <si>
    <t>WEEK END KADOA</t>
  </si>
  <si>
    <t>PROMO RADIO</t>
  </si>
  <si>
    <t>PROMO RADIO POWERPLAY</t>
  </si>
  <si>
    <t>PROMO RADIO NETFLIX</t>
  </si>
  <si>
    <t>PROMO MITSINJO</t>
  </si>
  <si>
    <t>PROMO ZTE</t>
  </si>
  <si>
    <t>PROMO POWERPLAY 2026</t>
  </si>
  <si>
    <t>PROMO NETFLIX</t>
  </si>
  <si>
    <t>PROMO MBALIK FIM</t>
  </si>
  <si>
    <t>PROMO LANCEMENT MORENGY</t>
  </si>
  <si>
    <t>LAUNCH COUPE  DE MADA TV</t>
  </si>
  <si>
    <t>LAUNCH COUPE DE MADA RD</t>
  </si>
  <si>
    <t>INSTITIONNELLE</t>
  </si>
  <si>
    <t>INSTITUTIONNELLE</t>
  </si>
  <si>
    <t>ENTRETIEN</t>
  </si>
  <si>
    <t>LANCEMENT MORENGY</t>
  </si>
  <si>
    <t>ENTRETIEN YELLOW ONE</t>
  </si>
  <si>
    <t>ENTRETIEN FIBRE NETFLIX</t>
  </si>
  <si>
    <t>ENTRETIEN LANCEMENT MORENGY</t>
  </si>
  <si>
    <t>ENTRETIEN RADIO</t>
  </si>
  <si>
    <t>EENTRETIEN YELLOW ONE</t>
  </si>
  <si>
    <t>Photobooth - GAZO X LA FOUINE</t>
  </si>
  <si>
    <t>SAMSUNG S25</t>
  </si>
  <si>
    <t>COFI 2026 VTT</t>
  </si>
  <si>
    <t>Séminaire RAS 2026 - MANANARA_AVARATRA</t>
  </si>
  <si>
    <t>BILLET RASATANDRIANOMBA FRANCICE PARIS TANA PARIS</t>
  </si>
  <si>
    <t>BILLET ANDRIATOAVINA EMMANUEL NOSBE TANA</t>
  </si>
  <si>
    <t>BILLET RASOANOMENJANAHARY LALAUNA TANA FORTS DAUPHIN</t>
  </si>
  <si>
    <t>BILLET RANDRIAMALY DAVID NOSBYE TANA</t>
  </si>
  <si>
    <t>BILLET RABEFITIA RIANTSOA TANA NSBE TANA</t>
  </si>
  <si>
    <t>2026-CO-000001/ KAZE TRADING CO ACH 16 SCOOTER ELECTRIQUE BC 136204 FA 2026/026</t>
  </si>
  <si>
    <t>CHRISTIAN1_281_134605_LOYER 16/06 au 16/08/2026</t>
  </si>
  <si>
    <t>FILAOEDEN1_BC136428_136428_Paiement logement Filao Eden SAKALAVA, prestation de l'ambassadrice YAS</t>
  </si>
  <si>
    <t>MADAJOB1_AVOIR JURISTE JUILLET 2026_FA CN-00877_BC 136118</t>
  </si>
  <si>
    <t>MADAJOB1_AVOIR BACK OFFICE RECOUVREMENT JUILLET 2026_FA CN-00876_BC 136118</t>
  </si>
  <si>
    <t>MADAJOB1_AVOIR FRAIS DE TRANSPORT JUILLET 2026_FA CN-00875_BC 136099</t>
  </si>
  <si>
    <t>MADAJOB1_AVOIR ANIMATEURS ROADSHOW RN1_FA CN-00870_BC 136099</t>
  </si>
  <si>
    <t>MADAJOB1_AVOIR BACK OFFICE_FA CN-00872_BC 136100</t>
  </si>
  <si>
    <t>MADAJOB1_AVOIR ANIMATEUR EN POSTE FIXE_FA CN-00873_BC 136103</t>
  </si>
  <si>
    <t>MADAJOB1_AVOIR ANIMATEUR ROADSHOW TANA_FA CN-00871_BC 136099</t>
  </si>
  <si>
    <t>MADAJOB1_AVOIR ROADSHOW TANA JUIN 2026_FA CN-00868_BC 136097</t>
  </si>
  <si>
    <t>MADAJOB1_AVOIR ROADSHOW TANA RN1 JUIN 2026_FA CN-00869_BC 136097</t>
  </si>
  <si>
    <t>MADAJOB1_INV-13163_136106_Prestation intérimaire: 19 AR en Shop mois d'Aout 2026</t>
  </si>
  <si>
    <t>MADAJOB1_INV-13164_136105_Prestation intérimaire: 44 AR en Kioska mois d'Aout 2026</t>
  </si>
  <si>
    <t>MADAJOB1_INV-13165_136103_Prestation intérimaire: 20 AR en Poste Fixe mois d'Aout 2026</t>
  </si>
  <si>
    <t>MADAJOB1_INV-13166_136100_Prestation intérimaire: 13 Back Office mois d'Aout 2026</t>
  </si>
  <si>
    <t>MADAJOB1_INV-13167_136099_Prestation intérimaire: 30 Animateurs Roadshow mois d'Aout 2026</t>
  </si>
  <si>
    <t>MADAJOB1_INV-13168_136092_Prestation intérimaire Animateurs micro mois de d'Aout 2026</t>
  </si>
  <si>
    <t>MADAJOB1_DM-13169_136097_Prestation intérimaire: IM 30 AR Roadshow mois d'Aout 2026</t>
  </si>
  <si>
    <t>MADAJOB1_DM-13170_136093_Prestation intérimaire: IM 02 AR Micro mois d'Aout 2026</t>
  </si>
  <si>
    <t>MADAJOB1_INV-13172_136123_Prestation intérimaire: 02 Agent de mis sous pli mois d'Aout 2026</t>
  </si>
  <si>
    <t>MADAJOB1_INV-13171_136124_Prestation intérimaire: 08 ADV mois d'Aout 2026</t>
  </si>
  <si>
    <t>MADAJOB1_INV-13176_136116_PI 05  COORDINATEURS SALES OUTSORCING REGION mois d'Aout 2026</t>
  </si>
  <si>
    <t>MADAJOB1_INV-13173_136120_PI 01 Assistante RH mois d'Aout 2026</t>
  </si>
  <si>
    <t>MADAJOB1_INV-13174_136115_PI 01 Chargé QVT/DEI mois d'Aout 2026</t>
  </si>
  <si>
    <t>MADAJOB1_INV-13181_136111_PI 01 Partner Help Desk mois d'Aout 2026</t>
  </si>
  <si>
    <t>MADAJOB1_INV-13190_136119_Prestation intérimaire: 01 BO Admin et Orga  mois d'Aout 2026</t>
  </si>
  <si>
    <t>MADAJOB1_INV-13182_136110_Prestation intérimaire: 01 Support BI mois d'Août 2026</t>
  </si>
  <si>
    <t>MADAJOB1_INV-13179_136118_Prestation intérimaire: 01 Gestionnaire Recouvrement mois d'Août 2026</t>
  </si>
  <si>
    <t>MADAJOB1_INV-13177_136117_Prestation intérimaire: 01 Gest de Stock Xts vendables mois d'Août 2026</t>
  </si>
  <si>
    <t>MADAJOB1_INV-13175_136117_Prestation intérimaire: 01 Comptable mois d'Août 2026</t>
  </si>
  <si>
    <t>MADAJOB1_INV-13178_136112_Prestation intérimaire: 01 Gest de Stock vendables TITAN3 mois d'Août 2026</t>
  </si>
  <si>
    <t>MADAJOB1_INV-13185_136109_Prestation intérimaire: 01 Tech Testeur Service Perf mois d'août 2026</t>
  </si>
  <si>
    <t>MADAJOB1_INV-13180_136113_Prestation intérimaire: 02 Juriste mois d'Août 2026</t>
  </si>
  <si>
    <t>MADAJOB1_INV-13184_136104_PI 1 Technicien Superviseur Filaire mois d'Août 2026</t>
  </si>
  <si>
    <t>MADAJOB1_INV-13183_136080_PI Technicien Drive Test et Performance mois d'Août 2026</t>
  </si>
  <si>
    <t>MADAJOB1_INV-13186_135219_PI ACHETEUR OPERATIONNEL mois de d'Août 2026</t>
  </si>
  <si>
    <t>MADAJOB1_INV-13084_136153_Prestation intérimaire: 01 NOC Spécialist HC mois de Juillet 2026</t>
  </si>
  <si>
    <t>TRANSANDNIRINA1_28/P/26_132758_Transport personnel SHOP et GALLERY mois de JUILLET 2026</t>
  </si>
  <si>
    <t>MADAJOB1_INV-13188_136153_Prestation intérimaire: 01 NOC Spécialist HC mois d'Août 2026</t>
  </si>
  <si>
    <t>MADAJOB1_INV-13189_129645_Prestation interim Support Projet E-Admin mois d'Août 2026</t>
  </si>
  <si>
    <t>SEQUOIA1_ACOMPTE 60%-TRAVAUX SUPPLEMENTAIRES -PF AKAMASOA RU_24-08/2026_136376</t>
  </si>
  <si>
    <t>MAMIRATRACONSTRUCT1_ACOMPTE 60% - TRAVAUX SUPPLEMENTAIRES  - PROJET RESIDENCE UNIVERSITAIRE_043-0426_136374</t>
  </si>
  <si>
    <t>OKALOU EVENT</t>
  </si>
  <si>
    <t>KOLO TV (SMPC)</t>
  </si>
  <si>
    <t>BAR HERMES</t>
  </si>
  <si>
    <t>FEDERATION MALAGASY DE BODYBUILDING</t>
  </si>
  <si>
    <t>RAFARASOA SUZANNE (HORIZON)</t>
  </si>
  <si>
    <t>Association SFM</t>
  </si>
  <si>
    <t>LES DELICES MANAKARA</t>
  </si>
  <si>
    <t>FEDERATION MALAGASY DE BASKET BALL</t>
  </si>
  <si>
    <t>RABENANAHARY Tahiry Trimosoa</t>
  </si>
  <si>
    <t>ASSOMANY ASSANY</t>
  </si>
  <si>
    <t>IELS TECHNOLOGY</t>
  </si>
  <si>
    <t>FIRST IMMO</t>
  </si>
  <si>
    <t>ICHTUS SERVICE</t>
  </si>
  <si>
    <t>INGENOSYA</t>
  </si>
  <si>
    <t>MATERIEL ET MAINTENANCE INFORMATIQUE(2MI)</t>
  </si>
  <si>
    <t>SOCIETE QUBETA IMPORT-EXPORT SARLU</t>
  </si>
  <si>
    <t>ACEEM RADIO</t>
  </si>
  <si>
    <t>ALLIANCE FRANCAISE AMBILOBE</t>
  </si>
  <si>
    <t>ANDRIAMBELO HOLIARISOA HASINA (HHENIKA )</t>
  </si>
  <si>
    <t>ANDRIAMBOLOLONARISOA HAINGO(4 TIA)</t>
  </si>
  <si>
    <t>SOCIETE ANDRY</t>
  </si>
  <si>
    <t>ANTONIS</t>
  </si>
  <si>
    <t>ASSOCIATION KITSANA</t>
  </si>
  <si>
    <t>BAKAO SERVICES</t>
  </si>
  <si>
    <t>BAOBAB TREE HOTEL</t>
  </si>
  <si>
    <t>CANAL PLUS ADVERTISING MADAGASCAR</t>
  </si>
  <si>
    <t>COLLEGES DE FRANCE ET DU MONDE</t>
  </si>
  <si>
    <t>ECAR ARCHIDIOCESE (Radio Faniry)</t>
  </si>
  <si>
    <t>EXCEL TRANSPORT et TRAVEL</t>
  </si>
  <si>
    <t>FEDERATION SPORT BOULES MALAGASY</t>
  </si>
  <si>
    <t>GASY BLESSED EVENT</t>
  </si>
  <si>
    <t>HAJANIRINA Harisoa Muriel</t>
  </si>
  <si>
    <t>INSCAE</t>
  </si>
  <si>
    <t>JACARANDA LADIES GOLF DE MADAGASCAR</t>
  </si>
  <si>
    <t>JAOFERA Minaoharisoa Christiane</t>
  </si>
  <si>
    <t>RANDRIAMANOHISOA TOVOHERY HAJANIRINA (KEVIN &amp; CO)</t>
  </si>
  <si>
    <t>LA GASTRONOMIE CONSEIL G-CONSEIL</t>
  </si>
  <si>
    <t>Latitude communication</t>
  </si>
  <si>
    <t>LE CENTRE GAIA</t>
  </si>
  <si>
    <t>LIGUE SPORT BOULES ANALAMANGA</t>
  </si>
  <si>
    <t>MAD COM SARLU</t>
  </si>
  <si>
    <t>MADA TOURS</t>
  </si>
  <si>
    <t>MATV</t>
  </si>
  <si>
    <t>MAITRE BAHOLY HARIVONY ANNA SYLVIE</t>
  </si>
  <si>
    <t>MAKUA ENTERTAINMENT SARL</t>
  </si>
  <si>
    <t>MALAGASY PROFESSIONNEL DE L'ELEVAGE</t>
  </si>
  <si>
    <t>MAMAEVENTS PRODUCTION</t>
  </si>
  <si>
    <t>MAMY SOA</t>
  </si>
  <si>
    <t>MATERAUTO</t>
  </si>
  <si>
    <t>MIJOU PIECES</t>
  </si>
  <si>
    <t>MINISTERAN'NY FOLOALINDAHY</t>
  </si>
  <si>
    <t>MINISTERE DE LA COMMUNICATION ETDE LA CULTURE</t>
  </si>
  <si>
    <t>RAZAFINDRASOA NASSURA ( MOUSSA IRCHAD ABDEL ANZIZ)</t>
  </si>
  <si>
    <t>NANDRASANA HENRI (AVOTRA SERVICE)</t>
  </si>
  <si>
    <t>NDRIAMPARANY ANATOLE NOBERT</t>
  </si>
  <si>
    <t>NOMENJANAHARY FY-AINA SANDYH FORD HARY EM</t>
  </si>
  <si>
    <t>OFFICE NATIONAL DU TOURISME DE MADAGASCAR</t>
  </si>
  <si>
    <t>OFFICE REGIONAL DU TOURISME DE FIANARANTSOA</t>
  </si>
  <si>
    <t>OKAPI LABS</t>
  </si>
  <si>
    <t>PARIS-MALAGASY</t>
  </si>
  <si>
    <t>PU FANANTENANA (FIONONANTSOA Fitiavana Isaia)</t>
  </si>
  <si>
    <t>RADIO DES JEUNES (RDJ)</t>
  </si>
  <si>
    <t>RADIO SITENY TULEAR</t>
  </si>
  <si>
    <t>RAJAONARY THIERRY CLAUDE(TEKISASY)</t>
  </si>
  <si>
    <t>RAKOTO AINA ERICKA</t>
  </si>
  <si>
    <t>RALALA ANDRIAMANALINA TANTELY NY HASINA BERTO DESINFECTION</t>
  </si>
  <si>
    <t>RANDRIAMANGA THEODORE LEONARD ( NOARISON Michel
Tonit Transporteur MAHAZATRA)</t>
  </si>
  <si>
    <t>SMART LABS MADAGASCAR</t>
  </si>
  <si>
    <t>RANDRIANASOLO MANUEL CONSTANT</t>
  </si>
  <si>
    <t xml:space="preserve">RASAMIMANANTSOA RADO HARIMISA PATISSERIE RINDRA </t>
  </si>
  <si>
    <t>RASOLOFONDRASATA Maminiaina PASSION CHOCO</t>
  </si>
  <si>
    <t>RATSIMBAZAFY PASKALINARISOA(PUBLIKA MADA)</t>
  </si>
  <si>
    <t>RAZAFINDRAKOTO TEFIMBOLA ALAIN (ANOSY HI TECH)</t>
  </si>
  <si>
    <t>RELAIS DES PLATEAUX</t>
  </si>
  <si>
    <t>RTV FANJIRY</t>
  </si>
  <si>
    <t>SMGI</t>
  </si>
  <si>
    <t>SOCIETE DE GESTION ET EXPLOITATION DE M/CAR (PARK LIFE)</t>
  </si>
  <si>
    <t>SOCIETE IDF</t>
  </si>
  <si>
    <t>SOCIETE MALGACHE DE COMMUNICATION M3TV-FM</t>
  </si>
  <si>
    <t>TORA INDUSTRIES</t>
  </si>
  <si>
    <t>TSIMA'S ART</t>
  </si>
  <si>
    <t>TSIMIJERIMANANA DOBIAS ABRAMSKY BENJAMIN</t>
  </si>
  <si>
    <t>VARA SARL</t>
  </si>
  <si>
    <t>WILLY FLEURIAN HAINGONIRINA</t>
  </si>
  <si>
    <t>ZOMA</t>
  </si>
  <si>
    <t>PATIENCE IMMOBILIER (NORONIRINA KERENE PATRICIA)</t>
  </si>
  <si>
    <t>MOHAMED AKIL SHAMIR</t>
  </si>
  <si>
    <t>RAKOTONDRABE ROMUALD FELIX</t>
  </si>
  <si>
    <t>ETS ARINJAKA (RNA)</t>
  </si>
  <si>
    <t>MALAGASY PRO PADEL TOUR</t>
  </si>
  <si>
    <t>RAKOTOARINIVO JEAN MAMY</t>
  </si>
  <si>
    <t>AXIAN UNIVERSITY NEXTA</t>
  </si>
  <si>
    <t>AXIAN TELECOM SUPPORT SERVICES</t>
  </si>
  <si>
    <t>CLUB OLYMPIQUE DE TANA</t>
  </si>
  <si>
    <t>MBS</t>
  </si>
  <si>
    <t>ERICSSON AB MADAGASCAR</t>
  </si>
  <si>
    <t>INTERNATIONAL DISTRIBUTION COMPANY (IDC)</t>
  </si>
  <si>
    <t>SOCIETE DE METALLURGIE DE L OCEAN INDIEN (ABC</t>
  </si>
  <si>
    <t>SOCIETE F BONNET ET SES FILS</t>
  </si>
  <si>
    <t>ANDRIANANTOANDRO ANJARA NOMENA TIANA (ATIPIK)</t>
  </si>
  <si>
    <t>ANDRIANARY VERO HAINGO TIANA</t>
  </si>
  <si>
    <t xml:space="preserve">TRANSPORTEUR ANDRIANIRINA NOMENJANAHARY HARRY </t>
  </si>
  <si>
    <t>ANDRIANTIANA JACQUES ULRICH UNYC RADIO</t>
  </si>
  <si>
    <t>ANDRIANTSOA JULIANNA</t>
  </si>
  <si>
    <t>CHAMBRE DE COMMERCE ET D'INDUSTRIE D'ANTSIRAN</t>
  </si>
  <si>
    <t>Jean Olivier Andriamady (CHEMIR ABDOU AZADALLY)</t>
  </si>
  <si>
    <t>DSTV  ET FM DIEGO</t>
  </si>
  <si>
    <t>ELECTRICITE DE LA GRANDE ILE</t>
  </si>
  <si>
    <t>FLY LEASE SARL</t>
  </si>
  <si>
    <t>FOCUSGROUP SARLU</t>
  </si>
  <si>
    <t>HAMAC</t>
  </si>
  <si>
    <t>IVENCO</t>
  </si>
  <si>
    <t>KAJY PARTNERS</t>
  </si>
  <si>
    <t>KIDS ACADEMY</t>
  </si>
  <si>
    <t>LEADER PRICE MADAGASCAR</t>
  </si>
  <si>
    <t>MONDE PARALLELE AGENCY ( RATSIMBAZAFY FIANTSO TOHAN ITSIARO)</t>
  </si>
  <si>
    <t>NO MEDIA</t>
  </si>
  <si>
    <t>RAMINOSOA FETRARIVONY (NUIT DES AILES)</t>
  </si>
  <si>
    <t>ONG STEM FOR GOOD</t>
  </si>
  <si>
    <t>PALOMA &amp; SCOTT</t>
  </si>
  <si>
    <t>PRO BIKE</t>
  </si>
  <si>
    <t>RADIO ANTSIVABE</t>
  </si>
  <si>
    <t>RADIO DON BOSCO</t>
  </si>
  <si>
    <t>RADIO RAVINALA MANAKARA</t>
  </si>
  <si>
    <t>RAJAOFETRA ANDRIANAINA Sandy(SANDIX)</t>
  </si>
  <si>
    <t>RAKOTOVAO NOFY KANTO (GARAGE MON ESPOIR)</t>
  </si>
  <si>
    <t>RAMANGATAHIANA NOMENA MAMMY</t>
  </si>
  <si>
    <t>RANDRIAMAHALEO Elisoa Nampoina</t>
  </si>
  <si>
    <t>RANDRIAMANDIMBIHARIJAONA Aina Michael</t>
  </si>
  <si>
    <t>RANDRIANAIVORAVELONA  ALVIN LOVANIAINA</t>
  </si>
  <si>
    <t>RIVONAINA VAZAHANY CLEMENTINE (ASSOCIATION FEMME ET DEVELOPPEMENT AKANY FANOVOZANTSOA)</t>
  </si>
  <si>
    <t>RTV YJOANA</t>
  </si>
  <si>
    <t>SANIFER</t>
  </si>
  <si>
    <t>TSARA MARIE ANGELA (LYNX DECIBELS)</t>
  </si>
  <si>
    <t>UNICOM MADAGASCAR</t>
  </si>
  <si>
    <t>VANILLE HOTEL</t>
  </si>
  <si>
    <t>RANDRIANARIVO Andriniaina Christian Odon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</si>
</sst>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409]#,##0"/>
    <numFmt numFmtId="168" formatCode="0\ &quot;day(s)&quot;"/>
    <numFmt numFmtId="169" formatCode="_-* #,##0_-;\-* #,##0_-;_-* &quot;-&quot;??_-;_-@_-"/>
    <numFmt numFmtId="170" formatCode="mm/dd/yyyy"/>
    <numFmt numFmtId="171" formatCode="dd/mm/yyyy;@"/>
    <numFmt numFmtId="172" formatCode="_(* #,##0_);_(* \(#,##0\);_(* &quot;-&quot;??_);_(@_)"/>
    <numFmt numFmtId="173" formatCode="m/d/yyyy;@"/>
  </numFmts>
  <fonts count="3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000000"/>
      <name val="Aptos Narrow"/>
      <family val="2"/>
      <scheme val="minor"/>
    </font>
    <font>
      <sz val="11"/>
      <color rgb="FF000000"/>
      <name val="Aptos Narrow"/>
      <family val="2"/>
      <scheme val="minor"/>
    </font>
    <font>
      <b/>
      <sz val="16"/>
      <color theme="0"/>
      <name val="Aptos Narrow"/>
      <family val="2"/>
      <scheme val="minor"/>
    </font>
    <font>
      <b/>
      <sz val="16"/>
      <color theme="1"/>
      <name val="Aptos Narrow"/>
      <family val="2"/>
      <scheme val="minor"/>
    </font>
    <font>
      <sz val="11"/>
      <color rgb="FF000000"/>
      <name val="Aptos Narrow"/>
      <family val="2"/>
    </font>
    <font>
      <sz val="10"/>
      <color rgb="FF000000"/>
      <name val="Aptos Narrow"/>
      <family val="2"/>
    </font>
    <font>
      <sz val="10"/>
      <color rgb="FF000000"/>
      <name val="Calibri"/>
      <family val="2"/>
    </font>
    <font>
      <sz val="8"/>
      <color rgb="FF000000"/>
      <name val="Raleway"/>
    </font>
    <font>
      <b/>
      <sz val="8"/>
      <color rgb="FF000000"/>
      <name val="Raleway"/>
    </font>
    <font>
      <sz val="11"/>
      <color rgb="FFFFFFFF"/>
      <name val="Aptos Narrow"/>
      <family val="2"/>
      <scheme val="minor"/>
    </font>
    <font>
      <sz val="11"/>
      <color theme="1"/>
      <name val="Arial Narrow"/>
      <family val="2"/>
    </font>
    <font>
      <sz val="9"/>
      <color rgb="FF000000"/>
      <name val="Aptos Narrow"/>
      <family val="2"/>
    </font>
    <font>
      <sz val="12"/>
      <name val="Aptos Narrow"/>
      <family val="2"/>
      <scheme val="minor"/>
    </font>
    <font>
      <sz val="9"/>
      <name val="Book Antiqua"/>
      <family val="1"/>
    </font>
    <font>
      <sz val="11"/>
      <name val="Aptos Narrow"/>
      <family val="2"/>
      <scheme val="minor"/>
    </font>
    <font>
      <sz val="12"/>
      <name val="Calibri"/>
      <family val="2"/>
    </font>
    <font>
      <sz val="11"/>
      <color rgb="FF000000"/>
      <name val="Calibri"/>
      <family val="2"/>
    </font>
    <font>
      <sz val="11"/>
      <color rgb="FFFF0000"/>
      <name val="Aptos Narrow"/>
      <family val="2"/>
      <scheme val="minor"/>
    </font>
    <font>
      <b/>
      <sz val="11"/>
      <name val="Aptos Narrow"/>
      <family val="2"/>
      <scheme val="minor"/>
    </font>
    <font>
      <b/>
      <sz val="14"/>
      <color theme="1"/>
      <name val="Aptos Narrow"/>
      <family val="2"/>
      <scheme val="minor"/>
    </font>
    <font>
      <sz val="11"/>
      <color theme="3"/>
      <name val="Aptos Narrow"/>
      <family val="2"/>
      <scheme val="minor"/>
    </font>
    <font>
      <sz val="11"/>
      <color rgb="FF00B050"/>
      <name val="Aptos Narrow"/>
      <family val="2"/>
      <scheme val="minor"/>
    </font>
    <font>
      <sz val="12"/>
      <name val="Arial Narrow"/>
      <family val="2"/>
    </font>
    <font>
      <b/>
      <sz val="9"/>
      <color indexed="81"/>
      <name val="Tahoma"/>
      <family val="2"/>
    </font>
    <font>
      <sz val="9"/>
      <color indexed="81"/>
      <name val="Tahoma"/>
      <family val="2"/>
    </font>
    <font>
      <b/>
      <u/>
      <sz val="11"/>
      <color theme="0"/>
      <name val="Aptos Narrow"/>
      <family val="2"/>
      <scheme val="minor"/>
    </font>
    <font>
      <sz val="8"/>
      <name val="Aptos Narrow"/>
      <family val="2"/>
      <scheme val="minor"/>
    </font>
    <font>
      <sz val="10"/>
      <color theme="1"/>
      <name val="Aptos Narrow"/>
      <family val="2"/>
      <scheme val="minor"/>
    </font>
    <font>
      <b/>
      <sz val="10"/>
      <color theme="1"/>
      <name val="Aptos Narrow"/>
      <family val="2"/>
      <scheme val="minor"/>
    </font>
    <font>
      <b/>
      <sz val="10"/>
      <color theme="1"/>
      <name val="Calibri"/>
      <family val="2"/>
    </font>
  </fonts>
  <fills count="24">
    <fill>
      <patternFill patternType="none"/>
    </fill>
    <fill>
      <patternFill patternType="gray125"/>
    </fill>
    <fill>
      <patternFill patternType="solid">
        <fgColor rgb="FFFCFBFB"/>
        <bgColor indexed="64"/>
      </patternFill>
    </fill>
    <fill>
      <patternFill patternType="solid">
        <fgColor theme="3"/>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D30E3F"/>
        <bgColor indexed="64"/>
      </patternFill>
    </fill>
    <fill>
      <patternFill patternType="solid">
        <fgColor rgb="FFF78DA7"/>
        <bgColor indexed="64"/>
      </patternFill>
    </fill>
    <fill>
      <patternFill patternType="solid">
        <fgColor rgb="FF003459"/>
        <bgColor indexed="64"/>
      </patternFill>
    </fill>
    <fill>
      <patternFill patternType="solid">
        <fgColor rgb="FF007EA7"/>
        <bgColor indexed="64"/>
      </patternFill>
    </fill>
    <fill>
      <patternFill patternType="solid">
        <fgColor rgb="FF00A8E8"/>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00B050"/>
        <bgColor indexed="64"/>
      </patternFill>
    </fill>
    <fill>
      <patternFill patternType="solid">
        <fgColor theme="1"/>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CFBFB"/>
        <bgColor rgb="FF000000"/>
      </patternFill>
    </fill>
    <fill>
      <patternFill patternType="solid">
        <fgColor rgb="FFFFFFFF"/>
        <bgColor rgb="FFFFFFFF"/>
      </patternFill>
    </fill>
    <fill>
      <patternFill patternType="solid">
        <fgColor theme="0"/>
        <bgColor indexed="64"/>
      </patternFill>
    </fill>
    <fill>
      <patternFill patternType="solid">
        <fgColor theme="0"/>
        <bgColor rgb="FF000000"/>
      </patternFill>
    </fill>
    <fill>
      <patternFill patternType="solid">
        <fgColor theme="3" tint="0.499984740745262"/>
        <bgColor indexed="64"/>
      </patternFill>
    </fill>
    <fill>
      <patternFill patternType="solid">
        <fgColor rgb="FF7030A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indexed="64"/>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thin">
        <color indexed="64"/>
      </left>
      <right/>
      <top style="thin">
        <color indexed="64"/>
      </top>
      <bottom style="thin">
        <color indexed="64"/>
      </bottom>
      <diagonal/>
    </border>
    <border>
      <left/>
      <right/>
      <top/>
      <bottom style="thin">
        <color indexed="64"/>
      </bottom>
      <diagonal/>
    </border>
    <border>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bottom style="thin">
        <color rgb="FF000000"/>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s>
  <cellStyleXfs count="5">
    <xf numFmtId="0" fontId="0" fillId="0" borderId="0"/>
    <xf numFmtId="9" fontId="1" fillId="0" borderId="0"/>
    <xf numFmtId="43" fontId="1" fillId="0" borderId="0"/>
    <xf numFmtId="43" fontId="1" fillId="0" borderId="0"/>
    <xf numFmtId="41" fontId="1" fillId="0" borderId="0"/>
  </cellStyleXfs>
  <cellXfs count="272">
    <xf numFmtId="0" fontId="0" fillId="0" borderId="0" xfId="0"/>
    <xf numFmtId="9" fontId="3" fillId="7" borderId="0" xfId="0" applyNumberFormat="1" applyFont="1" applyFill="1" applyAlignment="1">
      <alignment horizontal="center"/>
    </xf>
    <xf numFmtId="167" fontId="3" fillId="7" borderId="0" xfId="0" applyNumberFormat="1" applyFont="1" applyFill="1" applyAlignment="1">
      <alignment horizontal="center"/>
    </xf>
    <xf numFmtId="0" fontId="4" fillId="8" borderId="0" xfId="0" applyFont="1" applyFill="1"/>
    <xf numFmtId="0" fontId="2" fillId="8" borderId="0" xfId="0" applyFont="1" applyFill="1"/>
    <xf numFmtId="0" fontId="2" fillId="4" borderId="1" xfId="0" applyFont="1" applyFill="1" applyBorder="1" applyAlignment="1">
      <alignment horizontal="center" vertical="center" wrapText="1"/>
    </xf>
    <xf numFmtId="9" fontId="0" fillId="0" borderId="0" xfId="1" applyFont="1"/>
    <xf numFmtId="0" fontId="2" fillId="8" borderId="0" xfId="0" applyFont="1" applyFill="1" applyAlignment="1">
      <alignment horizontal="center"/>
    </xf>
    <xf numFmtId="168" fontId="3" fillId="7" borderId="0" xfId="0" applyNumberFormat="1" applyFont="1" applyFill="1" applyAlignment="1">
      <alignment horizontal="center"/>
    </xf>
    <xf numFmtId="0" fontId="5" fillId="5"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1"/>
    </xf>
    <xf numFmtId="1" fontId="3" fillId="7" borderId="1" xfId="0" applyNumberFormat="1" applyFont="1" applyFill="1" applyBorder="1" applyAlignment="1">
      <alignment horizontal="center"/>
    </xf>
    <xf numFmtId="0" fontId="0" fillId="0" borderId="1" xfId="0" applyBorder="1"/>
    <xf numFmtId="0" fontId="0" fillId="10" borderId="1" xfId="0" applyFill="1" applyBorder="1" applyAlignment="1">
      <alignment horizontal="center"/>
    </xf>
    <xf numFmtId="0" fontId="0" fillId="0" borderId="0" xfId="0" applyAlignment="1">
      <alignment horizontal="center"/>
    </xf>
    <xf numFmtId="0" fontId="0" fillId="13" borderId="0" xfId="0" applyFill="1" applyAlignment="1">
      <alignment horizontal="center" vertical="center" wrapText="1"/>
    </xf>
    <xf numFmtId="9" fontId="0" fillId="0" borderId="1" xfId="1" applyFont="1" applyBorder="1" applyAlignment="1">
      <alignment horizontal="center"/>
    </xf>
    <xf numFmtId="0" fontId="8" fillId="6" borderId="0" xfId="0" applyFont="1" applyFill="1" applyAlignment="1">
      <alignment horizontal="center" vertical="center"/>
    </xf>
    <xf numFmtId="0" fontId="7" fillId="8" borderId="0" xfId="0" applyFont="1" applyFill="1" applyAlignment="1">
      <alignment horizontal="center" vertical="center"/>
    </xf>
    <xf numFmtId="0" fontId="3" fillId="0" borderId="1" xfId="0" applyFont="1" applyBorder="1" applyAlignment="1">
      <alignment horizontal="center"/>
    </xf>
    <xf numFmtId="0" fontId="0" fillId="14" borderId="1" xfId="0" applyFill="1" applyBorder="1"/>
    <xf numFmtId="9" fontId="3" fillId="14" borderId="1" xfId="0" applyNumberFormat="1" applyFont="1" applyFill="1" applyBorder="1" applyAlignment="1">
      <alignment horizontal="center"/>
    </xf>
    <xf numFmtId="0" fontId="0" fillId="16" borderId="1" xfId="0" applyFill="1" applyBorder="1"/>
    <xf numFmtId="9" fontId="3" fillId="16" borderId="1" xfId="0" applyNumberFormat="1" applyFont="1" applyFill="1" applyBorder="1" applyAlignment="1">
      <alignment horizontal="center"/>
    </xf>
    <xf numFmtId="0" fontId="0" fillId="11" borderId="1" xfId="0" applyFill="1" applyBorder="1"/>
    <xf numFmtId="9" fontId="3" fillId="11" borderId="1" xfId="0" applyNumberFormat="1" applyFont="1" applyFill="1" applyBorder="1" applyAlignment="1">
      <alignment horizontal="center"/>
    </xf>
    <xf numFmtId="0" fontId="0" fillId="17" borderId="1" xfId="0" applyFill="1" applyBorder="1"/>
    <xf numFmtId="9" fontId="3" fillId="17" borderId="1" xfId="0" applyNumberFormat="1" applyFont="1" applyFill="1" applyBorder="1" applyAlignment="1">
      <alignment horizontal="center"/>
    </xf>
    <xf numFmtId="0" fontId="0" fillId="12" borderId="1" xfId="0" applyFill="1" applyBorder="1"/>
    <xf numFmtId="9" fontId="3" fillId="12" borderId="1" xfId="0" applyNumberFormat="1" applyFont="1" applyFill="1" applyBorder="1" applyAlignment="1">
      <alignment horizontal="center"/>
    </xf>
    <xf numFmtId="0" fontId="2" fillId="0" borderId="0" xfId="0" applyFont="1" applyAlignment="1">
      <alignment horizontal="center"/>
    </xf>
    <xf numFmtId="9" fontId="8" fillId="6" borderId="1" xfId="1" applyFont="1" applyFill="1" applyBorder="1" applyAlignment="1">
      <alignment horizontal="center" vertical="center"/>
    </xf>
    <xf numFmtId="0" fontId="0" fillId="7" borderId="1" xfId="0" applyFill="1" applyBorder="1" applyAlignment="1">
      <alignment horizontal="center"/>
    </xf>
    <xf numFmtId="169" fontId="6" fillId="10" borderId="1" xfId="2" applyNumberFormat="1" applyFont="1" applyFill="1" applyBorder="1" applyAlignment="1">
      <alignment horizontal="center" vertical="center" wrapText="1"/>
    </xf>
    <xf numFmtId="0" fontId="9" fillId="18" borderId="1" xfId="0" applyFont="1" applyFill="1" applyBorder="1" applyAlignment="1">
      <alignment wrapText="1"/>
    </xf>
    <xf numFmtId="0" fontId="9" fillId="18" borderId="3" xfId="0" applyFont="1" applyFill="1" applyBorder="1" applyAlignment="1">
      <alignment wrapText="1"/>
    </xf>
    <xf numFmtId="0" fontId="9" fillId="0" borderId="4" xfId="0" applyFont="1" applyBorder="1"/>
    <xf numFmtId="14" fontId="0" fillId="0" borderId="0" xfId="0" applyNumberFormat="1"/>
    <xf numFmtId="0" fontId="12" fillId="19" borderId="6" xfId="0" applyFont="1" applyFill="1" applyBorder="1" applyAlignment="1">
      <alignment wrapText="1"/>
    </xf>
    <xf numFmtId="0" fontId="13" fillId="19" borderId="6" xfId="0" applyFont="1" applyFill="1" applyBorder="1" applyAlignment="1">
      <alignment wrapText="1"/>
    </xf>
    <xf numFmtId="0" fontId="14" fillId="8" borderId="0" xfId="0" applyFont="1" applyFill="1"/>
    <xf numFmtId="0" fontId="10" fillId="0" borderId="4" xfId="0" applyFont="1" applyBorder="1"/>
    <xf numFmtId="0" fontId="10" fillId="0" borderId="4" xfId="0" applyFont="1" applyBorder="1" applyAlignment="1">
      <alignment wrapText="1"/>
    </xf>
    <xf numFmtId="0" fontId="9" fillId="0" borderId="1" xfId="0" applyFont="1" applyBorder="1"/>
    <xf numFmtId="2" fontId="0" fillId="0" borderId="0" xfId="0" applyNumberFormat="1"/>
    <xf numFmtId="0" fontId="6" fillId="2" borderId="1" xfId="0" applyFont="1" applyFill="1" applyBorder="1" applyAlignment="1">
      <alignment horizontal="center" vertical="center" wrapText="1" indent="1"/>
    </xf>
    <xf numFmtId="0" fontId="0" fillId="10" borderId="1" xfId="0" applyFill="1" applyBorder="1" applyAlignment="1">
      <alignment horizontal="center" vertical="center"/>
    </xf>
    <xf numFmtId="0" fontId="0" fillId="0" borderId="0" xfId="0" applyAlignment="1">
      <alignment horizontal="center" vertical="center"/>
    </xf>
    <xf numFmtId="0" fontId="16" fillId="18" borderId="4" xfId="0" applyFont="1" applyFill="1" applyBorder="1" applyAlignment="1">
      <alignment horizontal="left" vertical="center" wrapText="1"/>
    </xf>
    <xf numFmtId="0" fontId="0" fillId="0" borderId="0" xfId="0" applyAlignment="1">
      <alignment vertical="center"/>
    </xf>
    <xf numFmtId="0" fontId="9" fillId="0" borderId="5" xfId="0" applyFont="1" applyBorder="1"/>
    <xf numFmtId="0" fontId="2" fillId="4" borderId="5" xfId="0" applyFont="1" applyFill="1" applyBorder="1" applyAlignment="1">
      <alignment horizontal="center" vertical="center" wrapText="1"/>
    </xf>
    <xf numFmtId="0" fontId="2" fillId="4" borderId="5" xfId="0" applyFont="1" applyFill="1" applyBorder="1" applyAlignment="1">
      <alignment vertical="center" wrapText="1"/>
    </xf>
    <xf numFmtId="0" fontId="2" fillId="4" borderId="5" xfId="0" applyFont="1" applyFill="1" applyBorder="1" applyAlignment="1">
      <alignment horizontal="left" vertical="center" wrapText="1"/>
    </xf>
    <xf numFmtId="0" fontId="6" fillId="2" borderId="5" xfId="0" applyFont="1" applyFill="1" applyBorder="1" applyAlignment="1">
      <alignment horizontal="left" vertical="center" wrapText="1" indent="1"/>
    </xf>
    <xf numFmtId="1" fontId="3" fillId="7" borderId="5" xfId="0" applyNumberFormat="1" applyFont="1" applyFill="1" applyBorder="1" applyAlignment="1">
      <alignment horizontal="center"/>
    </xf>
    <xf numFmtId="0" fontId="0" fillId="0" borderId="5" xfId="0" applyBorder="1" applyAlignment="1">
      <alignment horizontal="center"/>
    </xf>
    <xf numFmtId="169" fontId="6" fillId="2" borderId="5" xfId="2" applyNumberFormat="1" applyFont="1" applyFill="1" applyBorder="1" applyAlignment="1">
      <alignment horizontal="left" vertical="center" wrapText="1" indent="1"/>
    </xf>
    <xf numFmtId="3" fontId="0" fillId="10" borderId="5" xfId="0" applyNumberFormat="1" applyFill="1" applyBorder="1"/>
    <xf numFmtId="9" fontId="3" fillId="7" borderId="5" xfId="0" applyNumberFormat="1" applyFont="1" applyFill="1" applyBorder="1" applyAlignment="1">
      <alignment horizontal="center"/>
    </xf>
    <xf numFmtId="0" fontId="0" fillId="0" borderId="5" xfId="0" applyBorder="1"/>
    <xf numFmtId="14" fontId="0" fillId="0" borderId="0" xfId="0" applyNumberFormat="1" applyAlignment="1">
      <alignment horizontal="right"/>
    </xf>
    <xf numFmtId="0" fontId="0" fillId="0" borderId="0" xfId="0" quotePrefix="1"/>
    <xf numFmtId="0" fontId="9" fillId="0" borderId="4" xfId="0" applyFont="1" applyBorder="1" applyAlignment="1">
      <alignment horizontal="left"/>
    </xf>
    <xf numFmtId="0" fontId="5" fillId="4" borderId="1" xfId="0" applyFont="1" applyFill="1" applyBorder="1" applyAlignment="1">
      <alignment horizontal="center" vertical="center" wrapText="1"/>
    </xf>
    <xf numFmtId="0" fontId="9" fillId="18" borderId="5" xfId="0" applyFont="1" applyFill="1" applyBorder="1" applyAlignment="1">
      <alignment vertical="center" wrapText="1"/>
    </xf>
    <xf numFmtId="0" fontId="9" fillId="0" borderId="5" xfId="0" applyFont="1" applyBorder="1" applyAlignment="1">
      <alignment wrapText="1"/>
    </xf>
    <xf numFmtId="0" fontId="9" fillId="0" borderId="12" xfId="0" applyFont="1" applyBorder="1" applyAlignment="1">
      <alignment horizontal="left"/>
    </xf>
    <xf numFmtId="0" fontId="6" fillId="2" borderId="5" xfId="0" applyFont="1" applyFill="1" applyBorder="1" applyAlignment="1">
      <alignment horizontal="left" vertical="center" wrapText="1"/>
    </xf>
    <xf numFmtId="0" fontId="9" fillId="0" borderId="12" xfId="0" applyFont="1" applyBorder="1"/>
    <xf numFmtId="0" fontId="10" fillId="0" borderId="12" xfId="0" applyFont="1" applyBorder="1" applyAlignment="1">
      <alignment wrapText="1"/>
    </xf>
    <xf numFmtId="0" fontId="0" fillId="0" borderId="0" xfId="0" applyAlignment="1">
      <alignment horizontal="left"/>
    </xf>
    <xf numFmtId="0" fontId="5" fillId="5" borderId="1" xfId="0" applyFont="1" applyFill="1" applyBorder="1" applyAlignment="1">
      <alignment horizontal="left" vertical="center" wrapText="1"/>
    </xf>
    <xf numFmtId="1" fontId="6" fillId="2" borderId="5"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165" fontId="0" fillId="0" borderId="0" xfId="0" applyNumberFormat="1"/>
    <xf numFmtId="165" fontId="0" fillId="0" borderId="0" xfId="2" applyNumberFormat="1" applyFont="1"/>
    <xf numFmtId="165" fontId="2" fillId="4" borderId="7" xfId="0" applyNumberFormat="1" applyFont="1" applyFill="1" applyBorder="1" applyAlignment="1">
      <alignment horizontal="center" vertical="center" wrapText="1"/>
    </xf>
    <xf numFmtId="165" fontId="5" fillId="5" borderId="7" xfId="2" applyNumberFormat="1" applyFont="1" applyFill="1" applyBorder="1" applyAlignment="1">
      <alignment horizontal="left" vertical="center" wrapText="1" indent="1"/>
    </xf>
    <xf numFmtId="4" fontId="17" fillId="20" borderId="5" xfId="0" applyNumberFormat="1" applyFont="1" applyFill="1" applyBorder="1" applyAlignment="1">
      <alignment horizontal="right"/>
    </xf>
    <xf numFmtId="166" fontId="18" fillId="20" borderId="13" xfId="4" applyNumberFormat="1" applyFont="1" applyFill="1" applyBorder="1" applyAlignment="1">
      <alignment horizontal="right" vertical="center"/>
    </xf>
    <xf numFmtId="164" fontId="19" fillId="20" borderId="5" xfId="0" applyNumberFormat="1" applyFont="1" applyFill="1" applyBorder="1" applyAlignment="1">
      <alignment horizontal="left" vertical="center" wrapText="1" indent="1"/>
    </xf>
    <xf numFmtId="4" fontId="17" fillId="20" borderId="10" xfId="0" applyNumberFormat="1" applyFont="1" applyFill="1" applyBorder="1" applyAlignment="1">
      <alignment horizontal="right"/>
    </xf>
    <xf numFmtId="4" fontId="17" fillId="20" borderId="2" xfId="0" applyNumberFormat="1" applyFont="1" applyFill="1" applyBorder="1" applyAlignment="1">
      <alignment horizontal="right"/>
    </xf>
    <xf numFmtId="0" fontId="17" fillId="20" borderId="6" xfId="0" applyFont="1" applyFill="1" applyBorder="1" applyAlignment="1">
      <alignment horizontal="right"/>
    </xf>
    <xf numFmtId="4" fontId="17" fillId="20" borderId="6" xfId="0" applyNumberFormat="1" applyFont="1" applyFill="1" applyBorder="1" applyAlignment="1">
      <alignment horizontal="right"/>
    </xf>
    <xf numFmtId="4" fontId="17" fillId="21" borderId="6" xfId="0" applyNumberFormat="1" applyFont="1" applyFill="1" applyBorder="1" applyAlignment="1">
      <alignment horizontal="right"/>
    </xf>
    <xf numFmtId="4" fontId="20" fillId="20" borderId="5" xfId="0" applyNumberFormat="1" applyFont="1" applyFill="1" applyBorder="1" applyAlignment="1">
      <alignment horizontal="right"/>
    </xf>
    <xf numFmtId="4" fontId="20" fillId="20" borderId="10" xfId="0" applyNumberFormat="1" applyFont="1" applyFill="1" applyBorder="1" applyAlignment="1">
      <alignment horizontal="right"/>
    </xf>
    <xf numFmtId="0" fontId="17" fillId="20" borderId="5" xfId="0" applyFont="1" applyFill="1" applyBorder="1" applyAlignment="1">
      <alignment horizontal="right"/>
    </xf>
    <xf numFmtId="4" fontId="20" fillId="20" borderId="11" xfId="0" applyNumberFormat="1" applyFont="1" applyFill="1" applyBorder="1" applyAlignment="1">
      <alignment horizontal="right"/>
    </xf>
    <xf numFmtId="4" fontId="19" fillId="20" borderId="5" xfId="0" applyNumberFormat="1" applyFont="1" applyFill="1" applyBorder="1" applyAlignment="1">
      <alignment horizontal="right"/>
    </xf>
    <xf numFmtId="0" fontId="19" fillId="20" borderId="5" xfId="0" applyFont="1" applyFill="1" applyBorder="1" applyAlignment="1">
      <alignment horizontal="right"/>
    </xf>
    <xf numFmtId="4" fontId="17" fillId="21" borderId="5" xfId="0" applyNumberFormat="1" applyFont="1" applyFill="1" applyBorder="1" applyAlignment="1">
      <alignment horizontal="right"/>
    </xf>
    <xf numFmtId="4" fontId="19" fillId="20" borderId="10" xfId="0" applyNumberFormat="1" applyFont="1" applyFill="1" applyBorder="1" applyAlignment="1">
      <alignment horizontal="right"/>
    </xf>
    <xf numFmtId="2" fontId="9" fillId="0" borderId="9" xfId="0" applyNumberFormat="1" applyFont="1" applyBorder="1"/>
    <xf numFmtId="170" fontId="9" fillId="0" borderId="9" xfId="0" applyNumberFormat="1" applyFont="1" applyBorder="1"/>
    <xf numFmtId="14" fontId="9" fillId="0" borderId="9" xfId="0" applyNumberFormat="1" applyFont="1" applyBorder="1" applyAlignment="1">
      <alignment horizontal="center"/>
    </xf>
    <xf numFmtId="14" fontId="9" fillId="0" borderId="9" xfId="0" applyNumberFormat="1" applyFont="1" applyBorder="1" applyAlignment="1">
      <alignment horizontal="center" vertical="center"/>
    </xf>
    <xf numFmtId="171" fontId="0" fillId="0" borderId="0" xfId="0" applyNumberFormat="1" applyAlignment="1">
      <alignment horizontal="center" vertical="center"/>
    </xf>
    <xf numFmtId="2" fontId="5" fillId="5" borderId="5" xfId="0" applyNumberFormat="1" applyFont="1" applyFill="1" applyBorder="1" applyAlignment="1">
      <alignment horizontal="left" vertical="center" wrapText="1" indent="1"/>
    </xf>
    <xf numFmtId="171" fontId="5" fillId="5" borderId="14" xfId="0" applyNumberFormat="1" applyFont="1" applyFill="1" applyBorder="1" applyAlignment="1">
      <alignment horizontal="center" vertical="center" wrapText="1"/>
    </xf>
    <xf numFmtId="14" fontId="5" fillId="5" borderId="2" xfId="0" applyNumberFormat="1" applyFont="1" applyFill="1" applyBorder="1" applyAlignment="1">
      <alignment horizontal="right" vertical="center" wrapText="1" indent="1"/>
    </xf>
    <xf numFmtId="0" fontId="9" fillId="0" borderId="3" xfId="0" applyFont="1" applyBorder="1"/>
    <xf numFmtId="0" fontId="9" fillId="18" borderId="1" xfId="0" applyFont="1" applyFill="1" applyBorder="1" applyAlignment="1">
      <alignment horizontal="left" wrapText="1"/>
    </xf>
    <xf numFmtId="0" fontId="9" fillId="18" borderId="3" xfId="0" applyFont="1" applyFill="1" applyBorder="1" applyAlignment="1">
      <alignment horizontal="left" wrapText="1"/>
    </xf>
    <xf numFmtId="0" fontId="9" fillId="0" borderId="3" xfId="0" applyFont="1" applyBorder="1" applyAlignment="1">
      <alignment horizontal="left"/>
    </xf>
    <xf numFmtId="0" fontId="9" fillId="0" borderId="3" xfId="0" applyFont="1" applyBorder="1" applyAlignment="1">
      <alignment horizontal="left" vertical="center"/>
    </xf>
    <xf numFmtId="0" fontId="10" fillId="0" borderId="4" xfId="0" applyFont="1" applyBorder="1" applyAlignment="1">
      <alignment horizontal="left" vertical="center" wrapText="1"/>
    </xf>
    <xf numFmtId="0" fontId="10" fillId="0" borderId="8" xfId="0" applyFont="1" applyBorder="1"/>
    <xf numFmtId="0" fontId="9" fillId="0" borderId="11" xfId="0" applyFont="1" applyBorder="1" applyAlignment="1">
      <alignment vertical="center"/>
    </xf>
    <xf numFmtId="0" fontId="9" fillId="0" borderId="16" xfId="0" applyFont="1" applyBorder="1"/>
    <xf numFmtId="0" fontId="2" fillId="4" borderId="10" xfId="0" applyFont="1" applyFill="1" applyBorder="1" applyAlignment="1">
      <alignment horizontal="center" vertical="center" wrapText="1"/>
    </xf>
    <xf numFmtId="0" fontId="10" fillId="0" borderId="3" xfId="0" applyFont="1" applyBorder="1"/>
    <xf numFmtId="0" fontId="10" fillId="0" borderId="3" xfId="0" applyFont="1" applyBorder="1" applyAlignment="1">
      <alignment wrapText="1"/>
    </xf>
    <xf numFmtId="0" fontId="11" fillId="0" borderId="3" xfId="0" applyFont="1" applyBorder="1" applyAlignment="1">
      <alignment wrapText="1"/>
    </xf>
    <xf numFmtId="0" fontId="0" fillId="0" borderId="0" xfId="0" applyAlignment="1">
      <alignment wrapText="1"/>
    </xf>
    <xf numFmtId="9" fontId="0" fillId="0" borderId="0" xfId="0" applyNumberFormat="1"/>
    <xf numFmtId="0" fontId="22" fillId="2" borderId="5" xfId="0" applyFont="1" applyFill="1" applyBorder="1" applyAlignment="1">
      <alignment horizontal="left" vertical="center" wrapText="1"/>
    </xf>
    <xf numFmtId="9" fontId="0" fillId="9" borderId="23" xfId="1" applyFont="1" applyFill="1" applyBorder="1" applyAlignment="1">
      <alignment horizontal="center"/>
    </xf>
    <xf numFmtId="9" fontId="0" fillId="9" borderId="23" xfId="1" applyFont="1" applyFill="1" applyBorder="1" applyAlignment="1">
      <alignment horizontal="center" wrapText="1"/>
    </xf>
    <xf numFmtId="9" fontId="0" fillId="9" borderId="24" xfId="1" applyFont="1" applyFill="1" applyBorder="1" applyAlignment="1">
      <alignment horizontal="center"/>
    </xf>
    <xf numFmtId="9" fontId="3" fillId="20" borderId="25" xfId="0" applyNumberFormat="1" applyFont="1" applyFill="1" applyBorder="1" applyAlignment="1">
      <alignment horizontal="center"/>
    </xf>
    <xf numFmtId="168" fontId="3" fillId="20" borderId="26" xfId="0" applyNumberFormat="1" applyFont="1" applyFill="1" applyBorder="1" applyAlignment="1">
      <alignment horizontal="center"/>
    </xf>
    <xf numFmtId="9" fontId="3" fillId="20" borderId="26" xfId="0" applyNumberFormat="1" applyFont="1" applyFill="1" applyBorder="1" applyAlignment="1">
      <alignment horizontal="center"/>
    </xf>
    <xf numFmtId="9" fontId="3" fillId="20" borderId="27" xfId="0" applyNumberFormat="1" applyFont="1" applyFill="1" applyBorder="1" applyAlignment="1">
      <alignment horizontal="center"/>
    </xf>
    <xf numFmtId="0" fontId="23" fillId="20" borderId="30" xfId="0" applyFont="1" applyFill="1" applyBorder="1"/>
    <xf numFmtId="0" fontId="19" fillId="20" borderId="21" xfId="0" applyFont="1" applyFill="1" applyBorder="1"/>
    <xf numFmtId="0" fontId="19" fillId="20" borderId="32" xfId="0" applyFont="1" applyFill="1" applyBorder="1"/>
    <xf numFmtId="0" fontId="19" fillId="20" borderId="30" xfId="0" applyFont="1" applyFill="1" applyBorder="1"/>
    <xf numFmtId="0" fontId="19" fillId="20" borderId="24" xfId="0" applyFont="1" applyFill="1" applyBorder="1"/>
    <xf numFmtId="167" fontId="3" fillId="20" borderId="35" xfId="0" applyNumberFormat="1" applyFont="1" applyFill="1" applyBorder="1" applyAlignment="1">
      <alignment horizontal="center"/>
    </xf>
    <xf numFmtId="9" fontId="3" fillId="20" borderId="35" xfId="0" applyNumberFormat="1" applyFont="1" applyFill="1" applyBorder="1" applyAlignment="1">
      <alignment horizontal="center"/>
    </xf>
    <xf numFmtId="3" fontId="0" fillId="20" borderId="15" xfId="0" applyNumberFormat="1" applyFill="1" applyBorder="1" applyAlignment="1">
      <alignment horizontal="center"/>
    </xf>
    <xf numFmtId="3" fontId="0" fillId="20" borderId="32" xfId="0" applyNumberFormat="1" applyFill="1" applyBorder="1" applyAlignment="1">
      <alignment horizontal="center"/>
    </xf>
    <xf numFmtId="0" fontId="0" fillId="20" borderId="0" xfId="0" applyFill="1"/>
    <xf numFmtId="1" fontId="0" fillId="20" borderId="21" xfId="1" applyNumberFormat="1" applyFont="1" applyFill="1" applyBorder="1" applyAlignment="1">
      <alignment horizontal="center"/>
    </xf>
    <xf numFmtId="168" fontId="3" fillId="20" borderId="35" xfId="0" applyNumberFormat="1" applyFont="1" applyFill="1" applyBorder="1" applyAlignment="1">
      <alignment horizontal="center"/>
    </xf>
    <xf numFmtId="1" fontId="0" fillId="20" borderId="28" xfId="1" applyNumberFormat="1" applyFont="1" applyFill="1" applyBorder="1" applyAlignment="1">
      <alignment horizontal="center"/>
    </xf>
    <xf numFmtId="1" fontId="0" fillId="20" borderId="15" xfId="1" applyNumberFormat="1" applyFont="1" applyFill="1" applyBorder="1" applyAlignment="1">
      <alignment horizontal="center"/>
    </xf>
    <xf numFmtId="1" fontId="0" fillId="20" borderId="32" xfId="1" applyNumberFormat="1" applyFont="1" applyFill="1" applyBorder="1" applyAlignment="1">
      <alignment horizontal="center"/>
    </xf>
    <xf numFmtId="0" fontId="25" fillId="20" borderId="1" xfId="0" applyFont="1" applyFill="1" applyBorder="1" applyAlignment="1">
      <alignment horizontal="center"/>
    </xf>
    <xf numFmtId="0" fontId="25" fillId="20" borderId="3" xfId="0" applyFont="1" applyFill="1" applyBorder="1" applyAlignment="1">
      <alignment horizontal="center"/>
    </xf>
    <xf numFmtId="0" fontId="2" fillId="8" borderId="38" xfId="0" applyFont="1" applyFill="1" applyBorder="1" applyAlignment="1">
      <alignment horizontal="center"/>
    </xf>
    <xf numFmtId="0" fontId="2" fillId="22" borderId="17" xfId="0" applyFont="1" applyFill="1" applyBorder="1" applyAlignment="1">
      <alignment horizontal="center"/>
    </xf>
    <xf numFmtId="0" fontId="2" fillId="22" borderId="18" xfId="0" applyFont="1" applyFill="1" applyBorder="1" applyAlignment="1">
      <alignment horizontal="center"/>
    </xf>
    <xf numFmtId="0" fontId="2" fillId="22" borderId="19" xfId="0" applyFont="1" applyFill="1" applyBorder="1" applyAlignment="1">
      <alignment horizontal="center"/>
    </xf>
    <xf numFmtId="0" fontId="2" fillId="22" borderId="0" xfId="0" applyFont="1" applyFill="1"/>
    <xf numFmtId="0" fontId="2" fillId="22" borderId="21" xfId="0" applyFont="1" applyFill="1" applyBorder="1"/>
    <xf numFmtId="0" fontId="4" fillId="22" borderId="33" xfId="0" applyFont="1" applyFill="1" applyBorder="1"/>
    <xf numFmtId="0" fontId="4" fillId="22" borderId="34" xfId="0" applyFont="1" applyFill="1" applyBorder="1"/>
    <xf numFmtId="0" fontId="4" fillId="22" borderId="22" xfId="0" applyFont="1" applyFill="1" applyBorder="1"/>
    <xf numFmtId="9" fontId="0" fillId="20" borderId="21" xfId="1" applyFont="1" applyFill="1" applyBorder="1" applyAlignment="1">
      <alignment horizontal="center"/>
    </xf>
    <xf numFmtId="9" fontId="0" fillId="20" borderId="28" xfId="1" applyFont="1" applyFill="1" applyBorder="1" applyAlignment="1">
      <alignment horizontal="center"/>
    </xf>
    <xf numFmtId="9" fontId="0" fillId="20" borderId="15" xfId="1" applyFont="1" applyFill="1" applyBorder="1" applyAlignment="1">
      <alignment horizontal="center"/>
    </xf>
    <xf numFmtId="9" fontId="0" fillId="20" borderId="32" xfId="1" applyFont="1" applyFill="1" applyBorder="1" applyAlignment="1">
      <alignment horizontal="center"/>
    </xf>
    <xf numFmtId="1" fontId="0" fillId="20" borderId="15" xfId="1" applyNumberFormat="1" applyFont="1" applyFill="1" applyBorder="1" applyAlignment="1">
      <alignment horizontal="center" wrapText="1"/>
    </xf>
    <xf numFmtId="9" fontId="0" fillId="9" borderId="15" xfId="1" applyFont="1" applyFill="1" applyBorder="1" applyAlignment="1">
      <alignment horizontal="center" wrapText="1"/>
    </xf>
    <xf numFmtId="0" fontId="26" fillId="20" borderId="3" xfId="0" applyFont="1" applyFill="1" applyBorder="1"/>
    <xf numFmtId="1" fontId="0" fillId="20" borderId="15" xfId="0" applyNumberFormat="1" applyFill="1" applyBorder="1" applyAlignment="1">
      <alignment horizontal="center"/>
    </xf>
    <xf numFmtId="1" fontId="0" fillId="20" borderId="32" xfId="0" applyNumberFormat="1" applyFill="1" applyBorder="1" applyAlignment="1">
      <alignment horizontal="center"/>
    </xf>
    <xf numFmtId="1" fontId="0" fillId="20" borderId="23" xfId="1" applyNumberFormat="1" applyFont="1" applyFill="1" applyBorder="1" applyAlignment="1">
      <alignment horizontal="center"/>
    </xf>
    <xf numFmtId="0" fontId="2" fillId="8" borderId="39" xfId="0" applyFont="1" applyFill="1" applyBorder="1" applyAlignment="1">
      <alignment horizontal="center"/>
    </xf>
    <xf numFmtId="0" fontId="0" fillId="23" borderId="0" xfId="0" applyFill="1"/>
    <xf numFmtId="0" fontId="9" fillId="23" borderId="4" xfId="0" applyFont="1" applyFill="1" applyBorder="1" applyAlignment="1">
      <alignment horizontal="left"/>
    </xf>
    <xf numFmtId="0" fontId="15" fillId="0" borderId="0" xfId="0" applyFont="1" applyAlignment="1">
      <alignment horizontal="center" vertical="center"/>
    </xf>
    <xf numFmtId="14" fontId="15" fillId="0" borderId="0" xfId="0" applyNumberFormat="1" applyFont="1" applyAlignment="1">
      <alignment horizontal="center" vertical="center"/>
    </xf>
    <xf numFmtId="169" fontId="15" fillId="0" borderId="0" xfId="2" applyNumberFormat="1" applyFont="1" applyAlignment="1">
      <alignment horizontal="center" vertical="center"/>
    </xf>
    <xf numFmtId="0" fontId="15" fillId="0" borderId="0" xfId="0" applyFont="1"/>
    <xf numFmtId="0" fontId="27" fillId="0" borderId="0" xfId="0" applyFont="1" applyAlignment="1">
      <alignment horizontal="center" vertical="center" wrapText="1"/>
    </xf>
    <xf numFmtId="0" fontId="15" fillId="0" borderId="0" xfId="0" applyFont="1" applyAlignment="1">
      <alignment horizontal="center" vertical="center" wrapText="1"/>
    </xf>
    <xf numFmtId="169" fontId="15" fillId="0" borderId="0" xfId="2" applyNumberFormat="1" applyFont="1" applyAlignment="1">
      <alignment horizontal="center" vertical="center" wrapText="1"/>
    </xf>
    <xf numFmtId="0" fontId="15" fillId="0" borderId="0" xfId="0" applyFont="1" applyAlignment="1">
      <alignment vertical="center"/>
    </xf>
    <xf numFmtId="14" fontId="15" fillId="0" borderId="0" xfId="0" applyNumberFormat="1" applyFont="1" applyAlignment="1">
      <alignment vertical="center"/>
    </xf>
    <xf numFmtId="0" fontId="27" fillId="0" borderId="0" xfId="0" applyFont="1" applyAlignment="1">
      <alignment vertical="center" wrapText="1"/>
    </xf>
    <xf numFmtId="0" fontId="30" fillId="4" borderId="1" xfId="0" applyFont="1" applyFill="1" applyBorder="1" applyAlignment="1">
      <alignment horizontal="center" vertical="center" wrapText="1"/>
    </xf>
    <xf numFmtId="0" fontId="0" fillId="0" borderId="0" xfId="0" pivotButton="1"/>
    <xf numFmtId="168" fontId="3" fillId="20" borderId="25" xfId="0" applyNumberFormat="1" applyFont="1" applyFill="1" applyBorder="1" applyAlignment="1">
      <alignment horizontal="center"/>
    </xf>
    <xf numFmtId="1" fontId="0" fillId="20" borderId="40" xfId="1" applyNumberFormat="1" applyFont="1" applyFill="1" applyBorder="1" applyAlignment="1">
      <alignment horizontal="center"/>
    </xf>
    <xf numFmtId="9" fontId="1" fillId="0" borderId="0" xfId="1"/>
    <xf numFmtId="1" fontId="0" fillId="20" borderId="0" xfId="1" applyNumberFormat="1" applyFont="1" applyFill="1" applyAlignment="1">
      <alignment horizontal="center"/>
    </xf>
    <xf numFmtId="1" fontId="0" fillId="20" borderId="24" xfId="1" applyNumberFormat="1" applyFont="1" applyFill="1" applyBorder="1" applyAlignment="1">
      <alignment horizontal="center"/>
    </xf>
    <xf numFmtId="0" fontId="2" fillId="22" borderId="41" xfId="0" applyFont="1" applyFill="1" applyBorder="1"/>
    <xf numFmtId="0" fontId="32" fillId="0" borderId="45" xfId="0" applyFont="1" applyBorder="1" applyAlignment="1">
      <alignment wrapText="1"/>
    </xf>
    <xf numFmtId="0" fontId="34" fillId="0" borderId="43" xfId="0" applyFont="1" applyBorder="1" applyAlignment="1">
      <alignment wrapText="1"/>
    </xf>
    <xf numFmtId="9" fontId="3" fillId="20" borderId="47" xfId="0" applyNumberFormat="1" applyFont="1" applyFill="1" applyBorder="1" applyAlignment="1">
      <alignment horizontal="center"/>
    </xf>
    <xf numFmtId="9" fontId="0" fillId="20" borderId="18" xfId="1" applyFont="1" applyFill="1" applyBorder="1" applyAlignment="1">
      <alignment horizontal="center"/>
    </xf>
    <xf numFmtId="9" fontId="0" fillId="20" borderId="19" xfId="1" applyFont="1" applyFill="1" applyBorder="1" applyAlignment="1">
      <alignment horizontal="center"/>
    </xf>
    <xf numFmtId="9" fontId="0" fillId="20" borderId="0" xfId="1" applyFont="1" applyFill="1" applyAlignment="1">
      <alignment horizontal="center"/>
    </xf>
    <xf numFmtId="0" fontId="22" fillId="20" borderId="3" xfId="0" applyFont="1" applyFill="1" applyBorder="1"/>
    <xf numFmtId="1" fontId="9" fillId="0" borderId="5" xfId="0" applyNumberFormat="1" applyFont="1" applyBorder="1"/>
    <xf numFmtId="0" fontId="33" fillId="0" borderId="43" xfId="0" applyFont="1" applyBorder="1"/>
    <xf numFmtId="172" fontId="0" fillId="0" borderId="0" xfId="0" applyNumberFormat="1" applyAlignment="1">
      <alignment horizontal="right"/>
    </xf>
    <xf numFmtId="172" fontId="2" fillId="4" borderId="5" xfId="0" applyNumberFormat="1" applyFont="1" applyFill="1" applyBorder="1" applyAlignment="1">
      <alignment horizontal="right" vertical="center" wrapText="1"/>
    </xf>
    <xf numFmtId="0" fontId="34" fillId="0" borderId="44" xfId="0" applyFont="1" applyBorder="1" applyAlignment="1">
      <alignment vertical="top" wrapText="1"/>
    </xf>
    <xf numFmtId="0" fontId="32" fillId="0" borderId="46" xfId="0" applyFont="1" applyBorder="1" applyAlignment="1">
      <alignment wrapText="1"/>
    </xf>
    <xf numFmtId="0" fontId="13" fillId="19" borderId="0" xfId="0" applyFont="1" applyFill="1" applyAlignment="1">
      <alignment wrapText="1"/>
    </xf>
    <xf numFmtId="1" fontId="1" fillId="0" borderId="0" xfId="2" applyNumberFormat="1"/>
    <xf numFmtId="0" fontId="9" fillId="18" borderId="1" xfId="0" applyFont="1" applyFill="1" applyBorder="1" applyAlignment="1">
      <alignment horizontal="center" wrapText="1"/>
    </xf>
    <xf numFmtId="0" fontId="9" fillId="0" borderId="1" xfId="0" applyFont="1" applyBorder="1" applyAlignment="1">
      <alignment horizontal="left"/>
    </xf>
    <xf numFmtId="0" fontId="10" fillId="0" borderId="1" xfId="0" applyFont="1" applyBorder="1" applyAlignment="1">
      <alignment wrapText="1"/>
    </xf>
    <xf numFmtId="0" fontId="16" fillId="0" borderId="1" xfId="0" applyFont="1" applyBorder="1" applyAlignment="1">
      <alignment wrapText="1"/>
    </xf>
    <xf numFmtId="0" fontId="9" fillId="0" borderId="1" xfId="0" applyFont="1" applyBorder="1" applyAlignment="1">
      <alignment horizontal="left" vertical="center"/>
    </xf>
    <xf numFmtId="0" fontId="10" fillId="0" borderId="1" xfId="0" applyFont="1" applyBorder="1" applyAlignment="1">
      <alignment vertical="center"/>
    </xf>
    <xf numFmtId="0" fontId="16" fillId="0" borderId="1" xfId="0" applyFont="1" applyBorder="1" applyAlignment="1">
      <alignment vertical="center" wrapText="1"/>
    </xf>
    <xf numFmtId="0" fontId="9" fillId="0" borderId="1" xfId="0" applyFont="1" applyBorder="1" applyAlignment="1">
      <alignment vertical="center"/>
    </xf>
    <xf numFmtId="0" fontId="10" fillId="0" borderId="1" xfId="0" applyFont="1" applyBorder="1"/>
    <xf numFmtId="0" fontId="11" fillId="0" borderId="1" xfId="0" applyFont="1" applyBorder="1" applyAlignment="1">
      <alignment wrapText="1"/>
    </xf>
    <xf numFmtId="0" fontId="9" fillId="0" borderId="11" xfId="0" applyFont="1" applyBorder="1" applyAlignment="1">
      <alignment horizontal="center" vertical="center"/>
    </xf>
    <xf numFmtId="0" fontId="21" fillId="0" borderId="16" xfId="0" applyFont="1" applyBorder="1" applyAlignment="1">
      <alignment horizontal="center"/>
    </xf>
    <xf numFmtId="0" fontId="21" fillId="0" borderId="0" xfId="0" applyFont="1" applyAlignment="1">
      <alignment horizontal="center"/>
    </xf>
    <xf numFmtId="173" fontId="2" fillId="4" borderId="5" xfId="0" applyNumberFormat="1" applyFont="1" applyFill="1" applyBorder="1" applyAlignment="1">
      <alignment horizontal="right" vertical="center" wrapText="1"/>
    </xf>
    <xf numFmtId="173" fontId="9" fillId="0" borderId="5" xfId="0" applyNumberFormat="1" applyFont="1" applyBorder="1"/>
    <xf numFmtId="173" fontId="0" fillId="0" borderId="0" xfId="0" applyNumberFormat="1" applyAlignment="1">
      <alignment horizontal="right"/>
    </xf>
    <xf numFmtId="173" fontId="2" fillId="4" borderId="5" xfId="0" applyNumberFormat="1" applyFont="1" applyFill="1" applyBorder="1" applyAlignment="1">
      <alignment horizontal="center" vertical="center" wrapText="1"/>
    </xf>
    <xf numFmtId="173" fontId="0" fillId="0" borderId="0" xfId="0" applyNumberFormat="1"/>
    <xf numFmtId="173" fontId="2" fillId="4" borderId="5" xfId="0" applyNumberFormat="1" applyFont="1" applyFill="1" applyBorder="1" applyAlignment="1">
      <alignment horizontal="right" wrapText="1" indent="1"/>
    </xf>
    <xf numFmtId="173" fontId="9" fillId="23" borderId="5" xfId="0" applyNumberFormat="1" applyFont="1" applyFill="1" applyBorder="1"/>
    <xf numFmtId="173" fontId="0" fillId="0" borderId="0" xfId="0" applyNumberFormat="1" applyAlignment="1">
      <alignment horizontal="right" indent="1"/>
    </xf>
    <xf numFmtId="173" fontId="2" fillId="4" borderId="5" xfId="0" applyNumberFormat="1" applyFont="1" applyFill="1" applyBorder="1" applyAlignment="1">
      <alignment vertical="center" wrapText="1"/>
    </xf>
    <xf numFmtId="173" fontId="9" fillId="20" borderId="5" xfId="0" applyNumberFormat="1" applyFont="1" applyFill="1" applyBorder="1"/>
    <xf numFmtId="173" fontId="2" fillId="4" borderId="1" xfId="0" applyNumberFormat="1" applyFont="1" applyFill="1" applyBorder="1" applyAlignment="1">
      <alignment horizontal="center" vertical="center" wrapText="1"/>
    </xf>
    <xf numFmtId="173" fontId="9" fillId="0" borderId="11" xfId="0" applyNumberFormat="1" applyFont="1" applyBorder="1" applyAlignment="1">
      <alignment horizontal="center" vertical="center"/>
    </xf>
    <xf numFmtId="173" fontId="9" fillId="0" borderId="1" xfId="0" applyNumberFormat="1" applyFont="1" applyBorder="1"/>
    <xf numFmtId="173" fontId="9" fillId="0" borderId="1" xfId="0" applyNumberFormat="1" applyFont="1" applyBorder="1" applyAlignment="1">
      <alignment vertical="center"/>
    </xf>
    <xf numFmtId="173" fontId="9" fillId="0" borderId="4" xfId="0" applyNumberFormat="1" applyFont="1" applyBorder="1" applyAlignment="1">
      <alignment horizontal="center" vertical="center"/>
    </xf>
    <xf numFmtId="173" fontId="9" fillId="0" borderId="4" xfId="0" applyNumberFormat="1" applyFont="1" applyBorder="1"/>
    <xf numFmtId="173" fontId="9" fillId="0" borderId="3" xfId="0" applyNumberFormat="1" applyFont="1" applyBorder="1"/>
    <xf numFmtId="173" fontId="9" fillId="18" borderId="3" xfId="0" applyNumberFormat="1" applyFont="1" applyFill="1" applyBorder="1" applyAlignment="1">
      <alignment horizontal="left" wrapText="1"/>
    </xf>
    <xf numFmtId="169" fontId="1" fillId="0" borderId="0" xfId="2" applyNumberFormat="1"/>
    <xf numFmtId="0" fontId="32" fillId="0" borderId="42" xfId="0" applyFont="1" applyBorder="1" applyAlignment="1">
      <alignment horizontal="left" vertical="center"/>
    </xf>
    <xf numFmtId="0" fontId="32" fillId="0" borderId="43" xfId="0" applyFont="1" applyBorder="1" applyAlignment="1">
      <alignment horizontal="left" vertical="center"/>
    </xf>
    <xf numFmtId="0" fontId="34" fillId="0" borderId="44" xfId="0" applyFont="1" applyBorder="1" applyAlignment="1">
      <alignment horizontal="left" vertical="center" wrapText="1"/>
    </xf>
    <xf numFmtId="0" fontId="34" fillId="0" borderId="43" xfId="0" applyFont="1" applyBorder="1" applyAlignment="1">
      <alignment horizontal="left" vertical="center" wrapText="1"/>
    </xf>
    <xf numFmtId="0" fontId="33" fillId="0" borderId="44" xfId="0" applyFont="1" applyBorder="1" applyAlignment="1">
      <alignment horizontal="left" wrapText="1"/>
    </xf>
    <xf numFmtId="0" fontId="32" fillId="0" borderId="43" xfId="0" applyFont="1" applyBorder="1" applyAlignment="1">
      <alignment horizontal="left" wrapText="1"/>
    </xf>
    <xf numFmtId="0" fontId="4" fillId="22" borderId="29" xfId="0" applyFont="1" applyFill="1" applyBorder="1" applyAlignment="1">
      <alignment horizontal="left" vertical="center" wrapText="1"/>
    </xf>
    <xf numFmtId="0" fontId="4" fillId="22" borderId="31" xfId="0" applyFont="1" applyFill="1" applyBorder="1" applyAlignment="1">
      <alignment horizontal="left" vertical="center" wrapText="1"/>
    </xf>
    <xf numFmtId="0" fontId="2" fillId="22" borderId="20" xfId="0" applyFont="1" applyFill="1" applyBorder="1" applyAlignment="1">
      <alignment horizontal="center"/>
    </xf>
    <xf numFmtId="0" fontId="4" fillId="22" borderId="36" xfId="0" applyFont="1" applyFill="1" applyBorder="1" applyAlignment="1">
      <alignment horizontal="left" vertical="center" wrapText="1"/>
    </xf>
    <xf numFmtId="0" fontId="0" fillId="22" borderId="20" xfId="0" applyFill="1" applyBorder="1"/>
    <xf numFmtId="0" fontId="0" fillId="22" borderId="31" xfId="0" applyFill="1" applyBorder="1"/>
    <xf numFmtId="0" fontId="4" fillId="22" borderId="36" xfId="0" applyFont="1" applyFill="1" applyBorder="1" applyAlignment="1">
      <alignment horizontal="left" vertical="center"/>
    </xf>
    <xf numFmtId="0" fontId="24" fillId="0" borderId="0" xfId="0" applyFont="1" applyAlignment="1">
      <alignment horizontal="center" vertical="center"/>
    </xf>
    <xf numFmtId="0" fontId="0" fillId="0" borderId="0" xfId="0"/>
    <xf numFmtId="0" fontId="4" fillId="22" borderId="20" xfId="0" applyFont="1" applyFill="1" applyBorder="1" applyAlignment="1">
      <alignment horizontal="left" vertical="center" wrapText="1"/>
    </xf>
    <xf numFmtId="0" fontId="2" fillId="15" borderId="0" xfId="0" applyFont="1" applyFill="1" applyAlignment="1">
      <alignment horizontal="center"/>
    </xf>
    <xf numFmtId="0" fontId="2" fillId="3" borderId="0" xfId="0" applyFont="1" applyFill="1" applyAlignment="1">
      <alignment horizontal="center" vertical="center"/>
    </xf>
    <xf numFmtId="0" fontId="0" fillId="0" borderId="0" xfId="0" applyAlignment="1">
      <alignment vertical="center"/>
    </xf>
    <xf numFmtId="14" fontId="0" fillId="0" borderId="0" xfId="0" applyNumberFormat="1"/>
    <xf numFmtId="14" fontId="0" fillId="0" borderId="0" xfId="0" applyNumberFormat="1" applyAlignment="1">
      <alignment horizontal="right" indent="1"/>
    </xf>
    <xf numFmtId="14" fontId="0" fillId="0" borderId="0" xfId="0" applyNumberFormat="1" applyAlignment="1">
      <alignment horizontal="right"/>
    </xf>
    <xf numFmtId="0" fontId="0" fillId="0" borderId="0" xfId="0" applyAlignment="1">
      <alignment wrapText="1"/>
    </xf>
    <xf numFmtId="172" fontId="0" fillId="0" borderId="0" xfId="0" applyNumberFormat="1" applyAlignment="1">
      <alignment horizontal="right"/>
    </xf>
    <xf numFmtId="0" fontId="22" fillId="0" borderId="0" xfId="0" applyFont="1" applyAlignment="1">
      <alignment horizontal="center" vertical="top" wrapText="1"/>
    </xf>
    <xf numFmtId="0" fontId="22" fillId="0" borderId="37" xfId="0" applyFont="1" applyBorder="1" applyAlignment="1">
      <alignment horizontal="center" vertical="top" wrapText="1"/>
    </xf>
    <xf numFmtId="173" fontId="22" fillId="0" borderId="0" xfId="0" applyNumberFormat="1" applyFont="1" applyAlignment="1">
      <alignment horizontal="center" wrapText="1"/>
    </xf>
    <xf numFmtId="173" fontId="22" fillId="0" borderId="37" xfId="0" applyNumberFormat="1" applyFont="1" applyBorder="1" applyAlignment="1">
      <alignment horizontal="center" wrapText="1"/>
    </xf>
    <xf numFmtId="0" fontId="22" fillId="0" borderId="0" xfId="0" applyFont="1" applyAlignment="1">
      <alignment horizontal="center" vertical="center" wrapText="1"/>
    </xf>
    <xf numFmtId="0" fontId="22" fillId="0" borderId="37" xfId="0" applyFont="1" applyBorder="1" applyAlignment="1">
      <alignment horizontal="center" vertical="center" wrapText="1"/>
    </xf>
    <xf numFmtId="0" fontId="22" fillId="0" borderId="0" xfId="0" applyFont="1" applyAlignment="1">
      <alignment horizontal="center" wrapText="1"/>
    </xf>
    <xf numFmtId="0" fontId="22" fillId="0" borderId="15" xfId="0" applyFont="1" applyBorder="1" applyAlignment="1">
      <alignment horizontal="center" wrapText="1"/>
    </xf>
    <xf numFmtId="0" fontId="0" fillId="0" borderId="0" xfId="0" applyAlignment="1">
      <alignment horizontal="left"/>
    </xf>
    <xf numFmtId="165" fontId="0" fillId="0" borderId="0" xfId="0" applyNumberFormat="1"/>
    <xf numFmtId="165" fontId="0" fillId="0" borderId="0" xfId="2" applyNumberFormat="1" applyFont="1"/>
    <xf numFmtId="171" fontId="0" fillId="0" borderId="0" xfId="0" applyNumberFormat="1" applyAlignment="1">
      <alignment horizontal="center" vertical="center"/>
    </xf>
    <xf numFmtId="2" fontId="0" fillId="0" borderId="0" xfId="0" applyNumberFormat="1"/>
    <xf numFmtId="14" fontId="22" fillId="0" borderId="0" xfId="0" applyNumberFormat="1" applyFont="1" applyAlignment="1">
      <alignment horizontal="center" wrapText="1"/>
    </xf>
    <xf numFmtId="14" fontId="22" fillId="0" borderId="37" xfId="0" applyNumberFormat="1" applyFont="1" applyBorder="1" applyAlignment="1">
      <alignment horizontal="center" wrapText="1"/>
    </xf>
    <xf numFmtId="2" fontId="22" fillId="0" borderId="0" xfId="0" applyNumberFormat="1" applyFont="1" applyAlignment="1">
      <alignment horizontal="center" wrapText="1"/>
    </xf>
    <xf numFmtId="2" fontId="22" fillId="0" borderId="37" xfId="0" applyNumberFormat="1" applyFont="1" applyBorder="1" applyAlignment="1">
      <alignment horizontal="center" wrapText="1"/>
    </xf>
    <xf numFmtId="0" fontId="2" fillId="6" borderId="0" xfId="0" applyFont="1" applyFill="1" applyAlignment="1">
      <alignment horizontal="center"/>
    </xf>
  </cellXfs>
  <cellStyles count="5">
    <cellStyle name="Milliers" xfId="2" builtinId="3"/>
    <cellStyle name="Milliers [0]" xfId="4" builtinId="6"/>
    <cellStyle name="Milliers 2" xfId="3" xr:uid="{00000000-0005-0000-0000-000003000000}"/>
    <cellStyle name="Normal" xfId="0" builtinId="0"/>
    <cellStyle name="Pourcentage" xfId="1" builtinId="5"/>
  </cellStyles>
  <dxfs count="56">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color rgb="FFFF0000"/>
      </font>
    </dxf>
    <dxf>
      <font>
        <color rgb="FF008000"/>
      </font>
    </dxf>
    <dxf>
      <font>
        <color rgb="FFFF0000"/>
      </font>
    </dxf>
    <dxf>
      <font>
        <color rgb="FF008000"/>
      </font>
    </dxf>
    <dxf>
      <font>
        <color rgb="FFFF0000"/>
      </font>
    </dxf>
    <dxf>
      <font>
        <color rgb="FF008000"/>
      </font>
    </dxf>
    <dxf>
      <font>
        <color rgb="FF008000"/>
      </font>
    </dxf>
    <dxf>
      <font>
        <color rgb="FFFF0000"/>
      </font>
    </dxf>
    <dxf>
      <font>
        <color rgb="FFFF0000"/>
      </font>
    </dxf>
    <dxf>
      <font>
        <color rgb="FF008000"/>
      </font>
    </dxf>
    <dxf>
      <font>
        <color rgb="FF008000"/>
      </font>
    </dxf>
    <dxf>
      <font>
        <color rgb="FFFF0000"/>
      </font>
    </dxf>
    <dxf>
      <font>
        <color rgb="FF008000"/>
      </font>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color rgb="FFFF0000"/>
      </font>
    </dxf>
  </dxfs>
  <tableStyles count="1" defaultTableStyle="TableStyleMedium2" defaultPivotStyle="PivotStyleLight16">
    <tableStyle name="Invisible" pivot="0" table="0" count="0" xr9:uid="{00000000-0011-0000-FFFF-FFFF00000000}"/>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[Opcos Monthly KPIs Dashboard Report 2026-08 V1.xlsx]Open Projects 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Projects Pivot'!$B$11:$B$12</c:f>
              <c:strCache>
                <c:ptCount val="1"/>
                <c:pt idx="0">
                  <c:v>COMOROS</c:v>
                </c:pt>
              </c:strCache>
            </c:strRef>
          </c:tx>
          <c:spPr>
            <a:solidFill>
              <a:schemeClr val="accent1"/>
            </a:solidFill>
            <a:ln>
              <a:noFill/>
            </a:ln>
            <a:effectLst/>
          </c:spPr>
          <c:invertIfNegative val="0"/>
          <c:cat>
            <c:strRef>
              <c:f>'Open Projects Pivot'!$A$13:$A$17</c:f>
              <c:strCache>
                <c:ptCount val="4"/>
                <c:pt idx="0">
                  <c:v>CLOSED</c:v>
                </c:pt>
                <c:pt idx="1">
                  <c:v>EVALUATION</c:v>
                </c:pt>
                <c:pt idx="2">
                  <c:v>OFFER</c:v>
                </c:pt>
                <c:pt idx="3">
                  <c:v>RFI</c:v>
                </c:pt>
              </c:strCache>
            </c:strRef>
          </c:cat>
          <c:val>
            <c:numRef>
              <c:f>'Open Projects Pivot'!$B$13:$B$17</c:f>
              <c:numCache>
                <c:formatCode>General</c:formatCode>
                <c:ptCount val="4"/>
                <c:pt idx="0">
                  <c:v>2</c:v>
                </c:pt>
                <c:pt idx="1">
                  <c:v>1</c:v>
                </c:pt>
                <c:pt idx="2">
                  <c:v>4</c:v>
                </c:pt>
                <c:pt idx="3">
                  <c:v>1</c:v>
                </c:pt>
              </c:numCache>
            </c:numRef>
          </c:val>
          <c:extLst>
            <c:ext xmlns:c16="http://schemas.microsoft.com/office/drawing/2014/chart" uri="{C3380CC4-5D6E-409C-BE32-E72D297353CC}">
              <c16:uniqueId val="{00000000-290F-47DB-A853-5731E8BDDB66}"/>
            </c:ext>
          </c:extLst>
        </c:ser>
        <c:dLbls>
          <c:showLegendKey val="0"/>
          <c:showVal val="0"/>
          <c:showCatName val="0"/>
          <c:showSerName val="0"/>
          <c:showPercent val="0"/>
          <c:showBubbleSize val="0"/>
        </c:dLbls>
        <c:gapWidth val="219"/>
        <c:overlap val="-27"/>
        <c:axId val="1289668288"/>
        <c:axId val="1289666368"/>
      </c:barChart>
      <c:catAx>
        <c:axId val="128966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9666368"/>
        <c:crosses val="autoZero"/>
        <c:auto val="1"/>
        <c:lblAlgn val="ctr"/>
        <c:lblOffset val="100"/>
        <c:noMultiLvlLbl val="0"/>
      </c:catAx>
      <c:valAx>
        <c:axId val="128966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966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95250</xdr:colOff>
      <xdr:row>1</xdr:row>
      <xdr:rowOff>30162</xdr:rowOff>
    </xdr:from>
    <xdr:to>
      <xdr:col>6</xdr:col>
      <xdr:colOff>812075</xdr:colOff>
      <xdr:row>3</xdr:row>
      <xdr:rowOff>145225</xdr:rowOff>
    </xdr:to>
    <xdr:pic>
      <xdr:nvPicPr>
        <xdr:cNvPr id="3" name="Picture 2" descr="Round icon. Download flag icon of Tanzania at PNG format">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60656" y="208756"/>
          <a:ext cx="716825" cy="484157"/>
        </a:xfrm>
        <a:prstGeom prst="rect">
          <a:avLst/>
        </a:prstGeom>
        <a:noFill/>
        <a:ln>
          <a:prstDash val="solid"/>
        </a:ln>
      </xdr:spPr>
    </xdr:pic>
    <xdr:clientData/>
  </xdr:twoCellAnchor>
  <xdr:twoCellAnchor editAs="oneCell">
    <xdr:from>
      <xdr:col>3</xdr:col>
      <xdr:colOff>95250</xdr:colOff>
      <xdr:row>1</xdr:row>
      <xdr:rowOff>26987</xdr:rowOff>
    </xdr:from>
    <xdr:to>
      <xdr:col>3</xdr:col>
      <xdr:colOff>808900</xdr:colOff>
      <xdr:row>3</xdr:row>
      <xdr:rowOff>142050</xdr:rowOff>
    </xdr:to>
    <xdr:pic>
      <xdr:nvPicPr>
        <xdr:cNvPr id="4" name="Picture 3" descr="Round icon. Download flag icon of Madagascar at PNG format">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8875" y="205581"/>
          <a:ext cx="716825" cy="487332"/>
        </a:xfrm>
        <a:prstGeom prst="rect">
          <a:avLst/>
        </a:prstGeom>
        <a:noFill/>
        <a:ln>
          <a:prstDash val="solid"/>
        </a:ln>
      </xdr:spPr>
    </xdr:pic>
    <xdr:clientData/>
  </xdr:twoCellAnchor>
  <xdr:twoCellAnchor editAs="oneCell">
    <xdr:from>
      <xdr:col>4</xdr:col>
      <xdr:colOff>95250</xdr:colOff>
      <xdr:row>1</xdr:row>
      <xdr:rowOff>30162</xdr:rowOff>
    </xdr:from>
    <xdr:to>
      <xdr:col>4</xdr:col>
      <xdr:colOff>812075</xdr:colOff>
      <xdr:row>3</xdr:row>
      <xdr:rowOff>145225</xdr:rowOff>
    </xdr:to>
    <xdr:pic>
      <xdr:nvPicPr>
        <xdr:cNvPr id="5" name="Picture 4" descr="Round icon. Download flag icon of Comoros at PNG format">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79469" y="208756"/>
          <a:ext cx="716825" cy="484157"/>
        </a:xfrm>
        <a:prstGeom prst="rect">
          <a:avLst/>
        </a:prstGeom>
        <a:noFill/>
        <a:ln>
          <a:prstDash val="solid"/>
        </a:ln>
      </xdr:spPr>
    </xdr:pic>
    <xdr:clientData/>
  </xdr:twoCellAnchor>
  <xdr:twoCellAnchor editAs="oneCell">
    <xdr:from>
      <xdr:col>5</xdr:col>
      <xdr:colOff>95250</xdr:colOff>
      <xdr:row>1</xdr:row>
      <xdr:rowOff>30162</xdr:rowOff>
    </xdr:from>
    <xdr:to>
      <xdr:col>5</xdr:col>
      <xdr:colOff>812075</xdr:colOff>
      <xdr:row>3</xdr:row>
      <xdr:rowOff>145225</xdr:rowOff>
    </xdr:to>
    <xdr:pic>
      <xdr:nvPicPr>
        <xdr:cNvPr id="6" name="Picture 5" descr="Round icon. Download flag icon of Senegal at PNG format">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0063" y="208756"/>
          <a:ext cx="716825" cy="484157"/>
        </a:xfrm>
        <a:prstGeom prst="rect">
          <a:avLst/>
        </a:prstGeom>
        <a:noFill/>
        <a:ln>
          <a:prstDash val="solid"/>
        </a:ln>
      </xdr:spPr>
    </xdr:pic>
    <xdr:clientData/>
  </xdr:twoCellAnchor>
  <xdr:twoCellAnchor editAs="oneCell">
    <xdr:from>
      <xdr:col>7</xdr:col>
      <xdr:colOff>95251</xdr:colOff>
      <xdr:row>1</xdr:row>
      <xdr:rowOff>26987</xdr:rowOff>
    </xdr:from>
    <xdr:to>
      <xdr:col>7</xdr:col>
      <xdr:colOff>808901</xdr:colOff>
      <xdr:row>3</xdr:row>
      <xdr:rowOff>142050</xdr:rowOff>
    </xdr:to>
    <xdr:pic>
      <xdr:nvPicPr>
        <xdr:cNvPr id="7" name="Picture 6" descr="Round icon. Download flag icon of Togo at PNG format">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0001251" y="205581"/>
          <a:ext cx="713650" cy="484157"/>
        </a:xfrm>
        <a:prstGeom prst="rect">
          <a:avLst/>
        </a:prstGeom>
        <a:noFill/>
        <a:ln>
          <a:prstDash val="solid"/>
        </a:ln>
      </xdr:spPr>
    </xdr:pic>
    <xdr:clientData/>
  </xdr:twoCellAnchor>
  <xdr:oneCellAnchor>
    <xdr:from>
      <xdr:col>6</xdr:col>
      <xdr:colOff>95250</xdr:colOff>
      <xdr:row>32</xdr:row>
      <xdr:rowOff>33337</xdr:rowOff>
    </xdr:from>
    <xdr:ext cx="720000" cy="488125"/>
    <xdr:pic>
      <xdr:nvPicPr>
        <xdr:cNvPr id="2" name="Picture 1" descr="Round icon. Download flag icon of Tanzania at PNG format">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64625" y="215900"/>
          <a:ext cx="720000" cy="488125"/>
        </a:xfrm>
        <a:prstGeom prst="rect">
          <a:avLst/>
        </a:prstGeom>
        <a:noFill/>
        <a:ln>
          <a:prstDash val="solid"/>
        </a:ln>
      </xdr:spPr>
    </xdr:pic>
    <xdr:clientData/>
  </xdr:oneCellAnchor>
  <xdr:oneCellAnchor>
    <xdr:from>
      <xdr:col>3</xdr:col>
      <xdr:colOff>95250</xdr:colOff>
      <xdr:row>32</xdr:row>
      <xdr:rowOff>33337</xdr:rowOff>
    </xdr:from>
    <xdr:ext cx="720000" cy="488125"/>
    <xdr:pic>
      <xdr:nvPicPr>
        <xdr:cNvPr id="8" name="Picture 7" descr="Round icon. Download flag icon of Madagascar at PNG format">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0938" y="215900"/>
          <a:ext cx="720000" cy="488125"/>
        </a:xfrm>
        <a:prstGeom prst="rect">
          <a:avLst/>
        </a:prstGeom>
        <a:noFill/>
        <a:ln>
          <a:prstDash val="solid"/>
        </a:ln>
      </xdr:spPr>
    </xdr:pic>
    <xdr:clientData/>
  </xdr:oneCellAnchor>
  <xdr:oneCellAnchor>
    <xdr:from>
      <xdr:col>4</xdr:col>
      <xdr:colOff>95250</xdr:colOff>
      <xdr:row>32</xdr:row>
      <xdr:rowOff>33337</xdr:rowOff>
    </xdr:from>
    <xdr:ext cx="720000" cy="488125"/>
    <xdr:pic>
      <xdr:nvPicPr>
        <xdr:cNvPr id="9" name="Picture 8" descr="Round icon. Download flag icon of Comoros at PNG format">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75500" y="215900"/>
          <a:ext cx="720000" cy="488125"/>
        </a:xfrm>
        <a:prstGeom prst="rect">
          <a:avLst/>
        </a:prstGeom>
        <a:noFill/>
        <a:ln>
          <a:prstDash val="solid"/>
        </a:ln>
      </xdr:spPr>
    </xdr:pic>
    <xdr:clientData/>
  </xdr:oneCellAnchor>
  <xdr:oneCellAnchor>
    <xdr:from>
      <xdr:col>5</xdr:col>
      <xdr:colOff>95250</xdr:colOff>
      <xdr:row>32</xdr:row>
      <xdr:rowOff>33337</xdr:rowOff>
    </xdr:from>
    <xdr:ext cx="720000" cy="488125"/>
    <xdr:pic>
      <xdr:nvPicPr>
        <xdr:cNvPr id="10" name="Picture 9" descr="Round icon. Download flag icon of Senegal at PNG format">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0063" y="215900"/>
          <a:ext cx="720000" cy="488125"/>
        </a:xfrm>
        <a:prstGeom prst="rect">
          <a:avLst/>
        </a:prstGeom>
        <a:noFill/>
        <a:ln>
          <a:prstDash val="solid"/>
        </a:ln>
      </xdr:spPr>
    </xdr:pic>
    <xdr:clientData/>
  </xdr:oneCellAnchor>
  <xdr:oneCellAnchor>
    <xdr:from>
      <xdr:col>7</xdr:col>
      <xdr:colOff>95251</xdr:colOff>
      <xdr:row>32</xdr:row>
      <xdr:rowOff>33337</xdr:rowOff>
    </xdr:from>
    <xdr:ext cx="720000" cy="488125"/>
    <xdr:pic>
      <xdr:nvPicPr>
        <xdr:cNvPr id="11" name="Picture 10" descr="Round icon. Download flag icon of Togo at PNG format">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0009189" y="215900"/>
          <a:ext cx="720000" cy="488125"/>
        </a:xfrm>
        <a:prstGeom prst="rect">
          <a:avLst/>
        </a:prstGeom>
        <a:noFill/>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514350</xdr:colOff>
      <xdr:row>5</xdr:row>
      <xdr:rowOff>6350</xdr:rowOff>
    </xdr:from>
    <xdr:to>
      <xdr:col>13</xdr:col>
      <xdr:colOff>209550</xdr:colOff>
      <xdr:row>18</xdr:row>
      <xdr:rowOff>161925</xdr:rowOff>
    </xdr:to>
    <xdr:graphicFrame macro="">
      <xdr:nvGraphicFramePr>
        <xdr:cNvPr id="2" name="Chart 1">
          <a:extLst>
            <a:ext uri="{FF2B5EF4-FFF2-40B4-BE49-F238E27FC236}">
              <a16:creationId xmlns:a16="http://schemas.microsoft.com/office/drawing/2014/main" id="{228398DC-3468-DF80-CEBE-BF0C166D5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95250</xdr:colOff>
      <xdr:row>1</xdr:row>
      <xdr:rowOff>33337</xdr:rowOff>
    </xdr:from>
    <xdr:to>
      <xdr:col>6</xdr:col>
      <xdr:colOff>812075</xdr:colOff>
      <xdr:row>3</xdr:row>
      <xdr:rowOff>159512</xdr:rowOff>
    </xdr:to>
    <xdr:pic>
      <xdr:nvPicPr>
        <xdr:cNvPr id="7" name="Picture 6" descr="Round icon. Download flag icon of Tanzania at PNG format">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74150" y="217487"/>
          <a:ext cx="720000" cy="491300"/>
        </a:xfrm>
        <a:prstGeom prst="rect">
          <a:avLst/>
        </a:prstGeom>
        <a:noFill/>
        <a:ln>
          <a:prstDash val="solid"/>
        </a:ln>
      </xdr:spPr>
    </xdr:pic>
    <xdr:clientData/>
  </xdr:twoCellAnchor>
  <xdr:twoCellAnchor editAs="oneCell">
    <xdr:from>
      <xdr:col>3</xdr:col>
      <xdr:colOff>95250</xdr:colOff>
      <xdr:row>1</xdr:row>
      <xdr:rowOff>33337</xdr:rowOff>
    </xdr:from>
    <xdr:to>
      <xdr:col>3</xdr:col>
      <xdr:colOff>812075</xdr:colOff>
      <xdr:row>3</xdr:row>
      <xdr:rowOff>159512</xdr:rowOff>
    </xdr:to>
    <xdr:pic>
      <xdr:nvPicPr>
        <xdr:cNvPr id="8" name="Picture 7" descr="Round icon. Download flag icon of Madagascar at PNG format">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5700" y="217487"/>
          <a:ext cx="720000" cy="491300"/>
        </a:xfrm>
        <a:prstGeom prst="rect">
          <a:avLst/>
        </a:prstGeom>
        <a:noFill/>
        <a:ln>
          <a:prstDash val="solid"/>
        </a:ln>
      </xdr:spPr>
    </xdr:pic>
    <xdr:clientData/>
  </xdr:twoCellAnchor>
  <xdr:twoCellAnchor editAs="oneCell">
    <xdr:from>
      <xdr:col>4</xdr:col>
      <xdr:colOff>95250</xdr:colOff>
      <xdr:row>1</xdr:row>
      <xdr:rowOff>33337</xdr:rowOff>
    </xdr:from>
    <xdr:to>
      <xdr:col>4</xdr:col>
      <xdr:colOff>812075</xdr:colOff>
      <xdr:row>3</xdr:row>
      <xdr:rowOff>159512</xdr:rowOff>
    </xdr:to>
    <xdr:pic>
      <xdr:nvPicPr>
        <xdr:cNvPr id="9" name="Picture 8" descr="Round icon. Download flag icon of Comoros at PNG format">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81850" y="217487"/>
          <a:ext cx="720000" cy="491300"/>
        </a:xfrm>
        <a:prstGeom prst="rect">
          <a:avLst/>
        </a:prstGeom>
        <a:noFill/>
        <a:ln>
          <a:prstDash val="solid"/>
        </a:ln>
      </xdr:spPr>
    </xdr:pic>
    <xdr:clientData/>
  </xdr:twoCellAnchor>
  <xdr:twoCellAnchor editAs="oneCell">
    <xdr:from>
      <xdr:col>5</xdr:col>
      <xdr:colOff>95250</xdr:colOff>
      <xdr:row>1</xdr:row>
      <xdr:rowOff>33337</xdr:rowOff>
    </xdr:from>
    <xdr:to>
      <xdr:col>5</xdr:col>
      <xdr:colOff>812075</xdr:colOff>
      <xdr:row>3</xdr:row>
      <xdr:rowOff>159512</xdr:rowOff>
    </xdr:to>
    <xdr:pic>
      <xdr:nvPicPr>
        <xdr:cNvPr id="10" name="Picture 9" descr="Round icon. Download flag icon of Senegal at PNG format">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8000" y="217487"/>
          <a:ext cx="720000" cy="491300"/>
        </a:xfrm>
        <a:prstGeom prst="rect">
          <a:avLst/>
        </a:prstGeom>
        <a:noFill/>
        <a:ln>
          <a:prstDash val="solid"/>
        </a:ln>
      </xdr:spPr>
    </xdr:pic>
    <xdr:clientData/>
  </xdr:twoCellAnchor>
  <xdr:twoCellAnchor editAs="oneCell">
    <xdr:from>
      <xdr:col>7</xdr:col>
      <xdr:colOff>95251</xdr:colOff>
      <xdr:row>1</xdr:row>
      <xdr:rowOff>33337</xdr:rowOff>
    </xdr:from>
    <xdr:to>
      <xdr:col>7</xdr:col>
      <xdr:colOff>812076</xdr:colOff>
      <xdr:row>3</xdr:row>
      <xdr:rowOff>159512</xdr:rowOff>
    </xdr:to>
    <xdr:pic>
      <xdr:nvPicPr>
        <xdr:cNvPr id="11" name="Picture 10" descr="Round icon. Download flag icon of Togo at PNG format">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0020301" y="217487"/>
          <a:ext cx="720000" cy="491300"/>
        </a:xfrm>
        <a:prstGeom prst="rect">
          <a:avLst/>
        </a:prstGeom>
        <a:noFill/>
        <a:ln>
          <a:prstDash val="solid"/>
        </a:ln>
      </xdr:spPr>
    </xdr:pic>
    <xdr:clientData/>
  </xdr:twoCellAnchor>
  <xdr:oneCellAnchor>
    <xdr:from>
      <xdr:col>6</xdr:col>
      <xdr:colOff>95250</xdr:colOff>
      <xdr:row>1</xdr:row>
      <xdr:rowOff>33337</xdr:rowOff>
    </xdr:from>
    <xdr:ext cx="720000" cy="491300"/>
    <xdr:pic>
      <xdr:nvPicPr>
        <xdr:cNvPr id="12" name="Picture 11" descr="Round icon. Download flag icon of Tanzania at PNG format">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74150" y="217487"/>
          <a:ext cx="720000" cy="491300"/>
        </a:xfrm>
        <a:prstGeom prst="rect">
          <a:avLst/>
        </a:prstGeom>
        <a:noFill/>
        <a:ln>
          <a:prstDash val="solid"/>
        </a:ln>
      </xdr:spPr>
    </xdr:pic>
    <xdr:clientData/>
  </xdr:oneCellAnchor>
  <xdr:oneCellAnchor>
    <xdr:from>
      <xdr:col>3</xdr:col>
      <xdr:colOff>95250</xdr:colOff>
      <xdr:row>1</xdr:row>
      <xdr:rowOff>33337</xdr:rowOff>
    </xdr:from>
    <xdr:ext cx="720000" cy="491300"/>
    <xdr:pic>
      <xdr:nvPicPr>
        <xdr:cNvPr id="13" name="Picture 12" descr="Round icon. Download flag icon of Madagascar at PNG format">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905500" y="217487"/>
          <a:ext cx="720000" cy="491300"/>
        </a:xfrm>
        <a:prstGeom prst="rect">
          <a:avLst/>
        </a:prstGeom>
        <a:noFill/>
        <a:ln>
          <a:prstDash val="solid"/>
        </a:ln>
      </xdr:spPr>
    </xdr:pic>
    <xdr:clientData/>
  </xdr:oneCellAnchor>
  <xdr:oneCellAnchor>
    <xdr:from>
      <xdr:col>4</xdr:col>
      <xdr:colOff>95250</xdr:colOff>
      <xdr:row>1</xdr:row>
      <xdr:rowOff>33337</xdr:rowOff>
    </xdr:from>
    <xdr:ext cx="720000" cy="491300"/>
    <xdr:pic>
      <xdr:nvPicPr>
        <xdr:cNvPr id="14" name="Picture 13" descr="Round icon. Download flag icon of Comoros at PNG format">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81850" y="217487"/>
          <a:ext cx="720000" cy="491300"/>
        </a:xfrm>
        <a:prstGeom prst="rect">
          <a:avLst/>
        </a:prstGeom>
        <a:noFill/>
        <a:ln>
          <a:prstDash val="solid"/>
        </a:ln>
      </xdr:spPr>
    </xdr:pic>
    <xdr:clientData/>
  </xdr:oneCellAnchor>
  <xdr:oneCellAnchor>
    <xdr:from>
      <xdr:col>5</xdr:col>
      <xdr:colOff>95250</xdr:colOff>
      <xdr:row>1</xdr:row>
      <xdr:rowOff>33337</xdr:rowOff>
    </xdr:from>
    <xdr:ext cx="720000" cy="491300"/>
    <xdr:pic>
      <xdr:nvPicPr>
        <xdr:cNvPr id="15" name="Picture 14" descr="Round icon. Download flag icon of Senegal at PNG format">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8000" y="217487"/>
          <a:ext cx="720000" cy="491300"/>
        </a:xfrm>
        <a:prstGeom prst="rect">
          <a:avLst/>
        </a:prstGeom>
        <a:noFill/>
        <a:ln>
          <a:prstDash val="solid"/>
        </a:ln>
      </xdr:spPr>
    </xdr:pic>
    <xdr:clientData/>
  </xdr:oneCellAnchor>
  <xdr:oneCellAnchor>
    <xdr:from>
      <xdr:col>7</xdr:col>
      <xdr:colOff>95251</xdr:colOff>
      <xdr:row>1</xdr:row>
      <xdr:rowOff>33337</xdr:rowOff>
    </xdr:from>
    <xdr:ext cx="720000" cy="491300"/>
    <xdr:pic>
      <xdr:nvPicPr>
        <xdr:cNvPr id="16" name="Picture 15" descr="Round icon. Download flag icon of Togo at PNG format">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9690101" y="217487"/>
          <a:ext cx="720000" cy="491300"/>
        </a:xfrm>
        <a:prstGeom prst="rect">
          <a:avLst/>
        </a:prstGeom>
        <a:noFill/>
        <a:ln>
          <a:prstDash val="solid"/>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oukaina.galzim\AppData\Local\Microsoft\Windows\INetCache\Content.Outlook\O9I1RFYR\Opcos%20Monthly%20KPIs%20Dashboard%20Report%202026-01%20V1.xlsx" TargetMode="External"/><Relationship Id="rId1" Type="http://schemas.openxmlformats.org/officeDocument/2006/relationships/externalLinkPath" Target="file:///C:\Users\soukaina.galzim\AppData\Local\Microsoft\Windows\INetCache\Content.Outlook\O9I1RFYR\Opcos%20Monthly%20KPIs%20Dashboard%20Report%202026-01%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PR-PO SLA &amp; Contract%"/>
      <sheetName val="Customs_Clearance"/>
      <sheetName val="PPOT"/>
      <sheetName val="M-1 performance"/>
      <sheetName val="PR-PO SLA &amp; Contract% (2)"/>
    </sheetNames>
    <sheetDataSet>
      <sheetData sheetId="0"/>
      <sheetData sheetId="1">
        <row r="5">
          <cell r="G5" t="str">
            <v>30/01/2026 16:10:11</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Soukaina Galzim" id="{4274DB2F-5FDE-41B6-AF9D-BC45DCE4F1F1}" userId="S::soukaina.galzim@axian-group.com::418c9cd1-033c-44dd-9c2b-b29073b0369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kaina Galzim" refreshedDate="46076.437628356478" createdVersion="8" refreshedVersion="8" minRefreshableVersion="3" recordCount="9" xr:uid="{1A81170F-CBB6-495C-A056-F9AE69A6D04A}">
  <cacheSource type="worksheet">
    <worksheetSource ref="A1:AG1048576" sheet="Open Projects"/>
  </cacheSource>
  <cacheFields count="33">
    <cacheField name="Entity Initiator" numFmtId="0">
      <sharedItems containsBlank="1"/>
    </cacheField>
    <cacheField name="OpCo" numFmtId="0">
      <sharedItems containsBlank="1" count="2">
        <s v="COMOROS"/>
        <m/>
      </sharedItems>
    </cacheField>
    <cacheField name="Category" numFmtId="0">
      <sharedItems containsBlank="1" count="2">
        <s v="TELECOM"/>
        <m/>
      </sharedItems>
    </cacheField>
    <cacheField name="Project" numFmtId="0">
      <sharedItems containsBlank="1"/>
    </cacheField>
    <cacheField name="Overall Status" numFmtId="0">
      <sharedItems containsBlank="1" count="5">
        <s v="OFFER"/>
        <s v="CLOSED"/>
        <s v="EVALUATION"/>
        <s v="RFI"/>
        <m/>
      </sharedItems>
    </cacheField>
    <cacheField name="Project description" numFmtId="0">
      <sharedItems containsBlank="1"/>
    </cacheField>
    <cacheField name="Business Owner" numFmtId="0">
      <sharedItems containsBlank="1"/>
    </cacheField>
    <cacheField name="Number of suppliers contacted" numFmtId="0">
      <sharedItems containsString="0" containsBlank="1" containsNumber="1" containsInteger="1" minValue="1" maxValue="6"/>
    </cacheField>
    <cacheField name="RFP Received" numFmtId="0">
      <sharedItems containsNonDate="0" containsDate="1" containsString="0" containsBlank="1" minDate="2025-11-27T00:00:00" maxDate="2026-02-14T00:00:00"/>
    </cacheField>
    <cacheField name="RFP Issuance" numFmtId="0">
      <sharedItems containsNonDate="0" containsDate="1" containsString="0" containsBlank="1" minDate="2025-11-28T00:00:00" maxDate="2026-02-14T00:00:00"/>
    </cacheField>
    <cacheField name="RFP Offer date" numFmtId="0">
      <sharedItems containsNonDate="0" containsDate="1" containsString="0" containsBlank="1" minDate="2025-12-03T00:00:00" maxDate="2026-02-19T00:00:00"/>
    </cacheField>
    <cacheField name="Status" numFmtId="0">
      <sharedItems containsBlank="1" longText="1"/>
    </cacheField>
    <cacheField name="Action Owner" numFmtId="0">
      <sharedItems containsBlank="1"/>
    </cacheField>
    <cacheField name="Selected supplier" numFmtId="0">
      <sharedItems containsBlank="1"/>
    </cacheField>
    <cacheField name="Initial price" numFmtId="0">
      <sharedItems containsString="0" containsBlank="1" containsNumber="1" minValue="4749" maxValue="190149.57"/>
    </cacheField>
    <cacheField name="Final price" numFmtId="0">
      <sharedItems containsString="0" containsBlank="1" containsNumber="1" minValue="4749" maxValue="175950.36"/>
    </cacheField>
    <cacheField name="SAVING" numFmtId="0">
      <sharedItems containsString="0" containsBlank="1" containsNumber="1" minValue="0" maxValue="16776.739999999991"/>
    </cacheField>
    <cacheField name="Contract start date" numFmtId="0">
      <sharedItems containsNonDate="0" containsDate="1" containsString="0" containsBlank="1" minDate="2026-01-27T00:00:00" maxDate="2026-02-06T00:00:00"/>
    </cacheField>
    <cacheField name="Contract signature target date" numFmtId="0">
      <sharedItems containsBlank="1"/>
    </cacheField>
    <cacheField name="Actual Contract signature date" numFmtId="0">
      <sharedItems containsBlank="1"/>
    </cacheField>
    <cacheField name="Tender target closing date " numFmtId="0">
      <sharedItems containsNonDate="0" containsDate="1" containsString="0" containsBlank="1" minDate="2026-01-05T00:00:00" maxDate="2026-01-31T00:00:00"/>
    </cacheField>
    <cacheField name="Buyer" numFmtId="0">
      <sharedItems containsBlank="1"/>
    </cacheField>
    <cacheField name="Supplier 1" numFmtId="0">
      <sharedItems containsBlank="1"/>
    </cacheField>
    <cacheField name="Supplier 2" numFmtId="0">
      <sharedItems containsBlank="1"/>
    </cacheField>
    <cacheField name="Supplier 3" numFmtId="0">
      <sharedItems containsBlank="1"/>
    </cacheField>
    <cacheField name="Supplier 4" numFmtId="0">
      <sharedItems containsBlank="1"/>
    </cacheField>
    <cacheField name="Supplier 5" numFmtId="0">
      <sharedItems containsBlank="1"/>
    </cacheField>
    <cacheField name="Supplier 6" numFmtId="0">
      <sharedItems containsBlank="1"/>
    </cacheField>
    <cacheField name="Supplier 7" numFmtId="0">
      <sharedItems containsNonDate="0" containsString="0" containsBlank="1"/>
    </cacheField>
    <cacheField name="Supplier 8" numFmtId="0">
      <sharedItems containsNonDate="0" containsString="0" containsBlank="1"/>
    </cacheField>
    <cacheField name="Supplier 9" numFmtId="0">
      <sharedItems containsNonDate="0" containsString="0" containsBlank="1"/>
    </cacheField>
    <cacheField name="Supplier 10" numFmtId="0">
      <sharedItems containsNonDate="0" containsString="0" containsBlank="1"/>
    </cacheField>
    <cacheField name="Supplier 1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Yas Comores"/>
    <x v="0"/>
    <x v="0"/>
    <s v="Civil engineering works and installation of 5GE on sites"/>
    <x v="0"/>
    <s v="Civil engineering works and installation of 5GE on sites."/>
    <s v="Ando "/>
    <n v="6"/>
    <d v="2025-11-27T00:00:00"/>
    <d v="2025-11-28T00:00:00"/>
    <d v="2025-12-03T00:00:00"/>
    <s v="Purchase request submitted today, 19/02/2026."/>
    <s v="Chimba Nghemning Henri"/>
    <s v="Entreprise OBT"/>
    <n v="119833.84"/>
    <n v="103057.1"/>
    <n v="16776.739999999991"/>
    <m/>
    <m/>
    <m/>
    <m/>
    <s v="Issoufi Djamal-Edine"/>
    <s v="Entreprise OBT"/>
    <s v="ELM construction"/>
    <s v="Societé Nahouza"/>
    <s v="STE Beta "/>
    <s v="Bundo construct"/>
    <s v="Sec Daniel "/>
    <m/>
    <m/>
    <m/>
    <m/>
    <m/>
  </r>
  <r>
    <s v="Yas Comores"/>
    <x v="0"/>
    <x v="0"/>
    <s v="Fiber-optic connection works for El Maarouf Hospital"/>
    <x v="0"/>
    <s v="Fiber-optic connection works for El Maarouf Hospital."/>
    <s v="Sidi Aman Ahmed"/>
    <n v="4"/>
    <d v="2025-12-29T00:00:00"/>
    <d v="2025-12-30T00:00:00"/>
    <d v="2026-01-05T00:00:00"/>
    <s v="Work in Progress"/>
    <s v="Sidi Aman Ahmed"/>
    <s v="ELM construction"/>
    <n v="30516.44"/>
    <n v="28018.52"/>
    <n v="2497.9199999999983"/>
    <d v="2026-01-27T00:00:00"/>
    <s v="No contrat"/>
    <s v="No contrat "/>
    <d v="2026-01-05T00:00:00"/>
    <s v="Issoufi Djamal-Edine"/>
    <s v="ELM construction "/>
    <s v="Entreprise OBT"/>
    <s v="STE Beta "/>
    <s v="Bundo construct"/>
    <m/>
    <m/>
    <m/>
    <m/>
    <m/>
    <m/>
    <m/>
  </r>
  <r>
    <s v="Yas Comores"/>
    <x v="0"/>
    <x v="0"/>
    <s v="MPox prevention (hydroalcoholic gels)"/>
    <x v="1"/>
    <s v="Hydroalcoholic gels for Mpox prevention."/>
    <s v="Raymane Ali Matoir"/>
    <n v="2"/>
    <d v="2026-01-19T00:00:00"/>
    <d v="2026-01-21T00:00:00"/>
    <d v="2026-01-24T00:00:00"/>
    <s v="Closed."/>
    <m/>
    <s v="Ocopharma"/>
    <n v="4749"/>
    <n v="4749"/>
    <n v="0"/>
    <d v="2026-02-05T00:00:00"/>
    <s v="No contrat"/>
    <s v="No contrat "/>
    <d v="2026-01-24T00:00:00"/>
    <s v="Issoufi Djamal-Edine"/>
    <s v="Ocopharma"/>
    <s v="Ligapharma"/>
    <m/>
    <m/>
    <m/>
    <m/>
    <m/>
    <m/>
    <m/>
    <m/>
    <m/>
  </r>
  <r>
    <s v="Yas Comores"/>
    <x v="0"/>
    <x v="0"/>
    <s v="Laptop acquisition"/>
    <x v="2"/>
    <s v="The project consists of assigning laptops based on actual needs: standard models are intended for roles with simple tasks, while high-end laptops are reserved for employees using tools or software requiring higher performance."/>
    <s v="Ahmed Mohamed"/>
    <n v="4"/>
    <d v="2026-01-06T00:00:00"/>
    <d v="2026-01-20T00:00:00"/>
    <d v="2026-01-28T00:00:00"/>
    <s v="Waiting for validation of the 2026 Facilities IT budget to confirm, together with Olivier (financial controller), the extent to which purchases can be committed. This validation is essential to determine the exact acquisition volume based on supplier prices."/>
    <s v="Nazlye/ Olivier"/>
    <m/>
    <m/>
    <m/>
    <n v="0"/>
    <m/>
    <m/>
    <m/>
    <m/>
    <s v="Issoufi Djamal-Edine"/>
    <s v="Fan pro services"/>
    <s v="Hakimi multimedia"/>
    <s v="Pateterie des Comores"/>
    <s v="Mak technoligie"/>
    <m/>
    <m/>
    <m/>
    <m/>
    <m/>
    <m/>
    <m/>
  </r>
  <r>
    <s v="Yas Comores"/>
    <x v="0"/>
    <x v="0"/>
    <s v="FTTX equipment acquisition"/>
    <x v="3"/>
    <s v="Equipment for FTTX installations."/>
    <s v="Karim Attoumani Mohamed"/>
    <n v="6"/>
    <d v="2026-01-13T00:00:00"/>
    <d v="2026-01-14T00:00:00"/>
    <d v="2026-01-26T00:00:00"/>
    <s v="A supplier consultation was launched locally for the acquisition of this equipment. However, since it is not available in the country, it must be ordered from abroad, with a delivery lead time of 15–20 days. We are currently awaiting technical offers; once received and a supplier is selected, we will issue the purchase order."/>
    <s v="Irchad Radjabou"/>
    <m/>
    <m/>
    <m/>
    <n v="0"/>
    <m/>
    <m/>
    <m/>
    <m/>
    <s v="Issoufi Djamal-Edine"/>
    <s v="Comores multiservices"/>
    <s v="Hakimi multimedia"/>
    <s v="Fan pro services"/>
    <s v="Magasin said Hassane Fils"/>
    <s v="Rehamani SARL"/>
    <s v="Photo soleil"/>
    <m/>
    <m/>
    <m/>
    <m/>
    <m/>
  </r>
  <r>
    <s v="Yas Comores"/>
    <x v="0"/>
    <x v="0"/>
    <s v="Ubiquiti equipment purchase"/>
    <x v="0"/>
    <s v="Ubiquiti stock order"/>
    <s v="Karim Attoumani Mohamed"/>
    <n v="4"/>
    <d v="2026-01-13T00:00:00"/>
    <d v="2026-01-15T00:00:00"/>
    <d v="2026-01-20T00:00:00"/>
    <s v="The purchase order has been sent to the supplier. Part of the goods has been received, and we are awaiting the remaining items."/>
    <s v="Supplier"/>
    <s v="Fan pro services/ Hakimi multimedia/ Comores multiservices"/>
    <n v="190149.57"/>
    <n v="175950.36"/>
    <n v="14199.210000000021"/>
    <d v="2026-02-03T00:00:00"/>
    <s v="No contrat for supplier 1&amp;3. in Progress for 2"/>
    <s v="No contrat for supplier 1&amp;3. in Progress for 2"/>
    <m/>
    <s v="Issoufi Djamal-Edine"/>
    <s v="Fan pro services"/>
    <s v="Hakimi multimedia"/>
    <s v="Comores multiservices"/>
    <s v="Pateterie des Comores"/>
    <m/>
    <m/>
    <m/>
    <m/>
    <m/>
    <m/>
    <m/>
  </r>
  <r>
    <s v="Yas Comores"/>
    <x v="0"/>
    <x v="0"/>
    <s v=" store Djivani concrete floor renovation works "/>
    <x v="0"/>
    <s v="This project concerns concrete floor refurbishment works around the Djivani Store."/>
    <s v="Chenaz Abdallah"/>
    <n v="3"/>
    <d v="2026-01-15T00:00:00"/>
    <d v="2026-02-06T00:00:00"/>
    <d v="2026-02-18T00:00:00"/>
    <s v="PO under processing by Procurement"/>
    <s v="Bachir Houamadi"/>
    <s v="NLN"/>
    <n v="14246.7"/>
    <n v="14246.7"/>
    <n v="0"/>
    <m/>
    <m/>
    <m/>
    <m/>
    <s v="Issoufi Djamal-Edine"/>
    <s v="NLN"/>
    <s v="STC"/>
    <m/>
    <m/>
    <m/>
    <m/>
    <m/>
    <m/>
    <m/>
    <m/>
    <m/>
  </r>
  <r>
    <s v="Yas Comores"/>
    <x v="0"/>
    <x v="0"/>
    <s v="Purchase of 12 KVA generator"/>
    <x v="1"/>
    <s v="12 KVA generator for the Mitsamihouli shop due to frequent power outages, which risk slowing down or interrupting commercial activities."/>
    <s v="Chimba Nghemning Henri"/>
    <n v="1"/>
    <d v="2026-02-13T00:00:00"/>
    <d v="2026-02-13T00:00:00"/>
    <d v="2026-02-15T00:00:00"/>
    <s v="Closed."/>
    <m/>
    <s v="Electro foid"/>
    <n v="5876.76"/>
    <n v="5283.15"/>
    <n v="593.61000000000058"/>
    <d v="2026-02-05T00:00:00"/>
    <s v="No contrat"/>
    <s v="No contrat "/>
    <d v="2026-01-30T00:00:00"/>
    <s v="Issoufi Djamal-Edine"/>
    <s v="Electro froid"/>
    <m/>
    <m/>
    <m/>
    <m/>
    <m/>
    <m/>
    <m/>
    <m/>
    <m/>
    <m/>
  </r>
  <r>
    <m/>
    <x v="1"/>
    <x v="1"/>
    <m/>
    <x v="4"/>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F620B1-78F2-4D12-A973-397E9FB54F3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C23" firstHeaderRow="1" firstDataRow="2" firstDataCol="1" rowPageCount="1" colPageCount="1"/>
  <pivotFields count="33">
    <pivotField showAll="0"/>
    <pivotField axis="axisCol" showAll="0">
      <items count="3">
        <item x="0"/>
        <item x="1"/>
        <item t="default"/>
      </items>
    </pivotField>
    <pivotField axis="axisRow" showAll="0">
      <items count="3">
        <item x="0"/>
        <item x="1"/>
        <item t="default"/>
      </items>
    </pivotField>
    <pivotField showAll="0"/>
    <pivotField axis="axisPage" multipleItemSelectionAllowed="1" showAll="0">
      <items count="6">
        <item h="1" x="1"/>
        <item x="2"/>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Fields count="1">
    <field x="1"/>
  </colFields>
  <colItems count="2">
    <i>
      <x/>
    </i>
    <i t="grand">
      <x/>
    </i>
  </colItems>
  <pageFields count="1">
    <pageField fld="4" hier="-1"/>
  </pageFields>
  <dataFields count="1">
    <dataField name="Sum of SAVING" fld="16" baseField="0" baseItem="0"/>
  </dataFields>
  <chartFormats count="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E53E90-3875-46C6-94CC-0A69894F86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C17" firstHeaderRow="1" firstDataRow="2" firstDataCol="1" rowPageCount="1" colPageCount="1"/>
  <pivotFields count="33">
    <pivotField showAll="0"/>
    <pivotField axis="axisCol" showAll="0">
      <items count="3">
        <item x="0"/>
        <item x="1"/>
        <item t="default"/>
      </items>
    </pivotField>
    <pivotField axis="axisPage" showAll="0">
      <items count="3">
        <item x="0"/>
        <item x="1"/>
        <item t="default"/>
      </items>
    </pivotField>
    <pivotField dataField="1" showAll="0"/>
    <pivotField axis="axisRow" multipleItemSelectionAllowed="1" showAll="0">
      <items count="6">
        <item x="1"/>
        <item x="2"/>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1"/>
  </colFields>
  <colItems count="2">
    <i>
      <x/>
    </i>
    <i t="grand">
      <x/>
    </i>
  </colItems>
  <pageFields count="1">
    <pageField fld="2" hier="-1"/>
  </pageFields>
  <dataFields count="1">
    <dataField name="Count of Project" fld="3" subtotal="count" baseField="0" baseItem="0"/>
  </dataFields>
  <chartFormats count="3">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BA15C7-96C2-43B7-8D0D-71AE902DFD9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6" firstHeaderRow="1" firstDataRow="2" firstDataCol="1" rowPageCount="1" colPageCount="1"/>
  <pivotFields count="33">
    <pivotField showAll="0"/>
    <pivotField axis="axisCol" showAll="0">
      <items count="3">
        <item x="0"/>
        <item x="1"/>
        <item t="default"/>
      </items>
    </pivotField>
    <pivotField axis="axisRow" showAll="0">
      <items count="3">
        <item x="0"/>
        <item x="1"/>
        <item t="default"/>
      </items>
    </pivotField>
    <pivotField dataField="1" showAll="0"/>
    <pivotField axis="axisPage" multipleItemSelectionAllowed="1" showAll="0">
      <items count="6">
        <item h="1" x="1"/>
        <item x="2"/>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Fields count="1">
    <field x="1"/>
  </colFields>
  <colItems count="2">
    <i>
      <x/>
    </i>
    <i t="grand">
      <x/>
    </i>
  </colItems>
  <pageFields count="1">
    <pageField fld="4" hier="-1"/>
  </pageFields>
  <dataFields count="1">
    <dataField name="Count of Project" fld="3" subtotal="count" baseField="0" baseItem="0"/>
  </dataFields>
  <chartFormats count="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2B2B5-7206-4DE0-94D8-6F7D87B388E4}" name="Tableau1" displayName="Tableau1" ref="A1:A14" totalsRowShown="0">
  <autoFilter ref="A1:A14" xr:uid="{39E2B2B5-7206-4DE0-94D8-6F7D87B388E4}"/>
  <tableColumns count="1">
    <tableColumn id="1" xr3:uid="{6C8ECF77-11D6-43F6-B544-86BB150B1C0E}"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564A6D-9F05-4678-83FF-DBBDF19A9750}" name="Tableau3" displayName="Tableau3" ref="C1:C13" totalsRowShown="0">
  <autoFilter ref="C1:C13" xr:uid="{A3564A6D-9F05-4678-83FF-DBBDF19A9750}"/>
  <tableColumns count="1">
    <tableColumn id="1" xr3:uid="{B57C7E37-1B5A-4A03-8060-A13EC815AFF1}" name="Global Status"/>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2-05T05:58:47.00" personId="{4274DB2F-5FDE-41B6-AF9D-BC45DCE4F1F1}" id="{8EA13ADC-085D-46AE-950D-3A5B95A5D4D7}">
    <text>If OpCo, specify which one</text>
  </threadedComment>
  <threadedComment ref="H1" dT="2026-02-09T06:58:55.86" personId="{4274DB2F-5FDE-41B6-AF9D-BC45DCE4F1F1}" id="{DC9C2DFB-79BD-4B56-93E1-86190E616D12}">
    <text>Add list of supplier at the end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tabSelected="1" zoomScale="80" zoomScaleNormal="80" workbookViewId="0">
      <selection activeCell="D15" sqref="D15"/>
    </sheetView>
  </sheetViews>
  <sheetFormatPr baseColWidth="10" defaultColWidth="8.7265625" defaultRowHeight="14.5" x14ac:dyDescent="0.35"/>
  <cols>
    <col min="1" max="1" width="13.453125" customWidth="1"/>
    <col min="2" max="2" width="61.453125" bestFit="1" customWidth="1"/>
    <col min="3" max="3" width="13" customWidth="1"/>
    <col min="4" max="8" width="13.453125" customWidth="1"/>
    <col min="9" max="9" width="53.453125" customWidth="1"/>
  </cols>
  <sheetData>
    <row r="1" spans="1:10" x14ac:dyDescent="0.35">
      <c r="A1" s="243" t="s">
        <v>225</v>
      </c>
      <c r="B1" s="244"/>
      <c r="C1" s="144" t="s">
        <v>0</v>
      </c>
      <c r="D1" s="145" t="s">
        <v>1</v>
      </c>
      <c r="E1" s="145" t="s">
        <v>2</v>
      </c>
      <c r="F1" s="145" t="s">
        <v>3</v>
      </c>
      <c r="G1" s="145" t="s">
        <v>4</v>
      </c>
      <c r="H1" s="146" t="s">
        <v>5</v>
      </c>
      <c r="I1" s="135"/>
    </row>
    <row r="2" spans="1:10" x14ac:dyDescent="0.35">
      <c r="A2" s="244"/>
      <c r="B2" s="244"/>
      <c r="C2" s="238" t="s">
        <v>6</v>
      </c>
      <c r="D2" s="147"/>
      <c r="E2" s="147"/>
      <c r="F2" s="147"/>
      <c r="G2" s="147"/>
      <c r="H2" s="148"/>
      <c r="I2" s="135"/>
    </row>
    <row r="3" spans="1:10" ht="15" thickBot="1" x14ac:dyDescent="0.4">
      <c r="A3" s="244"/>
      <c r="B3" s="244"/>
      <c r="C3" s="238"/>
      <c r="D3" s="147"/>
      <c r="E3" s="147"/>
      <c r="F3" s="147"/>
      <c r="G3" s="147"/>
      <c r="H3" s="148"/>
      <c r="I3" s="135"/>
    </row>
    <row r="4" spans="1:10" ht="15" thickBot="1" x14ac:dyDescent="0.4">
      <c r="A4" s="149" t="s">
        <v>7</v>
      </c>
      <c r="B4" s="150" t="s">
        <v>8</v>
      </c>
      <c r="C4" s="238"/>
      <c r="D4" s="147"/>
      <c r="E4" s="147"/>
      <c r="F4" s="147"/>
      <c r="G4" s="147"/>
      <c r="H4" s="148"/>
      <c r="I4" s="182" t="s">
        <v>224</v>
      </c>
    </row>
    <row r="5" spans="1:10" x14ac:dyDescent="0.35">
      <c r="A5" s="242" t="s">
        <v>9</v>
      </c>
      <c r="B5" s="126" t="s">
        <v>10</v>
      </c>
      <c r="C5" s="185">
        <v>0.1</v>
      </c>
      <c r="D5" s="186">
        <f>SUMIF('PR-PO SLA &amp; Contract%'!C4:C477, "MADAGASCAR", 'PR-PO SLA &amp; Contract%'!S4:S477)/SUMIF('PR-PO SLA &amp; Contract%'!C4:C477, "MADAGASCAR", 'PR-PO SLA &amp; Contract%'!Q4:Q477)</f>
        <v>0.12843760107753546</v>
      </c>
      <c r="E5" s="186" t="e">
        <f>SUMIF('PR-PO SLA &amp; Contract%'!C4:C477, "COMOROS", 'PR-PO SLA &amp; Contract%'!S4:S477)/SUMIF('PR-PO SLA &amp; Contract%'!C4:C477, "COMOROS", 'PR-PO SLA &amp; Contract%'!Q4:Q477)</f>
        <v>#DIV/0!</v>
      </c>
      <c r="F5" s="186" t="e">
        <f>SUMIF('PR-PO SLA &amp; Contract%'!C4:C477, "Senegal", 'PR-PO SLA &amp; Contract%'!S4:S477)/SUMIF('PR-PO SLA &amp; Contract%'!C4:C477, "Senegal", 'PR-PO SLA &amp; Contract%'!Q4:Q477)</f>
        <v>#DIV/0!</v>
      </c>
      <c r="G5" s="186" t="e">
        <f>SUMIF('PR-PO SLA &amp; Contract%'!C4:C477, "Tanzania", 'PR-PO SLA &amp; Contract%'!S4:S477)/SUMIF('PR-PO SLA &amp; Contract%'!C4:C477, "Tanzania", 'PR-PO SLA &amp; Contract%'!Q4:Q477)</f>
        <v>#DIV/0!</v>
      </c>
      <c r="H5" s="187" t="e">
        <f>SUMIF('PR-PO SLA &amp; Contract%'!C4:C477, "Togo", 'PR-PO SLA &amp; Contract%'!S4:S477)/SUMIF('PR-PO SLA &amp; Contract%'!C4:C477, "Togo", 'PR-PO SLA &amp; Contract%'!Q4:Q477)</f>
        <v>#DIV/0!</v>
      </c>
      <c r="I5" s="230"/>
      <c r="J5" s="62"/>
    </row>
    <row r="6" spans="1:10" x14ac:dyDescent="0.35">
      <c r="A6" s="240"/>
      <c r="B6" s="127" t="s">
        <v>136</v>
      </c>
      <c r="C6" s="131"/>
      <c r="D6" s="133">
        <f>SUMIFS('PR-PO SLA &amp; Contract%'!S4:S477, 'PR-PO SLA &amp; Contract%'!C4:C477, "MADAGASCAR",'PR-PO SLA &amp; Contract%'!P4:P477, "Usd")</f>
        <v>2179415.8126354138</v>
      </c>
      <c r="E6" s="133">
        <f>SUMIFS('PR-PO SLA &amp; Contract%'!S4:S477, 'PR-PO SLA &amp; Contract%'!C4:C477, "COMOROS",'PR-PO SLA &amp; Contract%'!P4:P477, "Usd")</f>
        <v>0</v>
      </c>
      <c r="F6" s="133">
        <f>SUMIFS('PR-PO SLA &amp; Contract%'!S4:S477, 'PR-PO SLA &amp; Contract%'!C4:C477, "SENEGAL",'PR-PO SLA &amp; Contract%'!P4:P477, "Usd")</f>
        <v>0</v>
      </c>
      <c r="G6" s="133">
        <f>SUMIFS('PR-PO SLA &amp; Contract%'!S4:S477, 'PR-PO SLA &amp; Contract%'!C4:C477, "Tanzania",'PR-PO SLA &amp; Contract%'!P4:P477, "Usd")</f>
        <v>0</v>
      </c>
      <c r="H6" s="134">
        <f>SUMIFS('PR-PO SLA &amp; Contract%'!S4:S477, 'PR-PO SLA &amp; Contract%'!C4:C477, "Togo",'PR-PO SLA &amp; Contract%'!P4:P477, "Usd")</f>
        <v>0</v>
      </c>
      <c r="I6" s="231"/>
    </row>
    <row r="7" spans="1:10" ht="14.5" customHeight="1" x14ac:dyDescent="0.35">
      <c r="A7" s="239" t="s">
        <v>11</v>
      </c>
      <c r="B7" s="129" t="s">
        <v>12</v>
      </c>
      <c r="C7" s="123">
        <v>4</v>
      </c>
      <c r="D7" s="180">
        <f>AVERAGEIF('PR-PO SLA &amp; Contract%'!C4:C477, "MADAGASCAR", 'PR-PO SLA &amp; Contract%'!I4:I477)</f>
        <v>3.4989429175475686</v>
      </c>
      <c r="E7" s="180" t="e">
        <f>AVERAGEIF('PR-PO SLA &amp; Contract%'!C4:C477, "COMOROS", 'PR-PO SLA &amp; Contract%'!I4:I477)</f>
        <v>#DIV/0!</v>
      </c>
      <c r="F7" s="180" t="e">
        <f>AVERAGEIF('PR-PO SLA &amp; Contract%'!C4:C477, "Senegal", 'PR-PO SLA &amp; Contract%'!I4:I477)</f>
        <v>#DIV/0!</v>
      </c>
      <c r="G7" s="180" t="e">
        <f>AVERAGEIF('PR-PO SLA &amp; Contract%'!C4:C477, "Tanzania", 'PR-PO SLA &amp; Contract%'!I4:I477)</f>
        <v>#DIV/0!</v>
      </c>
      <c r="H7" s="136" t="e">
        <f>AVERAGEIF('PR-PO SLA &amp; Contract%'!C4:C477, "Togo", 'PR-PO SLA &amp; Contract%'!I4:I477)</f>
        <v>#DIV/0!</v>
      </c>
      <c r="I7" s="232"/>
    </row>
    <row r="8" spans="1:10" x14ac:dyDescent="0.35">
      <c r="A8" s="240"/>
      <c r="B8" s="127" t="s">
        <v>13</v>
      </c>
      <c r="C8" s="124">
        <v>0.9</v>
      </c>
      <c r="D8" s="188">
        <f>COUNTIFS('PR-PO SLA &amp; Contract%'!I4:I477, "&lt;=4", 'PR-PO SLA &amp; Contract%'!C4:C477, "MADAGASCAR")/COUNTIF('PR-PO SLA &amp; Contract%'!C4:C477, "MADAGASCAR")</f>
        <v>0.81606765327695563</v>
      </c>
      <c r="E8" s="188" t="e">
        <f>COUNTIFS('PR-PO SLA &amp; Contract%'!I4:I477, "&lt;=4", 'PR-PO SLA &amp; Contract%'!C4:C477, "COMOROS")/COUNTIF('PR-PO SLA &amp; Contract%'!C4:C477, "COMOROS")</f>
        <v>#DIV/0!</v>
      </c>
      <c r="F8" s="188" t="e">
        <f>COUNTIFS('PR-PO SLA &amp; Contract%'!I4:I477, "&lt;=4", 'PR-PO SLA &amp; Contract%'!C4:C477, "Senegal")/COUNTIF('PR-PO SLA &amp; Contract%'!C4:C477, "Senegal")</f>
        <v>#DIV/0!</v>
      </c>
      <c r="G8" s="188" t="e">
        <f>COUNTIFS('PR-PO SLA &amp; Contract%'!I4:I477, "&lt;=4", 'PR-PO SLA &amp; Contract%'!C4:C477, "Tanzania")/COUNTIF('PR-PO SLA &amp; Contract%'!C4:C477, "Tanzania")</f>
        <v>#DIV/0!</v>
      </c>
      <c r="H8" s="152" t="e">
        <f>COUNTIFS('PR-PO SLA &amp; Contract%'!I4:I477, "&lt;=4", 'PR-PO SLA &amp; Contract%'!C4:C477, "Togo")/COUNTIF('PR-PO SLA &amp; Contract%'!C4:C477, "Togo")</f>
        <v>#DIV/0!</v>
      </c>
      <c r="I8" s="233"/>
    </row>
    <row r="9" spans="1:10" x14ac:dyDescent="0.35">
      <c r="A9" s="240"/>
      <c r="B9" s="127" t="s">
        <v>14</v>
      </c>
      <c r="C9" s="123">
        <v>4</v>
      </c>
      <c r="D9" s="180">
        <f>AVERAGEIF('PR-PO SLA &amp; Contract%'!C4:C477, "MADAGASCAR", 'PR-PO SLA &amp; Contract%'!K4:K477)</f>
        <v>2.3255813953488373</v>
      </c>
      <c r="E9" s="180" t="e">
        <f>AVERAGEIF('PR-PO SLA &amp; Contract%'!C4:C477, "COMOROS", 'PR-PO SLA &amp; Contract%'!K4:K477)</f>
        <v>#DIV/0!</v>
      </c>
      <c r="F9" s="180" t="e">
        <f>AVERAGEIF('PR-PO SLA &amp; Contract%'!C4:C477, "Senegal", 'PR-PO SLA &amp; Contract%'!K4:K477)</f>
        <v>#DIV/0!</v>
      </c>
      <c r="G9" s="180" t="e">
        <f>AVERAGEIF('PR-PO SLA &amp; Contract%'!C4:C477, "Tanzania", 'PR-PO SLA &amp; Contract%'!K4:K477)</f>
        <v>#DIV/0!</v>
      </c>
      <c r="H9" s="136" t="e">
        <f>AVERAGEIF('PR-PO SLA &amp; Contract%'!C4:C477, "Togo", 'PR-PO SLA &amp; Contract%'!K4:K477)</f>
        <v>#DIV/0!</v>
      </c>
      <c r="I9" s="194"/>
    </row>
    <row r="10" spans="1:10" x14ac:dyDescent="0.35">
      <c r="A10" s="241"/>
      <c r="B10" s="128" t="s">
        <v>15</v>
      </c>
      <c r="C10" s="132">
        <v>0.9</v>
      </c>
      <c r="D10" s="153">
        <f>COUNTIFS('PR-PO SLA &amp; Contract%'!M4:M477, "&lt;=4", 'PR-PO SLA &amp; Contract%'!C4:C477, "Madagascar")/COUNTIF('PR-PO SLA &amp; Contract%'!C4:C477, "Madagascar")</f>
        <v>0.98097251585623679</v>
      </c>
      <c r="E10" s="154" t="e">
        <f>COUNTIFS('PR-PO SLA &amp; Contract%'!M4:M477, "&lt;=4", 'PR-PO SLA &amp; Contract%'!C4:C477, "COMOROS")/COUNTIF('PR-PO SLA &amp; Contract%'!C4:C477, "COMOROS")</f>
        <v>#DIV/0!</v>
      </c>
      <c r="F10" s="154" t="e">
        <f>COUNTIFS('PR-PO SLA &amp; Contract%'!M4:M477, "&lt;=4", 'PR-PO SLA &amp; Contract%'!C4:C477, "Senegal")/COUNTIF('PR-PO SLA &amp; Contract%'!C4:C477, "Senegal")</f>
        <v>#DIV/0!</v>
      </c>
      <c r="G10" s="154" t="e">
        <f>COUNTIFS('PR-PO SLA &amp; Contract%'!M4:M477, "&lt;=4", 'PR-PO SLA &amp; Contract%'!C4:C477, "Tanzania")/COUNTIF('PR-PO SLA &amp; Contract%'!C4:C477, "Tanzania")</f>
        <v>#DIV/0!</v>
      </c>
      <c r="H10" s="155" t="e">
        <f>COUNTIFS('PR-PO SLA &amp; Contract%'!M4:M477, "&lt;=4", 'PR-PO SLA &amp; Contract%'!C4:C477, "Togo")/COUNTIF('PR-PO SLA &amp; Contract%'!C4:C477, "Togo")</f>
        <v>#DIV/0!</v>
      </c>
      <c r="I10" s="191"/>
      <c r="J10" s="117"/>
    </row>
    <row r="11" spans="1:10" x14ac:dyDescent="0.35">
      <c r="A11" s="236" t="s">
        <v>16</v>
      </c>
      <c r="B11" s="127" t="s">
        <v>17</v>
      </c>
      <c r="C11" s="123">
        <v>5</v>
      </c>
      <c r="D11" s="180">
        <f>IF(
    COUNTIFS(Customs_Clearance!C4:C40041,"MADAGASCAR",Customs_Clearance!I4:I40041,"AIR")=0,
   0,
    AVERAGEIFS(Customs_Clearance!L4:L40041,Customs_Clearance!C4:C40041,"MADAGASCAR",Customs_Clearance!I4:I40041,"AIR")
)</f>
        <v>4.1111111111111107</v>
      </c>
      <c r="E11" s="180">
        <f>IF(
    COUNTIFS(Customs_Clearance!C4:C44,"COMOROS",Customs_Clearance!I4:I44,"AIR")=0,
   0,
    AVERAGEIFS(Customs_Clearance!L4:L44,Customs_Clearance!C4:C44,"COMOROS",Customs_Clearance!I4:I44,"AIR")
)</f>
        <v>0</v>
      </c>
      <c r="F11" s="180">
        <f>IF(
    COUNTIFS(Customs_Clearance!C4:C40041,"SENEGAL",Customs_Clearance!I4:I40041,"AIR")=0,
   0,
    AVERAGEIFS(Customs_Clearance!L4:L40041,Customs_Clearance!C4:C40041,"SENEGAL",Customs_Clearance!I4:I40041,"AIR")
)</f>
        <v>0</v>
      </c>
      <c r="G11" s="180">
        <f>IF(
    COUNTIFS(Customs_Clearance!C4:C40041,"TANZANIA",Customs_Clearance!I4:I40041,"AIR")=0,
   0,
    AVERAGEIFS(Customs_Clearance!L4:L40041,Customs_Clearance!C4:C40041,"TANZANIA",Customs_Clearance!I4:I40041,"AIR")
)</f>
        <v>0</v>
      </c>
      <c r="H11" s="136">
        <f>IF(
    COUNTIFS(Customs_Clearance!C4:C40041,"Togo",Customs_Clearance!I4:I40041,"AIR")=0,
   0,
    AVERAGEIFS(Customs_Clearance!L4:L40041,Customs_Clearance!C4:C40041,"Togo",Customs_Clearance!I4:I40041,"AIR")
)</f>
        <v>0</v>
      </c>
      <c r="I11" s="183"/>
      <c r="J11" s="117"/>
    </row>
    <row r="12" spans="1:10" x14ac:dyDescent="0.35">
      <c r="A12" s="241"/>
      <c r="B12" s="128" t="s">
        <v>18</v>
      </c>
      <c r="C12" s="137">
        <v>10</v>
      </c>
      <c r="D12" s="139">
        <f>IF(
    COUNTIFS(Customs_Clearance!C4:C40041,"MADAGASCAR",Customs_Clearance!I4:I40041,"SEA")=0,
   0,
    AVERAGEIFS(Customs_Clearance!L4:L40041,Customs_Clearance!C4:C40041,"MADAGASCAR",Customs_Clearance!I4:I40041,"SEA")
)</f>
        <v>9.6666666666666661</v>
      </c>
      <c r="E12" s="156">
        <f>IF(
    COUNTIFS(Customs_Clearance!C4:C40041,"COMOROS",Customs_Clearance!I4:I40041,"SEA")=0,
    0,
    AVERAGEIFS(Customs_Clearance!L4:L40041,Customs_Clearance!C4:C40041,"COMOROS",Customs_Clearance!I4:I40041,"SEA")
)</f>
        <v>0</v>
      </c>
      <c r="F12" s="156">
        <f>IF(
    COUNTIFS(Customs_Clearance!C4:C40041,"SENEGAL",Customs_Clearance!I4:I40041,"SEA")=0,
    0,
    AVERAGEIFS(Customs_Clearance!L4:L40041,Customs_Clearance!C4:C40041,"SENEGAL",Customs_Clearance!I4:I40041,"SEA")
)</f>
        <v>0</v>
      </c>
      <c r="G12" s="156">
        <f>IF(
    COUNTIFS(Customs_Clearance!C4:C40041,"Tanzania",Customs_Clearance!I4:I40041,"SEA")=0,
    0,
    AVERAGEIFS(Customs_Clearance!L4:L40041,Customs_Clearance!C4:C40041,"Tanzania",Customs_Clearance!I4:I40041,"SEA")
)</f>
        <v>0</v>
      </c>
      <c r="H12" s="140">
        <f>IF(
    COUNTIFS(Customs_Clearance!C4:C40041,"Togo",Customs_Clearance!I4:I40041,"SEA")=0,
   0,
    AVERAGEIFS(Customs_Clearance!L4:L40041,Customs_Clearance!C4:C40041,"Togo",Customs_Clearance!I4:I40041,"SEA")
)</f>
        <v>0</v>
      </c>
      <c r="I12" s="184"/>
    </row>
    <row r="13" spans="1:10" ht="14.5" customHeight="1" x14ac:dyDescent="0.35">
      <c r="A13" s="245" t="s">
        <v>69</v>
      </c>
      <c r="B13" s="127" t="s">
        <v>139</v>
      </c>
      <c r="C13" s="124">
        <v>0.7</v>
      </c>
      <c r="D13" s="188">
        <f>COUNTIFS('PR-PO SLA &amp; Contract%'!E4:E477, "YES", 'PR-PO SLA &amp; Contract%'!C4:C477, "Madagascar")/COUNTIF('PR-PO SLA &amp; Contract%'!C4:C477, "Madagascar")</f>
        <v>0.87526427061310785</v>
      </c>
      <c r="E13" s="188" t="e">
        <f>COUNTIFS('PR-PO SLA &amp; Contract%'!E4:E477, "YES", 'PR-PO SLA &amp; Contract%'!C4:C477, "COMOROS")/COUNTIF('PR-PO SLA &amp; Contract%'!C4:C477, "COMOROS")</f>
        <v>#DIV/0!</v>
      </c>
      <c r="F13" s="188" t="e">
        <f>COUNTIFS('PR-PO SLA &amp; Contract%'!E4:E477, "YES", 'PR-PO SLA &amp; Contract%'!C4:C477, "Senegal")/COUNTIF('PR-PO SLA &amp; Contract%'!C4:C477, "Senegal")</f>
        <v>#DIV/0!</v>
      </c>
      <c r="G13" s="188" t="e">
        <f>COUNTIFS('PR-PO SLA &amp; Contract%'!E4:E477, "YES", 'PR-PO SLA &amp; Contract%'!C4:C477, "Tanzania")/COUNTIF('PR-PO SLA &amp; Contract%'!C4:C477, "Tanzania")</f>
        <v>#DIV/0!</v>
      </c>
      <c r="H13" s="152" t="e">
        <f>COUNTIFS('PR-PO SLA &amp; Contract%'!E4:E477, "YES", 'PR-PO SLA &amp; Contract%'!C4:C477, "Togo")/COUNTIF('PR-PO SLA &amp; Contract%'!C4:C477, "Togo")</f>
        <v>#DIV/0!</v>
      </c>
      <c r="I13" s="234"/>
    </row>
    <row r="14" spans="1:10" ht="23.5" customHeight="1" x14ac:dyDescent="0.35">
      <c r="A14" s="237"/>
      <c r="B14" s="128" t="s">
        <v>140</v>
      </c>
      <c r="C14" s="132">
        <v>0.7</v>
      </c>
      <c r="D14" s="157">
        <f>IFERROR(SUMIFS('PR-PO SLA &amp; Contract%'!$R:$R,'PR-PO SLA &amp; Contract%'!$E:$E,"Yes",'PR-PO SLA &amp; Contract%'!$C:$C,DASHBOARD!D$1)/SUMIFS('PR-PO SLA &amp; Contract%'!$R:$R,'PR-PO SLA &amp; Contract%'!$C:$C,DASHBOARD!D$1),0)</f>
        <v>0.97785958324475286</v>
      </c>
      <c r="E14" s="157">
        <f>IFERROR(SUMIFS('PR-PO SLA &amp; Contract%'!$R:$R,'PR-PO SLA &amp; Contract%'!$E:$E,"Yes",'PR-PO SLA &amp; Contract%'!$C:$C,DASHBOARD!E$1)/SUMIFS('PR-PO SLA &amp; Contract%'!$R:$R,'PR-PO SLA &amp; Contract%'!$C:$C,DASHBOARD!E$1),0)</f>
        <v>0</v>
      </c>
      <c r="F14" s="157">
        <f>IFERROR(SUMIFS('PR-PO SLA &amp; Contract%'!$R:$R,'PR-PO SLA &amp; Contract%'!$E:$E,"Yes",'PR-PO SLA &amp; Contract%'!$C:$C,DASHBOARD!F$1)/SUMIFS('PR-PO SLA &amp; Contract%'!$R:$R,'PR-PO SLA &amp; Contract%'!$C:$C,DASHBOARD!F$1),0)</f>
        <v>0</v>
      </c>
      <c r="G14" s="157">
        <f>IFERROR(SUMIFS('PR-PO SLA &amp; Contract%'!$R:$R,'PR-PO SLA &amp; Contract%'!$E:$E,"Yes",'PR-PO SLA &amp; Contract%'!$C:$C,DASHBOARD!G$1)/SUMIFS('PR-PO SLA &amp; Contract%'!$R:$R,'PR-PO SLA &amp; Contract%'!$C:$C,DASHBOARD!G$1),0)</f>
        <v>0</v>
      </c>
      <c r="H14" s="155">
        <f>IFERROR(SUMIFS('PR-PO SLA &amp; Contract%'!$R:$R,'PR-PO SLA &amp; Contract%'!$E:$E,"Yes",'PR-PO SLA &amp; Contract%'!$C:$C,DASHBOARD!H$1)/SUMIFS('PR-PO SLA &amp; Contract%'!$R:$R,'PR-PO SLA &amp; Contract%'!$C:$C,DASHBOARD!H$1),0)</f>
        <v>0</v>
      </c>
      <c r="I14" s="235"/>
    </row>
    <row r="15" spans="1:10" ht="15" thickBot="1" x14ac:dyDescent="0.4">
      <c r="A15" s="151" t="s">
        <v>20</v>
      </c>
      <c r="B15" s="130" t="s">
        <v>21</v>
      </c>
      <c r="C15" s="125">
        <v>0.7</v>
      </c>
      <c r="D15" s="119">
        <f>IF(COUNTIF(PPOT!C4:C876,"Madagascar")=0,
    0,
    COUNTIFS(PPOT!O4:O876,"YES",PPOT!C4:C876,"Madagascar") /
    COUNTIF(PPOT!C4:C876,"Madagascar")
)</f>
        <v>0.72935779816513757</v>
      </c>
      <c r="E15" s="119">
        <f>IF(COUNTIF(PPOT!C4:C876,"COMOROS")=0,
    0,
    COUNTIFS(PPOT!O4:O876,"YES",PPOT!C4:C876,"COMOROS") /
    COUNTIF(PPOT!C4:C876,"COMOROS")
)</f>
        <v>0</v>
      </c>
      <c r="F15" s="120">
        <f>IF(COUNTIF(PPOT!C4:C876,"Senegal")=0,
    0,
    COUNTIFS(PPOT!O4:O876,"YES",PPOT!C4:C876,"Senegal") /
    COUNTIF(PPOT!C4:C876,"Senegal")
)</f>
        <v>0</v>
      </c>
      <c r="G15" s="119">
        <f>IF(COUNTIF(PPOT!C4:C876,"Tanzania")=0,
    0,
    COUNTIFS(PPOT!O4:O876,"YES",PPOT!C4:C876,"Tanzania") /
    COUNTIF(PPOT!C4:C876,"Tanzania")
)</f>
        <v>0</v>
      </c>
      <c r="H15" s="121">
        <f>IF(COUNTIF(PPOT!C4:C876,"Togo")=0,
    0,
    COUNTIFS(PPOT!O4:O876,"YES",PPOT!C4:C876,"Togo") /
    COUNTIF(PPOT!C4:C876,"Togo")
)</f>
        <v>0</v>
      </c>
      <c r="I15" s="195"/>
    </row>
    <row r="16" spans="1:10" ht="21" hidden="1" customHeight="1" x14ac:dyDescent="0.35">
      <c r="B16" s="18" t="s">
        <v>22</v>
      </c>
      <c r="C16" s="15"/>
      <c r="D16" s="17" t="e">
        <f>RANK(D31,$D$31:$H$31,0)</f>
        <v>#DIV/0!</v>
      </c>
      <c r="E16" s="17" t="e">
        <f>RANK(E31,$D$31:$H$31,0)</f>
        <v>#DIV/0!</v>
      </c>
      <c r="F16" s="17" t="e">
        <f>RANK(F31,$D$31:$H$31,0)</f>
        <v>#DIV/0!</v>
      </c>
      <c r="G16" s="17" t="e">
        <f>RANK(G31,$D$31:$H$31,0)</f>
        <v>#DIV/0!</v>
      </c>
      <c r="H16" s="17" t="e">
        <f>RANK(H31,$D$31:$H$31,0)</f>
        <v>#DIV/0!</v>
      </c>
    </row>
    <row r="17" spans="1:8" s="135" customFormat="1" ht="15" customHeight="1" thickBot="1" x14ac:dyDescent="0.4"/>
    <row r="18" spans="1:8" hidden="1" x14ac:dyDescent="0.35">
      <c r="B18" s="246" t="s">
        <v>23</v>
      </c>
      <c r="C18" s="244"/>
      <c r="D18" s="244"/>
      <c r="E18" s="244"/>
      <c r="F18" s="244"/>
      <c r="G18" s="244"/>
      <c r="H18" s="244"/>
    </row>
    <row r="19" spans="1:8" ht="7" hidden="1" customHeight="1" x14ac:dyDescent="0.35">
      <c r="B19" s="30"/>
      <c r="C19" s="30"/>
      <c r="D19" s="30"/>
      <c r="E19" s="30"/>
      <c r="F19" s="30"/>
      <c r="G19" s="30"/>
      <c r="H19" s="30"/>
    </row>
    <row r="20" spans="1:8" hidden="1" x14ac:dyDescent="0.35">
      <c r="C20" s="14" t="s">
        <v>24</v>
      </c>
      <c r="D20" s="7" t="s">
        <v>1</v>
      </c>
      <c r="E20" s="7" t="s">
        <v>2</v>
      </c>
      <c r="F20" s="7" t="s">
        <v>3</v>
      </c>
      <c r="G20" s="7" t="s">
        <v>4</v>
      </c>
      <c r="H20" s="7" t="s">
        <v>5</v>
      </c>
    </row>
    <row r="21" spans="1:8" hidden="1" x14ac:dyDescent="0.35">
      <c r="B21" s="20" t="str">
        <f>CONCATENATE("Normalized"," ",B5)</f>
        <v>Normalized % of Saving after Negotiations</v>
      </c>
      <c r="C21" s="21">
        <v>0.15</v>
      </c>
      <c r="D21" s="16" t="e">
        <f>(D5-MIN($D$5:$H$5))/(MAX($D$5:$H$5)-MIN($D$5:$H$5))</f>
        <v>#DIV/0!</v>
      </c>
      <c r="E21" s="16" t="e">
        <f>(E5-MIN($D$5:$H$5))/(MAX($D$5:$H$5)-MIN($D$5:$H$5))</f>
        <v>#DIV/0!</v>
      </c>
      <c r="F21" s="16" t="e">
        <f>(F5-MIN($D$5:$H$5))/(MAX($D$5:$H$5)-MIN($D$5:$H$5))</f>
        <v>#DIV/0!</v>
      </c>
      <c r="G21" s="16" t="e">
        <f>(G5-MIN($D$5:$H$5))/(MAX($D$5:$H$5)-MIN($D$5:$H$5))</f>
        <v>#DIV/0!</v>
      </c>
      <c r="H21" s="16" t="e">
        <f>(H5-MIN($D$5:$H$5))/(MAX($D$5:$H$5)-MIN($D$5:$H$5))</f>
        <v>#DIV/0!</v>
      </c>
    </row>
    <row r="22" spans="1:8" hidden="1" x14ac:dyDescent="0.35">
      <c r="B22" s="20" t="str">
        <f>CONCATENATE("Normalized"," ",B6)</f>
        <v>Normalized Absolute YTD Savings ($)</v>
      </c>
      <c r="C22" s="21">
        <v>0.05</v>
      </c>
      <c r="D22" s="16">
        <f>(D6-MIN($D$6:$H$6))/(MAX($D$6:$H$6)-MIN($D$6:$H$6))</f>
        <v>1</v>
      </c>
      <c r="E22" s="16">
        <f>(E6-MIN($D$6:$H$6))/(MAX($D$6:$H$6)-MIN($D$6:$H$6))</f>
        <v>0</v>
      </c>
      <c r="F22" s="16">
        <f>(F6-MIN($D$6:$H$6))/(MAX($D$6:$H$6)-MIN($D$6:$H$6))</f>
        <v>0</v>
      </c>
      <c r="G22" s="16">
        <f>(G6-MIN($D$6:$H$6))/(MAX($D$6:$H$6)-MIN($D$6:$H$6))</f>
        <v>0</v>
      </c>
      <c r="H22" s="16">
        <f>(H6-MIN($D$6:$H$6))/(MAX($D$6:$H$6)-MIN($D$6:$H$6))</f>
        <v>0</v>
      </c>
    </row>
    <row r="23" spans="1:8" hidden="1" x14ac:dyDescent="0.35">
      <c r="B23" s="22" t="str">
        <f>CONCATENATE("Normalized"," ",B7)</f>
        <v>Normalized TAT for PR Approval (Days)</v>
      </c>
      <c r="C23" s="23">
        <v>0.1</v>
      </c>
      <c r="D23" s="16" t="e">
        <f>(MAX($D$7:$H$7)-D7)/(MAX($D$7:$H$7)-MIN($D$7:$H$7))</f>
        <v>#DIV/0!</v>
      </c>
      <c r="E23" s="16" t="e">
        <f>(MAX($D$7:$H$7)-E7)/(MAX($D$7:$H$7)-MIN($D$7:$H$7))</f>
        <v>#DIV/0!</v>
      </c>
      <c r="F23" s="16" t="e">
        <f>(MAX($D$7:$H$7)-F7)/(MAX($D$7:$H$7)-MIN($D$7:$H$7))</f>
        <v>#DIV/0!</v>
      </c>
      <c r="G23" s="16" t="e">
        <f>(MAX($D$7:$H$7)-G7)/(MAX($D$7:$H$7)-MIN($D$7:$H$7))</f>
        <v>#DIV/0!</v>
      </c>
      <c r="H23" s="16" t="e">
        <f>(MAX($D$7:$H$7)-H7)/(MAX($D$7:$H$7)-MIN($D$7:$H$7))</f>
        <v>#DIV/0!</v>
      </c>
    </row>
    <row r="24" spans="1:8" hidden="1" x14ac:dyDescent="0.35">
      <c r="B24" s="22" t="str">
        <f>CONCATENATE("Normalized"," ",B8)</f>
        <v>Normalized TAT for PR Approval vs. SLA Compliance (%)</v>
      </c>
      <c r="C24" s="23">
        <v>0.1</v>
      </c>
      <c r="D24" s="16" t="e">
        <f>(D8-MIN($D$8:$H$8))/(MAX($D$8:$H$8)-MIN($D$8:$H$8))</f>
        <v>#DIV/0!</v>
      </c>
      <c r="E24" s="16" t="e">
        <f>(E8-MIN($D$8:$H$8))/(MAX($D$8:$H$8)-MIN($D$8:$H$8))</f>
        <v>#DIV/0!</v>
      </c>
      <c r="F24" s="16" t="e">
        <f>(F8-MIN($D$8:$H$8))/(MAX($D$8:$H$8)-MIN($D$8:$H$8))</f>
        <v>#DIV/0!</v>
      </c>
      <c r="G24" s="16" t="e">
        <f>(G8-MIN($D$8:$H$8))/(MAX($D$8:$H$8)-MIN($D$8:$H$8))</f>
        <v>#DIV/0!</v>
      </c>
      <c r="H24" s="16" t="e">
        <f>(H8-MIN($D$8:$H$8))/(MAX($D$8:$H$8)-MIN($D$8:$H$8))</f>
        <v>#DIV/0!</v>
      </c>
    </row>
    <row r="25" spans="1:8" hidden="1" x14ac:dyDescent="0.35">
      <c r="B25" s="22" t="str">
        <f>CONCATENATE("Normalized"," ",B9)</f>
        <v>Normalized TAT for PR to PO SLA Conversion (Days)</v>
      </c>
      <c r="C25" s="23">
        <v>0.1</v>
      </c>
      <c r="D25" s="16" t="e">
        <f>(MAX($D$9:$H$9)-D9)/(MAX($D$9:$H$9)-MIN($D$9:$H$9))</f>
        <v>#DIV/0!</v>
      </c>
      <c r="E25" s="16" t="e">
        <f>(MAX($D$9:$H$9)-E9)/(MAX($D$9:$H$9)-MIN($D$9:$H$9))</f>
        <v>#DIV/0!</v>
      </c>
      <c r="F25" s="16" t="e">
        <f>(MAX($D$9:$H$9)-F9)/(MAX($D$9:$H$9)-MIN($D$9:$H$9))</f>
        <v>#DIV/0!</v>
      </c>
      <c r="G25" s="16" t="e">
        <f>(MAX($D$9:$H$9)-G9)/(MAX($D$9:$H$9)-MIN($D$9:$H$9))</f>
        <v>#DIV/0!</v>
      </c>
      <c r="H25" s="16" t="e">
        <f>(MAX($D$9:$H$9)-H9)/(MAX($D$9:$H$9)-MIN($D$9:$H$9))</f>
        <v>#DIV/0!</v>
      </c>
    </row>
    <row r="26" spans="1:8" hidden="1" x14ac:dyDescent="0.35">
      <c r="B26" s="22" t="s">
        <v>25</v>
      </c>
      <c r="C26" s="23">
        <v>0.05</v>
      </c>
      <c r="D26" s="16" t="e">
        <f>(D10-MIN($D$10:$H$10))/(MAX($D$10:$H$10)-MIN($D$10:$H$10))</f>
        <v>#DIV/0!</v>
      </c>
      <c r="E26" s="16" t="e">
        <f>(E10-MIN($D$10:$H$10))/(MAX($D$10:$H$10)-MIN($D$10:$H$10))</f>
        <v>#DIV/0!</v>
      </c>
      <c r="F26" s="16" t="e">
        <f>(F10-MIN($D$10:$H$10))/(MAX($D$10:$H$10)-MIN($D$10:$H$10))</f>
        <v>#DIV/0!</v>
      </c>
      <c r="G26" s="16" t="e">
        <f>(G10-MIN($D$10:$H$10))/(MAX($D$10:$H$10)-MIN($D$10:$H$10))</f>
        <v>#DIV/0!</v>
      </c>
      <c r="H26" s="16" t="e">
        <f>(H10-MIN($D$10:$H$10))/(MAX($D$10:$H$10)-MIN($D$10:$H$10))</f>
        <v>#DIV/0!</v>
      </c>
    </row>
    <row r="27" spans="1:8" hidden="1" x14ac:dyDescent="0.35">
      <c r="B27" s="24" t="str">
        <f>CONCATENATE("Normalized"," ",B11)</f>
        <v>Normalized TAT for custom clearance (AIR): SLA compliance (Days)</v>
      </c>
      <c r="C27" s="25">
        <v>0.05</v>
      </c>
      <c r="D27" s="16">
        <f>(MAX($D$11:$H$11)-D11)/(MAX($D$11:$H$11)-MIN($D$11:$H$11))</f>
        <v>0</v>
      </c>
      <c r="E27" s="16">
        <f>(MAX($D$11:$H$11)-E11)/(MAX($D$11:$H$11)-MIN($D$11:$H$11))</f>
        <v>1</v>
      </c>
      <c r="F27" s="16">
        <f>(MAX($D$11:$H$11)-F11)/(MAX($D$11:$H$11)-MIN($D$11:$H$11))</f>
        <v>1</v>
      </c>
      <c r="G27" s="16">
        <f>(MAX($D$11:$H$11)-G11)/(MAX($D$11:$H$11)-MIN($D$11:$H$11))</f>
        <v>1</v>
      </c>
      <c r="H27" s="16">
        <f>(MAX($D$11:$H$11)-H11)/(MAX($D$11:$H$11)-MIN($D$11:$H$11))</f>
        <v>1</v>
      </c>
    </row>
    <row r="28" spans="1:8" hidden="1" x14ac:dyDescent="0.35">
      <c r="B28" s="24" t="str">
        <f>CONCATENATE("Normalized"," ",B12)</f>
        <v>Normalized TAT for custom clearance (SEA): SLA compliance (Days)</v>
      </c>
      <c r="C28" s="25">
        <v>0.05</v>
      </c>
      <c r="D28" s="16">
        <f>(MAX($D$12:$H$12)-D12)/(MAX($D$12:$H$12)-MIN($D$12:$H$12))</f>
        <v>0</v>
      </c>
      <c r="E28" s="16">
        <f>(MAX($D$12:$H$12)-E12)/(MAX($D$12:$H$12)-MIN($D$12:$H$12))</f>
        <v>1</v>
      </c>
      <c r="F28" s="16">
        <f>(MAX($D$12:$H$12)-F12)/(MAX($D$12:$H$12)-MIN($D$12:$H$12))</f>
        <v>1</v>
      </c>
      <c r="G28" s="16">
        <f>(MAX($D$12:$H$12)-G12)/(MAX($D$12:$H$12)-MIN($D$12:$H$12))</f>
        <v>1</v>
      </c>
      <c r="H28" s="16">
        <f>(MAX($D$12:$H$12)-H12)/(MAX($D$12:$H$12)-MIN($D$12:$H$12))</f>
        <v>1</v>
      </c>
    </row>
    <row r="29" spans="1:8" hidden="1" x14ac:dyDescent="0.35">
      <c r="B29" s="26" t="str">
        <f>CONCATENATE("Normalized"," ",B13)</f>
        <v>Normalized % Purchase on Contracts (Count)</v>
      </c>
      <c r="C29" s="27">
        <v>0.2</v>
      </c>
      <c r="D29" s="16" t="e">
        <f>(D13-MIN($D$13:$H$13))/(MAX($D$13:$H$13)-MIN($D$13:$H$13))</f>
        <v>#DIV/0!</v>
      </c>
      <c r="E29" s="16" t="e">
        <f>(E13-MIN($D$13:$H$13))/(MAX($D$13:$H$13)-MIN($D$13:$H$13))</f>
        <v>#DIV/0!</v>
      </c>
      <c r="F29" s="16" t="e">
        <f>(F13-MIN($D$13:$H$13))/(MAX($D$13:$H$13)-MIN($D$13:$H$13))</f>
        <v>#DIV/0!</v>
      </c>
      <c r="G29" s="16" t="e">
        <f>(G13-MIN($D$13:$H$13))/(MAX($D$13:$H$13)-MIN($D$13:$H$13))</f>
        <v>#DIV/0!</v>
      </c>
      <c r="H29" s="16" t="e">
        <f>(H13-MIN($D$13:$H$13))/(MAX($D$13:$H$13)-MIN($D$13:$H$13))</f>
        <v>#DIV/0!</v>
      </c>
    </row>
    <row r="30" spans="1:8" hidden="1" x14ac:dyDescent="0.35">
      <c r="B30" s="28" t="str">
        <f>CONCATENATE("Normalized"," ",B15)</f>
        <v>Normalized PPOT (% Due invoices paid)</v>
      </c>
      <c r="C30" s="29">
        <v>0.15</v>
      </c>
      <c r="D30" s="16">
        <f>(D15-MIN($D$15:$H$15))/(MAX($D$15:$H$15)-MIN($D$15:$H$15))</f>
        <v>1</v>
      </c>
      <c r="E30" s="16">
        <f>(E15-MIN($D$15:$H$15))/(MAX($D$15:$H$15)-MIN($D$15:$H$15))</f>
        <v>0</v>
      </c>
      <c r="F30" s="16">
        <f>(F15-MIN($D$15:$H$15))/(MAX($D$15:$H$15)-MIN($D$15:$H$15))</f>
        <v>0</v>
      </c>
      <c r="G30" s="16">
        <f>(G15-MIN($D$15:$H$15))/(MAX($D$15:$H$15)-MIN($D$15:$H$15))</f>
        <v>0</v>
      </c>
      <c r="H30" s="16">
        <f>(H15-MIN($D$15:$H$15))/(MAX($D$15:$H$15)-MIN($D$15:$H$15))</f>
        <v>0</v>
      </c>
    </row>
    <row r="31" spans="1:8" ht="21" hidden="1" customHeight="1" x14ac:dyDescent="0.35">
      <c r="B31" s="19" t="s">
        <v>26</v>
      </c>
      <c r="C31" s="12"/>
      <c r="D31" s="31" t="e">
        <f>D21*$C$21+D22*$C$22+D23*$C$23+D24*$C$24+D25*$C$25+D26*$C$26+D27*$C$27+D28*$C$28+D29*$C$29+D30*$C$30</f>
        <v>#DIV/0!</v>
      </c>
      <c r="E31" s="31" t="e">
        <f>E21*$C$21+E22*$C$22+E23*$C$23+E24*$C$24+E25*$C$25+E26*$C$26+E27*$C$27+E28*$C$28+E29*$C$29+E30*$C$30</f>
        <v>#DIV/0!</v>
      </c>
      <c r="F31" s="31" t="e">
        <f>F21*$C$21+F22*$C$22+F23*$C$23+F24*$C$24+F25*$C$25+F26*$C$26+F27*$C$27+F28*$C$28+F29*$C$29+F30*$C$30</f>
        <v>#DIV/0!</v>
      </c>
      <c r="G31" s="31" t="e">
        <f>G21*$C$21+G22*$C$22+G23*$C$23+G24*$C$24+G25*$C$25+G26*$C$26+G27*$C$27+G28*$C$28+G29*$C$29+G30*$C$30</f>
        <v>#DIV/0!</v>
      </c>
      <c r="H31" s="31" t="e">
        <f>H21*$C$21+H22*$C$22+H23*$C$23+H24*$C$24+H25*$C$25+H26*$C$26+H27*$C$27+H28*$C$28+H29*$C$29+H30*$C$30</f>
        <v>#DIV/0!</v>
      </c>
    </row>
    <row r="32" spans="1:8" x14ac:dyDescent="0.35">
      <c r="A32" s="243" t="s">
        <v>27</v>
      </c>
      <c r="B32" s="244"/>
      <c r="C32" s="144" t="s">
        <v>0</v>
      </c>
      <c r="D32" s="145" t="s">
        <v>1</v>
      </c>
      <c r="E32" s="145" t="s">
        <v>2</v>
      </c>
      <c r="F32" s="145" t="s">
        <v>3</v>
      </c>
      <c r="G32" s="145" t="s">
        <v>4</v>
      </c>
      <c r="H32" s="146" t="s">
        <v>5</v>
      </c>
    </row>
    <row r="33" spans="1:8" x14ac:dyDescent="0.35">
      <c r="A33" s="244"/>
      <c r="B33" s="244"/>
      <c r="C33" s="238" t="s">
        <v>6</v>
      </c>
      <c r="D33" s="147"/>
      <c r="E33" s="147"/>
      <c r="F33" s="147"/>
      <c r="G33" s="147"/>
      <c r="H33" s="148"/>
    </row>
    <row r="34" spans="1:8" ht="15" customHeight="1" thickBot="1" x14ac:dyDescent="0.4">
      <c r="A34" s="244"/>
      <c r="B34" s="244"/>
      <c r="C34" s="240"/>
      <c r="D34" s="147"/>
      <c r="E34" s="147"/>
      <c r="F34" s="147"/>
      <c r="G34" s="147"/>
      <c r="H34" s="148"/>
    </row>
    <row r="35" spans="1:8" x14ac:dyDescent="0.35">
      <c r="A35" s="149" t="s">
        <v>7</v>
      </c>
      <c r="B35" s="150" t="s">
        <v>8</v>
      </c>
      <c r="C35" s="240"/>
      <c r="D35" s="147"/>
      <c r="E35" s="147"/>
      <c r="F35" s="147"/>
      <c r="G35" s="147"/>
      <c r="H35" s="148"/>
    </row>
    <row r="36" spans="1:8" x14ac:dyDescent="0.35">
      <c r="A36" s="242" t="s">
        <v>9</v>
      </c>
      <c r="B36" s="126" t="s">
        <v>28</v>
      </c>
      <c r="C36" s="122">
        <v>0.1</v>
      </c>
      <c r="D36" s="180">
        <f>(D5-'M-1 YTD performance'!D5)*10000</f>
        <v>802.66306980601189</v>
      </c>
      <c r="E36" s="180" t="e">
        <f>(E5-'M-1 YTD performance'!E5)*10000</f>
        <v>#DIV/0!</v>
      </c>
      <c r="F36" s="180" t="e">
        <f>(F5-'M-1 YTD performance'!F5)*10000</f>
        <v>#DIV/0!</v>
      </c>
      <c r="G36" s="180" t="e">
        <f>(G5-'M-1 YTD performance'!G5)*10000</f>
        <v>#DIV/0!</v>
      </c>
      <c r="H36" s="136" t="e">
        <f>(H5-'M-1 YTD performance'!H5)*10000</f>
        <v>#DIV/0!</v>
      </c>
    </row>
    <row r="37" spans="1:8" x14ac:dyDescent="0.35">
      <c r="A37" s="240"/>
      <c r="B37" s="127" t="s">
        <v>136</v>
      </c>
      <c r="C37" s="131"/>
      <c r="D37" s="159">
        <f>D6-'M-1 YTD performance'!D6</f>
        <v>-134165.16234251158</v>
      </c>
      <c r="E37" s="159">
        <f>E6-'M-1 YTD performance'!E6</f>
        <v>-1405117.3483655159</v>
      </c>
      <c r="F37" s="159">
        <f>F6-'M-1 YTD performance'!F6</f>
        <v>-2944643.0478628334</v>
      </c>
      <c r="G37" s="159">
        <f>G6-'M-1 YTD performance'!G6</f>
        <v>-5911843.2783816447</v>
      </c>
      <c r="H37" s="160">
        <f>H6-'M-1 YTD performance'!H6</f>
        <v>-4057811.9150561714</v>
      </c>
    </row>
    <row r="38" spans="1:8" x14ac:dyDescent="0.35">
      <c r="A38" s="239" t="s">
        <v>11</v>
      </c>
      <c r="B38" s="129" t="s">
        <v>12</v>
      </c>
      <c r="C38" s="177">
        <v>4</v>
      </c>
      <c r="D38" s="178">
        <f>D7-'M-1 YTD performance'!D7</f>
        <v>0.81897837854047628</v>
      </c>
      <c r="E38" s="178" t="e">
        <f>E7-'M-1 YTD performance'!E7</f>
        <v>#DIV/0!</v>
      </c>
      <c r="F38" s="178" t="e">
        <f>F7-'M-1 YTD performance'!F7</f>
        <v>#DIV/0!</v>
      </c>
      <c r="G38" s="178" t="e">
        <f>G7-'M-1 YTD performance'!G7</f>
        <v>#DIV/0!</v>
      </c>
      <c r="H38" s="136" t="e">
        <f>H7-'M-1 YTD performance'!H7</f>
        <v>#DIV/0!</v>
      </c>
    </row>
    <row r="39" spans="1:8" x14ac:dyDescent="0.35">
      <c r="A39" s="240"/>
      <c r="B39" s="127" t="s">
        <v>137</v>
      </c>
      <c r="C39" s="124">
        <v>0.9</v>
      </c>
      <c r="D39" s="180">
        <f>(D8-'M-1 YTD performance'!D8)*10000</f>
        <v>-45.588242644155621</v>
      </c>
      <c r="E39" s="180" t="e">
        <f>(E8-'M-1 YTD performance'!E8)*10000</f>
        <v>#DIV/0!</v>
      </c>
      <c r="F39" s="180" t="e">
        <f>(F8-'M-1 YTD performance'!F8)*10000</f>
        <v>#DIV/0!</v>
      </c>
      <c r="G39" s="180" t="e">
        <f>(G8-'M-1 YTD performance'!G8)*10000</f>
        <v>#DIV/0!</v>
      </c>
      <c r="H39" s="136" t="e">
        <f>(H8-'M-1 YTD performance'!H8)*10000</f>
        <v>#DIV/0!</v>
      </c>
    </row>
    <row r="40" spans="1:8" x14ac:dyDescent="0.35">
      <c r="A40" s="240"/>
      <c r="B40" s="127" t="s">
        <v>14</v>
      </c>
      <c r="C40" s="123">
        <v>4</v>
      </c>
      <c r="D40" s="180">
        <f>D9-'M-1 YTD performance'!D9</f>
        <v>-1.6531420089064817</v>
      </c>
      <c r="E40" s="180" t="e">
        <f>E9-'M-1 YTD performance'!E9</f>
        <v>#DIV/0!</v>
      </c>
      <c r="F40" s="180" t="e">
        <f>F9-'M-1 YTD performance'!F9</f>
        <v>#DIV/0!</v>
      </c>
      <c r="G40" s="180" t="e">
        <f>G9-'M-1 YTD performance'!G9</f>
        <v>#DIV/0!</v>
      </c>
      <c r="H40" s="136" t="e">
        <f>H9-'M-1 YTD performance'!H9</f>
        <v>#DIV/0!</v>
      </c>
    </row>
    <row r="41" spans="1:8" x14ac:dyDescent="0.35">
      <c r="A41" s="241"/>
      <c r="B41" s="128" t="s">
        <v>138</v>
      </c>
      <c r="C41" s="132">
        <v>0.9</v>
      </c>
      <c r="D41" s="138">
        <f>(D10-'M-1 YTD performance'!D10)*10000</f>
        <v>152.51475667111492</v>
      </c>
      <c r="E41" s="139" t="e">
        <f>(E10-'M-1 YTD performance'!E10)*10000</f>
        <v>#DIV/0!</v>
      </c>
      <c r="F41" s="139" t="e">
        <f>(F10-'M-1 YTD performance'!F10)*10000</f>
        <v>#DIV/0!</v>
      </c>
      <c r="G41" s="139" t="e">
        <f>(G10-'M-1 YTD performance'!G10)*10000</f>
        <v>#DIV/0!</v>
      </c>
      <c r="H41" s="140" t="e">
        <f>(H10-'M-1 YTD performance'!H10)*10000</f>
        <v>#DIV/0!</v>
      </c>
    </row>
    <row r="42" spans="1:8" x14ac:dyDescent="0.35">
      <c r="A42" s="236" t="s">
        <v>16</v>
      </c>
      <c r="B42" s="127" t="s">
        <v>17</v>
      </c>
      <c r="C42" s="123">
        <v>5</v>
      </c>
      <c r="D42" s="180">
        <f>D11-'M-1 YTD performance'!D11</f>
        <v>-0.68434343434343514</v>
      </c>
      <c r="E42" s="180">
        <f>E11-'M-1 YTD performance'!E11</f>
        <v>-8.75</v>
      </c>
      <c r="F42" s="180">
        <f>F11-'M-1 YTD performance'!F11</f>
        <v>-5.7115384615384617</v>
      </c>
      <c r="G42" s="180">
        <f>G11-'M-1 YTD performance'!G11</f>
        <v>-5.9318181818181817</v>
      </c>
      <c r="H42" s="136">
        <f>H11-'M-1 YTD performance'!H11</f>
        <v>-8.7857142857142865</v>
      </c>
    </row>
    <row r="43" spans="1:8" x14ac:dyDescent="0.35">
      <c r="A43" s="241"/>
      <c r="B43" s="128" t="s">
        <v>18</v>
      </c>
      <c r="C43" s="137">
        <v>10</v>
      </c>
      <c r="D43" s="138">
        <f>D12-'M-1 YTD performance'!D12</f>
        <v>0.84313725490195957</v>
      </c>
      <c r="E43" s="139">
        <f>E12-'M-1 YTD performance'!E12</f>
        <v>-12</v>
      </c>
      <c r="F43" s="139">
        <f>F12-'M-1 YTD performance'!F12</f>
        <v>-6.9333333333333336</v>
      </c>
      <c r="G43" s="139">
        <f>G12-'M-1 YTD performance'!G12</f>
        <v>-17.166666666666668</v>
      </c>
      <c r="H43" s="140">
        <f>H12-'M-1 YTD performance'!H12</f>
        <v>-11.384615384615385</v>
      </c>
    </row>
    <row r="44" spans="1:8" x14ac:dyDescent="0.35">
      <c r="A44" s="236" t="s">
        <v>69</v>
      </c>
      <c r="B44" s="127" t="s">
        <v>141</v>
      </c>
      <c r="C44" s="124">
        <v>0.7</v>
      </c>
      <c r="D44" s="180">
        <f>(D13-'M-1 YTD performance'!D13)*10000</f>
        <v>2440.5859685424257</v>
      </c>
      <c r="E44" s="180" t="e">
        <f>(E13-'M-1 YTD performance'!E13)*10000</f>
        <v>#DIV/0!</v>
      </c>
      <c r="F44" s="180" t="e">
        <f>(F13-'M-1 YTD performance'!F13)*10000</f>
        <v>#DIV/0!</v>
      </c>
      <c r="G44" s="180" t="e">
        <f>(G13-'M-1 YTD performance'!G13)*10000</f>
        <v>#DIV/0!</v>
      </c>
      <c r="H44" s="136" t="e">
        <f>(H13-'M-1 YTD performance'!H13)*10000</f>
        <v>#DIV/0!</v>
      </c>
    </row>
    <row r="45" spans="1:8" x14ac:dyDescent="0.35">
      <c r="A45" s="237"/>
      <c r="B45" s="128" t="s">
        <v>142</v>
      </c>
      <c r="C45" s="132">
        <v>0.7</v>
      </c>
      <c r="D45" s="138">
        <f>(D14-'M-1 YTD performance'!D14)*10000</f>
        <v>1103.674408452594</v>
      </c>
      <c r="E45" s="139">
        <f>(E14-'M-1 YTD performance'!E14)*10000</f>
        <v>-6847.5341676910693</v>
      </c>
      <c r="F45" s="139">
        <f>(F14-'M-1 YTD performance'!F14)*10000</f>
        <v>-3424.4347495100351</v>
      </c>
      <c r="G45" s="139">
        <f>(G14-'M-1 YTD performance'!G14)*10000</f>
        <v>-8653.3851894573545</v>
      </c>
      <c r="H45" s="140">
        <f>(H14-'M-1 YTD performance'!H14)*10000</f>
        <v>-6383.2356103025468</v>
      </c>
    </row>
    <row r="46" spans="1:8" ht="15" customHeight="1" thickBot="1" x14ac:dyDescent="0.4">
      <c r="A46" s="151" t="s">
        <v>20</v>
      </c>
      <c r="B46" s="130" t="s">
        <v>143</v>
      </c>
      <c r="C46" s="125">
        <v>0.7</v>
      </c>
      <c r="D46" s="161">
        <f>(D15-'M-1 YTD performance'!D15)*10000</f>
        <v>353.06051032568899</v>
      </c>
      <c r="E46" s="161">
        <f>(E15-'M-1 YTD performance'!E15)*10000</f>
        <v>-8704.414587332054</v>
      </c>
      <c r="F46" s="161">
        <f>(F15-'M-1 YTD performance'!F15)*10000</f>
        <v>0</v>
      </c>
      <c r="G46" s="161">
        <f>(G15-'M-1 YTD performance'!G15)*10000</f>
        <v>-4575.3968253968251</v>
      </c>
      <c r="H46" s="181">
        <f>(H15-'M-1 YTD performance'!H15)*10000</f>
        <v>-7741.9354838709678</v>
      </c>
    </row>
  </sheetData>
  <mergeCells count="16">
    <mergeCell ref="I5:I6"/>
    <mergeCell ref="I7:I8"/>
    <mergeCell ref="I13:I14"/>
    <mergeCell ref="A44:A45"/>
    <mergeCell ref="C2:C4"/>
    <mergeCell ref="A38:A41"/>
    <mergeCell ref="A5:A6"/>
    <mergeCell ref="C33:C35"/>
    <mergeCell ref="A1:B3"/>
    <mergeCell ref="A36:A37"/>
    <mergeCell ref="A13:A14"/>
    <mergeCell ref="A42:A43"/>
    <mergeCell ref="B18:H18"/>
    <mergeCell ref="A32:B34"/>
    <mergeCell ref="A7:A10"/>
    <mergeCell ref="A11:A12"/>
  </mergeCells>
  <conditionalFormatting sqref="D38:G38">
    <cfRule type="cellIs" dxfId="55" priority="66" operator="greaterThan">
      <formula>0</formula>
    </cfRule>
  </conditionalFormatting>
  <conditionalFormatting sqref="D5:H5">
    <cfRule type="cellIs" dxfId="54" priority="56" stopIfTrue="1" operator="lessThan">
      <formula>$C$5</formula>
    </cfRule>
    <cfRule type="cellIs" dxfId="53" priority="57" stopIfTrue="1" operator="greaterThanOrEqual">
      <formula>$C$5</formula>
    </cfRule>
  </conditionalFormatting>
  <conditionalFormatting sqref="D7:H7">
    <cfRule type="cellIs" dxfId="52" priority="64" stopIfTrue="1" operator="greaterThan">
      <formula>$C$7</formula>
    </cfRule>
    <cfRule type="cellIs" dxfId="51" priority="65" stopIfTrue="1" operator="lessThanOrEqual">
      <formula>C7+$C$7</formula>
    </cfRule>
  </conditionalFormatting>
  <conditionalFormatting sqref="D8:H8">
    <cfRule type="cellIs" dxfId="50" priority="62" stopIfTrue="1" operator="lessThan">
      <formula>$C$8</formula>
    </cfRule>
    <cfRule type="cellIs" dxfId="49" priority="63" stopIfTrue="1" operator="greaterThanOrEqual">
      <formula>$C$8</formula>
    </cfRule>
  </conditionalFormatting>
  <conditionalFormatting sqref="D9:H9">
    <cfRule type="cellIs" dxfId="48" priority="60" stopIfTrue="1" operator="greaterThan">
      <formula>$C$9</formula>
    </cfRule>
    <cfRule type="cellIs" dxfId="47" priority="61" stopIfTrue="1" operator="lessThanOrEqual">
      <formula>$C$9</formula>
    </cfRule>
  </conditionalFormatting>
  <conditionalFormatting sqref="D10:H10">
    <cfRule type="cellIs" dxfId="46" priority="41" stopIfTrue="1" operator="lessThan">
      <formula>$C$8</formula>
    </cfRule>
    <cfRule type="cellIs" dxfId="45" priority="42" stopIfTrue="1" operator="greaterThanOrEqual">
      <formula>$C$8</formula>
    </cfRule>
  </conditionalFormatting>
  <conditionalFormatting sqref="D11:H11">
    <cfRule type="cellIs" dxfId="44" priority="54" stopIfTrue="1" operator="greaterThan">
      <formula>$C$11</formula>
    </cfRule>
    <cfRule type="cellIs" dxfId="43" priority="55" stopIfTrue="1" operator="lessThanOrEqual">
      <formula>$C$11</formula>
    </cfRule>
  </conditionalFormatting>
  <conditionalFormatting sqref="D12:H12">
    <cfRule type="cellIs" dxfId="42" priority="52" stopIfTrue="1" operator="greaterThan">
      <formula>$C$12</formula>
    </cfRule>
    <cfRule type="cellIs" dxfId="41" priority="53" stopIfTrue="1" operator="lessThanOrEqual">
      <formula>$C$12</formula>
    </cfRule>
  </conditionalFormatting>
  <conditionalFormatting sqref="D13:H14">
    <cfRule type="cellIs" dxfId="40" priority="58" stopIfTrue="1" operator="lessThan">
      <formula>$C$13</formula>
    </cfRule>
    <cfRule type="cellIs" dxfId="39" priority="59" stopIfTrue="1" operator="greaterThanOrEqual">
      <formula>$C$13</formula>
    </cfRule>
  </conditionalFormatting>
  <conditionalFormatting sqref="D15:H15">
    <cfRule type="cellIs" dxfId="38" priority="50" operator="lessThan">
      <formula>$C$15</formula>
    </cfRule>
    <cfRule type="cellIs" dxfId="37" priority="51" operator="greaterThanOrEqual">
      <formula>$C$15</formula>
    </cfRule>
  </conditionalFormatting>
  <conditionalFormatting sqref="D16:H16">
    <cfRule type="colorScale" priority="49">
      <colorScale>
        <cfvo type="min"/>
        <cfvo type="percentile" val="50"/>
        <cfvo type="max"/>
        <color rgb="FF63BE7B"/>
        <color rgb="FFFFEB84"/>
        <color rgb="FFF8696B"/>
      </colorScale>
    </cfRule>
  </conditionalFormatting>
  <conditionalFormatting sqref="D31:H31">
    <cfRule type="colorScale" priority="47">
      <colorScale>
        <cfvo type="min"/>
        <cfvo type="percentile" val="50"/>
        <cfvo type="max"/>
        <color rgb="FFF8696B"/>
        <color rgb="FFFFEB84"/>
        <color rgb="FF63BE7B"/>
      </colorScale>
    </cfRule>
  </conditionalFormatting>
  <conditionalFormatting sqref="D36:H37">
    <cfRule type="cellIs" dxfId="36" priority="43" operator="greaterThanOrEqual">
      <formula>0</formula>
    </cfRule>
    <cfRule type="cellIs" dxfId="35" priority="44" operator="lessThan">
      <formula>0</formula>
    </cfRule>
  </conditionalFormatting>
  <conditionalFormatting sqref="D38:H38">
    <cfRule type="cellIs" dxfId="34" priority="1" operator="lessThanOrEqual">
      <formula>0</formula>
    </cfRule>
  </conditionalFormatting>
  <conditionalFormatting sqref="D39:H39">
    <cfRule type="cellIs" dxfId="33" priority="67" operator="greaterThanOrEqual">
      <formula>0</formula>
    </cfRule>
    <cfRule type="cellIs" dxfId="32" priority="67" operator="lessThan">
      <formula>0</formula>
    </cfRule>
  </conditionalFormatting>
  <conditionalFormatting sqref="D40:H40">
    <cfRule type="cellIs" dxfId="31" priority="68" operator="greaterThan">
      <formula>0</formula>
    </cfRule>
    <cfRule type="cellIs" dxfId="30" priority="68" operator="lessThanOrEqual">
      <formula>0</formula>
    </cfRule>
  </conditionalFormatting>
  <conditionalFormatting sqref="D41:H41">
    <cfRule type="cellIs" dxfId="29" priority="70" operator="greaterThanOrEqual">
      <formula>0</formula>
    </cfRule>
    <cfRule type="cellIs" dxfId="28" priority="70" operator="lessThan">
      <formula>0</formula>
    </cfRule>
  </conditionalFormatting>
  <conditionalFormatting sqref="D42:H43">
    <cfRule type="cellIs" dxfId="27" priority="73" operator="lessThanOrEqual">
      <formula>0</formula>
    </cfRule>
    <cfRule type="cellIs" dxfId="26" priority="73" operator="greaterThan">
      <formula>0</formula>
    </cfRule>
  </conditionalFormatting>
  <conditionalFormatting sqref="D44:H46">
    <cfRule type="cellIs" dxfId="25" priority="71" operator="greaterThanOrEqual">
      <formula>0</formula>
    </cfRule>
    <cfRule type="cellIs" dxfId="24" priority="71" operator="lessThan">
      <formula>0</formula>
    </cfRule>
  </conditionalFormatting>
  <pageMargins left="0.7" right="0.7" top="0.75" bottom="0.75" header="0.3" footer="0.3"/>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2"/>
  </sheetPr>
  <dimension ref="A1:X477"/>
  <sheetViews>
    <sheetView topLeftCell="N1" zoomScale="70" zoomScaleNormal="70" workbookViewId="0">
      <pane ySplit="4" topLeftCell="A26" activePane="bottomLeft" state="frozen"/>
      <selection pane="bottomLeft" activeCell="U5" sqref="U5"/>
    </sheetView>
  </sheetViews>
  <sheetFormatPr baseColWidth="10" defaultColWidth="11.453125" defaultRowHeight="14.5" x14ac:dyDescent="0.35"/>
  <cols>
    <col min="1" max="1" width="1.7265625" customWidth="1"/>
    <col min="2" max="2" width="9.26953125" bestFit="1" customWidth="1"/>
    <col min="3" max="3" width="19" style="49" customWidth="1"/>
    <col min="4" max="4" width="18.453125" style="49" customWidth="1"/>
    <col min="5" max="5" width="16.453125" style="14" bestFit="1" customWidth="1"/>
    <col min="6" max="6" width="22.7265625" bestFit="1" customWidth="1"/>
    <col min="7" max="7" width="21.08984375" style="215" customWidth="1"/>
    <col min="8" max="8" width="18.453125" style="218" customWidth="1"/>
    <col min="9" max="9" width="18.90625" customWidth="1"/>
    <col min="10" max="10" width="14.36328125" style="215" bestFit="1" customWidth="1"/>
    <col min="11" max="11" width="16.90625" bestFit="1" customWidth="1"/>
    <col min="12" max="12" width="15.6328125" style="213" bestFit="1" customWidth="1"/>
    <col min="13" max="13" width="14.453125" bestFit="1" customWidth="1"/>
    <col min="14" max="14" width="116.7265625" style="116" customWidth="1"/>
    <col min="15" max="15" width="51.90625" style="116" customWidth="1"/>
    <col min="16" max="16" width="11.7265625" customWidth="1"/>
    <col min="17" max="17" width="17.08984375" style="192" bestFit="1" customWidth="1"/>
    <col min="18" max="18" width="18.453125" style="192" bestFit="1" customWidth="1"/>
    <col min="19" max="19" width="15.7265625" bestFit="1" customWidth="1"/>
    <col min="20" max="21" width="15.7265625" customWidth="1"/>
    <col min="22" max="22" width="15.7265625" bestFit="1" customWidth="1"/>
    <col min="23" max="23" width="12.6328125" customWidth="1"/>
  </cols>
  <sheetData>
    <row r="1" spans="1:24" x14ac:dyDescent="0.35">
      <c r="B1" s="247" t="s">
        <v>32</v>
      </c>
      <c r="C1" s="248"/>
      <c r="D1" s="248"/>
      <c r="E1" s="244"/>
      <c r="F1" s="244"/>
      <c r="G1" s="249"/>
      <c r="H1" s="250"/>
      <c r="I1" s="244"/>
      <c r="J1" s="249"/>
      <c r="K1" s="244"/>
      <c r="L1" s="251"/>
      <c r="M1" s="244"/>
      <c r="N1" s="252"/>
      <c r="O1" s="252"/>
      <c r="P1" s="244"/>
      <c r="Q1" s="253"/>
      <c r="R1" s="253"/>
      <c r="S1" s="244"/>
      <c r="T1" s="244"/>
      <c r="U1" s="244"/>
      <c r="V1" s="244"/>
      <c r="W1" s="244"/>
    </row>
    <row r="2" spans="1:24" x14ac:dyDescent="0.35">
      <c r="C2" s="254" t="s">
        <v>71</v>
      </c>
      <c r="F2" t="str">
        <f>LEFT('[1]PR-PO SLA &amp; Contract%'!G5,10)</f>
        <v>30/01/2026</v>
      </c>
      <c r="G2" s="256" t="s">
        <v>72</v>
      </c>
      <c r="H2" s="256" t="s">
        <v>72</v>
      </c>
      <c r="I2" s="258" t="s">
        <v>76</v>
      </c>
      <c r="J2" s="256" t="s">
        <v>72</v>
      </c>
      <c r="K2" s="258" t="s">
        <v>76</v>
      </c>
      <c r="L2" s="256" t="s">
        <v>72</v>
      </c>
      <c r="M2" s="258" t="s">
        <v>76</v>
      </c>
      <c r="P2" s="258" t="s">
        <v>77</v>
      </c>
      <c r="S2" s="258" t="s">
        <v>76</v>
      </c>
      <c r="T2" s="258" t="s">
        <v>237</v>
      </c>
      <c r="U2" s="258" t="s">
        <v>238</v>
      </c>
      <c r="W2" s="258" t="s">
        <v>76</v>
      </c>
    </row>
    <row r="3" spans="1:24" x14ac:dyDescent="0.35">
      <c r="C3" s="255"/>
      <c r="F3" t="str">
        <f>RIGHT(LEFT('[1]PR-PO SLA &amp; Contract%'!G5,8),4)</f>
        <v>1/20</v>
      </c>
      <c r="G3" s="257"/>
      <c r="H3" s="257"/>
      <c r="I3" s="259"/>
      <c r="J3" s="257"/>
      <c r="K3" s="259"/>
      <c r="L3" s="257"/>
      <c r="M3" s="259"/>
      <c r="P3" s="259"/>
      <c r="S3" s="259"/>
      <c r="T3" s="259"/>
      <c r="U3" s="259"/>
      <c r="W3" s="259"/>
      <c r="X3" s="179"/>
    </row>
    <row r="4" spans="1:24" ht="29" x14ac:dyDescent="0.35">
      <c r="B4" s="51" t="s">
        <v>33</v>
      </c>
      <c r="C4" s="52" t="s">
        <v>34</v>
      </c>
      <c r="D4" s="52" t="s">
        <v>35</v>
      </c>
      <c r="E4" s="112" t="s">
        <v>36</v>
      </c>
      <c r="F4" s="52" t="s">
        <v>37</v>
      </c>
      <c r="G4" s="219" t="s">
        <v>38</v>
      </c>
      <c r="H4" s="216" t="s">
        <v>39</v>
      </c>
      <c r="I4" s="51" t="s">
        <v>40</v>
      </c>
      <c r="J4" s="214" t="s">
        <v>41</v>
      </c>
      <c r="K4" s="51" t="s">
        <v>42</v>
      </c>
      <c r="L4" s="211" t="s">
        <v>43</v>
      </c>
      <c r="M4" s="51" t="s">
        <v>44</v>
      </c>
      <c r="N4" s="53" t="s">
        <v>45</v>
      </c>
      <c r="O4" s="53" t="s">
        <v>46</v>
      </c>
      <c r="P4" s="51" t="s">
        <v>47</v>
      </c>
      <c r="Q4" s="193" t="s">
        <v>48</v>
      </c>
      <c r="R4" s="193" t="s">
        <v>49</v>
      </c>
      <c r="S4" s="51" t="s">
        <v>50</v>
      </c>
      <c r="T4" s="51" t="s">
        <v>236</v>
      </c>
      <c r="U4" s="51" t="s">
        <v>235</v>
      </c>
      <c r="V4" s="51" t="s">
        <v>51</v>
      </c>
      <c r="W4" s="51" t="s">
        <v>52</v>
      </c>
    </row>
    <row r="5" spans="1:24" hidden="1" x14ac:dyDescent="0.35">
      <c r="A5" s="60"/>
      <c r="B5" s="54">
        <v>1</v>
      </c>
      <c r="C5" s="65" t="s">
        <v>822</v>
      </c>
      <c r="D5" s="110">
        <v>136497</v>
      </c>
      <c r="E5" s="209" t="s">
        <v>945</v>
      </c>
      <c r="F5" s="111">
        <v>138888</v>
      </c>
      <c r="G5" s="212">
        <v>46211</v>
      </c>
      <c r="H5" s="212" t="s">
        <v>239</v>
      </c>
      <c r="I5" s="55">
        <f t="shared" ref="I5:I60" si="0">IF(OR(H5="", G5=""), "", NETWORKDAYS(G5, H5))</f>
        <v>4</v>
      </c>
      <c r="J5" s="212">
        <v>46229</v>
      </c>
      <c r="K5" s="55">
        <f>IF(OR(H5="", J5=""), "", NETWORKDAYS(H5, J5))</f>
        <v>10</v>
      </c>
      <c r="L5" s="212">
        <v>46230</v>
      </c>
      <c r="M5" s="55">
        <f>IF(OR(J5="", L5=""), "", NETWORKDAYS(J5, L5))</f>
        <v>1</v>
      </c>
      <c r="N5" s="50" t="s">
        <v>270</v>
      </c>
      <c r="O5" s="50" t="s">
        <v>604</v>
      </c>
      <c r="P5" s="56" t="s">
        <v>53</v>
      </c>
      <c r="Q5" s="190">
        <v>391.30434782608694</v>
      </c>
      <c r="R5" s="190">
        <v>391.30434782608694</v>
      </c>
      <c r="S5" s="57">
        <f t="shared" ref="S5:S60" si="1">Q5-R5</f>
        <v>0</v>
      </c>
      <c r="T5" s="57"/>
      <c r="U5" s="57"/>
      <c r="V5" s="58">
        <f t="shared" ref="V5:V60" si="2">IF(Q5="", "", Q5*10%)</f>
        <v>39.130434782608695</v>
      </c>
      <c r="W5" s="59">
        <f t="shared" ref="W5:W60" si="3">IF(OR(Q5="", R5=""), "", (Q5- R5)/Q5)</f>
        <v>0</v>
      </c>
    </row>
    <row r="6" spans="1:24" hidden="1" x14ac:dyDescent="0.35">
      <c r="A6" s="60"/>
      <c r="B6" s="54">
        <v>2</v>
      </c>
      <c r="C6" s="65" t="s">
        <v>822</v>
      </c>
      <c r="D6" s="110">
        <v>136157</v>
      </c>
      <c r="E6" s="209" t="s">
        <v>945</v>
      </c>
      <c r="F6" s="111">
        <v>138949</v>
      </c>
      <c r="G6" s="212">
        <v>46231</v>
      </c>
      <c r="H6" s="212" t="s">
        <v>240</v>
      </c>
      <c r="I6" s="55">
        <f t="shared" si="0"/>
        <v>4</v>
      </c>
      <c r="J6" s="212">
        <v>46237</v>
      </c>
      <c r="K6" s="55">
        <f t="shared" ref="K6:K60" si="4">IF(OR(H6="", J6=""), "", NETWORKDAYS(H6, J6))</f>
        <v>2</v>
      </c>
      <c r="L6" s="212" t="s">
        <v>250</v>
      </c>
      <c r="M6" s="55">
        <f t="shared" ref="M6:M60" si="5">IF(OR(J6="", L6=""), "", NETWORKDAYS(J6, L6))</f>
        <v>1</v>
      </c>
      <c r="N6" s="50" t="s">
        <v>845</v>
      </c>
      <c r="O6" s="50" t="s">
        <v>605</v>
      </c>
      <c r="P6" s="56" t="s">
        <v>53</v>
      </c>
      <c r="Q6" s="190">
        <v>2419.891304347826</v>
      </c>
      <c r="R6" s="190">
        <v>2419.891304347826</v>
      </c>
      <c r="S6" s="57">
        <f t="shared" si="1"/>
        <v>0</v>
      </c>
      <c r="T6" s="57"/>
      <c r="U6" s="57"/>
      <c r="V6" s="58">
        <f t="shared" si="2"/>
        <v>241.98913043478262</v>
      </c>
      <c r="W6" s="59">
        <f t="shared" si="3"/>
        <v>0</v>
      </c>
    </row>
    <row r="7" spans="1:24" hidden="1" x14ac:dyDescent="0.35">
      <c r="A7" s="60"/>
      <c r="B7" s="54">
        <v>3</v>
      </c>
      <c r="C7" s="65" t="s">
        <v>822</v>
      </c>
      <c r="D7" s="110">
        <v>136158</v>
      </c>
      <c r="E7" s="209" t="s">
        <v>945</v>
      </c>
      <c r="F7" s="111">
        <v>138947</v>
      </c>
      <c r="G7" s="212">
        <v>46231</v>
      </c>
      <c r="H7" s="212" t="s">
        <v>240</v>
      </c>
      <c r="I7" s="55">
        <f t="shared" si="0"/>
        <v>4</v>
      </c>
      <c r="J7" s="212">
        <v>46237</v>
      </c>
      <c r="K7" s="55">
        <f t="shared" si="4"/>
        <v>2</v>
      </c>
      <c r="L7" s="212" t="s">
        <v>250</v>
      </c>
      <c r="M7" s="55">
        <f t="shared" si="5"/>
        <v>1</v>
      </c>
      <c r="N7" s="50" t="s">
        <v>846</v>
      </c>
      <c r="O7" s="50" t="s">
        <v>605</v>
      </c>
      <c r="P7" s="56" t="s">
        <v>53</v>
      </c>
      <c r="Q7" s="190">
        <v>341.95652173913044</v>
      </c>
      <c r="R7" s="190">
        <v>341.95652173913044</v>
      </c>
      <c r="S7" s="57">
        <f t="shared" si="1"/>
        <v>0</v>
      </c>
      <c r="T7" s="57"/>
      <c r="U7" s="57"/>
      <c r="V7" s="58">
        <f t="shared" si="2"/>
        <v>34.195652173913047</v>
      </c>
      <c r="W7" s="59">
        <f t="shared" si="3"/>
        <v>0</v>
      </c>
    </row>
    <row r="8" spans="1:24" hidden="1" x14ac:dyDescent="0.35">
      <c r="A8" s="60"/>
      <c r="B8" s="54">
        <v>4</v>
      </c>
      <c r="C8" s="65" t="s">
        <v>822</v>
      </c>
      <c r="D8" s="110">
        <v>136159</v>
      </c>
      <c r="E8" s="209" t="s">
        <v>945</v>
      </c>
      <c r="F8" s="111">
        <v>138931</v>
      </c>
      <c r="G8" s="212">
        <v>46231</v>
      </c>
      <c r="H8" s="212" t="s">
        <v>240</v>
      </c>
      <c r="I8" s="55">
        <f t="shared" si="0"/>
        <v>4</v>
      </c>
      <c r="J8" s="212">
        <v>46237</v>
      </c>
      <c r="K8" s="55">
        <f t="shared" si="4"/>
        <v>2</v>
      </c>
      <c r="L8" s="212" t="s">
        <v>250</v>
      </c>
      <c r="M8" s="55">
        <f t="shared" si="5"/>
        <v>1</v>
      </c>
      <c r="N8" s="50" t="s">
        <v>847</v>
      </c>
      <c r="O8" s="50" t="s">
        <v>605</v>
      </c>
      <c r="P8" s="56" t="s">
        <v>53</v>
      </c>
      <c r="Q8" s="190">
        <v>336.95652173913044</v>
      </c>
      <c r="R8" s="190">
        <v>336.95652173913044</v>
      </c>
      <c r="S8" s="57">
        <f t="shared" si="1"/>
        <v>0</v>
      </c>
      <c r="T8" s="57"/>
      <c r="U8" s="57"/>
      <c r="V8" s="58">
        <f t="shared" si="2"/>
        <v>33.695652173913047</v>
      </c>
      <c r="W8" s="59">
        <f t="shared" si="3"/>
        <v>0</v>
      </c>
    </row>
    <row r="9" spans="1:24" hidden="1" x14ac:dyDescent="0.35">
      <c r="A9" s="60"/>
      <c r="B9" s="54">
        <v>5</v>
      </c>
      <c r="C9" s="65" t="s">
        <v>822</v>
      </c>
      <c r="D9" s="110">
        <v>136160</v>
      </c>
      <c r="E9" s="209" t="s">
        <v>945</v>
      </c>
      <c r="F9" s="111">
        <v>138945</v>
      </c>
      <c r="G9" s="212">
        <v>46231</v>
      </c>
      <c r="H9" s="212" t="s">
        <v>240</v>
      </c>
      <c r="I9" s="55">
        <f t="shared" si="0"/>
        <v>4</v>
      </c>
      <c r="J9" s="212">
        <v>46237</v>
      </c>
      <c r="K9" s="55">
        <f t="shared" si="4"/>
        <v>2</v>
      </c>
      <c r="L9" s="212" t="s">
        <v>250</v>
      </c>
      <c r="M9" s="55">
        <f t="shared" si="5"/>
        <v>1</v>
      </c>
      <c r="N9" s="50" t="s">
        <v>848</v>
      </c>
      <c r="O9" s="50" t="s">
        <v>605</v>
      </c>
      <c r="P9" s="56" t="s">
        <v>53</v>
      </c>
      <c r="Q9" s="190">
        <v>674.13043478260875</v>
      </c>
      <c r="R9" s="190">
        <v>674.13043478260875</v>
      </c>
      <c r="S9" s="57">
        <f t="shared" si="1"/>
        <v>0</v>
      </c>
      <c r="T9" s="57"/>
      <c r="U9" s="57"/>
      <c r="V9" s="58">
        <f t="shared" si="2"/>
        <v>67.413043478260875</v>
      </c>
      <c r="W9" s="59">
        <f t="shared" si="3"/>
        <v>0</v>
      </c>
    </row>
    <row r="10" spans="1:24" hidden="1" x14ac:dyDescent="0.35">
      <c r="A10" s="60"/>
      <c r="B10" s="54">
        <v>6</v>
      </c>
      <c r="C10" s="65" t="s">
        <v>822</v>
      </c>
      <c r="D10" s="110">
        <v>136156</v>
      </c>
      <c r="E10" s="209" t="s">
        <v>945</v>
      </c>
      <c r="F10" s="111">
        <v>139005</v>
      </c>
      <c r="G10" s="212">
        <v>46221</v>
      </c>
      <c r="H10" s="212" t="s">
        <v>240</v>
      </c>
      <c r="I10" s="55">
        <f t="shared" si="0"/>
        <v>10</v>
      </c>
      <c r="J10" s="212">
        <v>46237</v>
      </c>
      <c r="K10" s="55">
        <f t="shared" si="4"/>
        <v>2</v>
      </c>
      <c r="L10" s="212" t="s">
        <v>250</v>
      </c>
      <c r="M10" s="55">
        <f t="shared" si="5"/>
        <v>1</v>
      </c>
      <c r="N10" s="50" t="s">
        <v>849</v>
      </c>
      <c r="O10" s="50" t="s">
        <v>605</v>
      </c>
      <c r="P10" s="56" t="s">
        <v>53</v>
      </c>
      <c r="Q10" s="190">
        <v>2769.086956521739</v>
      </c>
      <c r="R10" s="190">
        <v>2769.086956521739</v>
      </c>
      <c r="S10" s="57">
        <f t="shared" si="1"/>
        <v>0</v>
      </c>
      <c r="T10" s="57"/>
      <c r="U10" s="57"/>
      <c r="V10" s="58">
        <f t="shared" si="2"/>
        <v>276.90869565217389</v>
      </c>
      <c r="W10" s="59">
        <f t="shared" si="3"/>
        <v>0</v>
      </c>
    </row>
    <row r="11" spans="1:24" hidden="1" x14ac:dyDescent="0.35">
      <c r="A11" s="60"/>
      <c r="B11" s="54">
        <v>7</v>
      </c>
      <c r="C11" s="65" t="s">
        <v>822</v>
      </c>
      <c r="D11" s="110">
        <v>136155</v>
      </c>
      <c r="E11" s="209" t="s">
        <v>945</v>
      </c>
      <c r="F11" s="111">
        <v>139038</v>
      </c>
      <c r="G11" s="212">
        <v>46219</v>
      </c>
      <c r="H11" s="212" t="s">
        <v>240</v>
      </c>
      <c r="I11" s="55">
        <f t="shared" si="0"/>
        <v>12</v>
      </c>
      <c r="J11" s="212">
        <v>46237</v>
      </c>
      <c r="K11" s="55">
        <f t="shared" si="4"/>
        <v>2</v>
      </c>
      <c r="L11" s="212" t="s">
        <v>250</v>
      </c>
      <c r="M11" s="55">
        <f t="shared" si="5"/>
        <v>1</v>
      </c>
      <c r="N11" s="50" t="s">
        <v>850</v>
      </c>
      <c r="O11" s="50" t="s">
        <v>606</v>
      </c>
      <c r="P11" s="56" t="s">
        <v>53</v>
      </c>
      <c r="Q11" s="190">
        <v>326.08695652173913</v>
      </c>
      <c r="R11" s="190">
        <v>326.08695652173913</v>
      </c>
      <c r="S11" s="57">
        <f t="shared" si="1"/>
        <v>0</v>
      </c>
      <c r="T11" s="57"/>
      <c r="U11" s="57"/>
      <c r="V11" s="58">
        <f t="shared" si="2"/>
        <v>32.608695652173914</v>
      </c>
      <c r="W11" s="59">
        <f t="shared" si="3"/>
        <v>0</v>
      </c>
    </row>
    <row r="12" spans="1:24" hidden="1" x14ac:dyDescent="0.35">
      <c r="A12" s="60"/>
      <c r="B12" s="54">
        <v>8</v>
      </c>
      <c r="C12" s="65" t="s">
        <v>822</v>
      </c>
      <c r="D12" s="110">
        <v>136154</v>
      </c>
      <c r="E12" s="209" t="s">
        <v>945</v>
      </c>
      <c r="F12" s="111">
        <v>139090</v>
      </c>
      <c r="G12" s="212">
        <v>46220</v>
      </c>
      <c r="H12" s="212" t="s">
        <v>240</v>
      </c>
      <c r="I12" s="55">
        <f t="shared" si="0"/>
        <v>11</v>
      </c>
      <c r="J12" s="212">
        <v>46237</v>
      </c>
      <c r="K12" s="55">
        <f t="shared" si="4"/>
        <v>2</v>
      </c>
      <c r="L12" s="212" t="s">
        <v>250</v>
      </c>
      <c r="M12" s="55">
        <f t="shared" si="5"/>
        <v>1</v>
      </c>
      <c r="N12" s="50" t="s">
        <v>271</v>
      </c>
      <c r="O12" s="50" t="s">
        <v>607</v>
      </c>
      <c r="P12" s="56" t="s">
        <v>53</v>
      </c>
      <c r="Q12" s="190">
        <v>1408.695652173913</v>
      </c>
      <c r="R12" s="190">
        <v>1408.695652173913</v>
      </c>
      <c r="S12" s="57">
        <f t="shared" si="1"/>
        <v>0</v>
      </c>
      <c r="T12" s="57"/>
      <c r="U12" s="57"/>
      <c r="V12" s="58">
        <f t="shared" si="2"/>
        <v>140.86956521739131</v>
      </c>
      <c r="W12" s="59">
        <f t="shared" si="3"/>
        <v>0</v>
      </c>
    </row>
    <row r="13" spans="1:24" hidden="1" x14ac:dyDescent="0.35">
      <c r="A13" s="60"/>
      <c r="B13" s="54">
        <v>9</v>
      </c>
      <c r="C13" s="65" t="s">
        <v>822</v>
      </c>
      <c r="D13" s="110">
        <v>136202</v>
      </c>
      <c r="E13" s="209" t="s">
        <v>945</v>
      </c>
      <c r="F13" s="111">
        <v>139078</v>
      </c>
      <c r="G13" s="212">
        <v>46221</v>
      </c>
      <c r="H13" s="212" t="s">
        <v>241</v>
      </c>
      <c r="I13" s="55">
        <f t="shared" si="0"/>
        <v>13</v>
      </c>
      <c r="J13" s="212">
        <v>46240</v>
      </c>
      <c r="K13" s="55">
        <f t="shared" si="4"/>
        <v>2</v>
      </c>
      <c r="L13" s="212" t="s">
        <v>256</v>
      </c>
      <c r="M13" s="55">
        <f t="shared" si="5"/>
        <v>1</v>
      </c>
      <c r="N13" s="50" t="s">
        <v>272</v>
      </c>
      <c r="O13" s="50" t="s">
        <v>608</v>
      </c>
      <c r="P13" s="56" t="s">
        <v>53</v>
      </c>
      <c r="Q13" s="190">
        <v>2591.304347826087</v>
      </c>
      <c r="R13" s="190">
        <v>2591.304347826087</v>
      </c>
      <c r="S13" s="57">
        <f t="shared" si="1"/>
        <v>0</v>
      </c>
      <c r="T13" s="57"/>
      <c r="U13" s="57"/>
      <c r="V13" s="58">
        <f t="shared" si="2"/>
        <v>259.13043478260869</v>
      </c>
      <c r="W13" s="59">
        <f t="shared" si="3"/>
        <v>0</v>
      </c>
    </row>
    <row r="14" spans="1:24" hidden="1" x14ac:dyDescent="0.35">
      <c r="A14" s="60"/>
      <c r="B14" s="54">
        <v>10</v>
      </c>
      <c r="C14" s="65" t="s">
        <v>822</v>
      </c>
      <c r="D14" s="110">
        <v>136211</v>
      </c>
      <c r="E14" s="209" t="s">
        <v>945</v>
      </c>
      <c r="F14" s="111">
        <v>139076</v>
      </c>
      <c r="G14" s="212">
        <v>46234</v>
      </c>
      <c r="H14" s="212" t="s">
        <v>241</v>
      </c>
      <c r="I14" s="55">
        <f t="shared" si="0"/>
        <v>4</v>
      </c>
      <c r="J14" s="212">
        <v>46240</v>
      </c>
      <c r="K14" s="55">
        <f t="shared" si="4"/>
        <v>2</v>
      </c>
      <c r="L14" s="212" t="s">
        <v>256</v>
      </c>
      <c r="M14" s="55">
        <f t="shared" si="5"/>
        <v>1</v>
      </c>
      <c r="N14" s="50" t="s">
        <v>273</v>
      </c>
      <c r="O14" s="50" t="s">
        <v>608</v>
      </c>
      <c r="P14" s="56" t="s">
        <v>53</v>
      </c>
      <c r="Q14" s="190">
        <v>2893.478260869565</v>
      </c>
      <c r="R14" s="190">
        <v>2893.478260869565</v>
      </c>
      <c r="S14" s="57">
        <f t="shared" si="1"/>
        <v>0</v>
      </c>
      <c r="T14" s="57"/>
      <c r="U14" s="57"/>
      <c r="V14" s="58">
        <f t="shared" si="2"/>
        <v>289.3478260869565</v>
      </c>
      <c r="W14" s="59">
        <f t="shared" si="3"/>
        <v>0</v>
      </c>
    </row>
    <row r="15" spans="1:24" hidden="1" x14ac:dyDescent="0.35">
      <c r="A15" s="60"/>
      <c r="B15" s="54">
        <v>11</v>
      </c>
      <c r="C15" s="65" t="s">
        <v>822</v>
      </c>
      <c r="D15" s="110">
        <v>136212</v>
      </c>
      <c r="E15" s="209" t="s">
        <v>945</v>
      </c>
      <c r="F15" s="111">
        <v>139077</v>
      </c>
      <c r="G15" s="212">
        <v>46234</v>
      </c>
      <c r="H15" s="212" t="s">
        <v>241</v>
      </c>
      <c r="I15" s="55">
        <f t="shared" si="0"/>
        <v>4</v>
      </c>
      <c r="J15" s="212">
        <v>46240</v>
      </c>
      <c r="K15" s="55">
        <f t="shared" si="4"/>
        <v>2</v>
      </c>
      <c r="L15" s="212" t="s">
        <v>256</v>
      </c>
      <c r="M15" s="55">
        <f t="shared" si="5"/>
        <v>1</v>
      </c>
      <c r="N15" s="50" t="s">
        <v>274</v>
      </c>
      <c r="O15" s="50" t="s">
        <v>608</v>
      </c>
      <c r="P15" s="56" t="s">
        <v>53</v>
      </c>
      <c r="Q15" s="190">
        <v>1629.4782608695652</v>
      </c>
      <c r="R15" s="190">
        <v>1629.4782608695652</v>
      </c>
      <c r="S15" s="57">
        <f t="shared" si="1"/>
        <v>0</v>
      </c>
      <c r="T15" s="57"/>
      <c r="U15" s="57"/>
      <c r="V15" s="58">
        <f t="shared" si="2"/>
        <v>162.94782608695652</v>
      </c>
      <c r="W15" s="59">
        <f t="shared" si="3"/>
        <v>0</v>
      </c>
    </row>
    <row r="16" spans="1:24" hidden="1" x14ac:dyDescent="0.35">
      <c r="A16" s="60"/>
      <c r="B16" s="54">
        <v>12</v>
      </c>
      <c r="C16" s="65" t="s">
        <v>822</v>
      </c>
      <c r="D16" s="110">
        <v>136213</v>
      </c>
      <c r="E16" s="209" t="s">
        <v>945</v>
      </c>
      <c r="F16" s="111">
        <v>139081</v>
      </c>
      <c r="G16" s="212">
        <v>46234</v>
      </c>
      <c r="H16" s="212" t="s">
        <v>241</v>
      </c>
      <c r="I16" s="55">
        <f t="shared" si="0"/>
        <v>4</v>
      </c>
      <c r="J16" s="212">
        <v>46240</v>
      </c>
      <c r="K16" s="55">
        <f t="shared" si="4"/>
        <v>2</v>
      </c>
      <c r="L16" s="212" t="s">
        <v>256</v>
      </c>
      <c r="M16" s="55">
        <f t="shared" si="5"/>
        <v>1</v>
      </c>
      <c r="N16" s="66" t="s">
        <v>275</v>
      </c>
      <c r="O16" s="50" t="s">
        <v>608</v>
      </c>
      <c r="P16" s="56" t="s">
        <v>53</v>
      </c>
      <c r="Q16" s="190">
        <v>1748.695652173913</v>
      </c>
      <c r="R16" s="190">
        <v>1748.695652173913</v>
      </c>
      <c r="S16" s="57">
        <f t="shared" si="1"/>
        <v>0</v>
      </c>
      <c r="T16" s="57"/>
      <c r="U16" s="57"/>
      <c r="V16" s="58">
        <f t="shared" si="2"/>
        <v>174.86956521739131</v>
      </c>
      <c r="W16" s="59">
        <f t="shared" si="3"/>
        <v>0</v>
      </c>
    </row>
    <row r="17" spans="1:23" hidden="1" x14ac:dyDescent="0.35">
      <c r="A17" s="60"/>
      <c r="B17" s="54">
        <v>13</v>
      </c>
      <c r="C17" s="65" t="s">
        <v>822</v>
      </c>
      <c r="D17" s="110">
        <v>136214</v>
      </c>
      <c r="E17" s="209" t="s">
        <v>945</v>
      </c>
      <c r="F17" s="111">
        <v>139079</v>
      </c>
      <c r="G17" s="212">
        <v>46234</v>
      </c>
      <c r="H17" s="212" t="s">
        <v>241</v>
      </c>
      <c r="I17" s="55">
        <f t="shared" si="0"/>
        <v>4</v>
      </c>
      <c r="J17" s="212">
        <v>46240</v>
      </c>
      <c r="K17" s="55">
        <f t="shared" si="4"/>
        <v>2</v>
      </c>
      <c r="L17" s="212" t="s">
        <v>256</v>
      </c>
      <c r="M17" s="55">
        <f t="shared" si="5"/>
        <v>1</v>
      </c>
      <c r="N17" s="50" t="s">
        <v>273</v>
      </c>
      <c r="O17" s="50" t="s">
        <v>608</v>
      </c>
      <c r="P17" s="56" t="s">
        <v>53</v>
      </c>
      <c r="Q17" s="190">
        <v>2802.586956521739</v>
      </c>
      <c r="R17" s="190">
        <v>2802.586956521739</v>
      </c>
      <c r="S17" s="57">
        <f t="shared" si="1"/>
        <v>0</v>
      </c>
      <c r="T17" s="57"/>
      <c r="U17" s="57"/>
      <c r="V17" s="58">
        <f t="shared" si="2"/>
        <v>280.25869565217391</v>
      </c>
      <c r="W17" s="59">
        <f t="shared" si="3"/>
        <v>0</v>
      </c>
    </row>
    <row r="18" spans="1:23" hidden="1" x14ac:dyDescent="0.35">
      <c r="A18" s="60"/>
      <c r="B18" s="54">
        <v>14</v>
      </c>
      <c r="C18" s="65" t="s">
        <v>822</v>
      </c>
      <c r="D18" s="110">
        <v>136219</v>
      </c>
      <c r="E18" s="209" t="s">
        <v>946</v>
      </c>
      <c r="F18" s="111">
        <v>139100</v>
      </c>
      <c r="G18" s="212">
        <v>46234</v>
      </c>
      <c r="H18" s="212" t="s">
        <v>241</v>
      </c>
      <c r="I18" s="55">
        <f t="shared" si="0"/>
        <v>4</v>
      </c>
      <c r="J18" s="212">
        <v>46241</v>
      </c>
      <c r="K18" s="55">
        <f t="shared" si="4"/>
        <v>3</v>
      </c>
      <c r="L18" s="212" t="s">
        <v>255</v>
      </c>
      <c r="M18" s="55">
        <f t="shared" si="5"/>
        <v>1</v>
      </c>
      <c r="N18" s="50" t="s">
        <v>276</v>
      </c>
      <c r="O18" s="50" t="s">
        <v>609</v>
      </c>
      <c r="P18" s="56" t="s">
        <v>53</v>
      </c>
      <c r="Q18" s="190">
        <v>2610.6521739130435</v>
      </c>
      <c r="R18" s="190">
        <v>2610.6521739130435</v>
      </c>
      <c r="S18" s="57">
        <f t="shared" si="1"/>
        <v>0</v>
      </c>
      <c r="T18" s="57"/>
      <c r="U18" s="57"/>
      <c r="V18" s="58">
        <f t="shared" si="2"/>
        <v>261.06521739130437</v>
      </c>
      <c r="W18" s="59">
        <f t="shared" si="3"/>
        <v>0</v>
      </c>
    </row>
    <row r="19" spans="1:23" hidden="1" x14ac:dyDescent="0.35">
      <c r="A19" s="60"/>
      <c r="B19" s="54">
        <v>15</v>
      </c>
      <c r="C19" s="65" t="s">
        <v>822</v>
      </c>
      <c r="D19" s="110">
        <v>136220</v>
      </c>
      <c r="E19" s="209" t="s">
        <v>945</v>
      </c>
      <c r="F19" s="111">
        <v>139082</v>
      </c>
      <c r="G19" s="212">
        <v>46234</v>
      </c>
      <c r="H19" s="212" t="s">
        <v>241</v>
      </c>
      <c r="I19" s="55">
        <f t="shared" si="0"/>
        <v>4</v>
      </c>
      <c r="J19" s="212">
        <v>46241</v>
      </c>
      <c r="K19" s="55">
        <f t="shared" si="4"/>
        <v>3</v>
      </c>
      <c r="L19" s="212" t="s">
        <v>255</v>
      </c>
      <c r="M19" s="55">
        <f t="shared" si="5"/>
        <v>1</v>
      </c>
      <c r="N19" s="50" t="s">
        <v>277</v>
      </c>
      <c r="O19" s="50" t="s">
        <v>608</v>
      </c>
      <c r="P19" s="56" t="s">
        <v>53</v>
      </c>
      <c r="Q19" s="190">
        <v>2600.413043478261</v>
      </c>
      <c r="R19" s="190">
        <v>2600.413043478261</v>
      </c>
      <c r="S19" s="57">
        <f t="shared" si="1"/>
        <v>0</v>
      </c>
      <c r="T19" s="57"/>
      <c r="U19" s="57"/>
      <c r="V19" s="58">
        <f t="shared" si="2"/>
        <v>260.0413043478261</v>
      </c>
      <c r="W19" s="59">
        <f t="shared" si="3"/>
        <v>0</v>
      </c>
    </row>
    <row r="20" spans="1:23" hidden="1" x14ac:dyDescent="0.35">
      <c r="A20" s="60"/>
      <c r="B20" s="54">
        <v>16</v>
      </c>
      <c r="C20" s="65" t="s">
        <v>822</v>
      </c>
      <c r="D20" s="110">
        <v>136221</v>
      </c>
      <c r="E20" s="209" t="s">
        <v>946</v>
      </c>
      <c r="F20" s="111">
        <v>139102</v>
      </c>
      <c r="G20" s="212">
        <v>46234</v>
      </c>
      <c r="H20" s="212" t="s">
        <v>241</v>
      </c>
      <c r="I20" s="55">
        <f t="shared" si="0"/>
        <v>4</v>
      </c>
      <c r="J20" s="212">
        <v>46241</v>
      </c>
      <c r="K20" s="55">
        <f t="shared" si="4"/>
        <v>3</v>
      </c>
      <c r="L20" s="212" t="s">
        <v>255</v>
      </c>
      <c r="M20" s="55">
        <f t="shared" si="5"/>
        <v>1</v>
      </c>
      <c r="N20" s="50" t="s">
        <v>278</v>
      </c>
      <c r="O20" s="50" t="s">
        <v>609</v>
      </c>
      <c r="P20" s="56" t="s">
        <v>53</v>
      </c>
      <c r="Q20" s="190">
        <v>1928.1304347826087</v>
      </c>
      <c r="R20" s="190">
        <v>1928.1304347826087</v>
      </c>
      <c r="S20" s="57">
        <f t="shared" si="1"/>
        <v>0</v>
      </c>
      <c r="T20" s="57"/>
      <c r="U20" s="57"/>
      <c r="V20" s="58">
        <f t="shared" si="2"/>
        <v>192.81304347826088</v>
      </c>
      <c r="W20" s="59">
        <f t="shared" si="3"/>
        <v>0</v>
      </c>
    </row>
    <row r="21" spans="1:23" hidden="1" x14ac:dyDescent="0.35">
      <c r="A21" s="60"/>
      <c r="B21" s="54">
        <v>17</v>
      </c>
      <c r="C21" s="65" t="s">
        <v>822</v>
      </c>
      <c r="D21" s="110">
        <v>136508</v>
      </c>
      <c r="E21" s="209" t="s">
        <v>945</v>
      </c>
      <c r="F21" s="111">
        <v>139093</v>
      </c>
      <c r="G21" s="212">
        <v>46220</v>
      </c>
      <c r="H21" s="212" t="s">
        <v>242</v>
      </c>
      <c r="I21" s="55">
        <f t="shared" si="0"/>
        <v>2</v>
      </c>
      <c r="J21" s="212">
        <v>46230</v>
      </c>
      <c r="K21" s="55">
        <f t="shared" si="4"/>
        <v>6</v>
      </c>
      <c r="L21" s="212">
        <v>46234</v>
      </c>
      <c r="M21" s="55">
        <f t="shared" si="5"/>
        <v>5</v>
      </c>
      <c r="N21" s="50" t="s">
        <v>279</v>
      </c>
      <c r="O21" s="50" t="s">
        <v>610</v>
      </c>
      <c r="P21" s="56" t="s">
        <v>53</v>
      </c>
      <c r="Q21" s="190">
        <v>91.304347826086953</v>
      </c>
      <c r="R21" s="190">
        <v>91.304347826086953</v>
      </c>
      <c r="S21" s="57">
        <f t="shared" si="1"/>
        <v>0</v>
      </c>
      <c r="T21" s="57"/>
      <c r="U21" s="57"/>
      <c r="V21" s="58">
        <f t="shared" si="2"/>
        <v>9.1304347826086953</v>
      </c>
      <c r="W21" s="59">
        <f t="shared" si="3"/>
        <v>0</v>
      </c>
    </row>
    <row r="22" spans="1:23" hidden="1" x14ac:dyDescent="0.35">
      <c r="A22" s="60"/>
      <c r="B22" s="54">
        <v>18</v>
      </c>
      <c r="C22" s="65" t="s">
        <v>822</v>
      </c>
      <c r="D22" s="110">
        <v>136284</v>
      </c>
      <c r="E22" s="209" t="s">
        <v>945</v>
      </c>
      <c r="F22" s="111">
        <v>139125</v>
      </c>
      <c r="G22" s="212">
        <v>46234</v>
      </c>
      <c r="H22" s="212" t="s">
        <v>243</v>
      </c>
      <c r="I22" s="55">
        <f t="shared" si="0"/>
        <v>10</v>
      </c>
      <c r="J22" s="212">
        <v>46247</v>
      </c>
      <c r="K22" s="55">
        <f t="shared" si="4"/>
        <v>1</v>
      </c>
      <c r="L22" s="212" t="s">
        <v>243</v>
      </c>
      <c r="M22" s="55">
        <f t="shared" si="5"/>
        <v>1</v>
      </c>
      <c r="N22" s="50" t="s">
        <v>280</v>
      </c>
      <c r="O22" s="50" t="s">
        <v>611</v>
      </c>
      <c r="P22" s="56" t="s">
        <v>53</v>
      </c>
      <c r="Q22" s="190">
        <v>2510.8695652173915</v>
      </c>
      <c r="R22" s="190">
        <v>2510.8695652173915</v>
      </c>
      <c r="S22" s="57">
        <f t="shared" si="1"/>
        <v>0</v>
      </c>
      <c r="T22" s="57"/>
      <c r="U22" s="57"/>
      <c r="V22" s="58">
        <f t="shared" si="2"/>
        <v>251.08695652173915</v>
      </c>
      <c r="W22" s="59">
        <f t="shared" si="3"/>
        <v>0</v>
      </c>
    </row>
    <row r="23" spans="1:23" hidden="1" x14ac:dyDescent="0.35">
      <c r="A23" s="60"/>
      <c r="B23" s="54">
        <v>19</v>
      </c>
      <c r="C23" s="65" t="s">
        <v>822</v>
      </c>
      <c r="D23" s="110">
        <v>136131</v>
      </c>
      <c r="E23" s="209" t="s">
        <v>945</v>
      </c>
      <c r="F23" s="111">
        <v>139161</v>
      </c>
      <c r="G23" s="212">
        <v>46224</v>
      </c>
      <c r="H23" s="212" t="s">
        <v>244</v>
      </c>
      <c r="I23" s="55">
        <f t="shared" si="0"/>
        <v>8</v>
      </c>
      <c r="J23" s="212">
        <v>46237</v>
      </c>
      <c r="K23" s="55">
        <f t="shared" si="4"/>
        <v>3</v>
      </c>
      <c r="L23" s="212" t="s">
        <v>250</v>
      </c>
      <c r="M23" s="55">
        <f t="shared" si="5"/>
        <v>1</v>
      </c>
      <c r="N23" s="50" t="s">
        <v>281</v>
      </c>
      <c r="O23" s="50" t="s">
        <v>605</v>
      </c>
      <c r="P23" s="56" t="s">
        <v>53</v>
      </c>
      <c r="Q23" s="190">
        <v>2287.0434782608695</v>
      </c>
      <c r="R23" s="190">
        <v>2287.0434782608695</v>
      </c>
      <c r="S23" s="57">
        <f t="shared" si="1"/>
        <v>0</v>
      </c>
      <c r="T23" s="57"/>
      <c r="U23" s="57"/>
      <c r="V23" s="58">
        <f t="shared" si="2"/>
        <v>228.70434782608697</v>
      </c>
      <c r="W23" s="59">
        <f t="shared" si="3"/>
        <v>0</v>
      </c>
    </row>
    <row r="24" spans="1:23" hidden="1" x14ac:dyDescent="0.35">
      <c r="A24" s="60"/>
      <c r="B24" s="54">
        <v>20</v>
      </c>
      <c r="C24" s="65" t="s">
        <v>822</v>
      </c>
      <c r="D24" s="110">
        <v>136153</v>
      </c>
      <c r="E24" s="209" t="s">
        <v>945</v>
      </c>
      <c r="F24" s="111">
        <v>139145</v>
      </c>
      <c r="G24" s="212">
        <v>46224</v>
      </c>
      <c r="H24" s="212" t="s">
        <v>240</v>
      </c>
      <c r="I24" s="55">
        <f t="shared" si="0"/>
        <v>9</v>
      </c>
      <c r="J24" s="212">
        <v>46237</v>
      </c>
      <c r="K24" s="55">
        <f t="shared" si="4"/>
        <v>2</v>
      </c>
      <c r="L24" s="212" t="s">
        <v>250</v>
      </c>
      <c r="M24" s="55">
        <f t="shared" si="5"/>
        <v>1</v>
      </c>
      <c r="N24" s="50" t="s">
        <v>851</v>
      </c>
      <c r="O24" s="50" t="s">
        <v>612</v>
      </c>
      <c r="P24" s="56" t="s">
        <v>53</v>
      </c>
      <c r="Q24" s="190">
        <v>573.28260869565213</v>
      </c>
      <c r="R24" s="190">
        <v>573.28260869565213</v>
      </c>
      <c r="S24" s="57">
        <f t="shared" si="1"/>
        <v>0</v>
      </c>
      <c r="T24" s="57"/>
      <c r="U24" s="57"/>
      <c r="V24" s="58">
        <f t="shared" si="2"/>
        <v>57.328260869565213</v>
      </c>
      <c r="W24" s="59">
        <f t="shared" si="3"/>
        <v>0</v>
      </c>
    </row>
    <row r="25" spans="1:23" hidden="1" x14ac:dyDescent="0.35">
      <c r="A25" s="60"/>
      <c r="B25" s="54">
        <v>21</v>
      </c>
      <c r="C25" s="65" t="s">
        <v>822</v>
      </c>
      <c r="D25" s="110">
        <v>136506</v>
      </c>
      <c r="E25" s="209" t="s">
        <v>945</v>
      </c>
      <c r="F25" s="111">
        <v>139143</v>
      </c>
      <c r="G25" s="212">
        <v>46224</v>
      </c>
      <c r="H25" s="212" t="s">
        <v>245</v>
      </c>
      <c r="I25" s="55">
        <f t="shared" si="0"/>
        <v>1</v>
      </c>
      <c r="J25" s="212">
        <v>46230</v>
      </c>
      <c r="K25" s="55">
        <f t="shared" si="4"/>
        <v>5</v>
      </c>
      <c r="L25" s="212">
        <v>46230</v>
      </c>
      <c r="M25" s="55">
        <f t="shared" si="5"/>
        <v>1</v>
      </c>
      <c r="N25" s="50" t="s">
        <v>282</v>
      </c>
      <c r="O25" s="50" t="s">
        <v>613</v>
      </c>
      <c r="P25" s="56" t="s">
        <v>53</v>
      </c>
      <c r="Q25" s="190">
        <v>2760.8695652173915</v>
      </c>
      <c r="R25" s="190">
        <v>2760.8695652173915</v>
      </c>
      <c r="S25" s="57">
        <f t="shared" si="1"/>
        <v>0</v>
      </c>
      <c r="T25" s="57"/>
      <c r="U25" s="57"/>
      <c r="V25" s="58">
        <f t="shared" si="2"/>
        <v>276.08695652173918</v>
      </c>
      <c r="W25" s="59">
        <f t="shared" si="3"/>
        <v>0</v>
      </c>
    </row>
    <row r="26" spans="1:23" x14ac:dyDescent="0.35">
      <c r="A26" s="60"/>
      <c r="B26" s="54">
        <v>22</v>
      </c>
      <c r="C26" s="65" t="s">
        <v>822</v>
      </c>
      <c r="D26" s="110">
        <v>136258</v>
      </c>
      <c r="E26" s="209" t="s">
        <v>945</v>
      </c>
      <c r="F26" s="111">
        <v>139202</v>
      </c>
      <c r="G26" s="212">
        <v>46225</v>
      </c>
      <c r="H26" s="212" t="s">
        <v>246</v>
      </c>
      <c r="I26" s="55">
        <f t="shared" si="0"/>
        <v>2</v>
      </c>
      <c r="J26" s="212">
        <v>46241</v>
      </c>
      <c r="K26" s="55">
        <f t="shared" si="4"/>
        <v>12</v>
      </c>
      <c r="L26" s="212" t="s">
        <v>258</v>
      </c>
      <c r="M26" s="55">
        <f t="shared" si="5"/>
        <v>2</v>
      </c>
      <c r="N26" s="50" t="s">
        <v>283</v>
      </c>
      <c r="O26" s="50" t="s">
        <v>614</v>
      </c>
      <c r="P26" s="56" t="s">
        <v>53</v>
      </c>
      <c r="Q26" s="190">
        <v>3710.9300730236814</v>
      </c>
      <c r="R26" s="190">
        <v>3695.6521739130435</v>
      </c>
      <c r="S26" s="57">
        <f t="shared" si="1"/>
        <v>15.277899110637918</v>
      </c>
      <c r="T26" s="57"/>
      <c r="U26" s="57"/>
      <c r="V26" s="58">
        <f t="shared" si="2"/>
        <v>371.09300730236816</v>
      </c>
      <c r="W26" s="59">
        <f t="shared" si="3"/>
        <v>4.1169999999998439E-3</v>
      </c>
    </row>
    <row r="27" spans="1:23" hidden="1" x14ac:dyDescent="0.35">
      <c r="A27" s="60"/>
      <c r="B27" s="54">
        <v>23</v>
      </c>
      <c r="C27" s="65" t="s">
        <v>822</v>
      </c>
      <c r="D27" s="110">
        <v>136081</v>
      </c>
      <c r="E27" s="209" t="s">
        <v>945</v>
      </c>
      <c r="F27" s="111">
        <v>139174</v>
      </c>
      <c r="G27" s="212">
        <v>46225</v>
      </c>
      <c r="H27" s="212" t="s">
        <v>240</v>
      </c>
      <c r="I27" s="55">
        <f t="shared" si="0"/>
        <v>8</v>
      </c>
      <c r="J27" s="212">
        <v>46237</v>
      </c>
      <c r="K27" s="55">
        <f t="shared" si="4"/>
        <v>2</v>
      </c>
      <c r="L27" s="212" t="s">
        <v>250</v>
      </c>
      <c r="M27" s="55">
        <f t="shared" si="5"/>
        <v>1</v>
      </c>
      <c r="N27" s="50" t="s">
        <v>852</v>
      </c>
      <c r="O27" s="50" t="s">
        <v>605</v>
      </c>
      <c r="P27" s="56" t="s">
        <v>53</v>
      </c>
      <c r="Q27" s="190">
        <v>102153.65217391304</v>
      </c>
      <c r="R27" s="190">
        <v>102153.65217391304</v>
      </c>
      <c r="S27" s="57">
        <f t="shared" si="1"/>
        <v>0</v>
      </c>
      <c r="T27" s="57"/>
      <c r="U27" s="57"/>
      <c r="V27" s="58">
        <f t="shared" si="2"/>
        <v>10215.365217391305</v>
      </c>
      <c r="W27" s="59">
        <f t="shared" si="3"/>
        <v>0</v>
      </c>
    </row>
    <row r="28" spans="1:23" hidden="1" x14ac:dyDescent="0.35">
      <c r="A28" s="60"/>
      <c r="B28" s="54">
        <v>24</v>
      </c>
      <c r="C28" s="65" t="s">
        <v>822</v>
      </c>
      <c r="D28" s="110">
        <v>136082</v>
      </c>
      <c r="E28" s="209" t="s">
        <v>946</v>
      </c>
      <c r="F28" s="111">
        <v>139206</v>
      </c>
      <c r="G28" s="212">
        <v>46225</v>
      </c>
      <c r="H28" s="212" t="s">
        <v>244</v>
      </c>
      <c r="I28" s="55">
        <f t="shared" si="0"/>
        <v>7</v>
      </c>
      <c r="J28" s="212">
        <v>46237</v>
      </c>
      <c r="K28" s="55">
        <f t="shared" si="4"/>
        <v>3</v>
      </c>
      <c r="L28" s="212" t="s">
        <v>250</v>
      </c>
      <c r="M28" s="55">
        <f t="shared" si="5"/>
        <v>1</v>
      </c>
      <c r="N28" s="50" t="s">
        <v>284</v>
      </c>
      <c r="O28" s="50" t="s">
        <v>605</v>
      </c>
      <c r="P28" s="56" t="s">
        <v>53</v>
      </c>
      <c r="Q28" s="190">
        <v>2027.2989130434783</v>
      </c>
      <c r="R28" s="190">
        <v>2027.2989130434783</v>
      </c>
      <c r="S28" s="57">
        <f t="shared" si="1"/>
        <v>0</v>
      </c>
      <c r="T28" s="57"/>
      <c r="U28" s="57"/>
      <c r="V28" s="58">
        <f t="shared" si="2"/>
        <v>202.72989130434783</v>
      </c>
      <c r="W28" s="59">
        <f t="shared" si="3"/>
        <v>0</v>
      </c>
    </row>
    <row r="29" spans="1:23" hidden="1" x14ac:dyDescent="0.35">
      <c r="A29" s="60"/>
      <c r="B29" s="54">
        <v>25</v>
      </c>
      <c r="C29" s="65" t="s">
        <v>822</v>
      </c>
      <c r="D29" s="110">
        <v>136083</v>
      </c>
      <c r="E29" s="209" t="s">
        <v>945</v>
      </c>
      <c r="F29" s="111">
        <v>139190</v>
      </c>
      <c r="G29" s="212">
        <v>46225</v>
      </c>
      <c r="H29" s="212" t="s">
        <v>240</v>
      </c>
      <c r="I29" s="55">
        <f t="shared" si="0"/>
        <v>8</v>
      </c>
      <c r="J29" s="212">
        <v>46237</v>
      </c>
      <c r="K29" s="55">
        <f t="shared" si="4"/>
        <v>2</v>
      </c>
      <c r="L29" s="212" t="s">
        <v>250</v>
      </c>
      <c r="M29" s="55">
        <f t="shared" si="5"/>
        <v>1</v>
      </c>
      <c r="N29" s="50" t="s">
        <v>853</v>
      </c>
      <c r="O29" s="50" t="s">
        <v>605</v>
      </c>
      <c r="P29" s="56" t="s">
        <v>53</v>
      </c>
      <c r="Q29" s="190">
        <v>488.6521739130435</v>
      </c>
      <c r="R29" s="190">
        <v>488.6521739130435</v>
      </c>
      <c r="S29" s="57">
        <f t="shared" si="1"/>
        <v>0</v>
      </c>
      <c r="T29" s="57"/>
      <c r="U29" s="57"/>
      <c r="V29" s="58">
        <f t="shared" si="2"/>
        <v>48.865217391304355</v>
      </c>
      <c r="W29" s="59">
        <f t="shared" si="3"/>
        <v>0</v>
      </c>
    </row>
    <row r="30" spans="1:23" hidden="1" x14ac:dyDescent="0.35">
      <c r="A30" s="60"/>
      <c r="B30" s="54">
        <v>26</v>
      </c>
      <c r="C30" s="65" t="s">
        <v>822</v>
      </c>
      <c r="D30" s="110">
        <v>136084</v>
      </c>
      <c r="E30" s="209" t="s">
        <v>945</v>
      </c>
      <c r="F30" s="111">
        <v>139173</v>
      </c>
      <c r="G30" s="212">
        <v>46225</v>
      </c>
      <c r="H30" s="212" t="s">
        <v>240</v>
      </c>
      <c r="I30" s="55">
        <f t="shared" si="0"/>
        <v>8</v>
      </c>
      <c r="J30" s="212">
        <v>46237</v>
      </c>
      <c r="K30" s="55">
        <f t="shared" si="4"/>
        <v>2</v>
      </c>
      <c r="L30" s="212" t="s">
        <v>250</v>
      </c>
      <c r="M30" s="55">
        <f t="shared" si="5"/>
        <v>1</v>
      </c>
      <c r="N30" s="50" t="s">
        <v>854</v>
      </c>
      <c r="O30" s="50" t="s">
        <v>605</v>
      </c>
      <c r="P30" s="56" t="s">
        <v>53</v>
      </c>
      <c r="Q30" s="190">
        <v>13164.130434782608</v>
      </c>
      <c r="R30" s="190">
        <v>13164.130434782608</v>
      </c>
      <c r="S30" s="57">
        <f t="shared" si="1"/>
        <v>0</v>
      </c>
      <c r="T30" s="57"/>
      <c r="U30" s="57"/>
      <c r="V30" s="58">
        <f t="shared" si="2"/>
        <v>1316.413043478261</v>
      </c>
      <c r="W30" s="59">
        <f t="shared" si="3"/>
        <v>0</v>
      </c>
    </row>
    <row r="31" spans="1:23" hidden="1" x14ac:dyDescent="0.35">
      <c r="A31" s="60"/>
      <c r="B31" s="54">
        <v>27</v>
      </c>
      <c r="C31" s="65" t="s">
        <v>822</v>
      </c>
      <c r="D31" s="110">
        <v>136085</v>
      </c>
      <c r="E31" s="209" t="s">
        <v>946</v>
      </c>
      <c r="F31" s="111">
        <v>139200</v>
      </c>
      <c r="G31" s="212">
        <v>46225</v>
      </c>
      <c r="H31" s="212" t="s">
        <v>247</v>
      </c>
      <c r="I31" s="55">
        <f t="shared" si="0"/>
        <v>5</v>
      </c>
      <c r="J31" s="212">
        <v>46237</v>
      </c>
      <c r="K31" s="55">
        <f t="shared" si="4"/>
        <v>5</v>
      </c>
      <c r="L31" s="212" t="s">
        <v>250</v>
      </c>
      <c r="M31" s="55">
        <f t="shared" si="5"/>
        <v>1</v>
      </c>
      <c r="N31" s="50" t="s">
        <v>285</v>
      </c>
      <c r="O31" s="50" t="s">
        <v>615</v>
      </c>
      <c r="P31" s="56" t="s">
        <v>53</v>
      </c>
      <c r="Q31" s="190">
        <v>26.086956521739129</v>
      </c>
      <c r="R31" s="190">
        <v>26.086956521739129</v>
      </c>
      <c r="S31" s="57">
        <f t="shared" si="1"/>
        <v>0</v>
      </c>
      <c r="T31" s="57"/>
      <c r="U31" s="57"/>
      <c r="V31" s="58">
        <f t="shared" si="2"/>
        <v>2.6086956521739131</v>
      </c>
      <c r="W31" s="59">
        <f t="shared" si="3"/>
        <v>0</v>
      </c>
    </row>
    <row r="32" spans="1:23" hidden="1" x14ac:dyDescent="0.35">
      <c r="A32" s="60"/>
      <c r="B32" s="54">
        <v>28</v>
      </c>
      <c r="C32" s="65" t="s">
        <v>822</v>
      </c>
      <c r="D32" s="110">
        <v>136132</v>
      </c>
      <c r="E32" s="209" t="s">
        <v>945</v>
      </c>
      <c r="F32" s="111">
        <v>139194</v>
      </c>
      <c r="G32" s="212">
        <v>46231</v>
      </c>
      <c r="H32" s="212" t="s">
        <v>240</v>
      </c>
      <c r="I32" s="55">
        <f t="shared" si="0"/>
        <v>4</v>
      </c>
      <c r="J32" s="212">
        <v>46237</v>
      </c>
      <c r="K32" s="55">
        <f t="shared" si="4"/>
        <v>2</v>
      </c>
      <c r="L32" s="212" t="s">
        <v>250</v>
      </c>
      <c r="M32" s="55">
        <f t="shared" si="5"/>
        <v>1</v>
      </c>
      <c r="N32" s="50" t="s">
        <v>855</v>
      </c>
      <c r="O32" s="50" t="s">
        <v>605</v>
      </c>
      <c r="P32" s="56" t="s">
        <v>53</v>
      </c>
      <c r="Q32" s="190">
        <v>5229.782608695652</v>
      </c>
      <c r="R32" s="190">
        <v>5229.782608695652</v>
      </c>
      <c r="S32" s="57">
        <f t="shared" si="1"/>
        <v>0</v>
      </c>
      <c r="T32" s="57"/>
      <c r="U32" s="57"/>
      <c r="V32" s="58">
        <f t="shared" si="2"/>
        <v>522.97826086956525</v>
      </c>
      <c r="W32" s="59">
        <f t="shared" si="3"/>
        <v>0</v>
      </c>
    </row>
    <row r="33" spans="1:23" hidden="1" x14ac:dyDescent="0.35">
      <c r="A33" s="60"/>
      <c r="B33" s="54">
        <v>29</v>
      </c>
      <c r="C33" s="65" t="s">
        <v>822</v>
      </c>
      <c r="D33" s="110">
        <v>136133</v>
      </c>
      <c r="E33" s="209" t="s">
        <v>945</v>
      </c>
      <c r="F33" s="111">
        <v>139193</v>
      </c>
      <c r="G33" s="212">
        <v>46231</v>
      </c>
      <c r="H33" s="212" t="s">
        <v>240</v>
      </c>
      <c r="I33" s="55">
        <f t="shared" si="0"/>
        <v>4</v>
      </c>
      <c r="J33" s="212">
        <v>46237</v>
      </c>
      <c r="K33" s="55">
        <f t="shared" si="4"/>
        <v>2</v>
      </c>
      <c r="L33" s="212" t="s">
        <v>250</v>
      </c>
      <c r="M33" s="55">
        <f t="shared" si="5"/>
        <v>1</v>
      </c>
      <c r="N33" s="50" t="s">
        <v>856</v>
      </c>
      <c r="O33" s="50" t="s">
        <v>605</v>
      </c>
      <c r="P33" s="56" t="s">
        <v>53</v>
      </c>
      <c r="Q33" s="190">
        <v>7721.739130434783</v>
      </c>
      <c r="R33" s="190">
        <v>7721.739130434783</v>
      </c>
      <c r="S33" s="57">
        <f t="shared" si="1"/>
        <v>0</v>
      </c>
      <c r="T33" s="57"/>
      <c r="U33" s="57"/>
      <c r="V33" s="58">
        <f t="shared" si="2"/>
        <v>772.17391304347836</v>
      </c>
      <c r="W33" s="59">
        <f t="shared" si="3"/>
        <v>0</v>
      </c>
    </row>
    <row r="34" spans="1:23" hidden="1" x14ac:dyDescent="0.35">
      <c r="A34" s="60"/>
      <c r="B34" s="54">
        <v>30</v>
      </c>
      <c r="C34" s="65" t="s">
        <v>822</v>
      </c>
      <c r="D34" s="110">
        <v>136134</v>
      </c>
      <c r="E34" s="209" t="s">
        <v>945</v>
      </c>
      <c r="F34" s="111">
        <v>139192</v>
      </c>
      <c r="G34" s="212">
        <v>46231</v>
      </c>
      <c r="H34" s="212" t="s">
        <v>240</v>
      </c>
      <c r="I34" s="55">
        <f t="shared" si="0"/>
        <v>4</v>
      </c>
      <c r="J34" s="212">
        <v>46237</v>
      </c>
      <c r="K34" s="55">
        <f t="shared" si="4"/>
        <v>2</v>
      </c>
      <c r="L34" s="212" t="s">
        <v>250</v>
      </c>
      <c r="M34" s="55">
        <f t="shared" si="5"/>
        <v>1</v>
      </c>
      <c r="N34" s="50" t="s">
        <v>857</v>
      </c>
      <c r="O34" s="50" t="s">
        <v>605</v>
      </c>
      <c r="P34" s="56" t="s">
        <v>53</v>
      </c>
      <c r="Q34" s="190">
        <v>11885.869565217392</v>
      </c>
      <c r="R34" s="190">
        <v>11885.869565217392</v>
      </c>
      <c r="S34" s="57">
        <f t="shared" si="1"/>
        <v>0</v>
      </c>
      <c r="T34" s="57"/>
      <c r="U34" s="57"/>
      <c r="V34" s="58">
        <f t="shared" si="2"/>
        <v>1188.5869565217392</v>
      </c>
      <c r="W34" s="59">
        <f t="shared" si="3"/>
        <v>0</v>
      </c>
    </row>
    <row r="35" spans="1:23" hidden="1" x14ac:dyDescent="0.35">
      <c r="A35" s="60"/>
      <c r="B35" s="54">
        <v>31</v>
      </c>
      <c r="C35" s="65" t="s">
        <v>822</v>
      </c>
      <c r="D35" s="110">
        <v>136135</v>
      </c>
      <c r="E35" s="209" t="s">
        <v>945</v>
      </c>
      <c r="F35" s="111">
        <v>139191</v>
      </c>
      <c r="G35" s="212">
        <v>46231</v>
      </c>
      <c r="H35" s="212" t="s">
        <v>240</v>
      </c>
      <c r="I35" s="55">
        <f t="shared" si="0"/>
        <v>4</v>
      </c>
      <c r="J35" s="212">
        <v>46237</v>
      </c>
      <c r="K35" s="55">
        <f t="shared" si="4"/>
        <v>2</v>
      </c>
      <c r="L35" s="212" t="s">
        <v>250</v>
      </c>
      <c r="M35" s="55">
        <f t="shared" si="5"/>
        <v>1</v>
      </c>
      <c r="N35" s="50" t="s">
        <v>858</v>
      </c>
      <c r="O35" s="50" t="s">
        <v>605</v>
      </c>
      <c r="P35" s="56" t="s">
        <v>53</v>
      </c>
      <c r="Q35" s="190">
        <v>792.39130434782612</v>
      </c>
      <c r="R35" s="190">
        <v>792.39130434782612</v>
      </c>
      <c r="S35" s="57">
        <f t="shared" si="1"/>
        <v>0</v>
      </c>
      <c r="T35" s="57"/>
      <c r="U35" s="57"/>
      <c r="V35" s="58">
        <f t="shared" si="2"/>
        <v>79.239130434782624</v>
      </c>
      <c r="W35" s="59">
        <f t="shared" si="3"/>
        <v>0</v>
      </c>
    </row>
    <row r="36" spans="1:23" hidden="1" x14ac:dyDescent="0.35">
      <c r="A36" s="60"/>
      <c r="B36" s="54">
        <v>32</v>
      </c>
      <c r="C36" s="65" t="s">
        <v>822</v>
      </c>
      <c r="D36" s="110">
        <v>136136</v>
      </c>
      <c r="E36" s="209" t="s">
        <v>945</v>
      </c>
      <c r="F36" s="111">
        <v>139189</v>
      </c>
      <c r="G36" s="212">
        <v>46231</v>
      </c>
      <c r="H36" s="212" t="s">
        <v>240</v>
      </c>
      <c r="I36" s="55">
        <f t="shared" si="0"/>
        <v>4</v>
      </c>
      <c r="J36" s="212">
        <v>46237</v>
      </c>
      <c r="K36" s="55">
        <f t="shared" si="4"/>
        <v>2</v>
      </c>
      <c r="L36" s="212" t="s">
        <v>250</v>
      </c>
      <c r="M36" s="55">
        <f t="shared" si="5"/>
        <v>1</v>
      </c>
      <c r="N36" s="50" t="s">
        <v>859</v>
      </c>
      <c r="O36" s="50" t="s">
        <v>605</v>
      </c>
      <c r="P36" s="56" t="s">
        <v>53</v>
      </c>
      <c r="Q36" s="190">
        <v>827</v>
      </c>
      <c r="R36" s="190">
        <v>827</v>
      </c>
      <c r="S36" s="57">
        <f t="shared" si="1"/>
        <v>0</v>
      </c>
      <c r="T36" s="57"/>
      <c r="U36" s="57"/>
      <c r="V36" s="58">
        <f t="shared" si="2"/>
        <v>82.7</v>
      </c>
      <c r="W36" s="59">
        <f t="shared" si="3"/>
        <v>0</v>
      </c>
    </row>
    <row r="37" spans="1:23" hidden="1" x14ac:dyDescent="0.35">
      <c r="A37" s="60"/>
      <c r="B37" s="54">
        <v>33</v>
      </c>
      <c r="C37" s="65" t="s">
        <v>822</v>
      </c>
      <c r="D37" s="110">
        <v>136137</v>
      </c>
      <c r="E37" s="209" t="s">
        <v>945</v>
      </c>
      <c r="F37" s="111">
        <v>139188</v>
      </c>
      <c r="G37" s="212">
        <v>46231</v>
      </c>
      <c r="H37" s="212" t="s">
        <v>240</v>
      </c>
      <c r="I37" s="55">
        <f t="shared" si="0"/>
        <v>4</v>
      </c>
      <c r="J37" s="212">
        <v>46237</v>
      </c>
      <c r="K37" s="55">
        <f t="shared" si="4"/>
        <v>2</v>
      </c>
      <c r="L37" s="212" t="s">
        <v>250</v>
      </c>
      <c r="M37" s="55">
        <f t="shared" si="5"/>
        <v>1</v>
      </c>
      <c r="N37" s="50" t="s">
        <v>860</v>
      </c>
      <c r="O37" s="50" t="s">
        <v>605</v>
      </c>
      <c r="P37" s="56" t="s">
        <v>53</v>
      </c>
      <c r="Q37" s="190">
        <v>10944</v>
      </c>
      <c r="R37" s="190">
        <v>10944</v>
      </c>
      <c r="S37" s="57">
        <f t="shared" si="1"/>
        <v>0</v>
      </c>
      <c r="T37" s="57"/>
      <c r="U37" s="57"/>
      <c r="V37" s="58">
        <f t="shared" si="2"/>
        <v>1094.4000000000001</v>
      </c>
      <c r="W37" s="59">
        <f t="shared" si="3"/>
        <v>0</v>
      </c>
    </row>
    <row r="38" spans="1:23" hidden="1" x14ac:dyDescent="0.35">
      <c r="A38" s="60"/>
      <c r="B38" s="54">
        <v>34</v>
      </c>
      <c r="C38" s="65" t="s">
        <v>822</v>
      </c>
      <c r="D38" s="110">
        <v>136138</v>
      </c>
      <c r="E38" s="209" t="s">
        <v>945</v>
      </c>
      <c r="F38" s="111">
        <v>139187</v>
      </c>
      <c r="G38" s="212">
        <v>46231</v>
      </c>
      <c r="H38" s="212" t="s">
        <v>240</v>
      </c>
      <c r="I38" s="55">
        <f t="shared" si="0"/>
        <v>4</v>
      </c>
      <c r="J38" s="212">
        <v>46237</v>
      </c>
      <c r="K38" s="55">
        <f t="shared" si="4"/>
        <v>2</v>
      </c>
      <c r="L38" s="212" t="s">
        <v>250</v>
      </c>
      <c r="M38" s="55">
        <f t="shared" si="5"/>
        <v>1</v>
      </c>
      <c r="N38" s="50" t="s">
        <v>861</v>
      </c>
      <c r="O38" s="50" t="s">
        <v>605</v>
      </c>
      <c r="P38" s="56" t="s">
        <v>53</v>
      </c>
      <c r="Q38" s="190">
        <v>1085.0434782608695</v>
      </c>
      <c r="R38" s="190">
        <v>1085.0434782608695</v>
      </c>
      <c r="S38" s="57">
        <f t="shared" si="1"/>
        <v>0</v>
      </c>
      <c r="T38" s="57"/>
      <c r="U38" s="57"/>
      <c r="V38" s="58">
        <f t="shared" si="2"/>
        <v>108.50434782608696</v>
      </c>
      <c r="W38" s="59">
        <f t="shared" si="3"/>
        <v>0</v>
      </c>
    </row>
    <row r="39" spans="1:23" hidden="1" x14ac:dyDescent="0.35">
      <c r="A39" s="60"/>
      <c r="B39" s="54">
        <v>35</v>
      </c>
      <c r="C39" s="65" t="s">
        <v>822</v>
      </c>
      <c r="D39" s="110">
        <v>136139</v>
      </c>
      <c r="E39" s="209" t="s">
        <v>945</v>
      </c>
      <c r="F39" s="111">
        <v>139178</v>
      </c>
      <c r="G39" s="212">
        <v>46231</v>
      </c>
      <c r="H39" s="212" t="s">
        <v>240</v>
      </c>
      <c r="I39" s="55">
        <f t="shared" si="0"/>
        <v>4</v>
      </c>
      <c r="J39" s="212">
        <v>46237</v>
      </c>
      <c r="K39" s="55">
        <f t="shared" si="4"/>
        <v>2</v>
      </c>
      <c r="L39" s="212" t="s">
        <v>250</v>
      </c>
      <c r="M39" s="55">
        <f t="shared" si="5"/>
        <v>1</v>
      </c>
      <c r="N39" s="50" t="s">
        <v>862</v>
      </c>
      <c r="O39" s="50" t="s">
        <v>605</v>
      </c>
      <c r="P39" s="56" t="s">
        <v>53</v>
      </c>
      <c r="Q39" s="190">
        <v>33270.304347826088</v>
      </c>
      <c r="R39" s="190">
        <v>33270.304347826088</v>
      </c>
      <c r="S39" s="57">
        <f t="shared" si="1"/>
        <v>0</v>
      </c>
      <c r="T39" s="57"/>
      <c r="U39" s="57"/>
      <c r="V39" s="58">
        <f t="shared" si="2"/>
        <v>3327.0304347826091</v>
      </c>
      <c r="W39" s="59">
        <f t="shared" si="3"/>
        <v>0</v>
      </c>
    </row>
    <row r="40" spans="1:23" hidden="1" x14ac:dyDescent="0.35">
      <c r="A40" s="60"/>
      <c r="B40" s="54">
        <v>36</v>
      </c>
      <c r="C40" s="65" t="s">
        <v>822</v>
      </c>
      <c r="D40" s="110">
        <v>136141</v>
      </c>
      <c r="E40" s="209" t="s">
        <v>945</v>
      </c>
      <c r="F40" s="111">
        <v>139186</v>
      </c>
      <c r="G40" s="212">
        <v>46231</v>
      </c>
      <c r="H40" s="212" t="s">
        <v>240</v>
      </c>
      <c r="I40" s="55">
        <f t="shared" si="0"/>
        <v>4</v>
      </c>
      <c r="J40" s="212">
        <v>46237</v>
      </c>
      <c r="K40" s="55">
        <f t="shared" si="4"/>
        <v>2</v>
      </c>
      <c r="L40" s="212" t="s">
        <v>250</v>
      </c>
      <c r="M40" s="55">
        <f t="shared" si="5"/>
        <v>1</v>
      </c>
      <c r="N40" s="50" t="s">
        <v>863</v>
      </c>
      <c r="O40" s="50" t="s">
        <v>605</v>
      </c>
      <c r="P40" s="56" t="s">
        <v>53</v>
      </c>
      <c r="Q40" s="190">
        <v>434.78260869565219</v>
      </c>
      <c r="R40" s="190">
        <v>434.78260869565219</v>
      </c>
      <c r="S40" s="57">
        <f t="shared" si="1"/>
        <v>0</v>
      </c>
      <c r="T40" s="57"/>
      <c r="U40" s="57"/>
      <c r="V40" s="58">
        <f t="shared" si="2"/>
        <v>43.478260869565219</v>
      </c>
      <c r="W40" s="59">
        <f t="shared" si="3"/>
        <v>0</v>
      </c>
    </row>
    <row r="41" spans="1:23" hidden="1" x14ac:dyDescent="0.35">
      <c r="A41" s="60"/>
      <c r="B41" s="54">
        <v>37</v>
      </c>
      <c r="C41" s="65" t="s">
        <v>822</v>
      </c>
      <c r="D41" s="110">
        <v>136142</v>
      </c>
      <c r="E41" s="209" t="s">
        <v>945</v>
      </c>
      <c r="F41" s="111">
        <v>139185</v>
      </c>
      <c r="G41" s="212">
        <v>46231</v>
      </c>
      <c r="H41" s="212" t="s">
        <v>240</v>
      </c>
      <c r="I41" s="55">
        <f t="shared" si="0"/>
        <v>4</v>
      </c>
      <c r="J41" s="212">
        <v>46237</v>
      </c>
      <c r="K41" s="55">
        <f t="shared" si="4"/>
        <v>2</v>
      </c>
      <c r="L41" s="212" t="s">
        <v>250</v>
      </c>
      <c r="M41" s="55">
        <f t="shared" si="5"/>
        <v>1</v>
      </c>
      <c r="N41" s="50" t="s">
        <v>864</v>
      </c>
      <c r="O41" s="50" t="s">
        <v>605</v>
      </c>
      <c r="P41" s="56" t="s">
        <v>53</v>
      </c>
      <c r="Q41" s="190">
        <v>4835.2181159413049</v>
      </c>
      <c r="R41" s="190">
        <v>4835.2181159413049</v>
      </c>
      <c r="S41" s="57">
        <f t="shared" si="1"/>
        <v>0</v>
      </c>
      <c r="T41" s="57"/>
      <c r="U41" s="57"/>
      <c r="V41" s="58">
        <f t="shared" si="2"/>
        <v>483.5218115941305</v>
      </c>
      <c r="W41" s="59">
        <f t="shared" si="3"/>
        <v>0</v>
      </c>
    </row>
    <row r="42" spans="1:23" hidden="1" x14ac:dyDescent="0.35">
      <c r="A42" s="60"/>
      <c r="B42" s="54">
        <v>38</v>
      </c>
      <c r="C42" s="65" t="s">
        <v>822</v>
      </c>
      <c r="D42" s="110">
        <v>136143</v>
      </c>
      <c r="E42" s="209" t="s">
        <v>945</v>
      </c>
      <c r="F42" s="111">
        <v>139184</v>
      </c>
      <c r="G42" s="212">
        <v>46231</v>
      </c>
      <c r="H42" s="212" t="s">
        <v>240</v>
      </c>
      <c r="I42" s="55">
        <f t="shared" si="0"/>
        <v>4</v>
      </c>
      <c r="J42" s="212">
        <v>46237</v>
      </c>
      <c r="K42" s="55">
        <f t="shared" si="4"/>
        <v>2</v>
      </c>
      <c r="L42" s="212" t="s">
        <v>250</v>
      </c>
      <c r="M42" s="55">
        <f t="shared" si="5"/>
        <v>1</v>
      </c>
      <c r="N42" s="66" t="s">
        <v>865</v>
      </c>
      <c r="O42" s="50" t="s">
        <v>605</v>
      </c>
      <c r="P42" s="56" t="s">
        <v>53</v>
      </c>
      <c r="Q42" s="190">
        <v>1924.1576086956522</v>
      </c>
      <c r="R42" s="190">
        <v>1924.1576086956522</v>
      </c>
      <c r="S42" s="57">
        <f t="shared" si="1"/>
        <v>0</v>
      </c>
      <c r="T42" s="57"/>
      <c r="U42" s="57"/>
      <c r="V42" s="58">
        <f t="shared" si="2"/>
        <v>192.41576086956525</v>
      </c>
      <c r="W42" s="59">
        <f t="shared" si="3"/>
        <v>0</v>
      </c>
    </row>
    <row r="43" spans="1:23" hidden="1" x14ac:dyDescent="0.35">
      <c r="A43" s="60"/>
      <c r="B43" s="54">
        <v>39</v>
      </c>
      <c r="C43" s="65" t="s">
        <v>822</v>
      </c>
      <c r="D43" s="110">
        <v>136144</v>
      </c>
      <c r="E43" s="209" t="s">
        <v>945</v>
      </c>
      <c r="F43" s="111">
        <v>139183</v>
      </c>
      <c r="G43" s="212">
        <v>46231</v>
      </c>
      <c r="H43" s="212" t="s">
        <v>240</v>
      </c>
      <c r="I43" s="55">
        <f t="shared" si="0"/>
        <v>4</v>
      </c>
      <c r="J43" s="212">
        <v>46237</v>
      </c>
      <c r="K43" s="55">
        <f t="shared" si="4"/>
        <v>2</v>
      </c>
      <c r="L43" s="212" t="s">
        <v>250</v>
      </c>
      <c r="M43" s="55">
        <f t="shared" si="5"/>
        <v>1</v>
      </c>
      <c r="N43" s="66" t="s">
        <v>866</v>
      </c>
      <c r="O43" s="50" t="s">
        <v>605</v>
      </c>
      <c r="P43" s="56" t="s">
        <v>53</v>
      </c>
      <c r="Q43" s="190">
        <v>327.30434782608694</v>
      </c>
      <c r="R43" s="190">
        <v>327.30434782608694</v>
      </c>
      <c r="S43" s="57">
        <f t="shared" si="1"/>
        <v>0</v>
      </c>
      <c r="T43" s="57"/>
      <c r="U43" s="57"/>
      <c r="V43" s="58">
        <f t="shared" si="2"/>
        <v>32.730434782608697</v>
      </c>
      <c r="W43" s="59">
        <f t="shared" si="3"/>
        <v>0</v>
      </c>
    </row>
    <row r="44" spans="1:23" hidden="1" x14ac:dyDescent="0.35">
      <c r="A44" s="60"/>
      <c r="B44" s="54">
        <v>40</v>
      </c>
      <c r="C44" s="65" t="s">
        <v>822</v>
      </c>
      <c r="D44" s="110">
        <v>136145</v>
      </c>
      <c r="E44" s="209" t="s">
        <v>945</v>
      </c>
      <c r="F44" s="111">
        <v>139182</v>
      </c>
      <c r="G44" s="212">
        <v>46231</v>
      </c>
      <c r="H44" s="212" t="s">
        <v>240</v>
      </c>
      <c r="I44" s="55">
        <f t="shared" si="0"/>
        <v>4</v>
      </c>
      <c r="J44" s="212">
        <v>46237</v>
      </c>
      <c r="K44" s="55">
        <f t="shared" si="4"/>
        <v>2</v>
      </c>
      <c r="L44" s="212" t="s">
        <v>250</v>
      </c>
      <c r="M44" s="55">
        <f t="shared" si="5"/>
        <v>1</v>
      </c>
      <c r="N44" s="66" t="s">
        <v>867</v>
      </c>
      <c r="O44" s="50" t="s">
        <v>605</v>
      </c>
      <c r="P44" s="56" t="s">
        <v>53</v>
      </c>
      <c r="Q44" s="190">
        <v>526.56521739130437</v>
      </c>
      <c r="R44" s="190">
        <v>526.56521739130437</v>
      </c>
      <c r="S44" s="57">
        <f t="shared" si="1"/>
        <v>0</v>
      </c>
      <c r="T44" s="57"/>
      <c r="U44" s="57"/>
      <c r="V44" s="58">
        <f t="shared" si="2"/>
        <v>52.65652173913044</v>
      </c>
      <c r="W44" s="59">
        <f t="shared" si="3"/>
        <v>0</v>
      </c>
    </row>
    <row r="45" spans="1:23" hidden="1" x14ac:dyDescent="0.35">
      <c r="A45" s="60"/>
      <c r="B45" s="54">
        <v>41</v>
      </c>
      <c r="C45" s="65" t="s">
        <v>822</v>
      </c>
      <c r="D45" s="110">
        <v>136146</v>
      </c>
      <c r="E45" s="209" t="s">
        <v>945</v>
      </c>
      <c r="F45" s="111">
        <v>139180</v>
      </c>
      <c r="G45" s="212">
        <v>46231</v>
      </c>
      <c r="H45" s="212" t="s">
        <v>240</v>
      </c>
      <c r="I45" s="55">
        <f t="shared" si="0"/>
        <v>4</v>
      </c>
      <c r="J45" s="212">
        <v>46237</v>
      </c>
      <c r="K45" s="55">
        <f t="shared" si="4"/>
        <v>2</v>
      </c>
      <c r="L45" s="212" t="s">
        <v>250</v>
      </c>
      <c r="M45" s="55">
        <f t="shared" si="5"/>
        <v>1</v>
      </c>
      <c r="N45" s="50" t="s">
        <v>868</v>
      </c>
      <c r="O45" s="50" t="s">
        <v>605</v>
      </c>
      <c r="P45" s="56" t="s">
        <v>53</v>
      </c>
      <c r="Q45" s="190">
        <v>13097.782608695652</v>
      </c>
      <c r="R45" s="190">
        <v>13097.782608695652</v>
      </c>
      <c r="S45" s="57">
        <f t="shared" si="1"/>
        <v>0</v>
      </c>
      <c r="T45" s="57"/>
      <c r="U45" s="57"/>
      <c r="V45" s="58">
        <f t="shared" si="2"/>
        <v>1309.7782608695652</v>
      </c>
      <c r="W45" s="59">
        <f t="shared" si="3"/>
        <v>0</v>
      </c>
    </row>
    <row r="46" spans="1:23" hidden="1" x14ac:dyDescent="0.35">
      <c r="A46" s="60"/>
      <c r="B46" s="54">
        <v>42</v>
      </c>
      <c r="C46" s="65" t="s">
        <v>822</v>
      </c>
      <c r="D46" s="110">
        <v>136147</v>
      </c>
      <c r="E46" s="209" t="s">
        <v>945</v>
      </c>
      <c r="F46" s="111">
        <v>139181</v>
      </c>
      <c r="G46" s="212">
        <v>46231</v>
      </c>
      <c r="H46" s="212" t="s">
        <v>240</v>
      </c>
      <c r="I46" s="55">
        <f t="shared" si="0"/>
        <v>4</v>
      </c>
      <c r="J46" s="212">
        <v>46237</v>
      </c>
      <c r="K46" s="55">
        <f t="shared" si="4"/>
        <v>2</v>
      </c>
      <c r="L46" s="212" t="s">
        <v>250</v>
      </c>
      <c r="M46" s="55">
        <f t="shared" si="5"/>
        <v>1</v>
      </c>
      <c r="N46" s="50" t="s">
        <v>869</v>
      </c>
      <c r="O46" s="50" t="s">
        <v>605</v>
      </c>
      <c r="P46" s="56" t="s">
        <v>53</v>
      </c>
      <c r="Q46" s="190">
        <v>3510.4347826086955</v>
      </c>
      <c r="R46" s="190">
        <v>3510.4347826086955</v>
      </c>
      <c r="S46" s="57">
        <f t="shared" si="1"/>
        <v>0</v>
      </c>
      <c r="T46" s="57"/>
      <c r="U46" s="57"/>
      <c r="V46" s="58">
        <f t="shared" si="2"/>
        <v>351.04347826086956</v>
      </c>
      <c r="W46" s="59">
        <f t="shared" si="3"/>
        <v>0</v>
      </c>
    </row>
    <row r="47" spans="1:23" hidden="1" x14ac:dyDescent="0.35">
      <c r="A47" s="60"/>
      <c r="B47" s="54">
        <v>43</v>
      </c>
      <c r="C47" s="65" t="s">
        <v>822</v>
      </c>
      <c r="D47" s="110">
        <v>136148</v>
      </c>
      <c r="E47" s="209" t="s">
        <v>945</v>
      </c>
      <c r="F47" s="111">
        <v>139179</v>
      </c>
      <c r="G47" s="212">
        <v>46231</v>
      </c>
      <c r="H47" s="212" t="s">
        <v>240</v>
      </c>
      <c r="I47" s="55">
        <f t="shared" si="0"/>
        <v>4</v>
      </c>
      <c r="J47" s="212">
        <v>46237</v>
      </c>
      <c r="K47" s="55">
        <f t="shared" si="4"/>
        <v>2</v>
      </c>
      <c r="L47" s="212" t="s">
        <v>250</v>
      </c>
      <c r="M47" s="55">
        <f t="shared" si="5"/>
        <v>1</v>
      </c>
      <c r="N47" s="50" t="s">
        <v>870</v>
      </c>
      <c r="O47" s="50" t="s">
        <v>605</v>
      </c>
      <c r="P47" s="56" t="s">
        <v>53</v>
      </c>
      <c r="Q47" s="190">
        <v>15797</v>
      </c>
      <c r="R47" s="190">
        <v>15797</v>
      </c>
      <c r="S47" s="57">
        <f t="shared" si="1"/>
        <v>0</v>
      </c>
      <c r="T47" s="57"/>
      <c r="U47" s="57"/>
      <c r="V47" s="58">
        <f t="shared" si="2"/>
        <v>1579.7</v>
      </c>
      <c r="W47" s="59">
        <f t="shared" si="3"/>
        <v>0</v>
      </c>
    </row>
    <row r="48" spans="1:23" hidden="1" x14ac:dyDescent="0.35">
      <c r="A48" s="60"/>
      <c r="B48" s="54">
        <v>44</v>
      </c>
      <c r="C48" s="65" t="s">
        <v>822</v>
      </c>
      <c r="D48" s="110">
        <v>136149</v>
      </c>
      <c r="E48" s="209" t="s">
        <v>945</v>
      </c>
      <c r="F48" s="111">
        <v>139177</v>
      </c>
      <c r="G48" s="212">
        <v>46231</v>
      </c>
      <c r="H48" s="212" t="s">
        <v>240</v>
      </c>
      <c r="I48" s="55">
        <f t="shared" si="0"/>
        <v>4</v>
      </c>
      <c r="J48" s="212">
        <v>46237</v>
      </c>
      <c r="K48" s="55">
        <f t="shared" si="4"/>
        <v>2</v>
      </c>
      <c r="L48" s="212" t="s">
        <v>250</v>
      </c>
      <c r="M48" s="55">
        <f t="shared" si="5"/>
        <v>1</v>
      </c>
      <c r="N48" s="50" t="s">
        <v>871</v>
      </c>
      <c r="O48" s="50" t="s">
        <v>605</v>
      </c>
      <c r="P48" s="56" t="s">
        <v>53</v>
      </c>
      <c r="Q48" s="190">
        <v>4388.04347826087</v>
      </c>
      <c r="R48" s="190">
        <v>4388.04347826087</v>
      </c>
      <c r="S48" s="57">
        <f t="shared" si="1"/>
        <v>0</v>
      </c>
      <c r="T48" s="57"/>
      <c r="U48" s="57"/>
      <c r="V48" s="58">
        <f t="shared" si="2"/>
        <v>438.804347826087</v>
      </c>
      <c r="W48" s="59">
        <f t="shared" si="3"/>
        <v>0</v>
      </c>
    </row>
    <row r="49" spans="1:23" hidden="1" x14ac:dyDescent="0.35">
      <c r="A49" s="60"/>
      <c r="B49" s="54">
        <v>45</v>
      </c>
      <c r="C49" s="65" t="s">
        <v>822</v>
      </c>
      <c r="D49" s="110">
        <v>136150</v>
      </c>
      <c r="E49" s="209" t="s">
        <v>945</v>
      </c>
      <c r="F49" s="111">
        <v>139176</v>
      </c>
      <c r="G49" s="212">
        <v>46231</v>
      </c>
      <c r="H49" s="212" t="s">
        <v>240</v>
      </c>
      <c r="I49" s="55">
        <f t="shared" si="0"/>
        <v>4</v>
      </c>
      <c r="J49" s="212">
        <v>46237</v>
      </c>
      <c r="K49" s="55">
        <f t="shared" si="4"/>
        <v>2</v>
      </c>
      <c r="L49" s="212" t="s">
        <v>250</v>
      </c>
      <c r="M49" s="55">
        <f t="shared" si="5"/>
        <v>1</v>
      </c>
      <c r="N49" s="50" t="s">
        <v>872</v>
      </c>
      <c r="O49" s="50" t="s">
        <v>605</v>
      </c>
      <c r="P49" s="56" t="s">
        <v>53</v>
      </c>
      <c r="Q49" s="190">
        <v>11584.434782608696</v>
      </c>
      <c r="R49" s="190">
        <v>11584.434782608696</v>
      </c>
      <c r="S49" s="57">
        <f t="shared" si="1"/>
        <v>0</v>
      </c>
      <c r="T49" s="57"/>
      <c r="U49" s="57"/>
      <c r="V49" s="58">
        <f t="shared" si="2"/>
        <v>1158.4434782608696</v>
      </c>
      <c r="W49" s="59">
        <f t="shared" si="3"/>
        <v>0</v>
      </c>
    </row>
    <row r="50" spans="1:23" hidden="1" x14ac:dyDescent="0.35">
      <c r="A50" s="60"/>
      <c r="B50" s="54">
        <v>46</v>
      </c>
      <c r="C50" s="65" t="s">
        <v>822</v>
      </c>
      <c r="D50" s="110">
        <v>136151</v>
      </c>
      <c r="E50" s="209" t="s">
        <v>945</v>
      </c>
      <c r="F50" s="111">
        <v>139171</v>
      </c>
      <c r="G50" s="212">
        <v>46231</v>
      </c>
      <c r="H50" s="212" t="s">
        <v>240</v>
      </c>
      <c r="I50" s="55">
        <f t="shared" si="0"/>
        <v>4</v>
      </c>
      <c r="J50" s="212">
        <v>46237</v>
      </c>
      <c r="K50" s="55">
        <f t="shared" si="4"/>
        <v>2</v>
      </c>
      <c r="L50" s="212" t="s">
        <v>250</v>
      </c>
      <c r="M50" s="55">
        <f t="shared" si="5"/>
        <v>1</v>
      </c>
      <c r="N50" s="50" t="s">
        <v>873</v>
      </c>
      <c r="O50" s="50" t="s">
        <v>605</v>
      </c>
      <c r="P50" s="56" t="s">
        <v>53</v>
      </c>
      <c r="Q50" s="190">
        <v>877.60869565217388</v>
      </c>
      <c r="R50" s="190">
        <v>877.60869565217388</v>
      </c>
      <c r="S50" s="57">
        <f t="shared" si="1"/>
        <v>0</v>
      </c>
      <c r="T50" s="57"/>
      <c r="U50" s="57"/>
      <c r="V50" s="58">
        <f t="shared" si="2"/>
        <v>87.760869565217391</v>
      </c>
      <c r="W50" s="59">
        <f t="shared" si="3"/>
        <v>0</v>
      </c>
    </row>
    <row r="51" spans="1:23" hidden="1" x14ac:dyDescent="0.35">
      <c r="A51" s="60"/>
      <c r="B51" s="54">
        <v>47</v>
      </c>
      <c r="C51" s="65" t="s">
        <v>822</v>
      </c>
      <c r="D51" s="110">
        <v>136152</v>
      </c>
      <c r="E51" s="209" t="s">
        <v>945</v>
      </c>
      <c r="F51" s="111">
        <v>139169</v>
      </c>
      <c r="G51" s="212">
        <v>46231</v>
      </c>
      <c r="H51" s="212" t="s">
        <v>240</v>
      </c>
      <c r="I51" s="55">
        <f t="shared" si="0"/>
        <v>4</v>
      </c>
      <c r="J51" s="212">
        <v>46237</v>
      </c>
      <c r="K51" s="55">
        <f t="shared" si="4"/>
        <v>2</v>
      </c>
      <c r="L51" s="212" t="s">
        <v>250</v>
      </c>
      <c r="M51" s="55">
        <f t="shared" si="5"/>
        <v>1</v>
      </c>
      <c r="N51" s="50" t="s">
        <v>874</v>
      </c>
      <c r="O51" s="50" t="s">
        <v>605</v>
      </c>
      <c r="P51" s="56" t="s">
        <v>53</v>
      </c>
      <c r="Q51" s="190">
        <v>25728.260869565216</v>
      </c>
      <c r="R51" s="190">
        <v>25728.260869565216</v>
      </c>
      <c r="S51" s="57">
        <f t="shared" si="1"/>
        <v>0</v>
      </c>
      <c r="T51" s="57"/>
      <c r="U51" s="57"/>
      <c r="V51" s="58">
        <f t="shared" si="2"/>
        <v>2572.826086956522</v>
      </c>
      <c r="W51" s="59">
        <f t="shared" si="3"/>
        <v>0</v>
      </c>
    </row>
    <row r="52" spans="1:23" hidden="1" x14ac:dyDescent="0.35">
      <c r="A52" s="60"/>
      <c r="B52" s="54">
        <v>48</v>
      </c>
      <c r="C52" s="65" t="s">
        <v>822</v>
      </c>
      <c r="D52" s="110">
        <v>136163</v>
      </c>
      <c r="E52" s="209" t="s">
        <v>945</v>
      </c>
      <c r="F52" s="111">
        <v>139209</v>
      </c>
      <c r="G52" s="212">
        <v>46231</v>
      </c>
      <c r="H52" s="212" t="s">
        <v>240</v>
      </c>
      <c r="I52" s="55">
        <f t="shared" si="0"/>
        <v>4</v>
      </c>
      <c r="J52" s="212">
        <v>46237</v>
      </c>
      <c r="K52" s="55">
        <f t="shared" si="4"/>
        <v>2</v>
      </c>
      <c r="L52" s="212" t="s">
        <v>250</v>
      </c>
      <c r="M52" s="55">
        <f t="shared" si="5"/>
        <v>1</v>
      </c>
      <c r="N52" s="50" t="s">
        <v>286</v>
      </c>
      <c r="O52" s="50" t="s">
        <v>616</v>
      </c>
      <c r="P52" s="56" t="s">
        <v>53</v>
      </c>
      <c r="Q52" s="190">
        <v>23.356521739130436</v>
      </c>
      <c r="R52" s="190">
        <v>23.356521739130436</v>
      </c>
      <c r="S52" s="57">
        <f t="shared" si="1"/>
        <v>0</v>
      </c>
      <c r="T52" s="57"/>
      <c r="U52" s="57"/>
      <c r="V52" s="58">
        <f t="shared" si="2"/>
        <v>2.3356521739130436</v>
      </c>
      <c r="W52" s="59">
        <f t="shared" si="3"/>
        <v>0</v>
      </c>
    </row>
    <row r="53" spans="1:23" hidden="1" x14ac:dyDescent="0.35">
      <c r="A53" s="60"/>
      <c r="B53" s="54">
        <v>49</v>
      </c>
      <c r="C53" s="65" t="s">
        <v>822</v>
      </c>
      <c r="D53" s="110">
        <v>136228</v>
      </c>
      <c r="E53" s="209" t="s">
        <v>945</v>
      </c>
      <c r="F53" s="111">
        <v>139197</v>
      </c>
      <c r="G53" s="212">
        <v>46225</v>
      </c>
      <c r="H53" s="212" t="s">
        <v>241</v>
      </c>
      <c r="I53" s="55">
        <f t="shared" si="0"/>
        <v>11</v>
      </c>
      <c r="J53" s="212">
        <v>46241</v>
      </c>
      <c r="K53" s="55">
        <f t="shared" si="4"/>
        <v>3</v>
      </c>
      <c r="L53" s="212" t="s">
        <v>255</v>
      </c>
      <c r="M53" s="55">
        <f t="shared" si="5"/>
        <v>1</v>
      </c>
      <c r="N53" s="50" t="s">
        <v>287</v>
      </c>
      <c r="O53" s="50" t="s">
        <v>608</v>
      </c>
      <c r="P53" s="56" t="s">
        <v>53</v>
      </c>
      <c r="Q53" s="190">
        <v>3017.391304347826</v>
      </c>
      <c r="R53" s="190">
        <v>3017.391304347826</v>
      </c>
      <c r="S53" s="57">
        <f t="shared" si="1"/>
        <v>0</v>
      </c>
      <c r="T53" s="57"/>
      <c r="U53" s="57"/>
      <c r="V53" s="58">
        <f t="shared" si="2"/>
        <v>301.73913043478262</v>
      </c>
      <c r="W53" s="59">
        <f t="shared" si="3"/>
        <v>0</v>
      </c>
    </row>
    <row r="54" spans="1:23" hidden="1" x14ac:dyDescent="0.35">
      <c r="A54" s="60"/>
      <c r="B54" s="54">
        <v>50</v>
      </c>
      <c r="C54" s="65" t="s">
        <v>822</v>
      </c>
      <c r="D54" s="110">
        <v>136229</v>
      </c>
      <c r="E54" s="209" t="s">
        <v>946</v>
      </c>
      <c r="F54" s="111">
        <v>139198</v>
      </c>
      <c r="G54" s="212">
        <v>46225</v>
      </c>
      <c r="H54" s="212" t="s">
        <v>241</v>
      </c>
      <c r="I54" s="55">
        <f t="shared" si="0"/>
        <v>11</v>
      </c>
      <c r="J54" s="212">
        <v>46241</v>
      </c>
      <c r="K54" s="55">
        <f t="shared" si="4"/>
        <v>3</v>
      </c>
      <c r="L54" s="212" t="s">
        <v>255</v>
      </c>
      <c r="M54" s="55">
        <f t="shared" si="5"/>
        <v>1</v>
      </c>
      <c r="N54" s="50" t="s">
        <v>288</v>
      </c>
      <c r="O54" s="50" t="s">
        <v>609</v>
      </c>
      <c r="P54" s="56" t="s">
        <v>53</v>
      </c>
      <c r="Q54" s="190">
        <v>3017.391304347826</v>
      </c>
      <c r="R54" s="190">
        <v>3017.391304347826</v>
      </c>
      <c r="S54" s="57">
        <f t="shared" si="1"/>
        <v>0</v>
      </c>
      <c r="T54" s="57"/>
      <c r="U54" s="57"/>
      <c r="V54" s="58">
        <f t="shared" si="2"/>
        <v>301.73913043478262</v>
      </c>
      <c r="W54" s="59">
        <f t="shared" si="3"/>
        <v>0</v>
      </c>
    </row>
    <row r="55" spans="1:23" hidden="1" x14ac:dyDescent="0.35">
      <c r="A55" s="60"/>
      <c r="B55" s="54">
        <v>51</v>
      </c>
      <c r="C55" s="65" t="s">
        <v>822</v>
      </c>
      <c r="D55" s="110">
        <v>136232</v>
      </c>
      <c r="E55" s="209" t="s">
        <v>946</v>
      </c>
      <c r="F55" s="111">
        <v>139203</v>
      </c>
      <c r="G55" s="212">
        <v>46225</v>
      </c>
      <c r="H55" s="212" t="s">
        <v>241</v>
      </c>
      <c r="I55" s="55">
        <f t="shared" si="0"/>
        <v>11</v>
      </c>
      <c r="J55" s="212">
        <v>46241</v>
      </c>
      <c r="K55" s="55">
        <f t="shared" si="4"/>
        <v>3</v>
      </c>
      <c r="L55" s="212" t="s">
        <v>255</v>
      </c>
      <c r="M55" s="55">
        <f t="shared" si="5"/>
        <v>1</v>
      </c>
      <c r="N55" s="50" t="s">
        <v>289</v>
      </c>
      <c r="O55" s="50" t="s">
        <v>609</v>
      </c>
      <c r="P55" s="56" t="s">
        <v>53</v>
      </c>
      <c r="Q55" s="190">
        <v>1056.5217391304348</v>
      </c>
      <c r="R55" s="190">
        <v>1056.5217391304348</v>
      </c>
      <c r="S55" s="57">
        <f t="shared" si="1"/>
        <v>0</v>
      </c>
      <c r="T55" s="57"/>
      <c r="U55" s="57"/>
      <c r="V55" s="58">
        <f t="shared" si="2"/>
        <v>105.65217391304348</v>
      </c>
      <c r="W55" s="59">
        <f t="shared" si="3"/>
        <v>0</v>
      </c>
    </row>
    <row r="56" spans="1:23" hidden="1" x14ac:dyDescent="0.35">
      <c r="A56" s="60"/>
      <c r="B56" s="54">
        <v>52</v>
      </c>
      <c r="C56" s="65" t="s">
        <v>822</v>
      </c>
      <c r="D56" s="110">
        <v>136234</v>
      </c>
      <c r="E56" s="209" t="s">
        <v>946</v>
      </c>
      <c r="F56" s="111">
        <v>139205</v>
      </c>
      <c r="G56" s="212">
        <v>46225</v>
      </c>
      <c r="H56" s="212" t="s">
        <v>241</v>
      </c>
      <c r="I56" s="55">
        <f t="shared" si="0"/>
        <v>11</v>
      </c>
      <c r="J56" s="212">
        <v>46241</v>
      </c>
      <c r="K56" s="55">
        <f t="shared" si="4"/>
        <v>3</v>
      </c>
      <c r="L56" s="212" t="s">
        <v>255</v>
      </c>
      <c r="M56" s="55">
        <f t="shared" si="5"/>
        <v>1</v>
      </c>
      <c r="N56" s="50" t="s">
        <v>290</v>
      </c>
      <c r="O56" s="50" t="s">
        <v>609</v>
      </c>
      <c r="P56" s="56" t="s">
        <v>53</v>
      </c>
      <c r="Q56" s="190">
        <v>1408.695652173913</v>
      </c>
      <c r="R56" s="190">
        <v>1408.695652173913</v>
      </c>
      <c r="S56" s="57">
        <f t="shared" si="1"/>
        <v>0</v>
      </c>
      <c r="T56" s="57"/>
      <c r="U56" s="57"/>
      <c r="V56" s="58">
        <f t="shared" si="2"/>
        <v>140.86956521739131</v>
      </c>
      <c r="W56" s="59">
        <f t="shared" si="3"/>
        <v>0</v>
      </c>
    </row>
    <row r="57" spans="1:23" hidden="1" x14ac:dyDescent="0.35">
      <c r="A57" s="60"/>
      <c r="B57" s="54">
        <v>54</v>
      </c>
      <c r="C57" s="65" t="s">
        <v>822</v>
      </c>
      <c r="D57" s="110">
        <v>136122</v>
      </c>
      <c r="E57" s="209" t="s">
        <v>945</v>
      </c>
      <c r="F57" s="111">
        <v>139214</v>
      </c>
      <c r="G57" s="212">
        <v>46226</v>
      </c>
      <c r="H57" s="212" t="s">
        <v>249</v>
      </c>
      <c r="I57" s="55">
        <f t="shared" si="0"/>
        <v>3</v>
      </c>
      <c r="J57" s="212">
        <v>46237</v>
      </c>
      <c r="K57" s="55">
        <f t="shared" si="4"/>
        <v>6</v>
      </c>
      <c r="L57" s="212" t="s">
        <v>250</v>
      </c>
      <c r="M57" s="55">
        <f t="shared" si="5"/>
        <v>1</v>
      </c>
      <c r="N57" s="50" t="s">
        <v>291</v>
      </c>
      <c r="O57" s="50" t="s">
        <v>617</v>
      </c>
      <c r="P57" s="56" t="s">
        <v>53</v>
      </c>
      <c r="Q57" s="190">
        <v>1402.1739130434783</v>
      </c>
      <c r="R57" s="190">
        <v>1402.1739130434783</v>
      </c>
      <c r="S57" s="57">
        <f t="shared" si="1"/>
        <v>0</v>
      </c>
      <c r="T57" s="57"/>
      <c r="U57" s="57"/>
      <c r="V57" s="58">
        <f t="shared" si="2"/>
        <v>140.21739130434784</v>
      </c>
      <c r="W57" s="59">
        <f t="shared" si="3"/>
        <v>0</v>
      </c>
    </row>
    <row r="58" spans="1:23" hidden="1" x14ac:dyDescent="0.35">
      <c r="A58" s="60"/>
      <c r="B58" s="54">
        <v>55</v>
      </c>
      <c r="C58" s="65" t="s">
        <v>822</v>
      </c>
      <c r="D58" s="110">
        <v>136126</v>
      </c>
      <c r="E58" s="209" t="s">
        <v>946</v>
      </c>
      <c r="F58" s="111">
        <v>139220</v>
      </c>
      <c r="G58" s="212">
        <v>46226</v>
      </c>
      <c r="H58" s="212" t="s">
        <v>240</v>
      </c>
      <c r="I58" s="55">
        <f t="shared" si="0"/>
        <v>7</v>
      </c>
      <c r="J58" s="212">
        <v>46237</v>
      </c>
      <c r="K58" s="55">
        <f t="shared" si="4"/>
        <v>2</v>
      </c>
      <c r="L58" s="212" t="s">
        <v>250</v>
      </c>
      <c r="M58" s="55">
        <f t="shared" si="5"/>
        <v>1</v>
      </c>
      <c r="N58" s="50" t="s">
        <v>875</v>
      </c>
      <c r="O58" s="50" t="s">
        <v>615</v>
      </c>
      <c r="P58" s="56" t="s">
        <v>53</v>
      </c>
      <c r="Q58" s="190">
        <v>81.521739130434781</v>
      </c>
      <c r="R58" s="190">
        <v>81.521739130434781</v>
      </c>
      <c r="S58" s="57">
        <f t="shared" si="1"/>
        <v>0</v>
      </c>
      <c r="T58" s="57"/>
      <c r="U58" s="57"/>
      <c r="V58" s="58">
        <f t="shared" si="2"/>
        <v>8.1521739130434785</v>
      </c>
      <c r="W58" s="59">
        <f t="shared" si="3"/>
        <v>0</v>
      </c>
    </row>
    <row r="59" spans="1:23" hidden="1" x14ac:dyDescent="0.35">
      <c r="A59" s="60"/>
      <c r="B59" s="54">
        <v>56</v>
      </c>
      <c r="C59" s="65" t="s">
        <v>822</v>
      </c>
      <c r="D59" s="110">
        <v>136127</v>
      </c>
      <c r="E59" s="209" t="s">
        <v>945</v>
      </c>
      <c r="F59" s="111">
        <v>139215</v>
      </c>
      <c r="G59" s="212">
        <v>46226</v>
      </c>
      <c r="H59" s="212" t="s">
        <v>240</v>
      </c>
      <c r="I59" s="55">
        <f t="shared" si="0"/>
        <v>7</v>
      </c>
      <c r="J59" s="212">
        <v>46237</v>
      </c>
      <c r="K59" s="55">
        <f t="shared" si="4"/>
        <v>2</v>
      </c>
      <c r="L59" s="212" t="s">
        <v>250</v>
      </c>
      <c r="M59" s="55">
        <f t="shared" si="5"/>
        <v>1</v>
      </c>
      <c r="N59" s="50" t="s">
        <v>876</v>
      </c>
      <c r="O59" s="50" t="s">
        <v>618</v>
      </c>
      <c r="P59" s="56" t="s">
        <v>53</v>
      </c>
      <c r="Q59" s="190">
        <v>217.39130434782609</v>
      </c>
      <c r="R59" s="190">
        <v>217.39130434782609</v>
      </c>
      <c r="S59" s="57">
        <f t="shared" si="1"/>
        <v>0</v>
      </c>
      <c r="T59" s="57"/>
      <c r="U59" s="57"/>
      <c r="V59" s="58">
        <f t="shared" si="2"/>
        <v>21.739130434782609</v>
      </c>
      <c r="W59" s="59">
        <f t="shared" si="3"/>
        <v>0</v>
      </c>
    </row>
    <row r="60" spans="1:23" hidden="1" x14ac:dyDescent="0.35">
      <c r="A60" s="60"/>
      <c r="B60" s="54">
        <v>57</v>
      </c>
      <c r="C60" s="65" t="s">
        <v>822</v>
      </c>
      <c r="D60" s="110">
        <v>136074</v>
      </c>
      <c r="E60" s="209" t="s">
        <v>945</v>
      </c>
      <c r="F60" s="111">
        <v>139238</v>
      </c>
      <c r="G60" s="212">
        <v>46230</v>
      </c>
      <c r="H60" s="212" t="s">
        <v>247</v>
      </c>
      <c r="I60" s="55">
        <f t="shared" si="0"/>
        <v>2</v>
      </c>
      <c r="J60" s="212">
        <v>46237</v>
      </c>
      <c r="K60" s="55">
        <f t="shared" si="4"/>
        <v>5</v>
      </c>
      <c r="L60" s="212" t="s">
        <v>250</v>
      </c>
      <c r="M60" s="55">
        <f t="shared" si="5"/>
        <v>1</v>
      </c>
      <c r="N60" s="50" t="s">
        <v>292</v>
      </c>
      <c r="O60" s="50" t="s">
        <v>619</v>
      </c>
      <c r="P60" s="56" t="s">
        <v>53</v>
      </c>
      <c r="Q60" s="190">
        <v>1739.1304347826087</v>
      </c>
      <c r="R60" s="190">
        <v>1739.1304347826087</v>
      </c>
      <c r="S60" s="57">
        <f t="shared" si="1"/>
        <v>0</v>
      </c>
      <c r="T60" s="57"/>
      <c r="U60" s="57"/>
      <c r="V60" s="58">
        <f t="shared" si="2"/>
        <v>173.91304347826087</v>
      </c>
      <c r="W60" s="59">
        <f t="shared" si="3"/>
        <v>0</v>
      </c>
    </row>
    <row r="61" spans="1:23" hidden="1" x14ac:dyDescent="0.35">
      <c r="A61" s="60"/>
      <c r="B61" s="54">
        <v>58</v>
      </c>
      <c r="C61" s="65" t="s">
        <v>822</v>
      </c>
      <c r="D61" s="110">
        <v>136075</v>
      </c>
      <c r="E61" s="209" t="s">
        <v>945</v>
      </c>
      <c r="F61" s="111">
        <v>139231</v>
      </c>
      <c r="G61" s="212">
        <v>46230</v>
      </c>
      <c r="H61" s="212" t="s">
        <v>247</v>
      </c>
      <c r="I61" s="55">
        <f t="shared" ref="I61:I123" si="6">IF(OR(H61="", G61=""), "", NETWORKDAYS(G61, H61))</f>
        <v>2</v>
      </c>
      <c r="J61" s="212">
        <v>46237</v>
      </c>
      <c r="K61" s="55">
        <f t="shared" ref="K61:K123" si="7">IF(OR(H61="", J61=""), "", NETWORKDAYS(H61, J61))</f>
        <v>5</v>
      </c>
      <c r="L61" s="212" t="s">
        <v>250</v>
      </c>
      <c r="M61" s="55">
        <f t="shared" ref="M61:M123" si="8">IF(OR(J61="", L61=""), "", NETWORKDAYS(J61, L61))</f>
        <v>1</v>
      </c>
      <c r="N61" s="50" t="s">
        <v>293</v>
      </c>
      <c r="O61" s="50" t="s">
        <v>620</v>
      </c>
      <c r="P61" s="56" t="s">
        <v>53</v>
      </c>
      <c r="Q61" s="190">
        <v>7608.695652173913</v>
      </c>
      <c r="R61" s="190">
        <v>7608.695652173913</v>
      </c>
      <c r="S61" s="57">
        <f t="shared" ref="S61:S123" si="9">Q61-R61</f>
        <v>0</v>
      </c>
      <c r="T61" s="57"/>
      <c r="U61" s="57"/>
      <c r="V61" s="58">
        <f t="shared" ref="V61:V123" si="10">IF(Q61="", "", Q61*10%)</f>
        <v>760.86956521739137</v>
      </c>
      <c r="W61" s="59">
        <f t="shared" ref="W61:W123" si="11">IF(OR(Q61="", R61=""), "", (Q61- R61)/Q61)</f>
        <v>0</v>
      </c>
    </row>
    <row r="62" spans="1:23" hidden="1" x14ac:dyDescent="0.35">
      <c r="A62" s="60"/>
      <c r="B62" s="54">
        <v>59</v>
      </c>
      <c r="C62" s="65" t="s">
        <v>822</v>
      </c>
      <c r="D62" s="110">
        <v>136076</v>
      </c>
      <c r="E62" s="209" t="s">
        <v>945</v>
      </c>
      <c r="F62" s="111">
        <v>139227</v>
      </c>
      <c r="G62" s="212">
        <v>46230</v>
      </c>
      <c r="H62" s="212" t="s">
        <v>247</v>
      </c>
      <c r="I62" s="55">
        <f t="shared" si="6"/>
        <v>2</v>
      </c>
      <c r="J62" s="212">
        <v>46237</v>
      </c>
      <c r="K62" s="55">
        <f t="shared" si="7"/>
        <v>5</v>
      </c>
      <c r="L62" s="212" t="s">
        <v>250</v>
      </c>
      <c r="M62" s="55">
        <f t="shared" si="8"/>
        <v>1</v>
      </c>
      <c r="N62" s="50" t="s">
        <v>293</v>
      </c>
      <c r="O62" s="50" t="s">
        <v>621</v>
      </c>
      <c r="P62" s="56" t="s">
        <v>53</v>
      </c>
      <c r="Q62" s="190">
        <v>652.17391304347825</v>
      </c>
      <c r="R62" s="190">
        <v>652.17391304347825</v>
      </c>
      <c r="S62" s="57">
        <f t="shared" si="9"/>
        <v>0</v>
      </c>
      <c r="T62" s="57"/>
      <c r="U62" s="57"/>
      <c r="V62" s="58">
        <f t="shared" si="10"/>
        <v>65.217391304347828</v>
      </c>
      <c r="W62" s="59">
        <f t="shared" si="11"/>
        <v>0</v>
      </c>
    </row>
    <row r="63" spans="1:23" hidden="1" x14ac:dyDescent="0.35">
      <c r="A63" s="60"/>
      <c r="B63" s="54">
        <v>60</v>
      </c>
      <c r="C63" s="65" t="s">
        <v>822</v>
      </c>
      <c r="D63" s="110">
        <v>136077</v>
      </c>
      <c r="E63" s="209" t="s">
        <v>946</v>
      </c>
      <c r="F63" s="111">
        <v>139225</v>
      </c>
      <c r="G63" s="212">
        <v>46230</v>
      </c>
      <c r="H63" s="212" t="s">
        <v>247</v>
      </c>
      <c r="I63" s="55">
        <f t="shared" si="6"/>
        <v>2</v>
      </c>
      <c r="J63" s="212">
        <v>46237</v>
      </c>
      <c r="K63" s="55">
        <f t="shared" si="7"/>
        <v>5</v>
      </c>
      <c r="L63" s="212" t="s">
        <v>250</v>
      </c>
      <c r="M63" s="55">
        <f t="shared" si="8"/>
        <v>1</v>
      </c>
      <c r="N63" s="50" t="s">
        <v>294</v>
      </c>
      <c r="O63" s="50" t="s">
        <v>622</v>
      </c>
      <c r="P63" s="56" t="s">
        <v>53</v>
      </c>
      <c r="Q63" s="190">
        <v>130.43478260869566</v>
      </c>
      <c r="R63" s="190">
        <v>130.43478260869566</v>
      </c>
      <c r="S63" s="57">
        <f t="shared" si="9"/>
        <v>0</v>
      </c>
      <c r="T63" s="57"/>
      <c r="U63" s="57"/>
      <c r="V63" s="58">
        <f t="shared" si="10"/>
        <v>13.043478260869566</v>
      </c>
      <c r="W63" s="59">
        <f t="shared" si="11"/>
        <v>0</v>
      </c>
    </row>
    <row r="64" spans="1:23" hidden="1" x14ac:dyDescent="0.35">
      <c r="A64" s="60"/>
      <c r="B64" s="54">
        <v>61</v>
      </c>
      <c r="C64" s="65" t="s">
        <v>822</v>
      </c>
      <c r="D64" s="110">
        <v>136230</v>
      </c>
      <c r="E64" s="209" t="s">
        <v>945</v>
      </c>
      <c r="F64" s="111">
        <v>139241</v>
      </c>
      <c r="G64" s="212">
        <v>46230</v>
      </c>
      <c r="H64" s="212" t="s">
        <v>241</v>
      </c>
      <c r="I64" s="55">
        <f t="shared" si="6"/>
        <v>8</v>
      </c>
      <c r="J64" s="212">
        <v>46241</v>
      </c>
      <c r="K64" s="55">
        <f t="shared" si="7"/>
        <v>3</v>
      </c>
      <c r="L64" s="212" t="s">
        <v>255</v>
      </c>
      <c r="M64" s="55">
        <f t="shared" si="8"/>
        <v>1</v>
      </c>
      <c r="N64" s="50" t="s">
        <v>295</v>
      </c>
      <c r="O64" s="50" t="s">
        <v>608</v>
      </c>
      <c r="P64" s="56" t="s">
        <v>53</v>
      </c>
      <c r="Q64" s="190">
        <v>3000</v>
      </c>
      <c r="R64" s="190">
        <v>3000</v>
      </c>
      <c r="S64" s="57">
        <f t="shared" si="9"/>
        <v>0</v>
      </c>
      <c r="T64" s="57"/>
      <c r="U64" s="57"/>
      <c r="V64" s="58">
        <f t="shared" si="10"/>
        <v>300</v>
      </c>
      <c r="W64" s="59">
        <f t="shared" si="11"/>
        <v>0</v>
      </c>
    </row>
    <row r="65" spans="1:23" hidden="1" x14ac:dyDescent="0.35">
      <c r="A65" s="60"/>
      <c r="B65" s="54">
        <v>62</v>
      </c>
      <c r="C65" s="65" t="s">
        <v>822</v>
      </c>
      <c r="D65" s="110">
        <v>136231</v>
      </c>
      <c r="E65" s="209" t="s">
        <v>946</v>
      </c>
      <c r="F65" s="111">
        <v>139242</v>
      </c>
      <c r="G65" s="212">
        <v>46230</v>
      </c>
      <c r="H65" s="212" t="s">
        <v>241</v>
      </c>
      <c r="I65" s="55">
        <f t="shared" si="6"/>
        <v>8</v>
      </c>
      <c r="J65" s="212">
        <v>46241</v>
      </c>
      <c r="K65" s="55">
        <f t="shared" si="7"/>
        <v>3</v>
      </c>
      <c r="L65" s="212" t="s">
        <v>255</v>
      </c>
      <c r="M65" s="55">
        <f t="shared" si="8"/>
        <v>1</v>
      </c>
      <c r="N65" s="50" t="s">
        <v>295</v>
      </c>
      <c r="O65" s="50" t="s">
        <v>609</v>
      </c>
      <c r="P65" s="56" t="s">
        <v>53</v>
      </c>
      <c r="Q65" s="190">
        <v>3000</v>
      </c>
      <c r="R65" s="190">
        <v>3000</v>
      </c>
      <c r="S65" s="57">
        <f t="shared" si="9"/>
        <v>0</v>
      </c>
      <c r="T65" s="57"/>
      <c r="U65" s="57"/>
      <c r="V65" s="58">
        <f t="shared" si="10"/>
        <v>300</v>
      </c>
      <c r="W65" s="59">
        <f t="shared" si="11"/>
        <v>0</v>
      </c>
    </row>
    <row r="66" spans="1:23" hidden="1" x14ac:dyDescent="0.35">
      <c r="A66" s="60"/>
      <c r="B66" s="54">
        <v>63</v>
      </c>
      <c r="C66" s="65" t="s">
        <v>822</v>
      </c>
      <c r="D66" s="110">
        <v>136060</v>
      </c>
      <c r="E66" s="209" t="s">
        <v>945</v>
      </c>
      <c r="F66" s="111">
        <v>139284</v>
      </c>
      <c r="G66" s="212">
        <v>46231</v>
      </c>
      <c r="H66" s="212" t="s">
        <v>247</v>
      </c>
      <c r="I66" s="55">
        <f t="shared" si="6"/>
        <v>1</v>
      </c>
      <c r="J66" s="212">
        <v>46237</v>
      </c>
      <c r="K66" s="55">
        <f t="shared" si="7"/>
        <v>5</v>
      </c>
      <c r="L66" s="212" t="s">
        <v>250</v>
      </c>
      <c r="M66" s="55">
        <f t="shared" si="8"/>
        <v>1</v>
      </c>
      <c r="N66" s="50" t="s">
        <v>296</v>
      </c>
      <c r="O66" s="50" t="s">
        <v>623</v>
      </c>
      <c r="P66" s="56" t="s">
        <v>53</v>
      </c>
      <c r="Q66" s="190">
        <v>170</v>
      </c>
      <c r="R66" s="190">
        <v>170</v>
      </c>
      <c r="S66" s="57">
        <f t="shared" si="9"/>
        <v>0</v>
      </c>
      <c r="T66" s="57"/>
      <c r="U66" s="57"/>
      <c r="V66" s="58">
        <f t="shared" si="10"/>
        <v>17</v>
      </c>
      <c r="W66" s="59">
        <f t="shared" si="11"/>
        <v>0</v>
      </c>
    </row>
    <row r="67" spans="1:23" hidden="1" x14ac:dyDescent="0.35">
      <c r="A67" s="60"/>
      <c r="B67" s="54">
        <v>64</v>
      </c>
      <c r="C67" s="65" t="s">
        <v>822</v>
      </c>
      <c r="D67" s="110">
        <v>136061</v>
      </c>
      <c r="E67" s="209" t="s">
        <v>945</v>
      </c>
      <c r="F67" s="111">
        <v>139283</v>
      </c>
      <c r="G67" s="212">
        <v>46231</v>
      </c>
      <c r="H67" s="212" t="s">
        <v>247</v>
      </c>
      <c r="I67" s="55">
        <f t="shared" si="6"/>
        <v>1</v>
      </c>
      <c r="J67" s="212">
        <v>46237</v>
      </c>
      <c r="K67" s="55">
        <f t="shared" si="7"/>
        <v>5</v>
      </c>
      <c r="L67" s="212" t="s">
        <v>250</v>
      </c>
      <c r="M67" s="55">
        <f t="shared" si="8"/>
        <v>1</v>
      </c>
      <c r="N67" s="50" t="s">
        <v>297</v>
      </c>
      <c r="O67" s="50" t="s">
        <v>623</v>
      </c>
      <c r="P67" s="56" t="s">
        <v>53</v>
      </c>
      <c r="Q67" s="190">
        <v>179.13043478260869</v>
      </c>
      <c r="R67" s="190">
        <v>179.13043478260869</v>
      </c>
      <c r="S67" s="57">
        <f t="shared" si="9"/>
        <v>0</v>
      </c>
      <c r="T67" s="57"/>
      <c r="U67" s="57"/>
      <c r="V67" s="58">
        <f t="shared" si="10"/>
        <v>17.913043478260871</v>
      </c>
      <c r="W67" s="59">
        <f t="shared" si="11"/>
        <v>0</v>
      </c>
    </row>
    <row r="68" spans="1:23" hidden="1" x14ac:dyDescent="0.35">
      <c r="A68" s="60"/>
      <c r="B68" s="54">
        <v>65</v>
      </c>
      <c r="C68" s="65" t="s">
        <v>822</v>
      </c>
      <c r="D68" s="110">
        <v>136072</v>
      </c>
      <c r="E68" s="209" t="s">
        <v>945</v>
      </c>
      <c r="F68" s="111">
        <v>139247</v>
      </c>
      <c r="G68" s="212">
        <v>46231</v>
      </c>
      <c r="H68" s="212" t="s">
        <v>244</v>
      </c>
      <c r="I68" s="55">
        <f t="shared" si="6"/>
        <v>3</v>
      </c>
      <c r="J68" s="212">
        <v>46237</v>
      </c>
      <c r="K68" s="55">
        <f t="shared" si="7"/>
        <v>3</v>
      </c>
      <c r="L68" s="212" t="s">
        <v>241</v>
      </c>
      <c r="M68" s="55">
        <f t="shared" si="8"/>
        <v>3</v>
      </c>
      <c r="N68" s="50" t="s">
        <v>293</v>
      </c>
      <c r="O68" s="50" t="s">
        <v>624</v>
      </c>
      <c r="P68" s="56" t="s">
        <v>53</v>
      </c>
      <c r="Q68" s="190">
        <v>760.86956521739125</v>
      </c>
      <c r="R68" s="190">
        <v>760.86956521739125</v>
      </c>
      <c r="S68" s="57">
        <f t="shared" si="9"/>
        <v>0</v>
      </c>
      <c r="T68" s="57"/>
      <c r="U68" s="57"/>
      <c r="V68" s="58">
        <f t="shared" si="10"/>
        <v>76.086956521739125</v>
      </c>
      <c r="W68" s="59">
        <f t="shared" si="11"/>
        <v>0</v>
      </c>
    </row>
    <row r="69" spans="1:23" hidden="1" x14ac:dyDescent="0.35">
      <c r="A69" s="60"/>
      <c r="B69" s="54">
        <v>66</v>
      </c>
      <c r="C69" s="65" t="s">
        <v>822</v>
      </c>
      <c r="D69" s="110">
        <v>136073</v>
      </c>
      <c r="E69" s="209" t="s">
        <v>945</v>
      </c>
      <c r="F69" s="111">
        <v>139246</v>
      </c>
      <c r="G69" s="212">
        <v>46231</v>
      </c>
      <c r="H69" s="212" t="s">
        <v>247</v>
      </c>
      <c r="I69" s="55">
        <f t="shared" si="6"/>
        <v>1</v>
      </c>
      <c r="J69" s="212">
        <v>46237</v>
      </c>
      <c r="K69" s="55">
        <f t="shared" si="7"/>
        <v>5</v>
      </c>
      <c r="L69" s="212" t="s">
        <v>250</v>
      </c>
      <c r="M69" s="55">
        <f t="shared" si="8"/>
        <v>1</v>
      </c>
      <c r="N69" s="50" t="s">
        <v>298</v>
      </c>
      <c r="O69" s="50" t="s">
        <v>625</v>
      </c>
      <c r="P69" s="56" t="s">
        <v>53</v>
      </c>
      <c r="Q69" s="190">
        <v>130.43478260869566</v>
      </c>
      <c r="R69" s="190">
        <v>130.43478260869566</v>
      </c>
      <c r="S69" s="57">
        <f t="shared" si="9"/>
        <v>0</v>
      </c>
      <c r="T69" s="57"/>
      <c r="U69" s="57"/>
      <c r="V69" s="58">
        <f t="shared" si="10"/>
        <v>13.043478260869566</v>
      </c>
      <c r="W69" s="59">
        <f t="shared" si="11"/>
        <v>0</v>
      </c>
    </row>
    <row r="70" spans="1:23" hidden="1" x14ac:dyDescent="0.35">
      <c r="A70" s="60"/>
      <c r="B70" s="54">
        <v>67</v>
      </c>
      <c r="C70" s="65" t="s">
        <v>822</v>
      </c>
      <c r="D70" s="110">
        <v>136080</v>
      </c>
      <c r="E70" s="209" t="s">
        <v>945</v>
      </c>
      <c r="F70" s="111">
        <v>139266</v>
      </c>
      <c r="G70" s="212">
        <v>46231</v>
      </c>
      <c r="H70" s="212" t="s">
        <v>240</v>
      </c>
      <c r="I70" s="55">
        <f t="shared" si="6"/>
        <v>4</v>
      </c>
      <c r="J70" s="212">
        <v>46237</v>
      </c>
      <c r="K70" s="55">
        <f t="shared" si="7"/>
        <v>2</v>
      </c>
      <c r="L70" s="212" t="s">
        <v>250</v>
      </c>
      <c r="M70" s="55">
        <f t="shared" si="8"/>
        <v>1</v>
      </c>
      <c r="N70" s="50" t="s">
        <v>877</v>
      </c>
      <c r="O70" s="50" t="s">
        <v>612</v>
      </c>
      <c r="P70" s="56" t="s">
        <v>53</v>
      </c>
      <c r="Q70" s="190">
        <v>327.04347826086956</v>
      </c>
      <c r="R70" s="190">
        <v>327.04347826086956</v>
      </c>
      <c r="S70" s="57">
        <f t="shared" si="9"/>
        <v>0</v>
      </c>
      <c r="T70" s="57"/>
      <c r="U70" s="57"/>
      <c r="V70" s="58">
        <f t="shared" si="10"/>
        <v>32.704347826086959</v>
      </c>
      <c r="W70" s="59">
        <f t="shared" si="11"/>
        <v>0</v>
      </c>
    </row>
    <row r="71" spans="1:23" hidden="1" x14ac:dyDescent="0.35">
      <c r="A71" s="60"/>
      <c r="B71" s="54">
        <v>68</v>
      </c>
      <c r="C71" s="65" t="s">
        <v>822</v>
      </c>
      <c r="D71" s="110">
        <v>136086</v>
      </c>
      <c r="E71" s="209" t="s">
        <v>945</v>
      </c>
      <c r="F71" s="111">
        <v>139294</v>
      </c>
      <c r="G71" s="212">
        <v>46231</v>
      </c>
      <c r="H71" s="212" t="s">
        <v>240</v>
      </c>
      <c r="I71" s="55">
        <f t="shared" si="6"/>
        <v>4</v>
      </c>
      <c r="J71" s="212">
        <v>46237</v>
      </c>
      <c r="K71" s="55">
        <f t="shared" si="7"/>
        <v>2</v>
      </c>
      <c r="L71" s="212" t="s">
        <v>250</v>
      </c>
      <c r="M71" s="55">
        <f t="shared" si="8"/>
        <v>1</v>
      </c>
      <c r="N71" s="50" t="s">
        <v>878</v>
      </c>
      <c r="O71" s="50" t="s">
        <v>605</v>
      </c>
      <c r="P71" s="56" t="s">
        <v>53</v>
      </c>
      <c r="Q71" s="190">
        <v>35.282608695652172</v>
      </c>
      <c r="R71" s="190">
        <v>35.282608695652172</v>
      </c>
      <c r="S71" s="57">
        <f t="shared" si="9"/>
        <v>0</v>
      </c>
      <c r="T71" s="57"/>
      <c r="U71" s="57"/>
      <c r="V71" s="58">
        <f t="shared" si="10"/>
        <v>3.5282608695652176</v>
      </c>
      <c r="W71" s="59">
        <f t="shared" si="11"/>
        <v>0</v>
      </c>
    </row>
    <row r="72" spans="1:23" hidden="1" x14ac:dyDescent="0.35">
      <c r="A72" s="60"/>
      <c r="B72" s="54">
        <v>69</v>
      </c>
      <c r="C72" s="65" t="s">
        <v>822</v>
      </c>
      <c r="D72" s="110">
        <v>136088</v>
      </c>
      <c r="E72" s="209" t="s">
        <v>945</v>
      </c>
      <c r="F72" s="111">
        <v>139281</v>
      </c>
      <c r="G72" s="212">
        <v>46231</v>
      </c>
      <c r="H72" s="212" t="s">
        <v>240</v>
      </c>
      <c r="I72" s="55">
        <f t="shared" si="6"/>
        <v>4</v>
      </c>
      <c r="J72" s="212">
        <v>46237</v>
      </c>
      <c r="K72" s="55">
        <f t="shared" si="7"/>
        <v>2</v>
      </c>
      <c r="L72" s="212" t="s">
        <v>250</v>
      </c>
      <c r="M72" s="55">
        <f t="shared" si="8"/>
        <v>1</v>
      </c>
      <c r="N72" s="50" t="s">
        <v>879</v>
      </c>
      <c r="O72" s="50" t="s">
        <v>605</v>
      </c>
      <c r="P72" s="56" t="s">
        <v>53</v>
      </c>
      <c r="Q72" s="190">
        <v>223.41304347826087</v>
      </c>
      <c r="R72" s="190">
        <v>223.41304347826087</v>
      </c>
      <c r="S72" s="57">
        <f t="shared" si="9"/>
        <v>0</v>
      </c>
      <c r="T72" s="57"/>
      <c r="U72" s="57"/>
      <c r="V72" s="58">
        <f t="shared" si="10"/>
        <v>22.341304347826089</v>
      </c>
      <c r="W72" s="59">
        <f t="shared" si="11"/>
        <v>0</v>
      </c>
    </row>
    <row r="73" spans="1:23" hidden="1" x14ac:dyDescent="0.35">
      <c r="A73" s="60"/>
      <c r="B73" s="54">
        <v>70</v>
      </c>
      <c r="C73" s="65" t="s">
        <v>822</v>
      </c>
      <c r="D73" s="110">
        <v>136090</v>
      </c>
      <c r="E73" s="209" t="s">
        <v>945</v>
      </c>
      <c r="F73" s="111">
        <v>139286</v>
      </c>
      <c r="G73" s="212">
        <v>46231</v>
      </c>
      <c r="H73" s="212" t="s">
        <v>240</v>
      </c>
      <c r="I73" s="55">
        <f t="shared" si="6"/>
        <v>4</v>
      </c>
      <c r="J73" s="212">
        <v>46237</v>
      </c>
      <c r="K73" s="55">
        <f t="shared" si="7"/>
        <v>2</v>
      </c>
      <c r="L73" s="212" t="s">
        <v>250</v>
      </c>
      <c r="M73" s="55">
        <f t="shared" si="8"/>
        <v>1</v>
      </c>
      <c r="N73" s="50" t="s">
        <v>880</v>
      </c>
      <c r="O73" s="50" t="s">
        <v>605</v>
      </c>
      <c r="P73" s="56" t="s">
        <v>53</v>
      </c>
      <c r="Q73" s="190">
        <v>348.47826086956519</v>
      </c>
      <c r="R73" s="190">
        <v>348.47826086956519</v>
      </c>
      <c r="S73" s="57">
        <f t="shared" si="9"/>
        <v>0</v>
      </c>
      <c r="T73" s="57"/>
      <c r="U73" s="57"/>
      <c r="V73" s="58">
        <f t="shared" si="10"/>
        <v>34.847826086956523</v>
      </c>
      <c r="W73" s="59">
        <f t="shared" si="11"/>
        <v>0</v>
      </c>
    </row>
    <row r="74" spans="1:23" hidden="1" x14ac:dyDescent="0.35">
      <c r="A74" s="60"/>
      <c r="B74" s="54">
        <v>71</v>
      </c>
      <c r="C74" s="65" t="s">
        <v>822</v>
      </c>
      <c r="D74" s="110">
        <v>136091</v>
      </c>
      <c r="E74" s="209" t="s">
        <v>945</v>
      </c>
      <c r="F74" s="111">
        <v>139288</v>
      </c>
      <c r="G74" s="212">
        <v>46231</v>
      </c>
      <c r="H74" s="212" t="s">
        <v>240</v>
      </c>
      <c r="I74" s="55">
        <f t="shared" si="6"/>
        <v>4</v>
      </c>
      <c r="J74" s="212">
        <v>46237</v>
      </c>
      <c r="K74" s="55">
        <f t="shared" si="7"/>
        <v>2</v>
      </c>
      <c r="L74" s="212" t="s">
        <v>250</v>
      </c>
      <c r="M74" s="55">
        <f t="shared" si="8"/>
        <v>1</v>
      </c>
      <c r="N74" s="50" t="s">
        <v>881</v>
      </c>
      <c r="O74" s="50" t="s">
        <v>605</v>
      </c>
      <c r="P74" s="56" t="s">
        <v>53</v>
      </c>
      <c r="Q74" s="190">
        <v>1393.9130434782608</v>
      </c>
      <c r="R74" s="190">
        <v>1393.9130434782608</v>
      </c>
      <c r="S74" s="57">
        <f t="shared" si="9"/>
        <v>0</v>
      </c>
      <c r="T74" s="57"/>
      <c r="U74" s="57"/>
      <c r="V74" s="58">
        <f t="shared" si="10"/>
        <v>139.39130434782609</v>
      </c>
      <c r="W74" s="59">
        <f t="shared" si="11"/>
        <v>0</v>
      </c>
    </row>
    <row r="75" spans="1:23" hidden="1" x14ac:dyDescent="0.35">
      <c r="A75" s="60"/>
      <c r="B75" s="54">
        <v>72</v>
      </c>
      <c r="C75" s="65" t="s">
        <v>822</v>
      </c>
      <c r="D75" s="110">
        <v>136092</v>
      </c>
      <c r="E75" s="209" t="s">
        <v>945</v>
      </c>
      <c r="F75" s="111">
        <v>139277</v>
      </c>
      <c r="G75" s="212">
        <v>46231</v>
      </c>
      <c r="H75" s="212" t="s">
        <v>240</v>
      </c>
      <c r="I75" s="55">
        <f t="shared" si="6"/>
        <v>4</v>
      </c>
      <c r="J75" s="212">
        <v>46237</v>
      </c>
      <c r="K75" s="55">
        <f t="shared" si="7"/>
        <v>2</v>
      </c>
      <c r="L75" s="212" t="s">
        <v>250</v>
      </c>
      <c r="M75" s="55">
        <f t="shared" si="8"/>
        <v>1</v>
      </c>
      <c r="N75" s="50" t="s">
        <v>882</v>
      </c>
      <c r="O75" s="50" t="s">
        <v>612</v>
      </c>
      <c r="P75" s="56" t="s">
        <v>53</v>
      </c>
      <c r="Q75" s="190">
        <v>324.95652173913044</v>
      </c>
      <c r="R75" s="190">
        <v>324.95652173913044</v>
      </c>
      <c r="S75" s="57">
        <f t="shared" si="9"/>
        <v>0</v>
      </c>
      <c r="T75" s="57"/>
      <c r="U75" s="57"/>
      <c r="V75" s="58">
        <f t="shared" si="10"/>
        <v>32.495652173913044</v>
      </c>
      <c r="W75" s="59">
        <f t="shared" si="11"/>
        <v>0</v>
      </c>
    </row>
    <row r="76" spans="1:23" hidden="1" x14ac:dyDescent="0.35">
      <c r="A76" s="60"/>
      <c r="B76" s="54">
        <v>73</v>
      </c>
      <c r="C76" s="65" t="s">
        <v>822</v>
      </c>
      <c r="D76" s="110">
        <v>136093</v>
      </c>
      <c r="E76" s="209" t="s">
        <v>945</v>
      </c>
      <c r="F76" s="111">
        <v>139279</v>
      </c>
      <c r="G76" s="212">
        <v>46231</v>
      </c>
      <c r="H76" s="212" t="s">
        <v>240</v>
      </c>
      <c r="I76" s="55">
        <f t="shared" si="6"/>
        <v>4</v>
      </c>
      <c r="J76" s="212">
        <v>46237</v>
      </c>
      <c r="K76" s="55">
        <f t="shared" si="7"/>
        <v>2</v>
      </c>
      <c r="L76" s="212" t="s">
        <v>250</v>
      </c>
      <c r="M76" s="55">
        <f t="shared" si="8"/>
        <v>1</v>
      </c>
      <c r="N76" s="50" t="s">
        <v>883</v>
      </c>
      <c r="O76" s="50" t="s">
        <v>612</v>
      </c>
      <c r="P76" s="56" t="s">
        <v>53</v>
      </c>
      <c r="Q76" s="190">
        <v>316.95652173913044</v>
      </c>
      <c r="R76" s="190">
        <v>316.95652173913044</v>
      </c>
      <c r="S76" s="57">
        <f t="shared" si="9"/>
        <v>0</v>
      </c>
      <c r="T76" s="57"/>
      <c r="U76" s="57"/>
      <c r="V76" s="58">
        <f t="shared" si="10"/>
        <v>31.695652173913047</v>
      </c>
      <c r="W76" s="59">
        <f t="shared" si="11"/>
        <v>0</v>
      </c>
    </row>
    <row r="77" spans="1:23" hidden="1" x14ac:dyDescent="0.35">
      <c r="A77" s="60"/>
      <c r="B77" s="54">
        <v>74</v>
      </c>
      <c r="C77" s="65" t="s">
        <v>822</v>
      </c>
      <c r="D77" s="110">
        <v>136097</v>
      </c>
      <c r="E77" s="209" t="s">
        <v>945</v>
      </c>
      <c r="F77" s="111">
        <v>139278</v>
      </c>
      <c r="G77" s="212">
        <v>46231</v>
      </c>
      <c r="H77" s="212" t="s">
        <v>240</v>
      </c>
      <c r="I77" s="55">
        <f t="shared" si="6"/>
        <v>4</v>
      </c>
      <c r="J77" s="212">
        <v>46237</v>
      </c>
      <c r="K77" s="55">
        <f t="shared" si="7"/>
        <v>2</v>
      </c>
      <c r="L77" s="212" t="s">
        <v>250</v>
      </c>
      <c r="M77" s="55">
        <f t="shared" si="8"/>
        <v>1</v>
      </c>
      <c r="N77" s="50" t="s">
        <v>884</v>
      </c>
      <c r="O77" s="50" t="s">
        <v>612</v>
      </c>
      <c r="P77" s="56" t="s">
        <v>53</v>
      </c>
      <c r="Q77" s="190">
        <v>4754.347826086957</v>
      </c>
      <c r="R77" s="190">
        <v>4754.347826086957</v>
      </c>
      <c r="S77" s="57">
        <f t="shared" si="9"/>
        <v>0</v>
      </c>
      <c r="T77" s="57"/>
      <c r="U77" s="57"/>
      <c r="V77" s="58">
        <f t="shared" si="10"/>
        <v>475.43478260869574</v>
      </c>
      <c r="W77" s="59">
        <f t="shared" si="11"/>
        <v>0</v>
      </c>
    </row>
    <row r="78" spans="1:23" hidden="1" x14ac:dyDescent="0.35">
      <c r="A78" s="60"/>
      <c r="B78" s="54">
        <v>75</v>
      </c>
      <c r="C78" s="65" t="s">
        <v>822</v>
      </c>
      <c r="D78" s="110">
        <v>136099</v>
      </c>
      <c r="E78" s="209" t="s">
        <v>945</v>
      </c>
      <c r="F78" s="111">
        <v>139276</v>
      </c>
      <c r="G78" s="212">
        <v>46231</v>
      </c>
      <c r="H78" s="212" t="s">
        <v>240</v>
      </c>
      <c r="I78" s="55">
        <f t="shared" si="6"/>
        <v>4</v>
      </c>
      <c r="J78" s="212">
        <v>46237</v>
      </c>
      <c r="K78" s="55">
        <f t="shared" si="7"/>
        <v>2</v>
      </c>
      <c r="L78" s="212" t="s">
        <v>250</v>
      </c>
      <c r="M78" s="55">
        <f t="shared" si="8"/>
        <v>1</v>
      </c>
      <c r="N78" s="50" t="s">
        <v>885</v>
      </c>
      <c r="O78" s="50" t="s">
        <v>612</v>
      </c>
      <c r="P78" s="56" t="s">
        <v>53</v>
      </c>
      <c r="Q78" s="190">
        <v>4874.347826086957</v>
      </c>
      <c r="R78" s="190">
        <v>4874.347826086957</v>
      </c>
      <c r="S78" s="57">
        <f t="shared" si="9"/>
        <v>0</v>
      </c>
      <c r="T78" s="57"/>
      <c r="U78" s="57"/>
      <c r="V78" s="58">
        <f t="shared" si="10"/>
        <v>487.43478260869574</v>
      </c>
      <c r="W78" s="59">
        <f t="shared" si="11"/>
        <v>0</v>
      </c>
    </row>
    <row r="79" spans="1:23" hidden="1" x14ac:dyDescent="0.35">
      <c r="A79" s="60"/>
      <c r="B79" s="54">
        <v>76</v>
      </c>
      <c r="C79" s="65" t="s">
        <v>822</v>
      </c>
      <c r="D79" s="110">
        <v>136100</v>
      </c>
      <c r="E79" s="209" t="s">
        <v>945</v>
      </c>
      <c r="F79" s="111">
        <v>139274</v>
      </c>
      <c r="G79" s="212">
        <v>46231</v>
      </c>
      <c r="H79" s="212" t="s">
        <v>240</v>
      </c>
      <c r="I79" s="55">
        <f t="shared" si="6"/>
        <v>4</v>
      </c>
      <c r="J79" s="212">
        <v>46237</v>
      </c>
      <c r="K79" s="55">
        <f t="shared" si="7"/>
        <v>2</v>
      </c>
      <c r="L79" s="212" t="s">
        <v>250</v>
      </c>
      <c r="M79" s="55">
        <f t="shared" si="8"/>
        <v>1</v>
      </c>
      <c r="N79" s="50" t="s">
        <v>886</v>
      </c>
      <c r="O79" s="50" t="s">
        <v>612</v>
      </c>
      <c r="P79" s="56" t="s">
        <v>53</v>
      </c>
      <c r="Q79" s="190">
        <v>2112.217391304348</v>
      </c>
      <c r="R79" s="190">
        <v>2112.217391304348</v>
      </c>
      <c r="S79" s="57">
        <f t="shared" si="9"/>
        <v>0</v>
      </c>
      <c r="T79" s="57"/>
      <c r="U79" s="57"/>
      <c r="V79" s="58">
        <f t="shared" si="10"/>
        <v>211.2217391304348</v>
      </c>
      <c r="W79" s="59">
        <f t="shared" si="11"/>
        <v>0</v>
      </c>
    </row>
    <row r="80" spans="1:23" hidden="1" x14ac:dyDescent="0.35">
      <c r="A80" s="60"/>
      <c r="B80" s="54">
        <v>77</v>
      </c>
      <c r="C80" s="65" t="s">
        <v>822</v>
      </c>
      <c r="D80" s="110">
        <v>136103</v>
      </c>
      <c r="E80" s="209" t="s">
        <v>945</v>
      </c>
      <c r="F80" s="111">
        <v>139273</v>
      </c>
      <c r="G80" s="212">
        <v>46231</v>
      </c>
      <c r="H80" s="212" t="s">
        <v>240</v>
      </c>
      <c r="I80" s="55">
        <f t="shared" si="6"/>
        <v>4</v>
      </c>
      <c r="J80" s="212">
        <v>46237</v>
      </c>
      <c r="K80" s="55">
        <f t="shared" si="7"/>
        <v>2</v>
      </c>
      <c r="L80" s="212" t="s">
        <v>250</v>
      </c>
      <c r="M80" s="55">
        <f t="shared" si="8"/>
        <v>1</v>
      </c>
      <c r="N80" s="50" t="s">
        <v>887</v>
      </c>
      <c r="O80" s="50" t="s">
        <v>612</v>
      </c>
      <c r="P80" s="56" t="s">
        <v>53</v>
      </c>
      <c r="Q80" s="190">
        <v>3249.5652173913045</v>
      </c>
      <c r="R80" s="190">
        <v>3249.5652173913045</v>
      </c>
      <c r="S80" s="57">
        <f t="shared" si="9"/>
        <v>0</v>
      </c>
      <c r="T80" s="57"/>
      <c r="U80" s="57"/>
      <c r="V80" s="58">
        <f t="shared" si="10"/>
        <v>324.95652173913049</v>
      </c>
      <c r="W80" s="59">
        <f t="shared" si="11"/>
        <v>0</v>
      </c>
    </row>
    <row r="81" spans="1:23" hidden="1" x14ac:dyDescent="0.35">
      <c r="A81" s="60"/>
      <c r="B81" s="54">
        <v>78</v>
      </c>
      <c r="C81" s="65" t="s">
        <v>822</v>
      </c>
      <c r="D81" s="110">
        <v>136104</v>
      </c>
      <c r="E81" s="209" t="s">
        <v>945</v>
      </c>
      <c r="F81" s="111">
        <v>139267</v>
      </c>
      <c r="G81" s="212">
        <v>46231</v>
      </c>
      <c r="H81" s="212" t="s">
        <v>240</v>
      </c>
      <c r="I81" s="55">
        <f t="shared" si="6"/>
        <v>4</v>
      </c>
      <c r="J81" s="212">
        <v>46237</v>
      </c>
      <c r="K81" s="55">
        <f t="shared" si="7"/>
        <v>2</v>
      </c>
      <c r="L81" s="212" t="s">
        <v>250</v>
      </c>
      <c r="M81" s="55">
        <f t="shared" si="8"/>
        <v>1</v>
      </c>
      <c r="N81" s="50" t="s">
        <v>888</v>
      </c>
      <c r="O81" s="50" t="s">
        <v>612</v>
      </c>
      <c r="P81" s="56" t="s">
        <v>53</v>
      </c>
      <c r="Q81" s="190">
        <v>271.39130434782606</v>
      </c>
      <c r="R81" s="190">
        <v>271.39130434782606</v>
      </c>
      <c r="S81" s="57">
        <f t="shared" si="9"/>
        <v>0</v>
      </c>
      <c r="T81" s="57"/>
      <c r="U81" s="57"/>
      <c r="V81" s="58">
        <f t="shared" si="10"/>
        <v>27.139130434782608</v>
      </c>
      <c r="W81" s="59">
        <f t="shared" si="11"/>
        <v>0</v>
      </c>
    </row>
    <row r="82" spans="1:23" hidden="1" x14ac:dyDescent="0.35">
      <c r="A82" s="60"/>
      <c r="B82" s="54">
        <v>79</v>
      </c>
      <c r="C82" s="65" t="s">
        <v>822</v>
      </c>
      <c r="D82" s="110">
        <v>136105</v>
      </c>
      <c r="E82" s="209" t="s">
        <v>945</v>
      </c>
      <c r="F82" s="111">
        <v>139271</v>
      </c>
      <c r="G82" s="212">
        <v>46231</v>
      </c>
      <c r="H82" s="212" t="s">
        <v>240</v>
      </c>
      <c r="I82" s="55">
        <f t="shared" si="6"/>
        <v>4</v>
      </c>
      <c r="J82" s="212">
        <v>46237</v>
      </c>
      <c r="K82" s="55">
        <f t="shared" si="7"/>
        <v>2</v>
      </c>
      <c r="L82" s="212" t="s">
        <v>251</v>
      </c>
      <c r="M82" s="55">
        <f t="shared" si="8"/>
        <v>2</v>
      </c>
      <c r="N82" s="50" t="s">
        <v>889</v>
      </c>
      <c r="O82" s="50" t="s">
        <v>612</v>
      </c>
      <c r="P82" s="56" t="s">
        <v>53</v>
      </c>
      <c r="Q82" s="190">
        <v>7149.04347826087</v>
      </c>
      <c r="R82" s="190">
        <v>7149.04347826087</v>
      </c>
      <c r="S82" s="57">
        <f t="shared" si="9"/>
        <v>0</v>
      </c>
      <c r="T82" s="57"/>
      <c r="U82" s="57"/>
      <c r="V82" s="58">
        <f t="shared" si="10"/>
        <v>714.90434782608702</v>
      </c>
      <c r="W82" s="59">
        <f t="shared" si="11"/>
        <v>0</v>
      </c>
    </row>
    <row r="83" spans="1:23" hidden="1" x14ac:dyDescent="0.35">
      <c r="A83" s="60"/>
      <c r="B83" s="54">
        <v>80</v>
      </c>
      <c r="C83" s="65" t="s">
        <v>822</v>
      </c>
      <c r="D83" s="110">
        <v>136106</v>
      </c>
      <c r="E83" s="209" t="s">
        <v>945</v>
      </c>
      <c r="F83" s="111">
        <v>139270</v>
      </c>
      <c r="G83" s="212">
        <v>46231</v>
      </c>
      <c r="H83" s="212" t="s">
        <v>240</v>
      </c>
      <c r="I83" s="55">
        <f t="shared" si="6"/>
        <v>4</v>
      </c>
      <c r="J83" s="212">
        <v>46237</v>
      </c>
      <c r="K83" s="55">
        <f t="shared" si="7"/>
        <v>2</v>
      </c>
      <c r="L83" s="212" t="s">
        <v>250</v>
      </c>
      <c r="M83" s="55">
        <f t="shared" si="8"/>
        <v>1</v>
      </c>
      <c r="N83" s="50" t="s">
        <v>890</v>
      </c>
      <c r="O83" s="50" t="s">
        <v>612</v>
      </c>
      <c r="P83" s="56" t="s">
        <v>53</v>
      </c>
      <c r="Q83" s="190">
        <v>3087.086956521739</v>
      </c>
      <c r="R83" s="190">
        <v>3087.086956521739</v>
      </c>
      <c r="S83" s="57">
        <f t="shared" si="9"/>
        <v>0</v>
      </c>
      <c r="T83" s="57"/>
      <c r="U83" s="57"/>
      <c r="V83" s="58">
        <f t="shared" si="10"/>
        <v>308.7086956521739</v>
      </c>
      <c r="W83" s="59">
        <f t="shared" si="11"/>
        <v>0</v>
      </c>
    </row>
    <row r="84" spans="1:23" hidden="1" x14ac:dyDescent="0.35">
      <c r="A84" s="60"/>
      <c r="B84" s="54">
        <v>81</v>
      </c>
      <c r="C84" s="65" t="s">
        <v>822</v>
      </c>
      <c r="D84" s="110">
        <v>136109</v>
      </c>
      <c r="E84" s="209" t="s">
        <v>945</v>
      </c>
      <c r="F84" s="111">
        <v>139268</v>
      </c>
      <c r="G84" s="212">
        <v>46231</v>
      </c>
      <c r="H84" s="212" t="s">
        <v>240</v>
      </c>
      <c r="I84" s="55">
        <f t="shared" si="6"/>
        <v>4</v>
      </c>
      <c r="J84" s="212">
        <v>46237</v>
      </c>
      <c r="K84" s="55">
        <f t="shared" si="7"/>
        <v>2</v>
      </c>
      <c r="L84" s="212" t="s">
        <v>250</v>
      </c>
      <c r="M84" s="55">
        <f t="shared" si="8"/>
        <v>1</v>
      </c>
      <c r="N84" s="50" t="s">
        <v>891</v>
      </c>
      <c r="O84" s="50" t="s">
        <v>612</v>
      </c>
      <c r="P84" s="56" t="s">
        <v>53</v>
      </c>
      <c r="Q84" s="190">
        <v>327.04347826086956</v>
      </c>
      <c r="R84" s="190">
        <v>327.04347826086956</v>
      </c>
      <c r="S84" s="57">
        <f t="shared" si="9"/>
        <v>0</v>
      </c>
      <c r="T84" s="57"/>
      <c r="U84" s="57"/>
      <c r="V84" s="58">
        <f t="shared" si="10"/>
        <v>32.704347826086959</v>
      </c>
      <c r="W84" s="59">
        <f t="shared" si="11"/>
        <v>0</v>
      </c>
    </row>
    <row r="85" spans="1:23" hidden="1" x14ac:dyDescent="0.35">
      <c r="A85" s="60"/>
      <c r="B85" s="54">
        <v>82</v>
      </c>
      <c r="C85" s="65" t="s">
        <v>822</v>
      </c>
      <c r="D85" s="110">
        <v>136110</v>
      </c>
      <c r="E85" s="209" t="s">
        <v>945</v>
      </c>
      <c r="F85" s="111">
        <v>139265</v>
      </c>
      <c r="G85" s="212">
        <v>46231</v>
      </c>
      <c r="H85" s="212" t="s">
        <v>240</v>
      </c>
      <c r="I85" s="55">
        <f t="shared" si="6"/>
        <v>4</v>
      </c>
      <c r="J85" s="212">
        <v>46237</v>
      </c>
      <c r="K85" s="55">
        <f t="shared" si="7"/>
        <v>2</v>
      </c>
      <c r="L85" s="212" t="s">
        <v>250</v>
      </c>
      <c r="M85" s="55">
        <f t="shared" si="8"/>
        <v>1</v>
      </c>
      <c r="N85" s="50" t="s">
        <v>892</v>
      </c>
      <c r="O85" s="50" t="s">
        <v>612</v>
      </c>
      <c r="P85" s="56" t="s">
        <v>53</v>
      </c>
      <c r="Q85" s="190">
        <v>340.51086956521738</v>
      </c>
      <c r="R85" s="190">
        <v>340.51086956521738</v>
      </c>
      <c r="S85" s="57">
        <f t="shared" si="9"/>
        <v>0</v>
      </c>
      <c r="T85" s="57"/>
      <c r="U85" s="57"/>
      <c r="V85" s="58">
        <f t="shared" si="10"/>
        <v>34.051086956521736</v>
      </c>
      <c r="W85" s="59">
        <f t="shared" si="11"/>
        <v>0</v>
      </c>
    </row>
    <row r="86" spans="1:23" hidden="1" x14ac:dyDescent="0.35">
      <c r="A86" s="60"/>
      <c r="B86" s="54">
        <v>83</v>
      </c>
      <c r="C86" s="65" t="s">
        <v>822</v>
      </c>
      <c r="D86" s="110">
        <v>136111</v>
      </c>
      <c r="E86" s="209" t="s">
        <v>945</v>
      </c>
      <c r="F86" s="111">
        <v>139264</v>
      </c>
      <c r="G86" s="212">
        <v>46231</v>
      </c>
      <c r="H86" s="212" t="s">
        <v>240</v>
      </c>
      <c r="I86" s="55">
        <f t="shared" si="6"/>
        <v>4</v>
      </c>
      <c r="J86" s="212">
        <v>46237</v>
      </c>
      <c r="K86" s="55">
        <f t="shared" si="7"/>
        <v>2</v>
      </c>
      <c r="L86" s="212" t="s">
        <v>250</v>
      </c>
      <c r="M86" s="55">
        <f t="shared" si="8"/>
        <v>1</v>
      </c>
      <c r="N86" s="50" t="s">
        <v>893</v>
      </c>
      <c r="O86" s="50" t="s">
        <v>612</v>
      </c>
      <c r="P86" s="56" t="s">
        <v>53</v>
      </c>
      <c r="Q86" s="190">
        <v>353.97826086956519</v>
      </c>
      <c r="R86" s="190">
        <v>353.97826086956519</v>
      </c>
      <c r="S86" s="57">
        <f t="shared" si="9"/>
        <v>0</v>
      </c>
      <c r="T86" s="57"/>
      <c r="U86" s="57"/>
      <c r="V86" s="58">
        <f t="shared" si="10"/>
        <v>35.39782608695652</v>
      </c>
      <c r="W86" s="59">
        <f t="shared" si="11"/>
        <v>0</v>
      </c>
    </row>
    <row r="87" spans="1:23" hidden="1" x14ac:dyDescent="0.35">
      <c r="A87" s="60"/>
      <c r="B87" s="54">
        <v>84</v>
      </c>
      <c r="C87" s="65" t="s">
        <v>822</v>
      </c>
      <c r="D87" s="110">
        <v>136112</v>
      </c>
      <c r="E87" s="209" t="s">
        <v>945</v>
      </c>
      <c r="F87" s="111">
        <v>139262</v>
      </c>
      <c r="G87" s="212">
        <v>46231</v>
      </c>
      <c r="H87" s="212" t="s">
        <v>240</v>
      </c>
      <c r="I87" s="55">
        <f t="shared" si="6"/>
        <v>4</v>
      </c>
      <c r="J87" s="212">
        <v>46237</v>
      </c>
      <c r="K87" s="55">
        <f t="shared" si="7"/>
        <v>2</v>
      </c>
      <c r="L87" s="212" t="s">
        <v>250</v>
      </c>
      <c r="M87" s="55">
        <f t="shared" si="8"/>
        <v>1</v>
      </c>
      <c r="N87" s="50" t="s">
        <v>894</v>
      </c>
      <c r="O87" s="50" t="s">
        <v>612</v>
      </c>
      <c r="P87" s="56" t="s">
        <v>53</v>
      </c>
      <c r="Q87" s="190">
        <v>327.04347826086956</v>
      </c>
      <c r="R87" s="190">
        <v>327.04347826086956</v>
      </c>
      <c r="S87" s="57">
        <f t="shared" si="9"/>
        <v>0</v>
      </c>
      <c r="T87" s="57"/>
      <c r="U87" s="57"/>
      <c r="V87" s="58">
        <f t="shared" si="10"/>
        <v>32.704347826086959</v>
      </c>
      <c r="W87" s="59">
        <f t="shared" si="11"/>
        <v>0</v>
      </c>
    </row>
    <row r="88" spans="1:23" hidden="1" x14ac:dyDescent="0.35">
      <c r="A88" s="60"/>
      <c r="B88" s="54">
        <v>85</v>
      </c>
      <c r="C88" s="65" t="s">
        <v>822</v>
      </c>
      <c r="D88" s="110">
        <v>136113</v>
      </c>
      <c r="E88" s="209" t="s">
        <v>945</v>
      </c>
      <c r="F88" s="111">
        <v>139263</v>
      </c>
      <c r="G88" s="212">
        <v>46231</v>
      </c>
      <c r="H88" s="212" t="s">
        <v>240</v>
      </c>
      <c r="I88" s="55">
        <f t="shared" si="6"/>
        <v>4</v>
      </c>
      <c r="J88" s="212">
        <v>46237</v>
      </c>
      <c r="K88" s="55">
        <f t="shared" si="7"/>
        <v>2</v>
      </c>
      <c r="L88" s="212" t="s">
        <v>250</v>
      </c>
      <c r="M88" s="55">
        <f t="shared" si="8"/>
        <v>1</v>
      </c>
      <c r="N88" s="50" t="s">
        <v>895</v>
      </c>
      <c r="O88" s="50" t="s">
        <v>612</v>
      </c>
      <c r="P88" s="56" t="s">
        <v>53</v>
      </c>
      <c r="Q88" s="190">
        <v>869.56521739130437</v>
      </c>
      <c r="R88" s="190">
        <v>869.56521739130437</v>
      </c>
      <c r="S88" s="57">
        <f t="shared" si="9"/>
        <v>0</v>
      </c>
      <c r="T88" s="57"/>
      <c r="U88" s="57"/>
      <c r="V88" s="58">
        <f t="shared" si="10"/>
        <v>86.956521739130437</v>
      </c>
      <c r="W88" s="59">
        <f t="shared" si="11"/>
        <v>0</v>
      </c>
    </row>
    <row r="89" spans="1:23" hidden="1" x14ac:dyDescent="0.35">
      <c r="A89" s="60"/>
      <c r="B89" s="54">
        <v>86</v>
      </c>
      <c r="C89" s="65" t="s">
        <v>822</v>
      </c>
      <c r="D89" s="110">
        <v>136114</v>
      </c>
      <c r="E89" s="209" t="s">
        <v>945</v>
      </c>
      <c r="F89" s="111">
        <v>139261</v>
      </c>
      <c r="G89" s="212">
        <v>46231</v>
      </c>
      <c r="H89" s="212" t="s">
        <v>240</v>
      </c>
      <c r="I89" s="55">
        <f t="shared" si="6"/>
        <v>4</v>
      </c>
      <c r="J89" s="212">
        <v>46237</v>
      </c>
      <c r="K89" s="55">
        <f t="shared" si="7"/>
        <v>2</v>
      </c>
      <c r="L89" s="212" t="s">
        <v>250</v>
      </c>
      <c r="M89" s="55">
        <f t="shared" si="8"/>
        <v>1</v>
      </c>
      <c r="N89" s="50" t="s">
        <v>896</v>
      </c>
      <c r="O89" s="50" t="s">
        <v>612</v>
      </c>
      <c r="P89" s="56" t="s">
        <v>53</v>
      </c>
      <c r="Q89" s="190">
        <v>313.03739130434781</v>
      </c>
      <c r="R89" s="190">
        <v>313.03739130434781</v>
      </c>
      <c r="S89" s="57">
        <f t="shared" si="9"/>
        <v>0</v>
      </c>
      <c r="T89" s="57"/>
      <c r="U89" s="57"/>
      <c r="V89" s="58">
        <f t="shared" si="10"/>
        <v>31.303739130434781</v>
      </c>
      <c r="W89" s="59">
        <f t="shared" si="11"/>
        <v>0</v>
      </c>
    </row>
    <row r="90" spans="1:23" hidden="1" x14ac:dyDescent="0.35">
      <c r="A90" s="60"/>
      <c r="B90" s="54">
        <v>87</v>
      </c>
      <c r="C90" s="65" t="s">
        <v>822</v>
      </c>
      <c r="D90" s="110">
        <v>136115</v>
      </c>
      <c r="E90" s="209" t="s">
        <v>945</v>
      </c>
      <c r="F90" s="111">
        <v>139258</v>
      </c>
      <c r="G90" s="212">
        <v>46231</v>
      </c>
      <c r="H90" s="212" t="s">
        <v>240</v>
      </c>
      <c r="I90" s="55">
        <f t="shared" si="6"/>
        <v>4</v>
      </c>
      <c r="J90" s="212">
        <v>46237</v>
      </c>
      <c r="K90" s="55">
        <f t="shared" si="7"/>
        <v>2</v>
      </c>
      <c r="L90" s="212" t="s">
        <v>250</v>
      </c>
      <c r="M90" s="55">
        <f t="shared" si="8"/>
        <v>1</v>
      </c>
      <c r="N90" s="50" t="s">
        <v>897</v>
      </c>
      <c r="O90" s="50" t="s">
        <v>612</v>
      </c>
      <c r="P90" s="56" t="s">
        <v>53</v>
      </c>
      <c r="Q90" s="190">
        <v>353.97826086956519</v>
      </c>
      <c r="R90" s="190">
        <v>353.97826086956519</v>
      </c>
      <c r="S90" s="57">
        <f t="shared" si="9"/>
        <v>0</v>
      </c>
      <c r="T90" s="57"/>
      <c r="U90" s="57"/>
      <c r="V90" s="58">
        <f t="shared" si="10"/>
        <v>35.39782608695652</v>
      </c>
      <c r="W90" s="59">
        <f t="shared" si="11"/>
        <v>0</v>
      </c>
    </row>
    <row r="91" spans="1:23" hidden="1" x14ac:dyDescent="0.35">
      <c r="A91" s="60"/>
      <c r="B91" s="54">
        <v>88</v>
      </c>
      <c r="C91" s="65" t="s">
        <v>822</v>
      </c>
      <c r="D91" s="110">
        <v>136116</v>
      </c>
      <c r="E91" s="209" t="s">
        <v>945</v>
      </c>
      <c r="F91" s="111">
        <v>139260</v>
      </c>
      <c r="G91" s="212">
        <v>46231</v>
      </c>
      <c r="H91" s="212" t="s">
        <v>240</v>
      </c>
      <c r="I91" s="55">
        <f t="shared" si="6"/>
        <v>4</v>
      </c>
      <c r="J91" s="212">
        <v>46237</v>
      </c>
      <c r="K91" s="55">
        <f t="shared" si="7"/>
        <v>2</v>
      </c>
      <c r="L91" s="212" t="s">
        <v>250</v>
      </c>
      <c r="M91" s="55">
        <f t="shared" si="8"/>
        <v>1</v>
      </c>
      <c r="N91" s="50" t="s">
        <v>898</v>
      </c>
      <c r="O91" s="50" t="s">
        <v>612</v>
      </c>
      <c r="P91" s="56" t="s">
        <v>53</v>
      </c>
      <c r="Q91" s="190">
        <v>2893.478260869565</v>
      </c>
      <c r="R91" s="190">
        <v>2893.478260869565</v>
      </c>
      <c r="S91" s="57">
        <f t="shared" si="9"/>
        <v>0</v>
      </c>
      <c r="T91" s="57"/>
      <c r="U91" s="57"/>
      <c r="V91" s="58">
        <f t="shared" si="10"/>
        <v>289.3478260869565</v>
      </c>
      <c r="W91" s="59">
        <f t="shared" si="11"/>
        <v>0</v>
      </c>
    </row>
    <row r="92" spans="1:23" hidden="1" x14ac:dyDescent="0.35">
      <c r="A92" s="60"/>
      <c r="B92" s="54">
        <v>89</v>
      </c>
      <c r="C92" s="65" t="s">
        <v>822</v>
      </c>
      <c r="D92" s="110">
        <v>136117</v>
      </c>
      <c r="E92" s="209" t="s">
        <v>945</v>
      </c>
      <c r="F92" s="111">
        <v>139259</v>
      </c>
      <c r="G92" s="212">
        <v>46231</v>
      </c>
      <c r="H92" s="212" t="s">
        <v>240</v>
      </c>
      <c r="I92" s="55">
        <f t="shared" si="6"/>
        <v>4</v>
      </c>
      <c r="J92" s="212">
        <v>46237</v>
      </c>
      <c r="K92" s="55">
        <f t="shared" si="7"/>
        <v>2</v>
      </c>
      <c r="L92" s="212" t="s">
        <v>250</v>
      </c>
      <c r="M92" s="55">
        <f t="shared" si="8"/>
        <v>1</v>
      </c>
      <c r="N92" s="50" t="s">
        <v>899</v>
      </c>
      <c r="O92" s="50" t="s">
        <v>612</v>
      </c>
      <c r="P92" s="56" t="s">
        <v>53</v>
      </c>
      <c r="Q92" s="190">
        <v>327.04347826086956</v>
      </c>
      <c r="R92" s="190">
        <v>327.04347826086956</v>
      </c>
      <c r="S92" s="57">
        <f t="shared" si="9"/>
        <v>0</v>
      </c>
      <c r="T92" s="57"/>
      <c r="U92" s="57"/>
      <c r="V92" s="58">
        <f t="shared" si="10"/>
        <v>32.704347826086959</v>
      </c>
      <c r="W92" s="59">
        <f t="shared" si="11"/>
        <v>0</v>
      </c>
    </row>
    <row r="93" spans="1:23" hidden="1" x14ac:dyDescent="0.35">
      <c r="A93" s="60"/>
      <c r="B93" s="54">
        <v>90</v>
      </c>
      <c r="C93" s="65" t="s">
        <v>822</v>
      </c>
      <c r="D93" s="110">
        <v>136118</v>
      </c>
      <c r="E93" s="209" t="s">
        <v>945</v>
      </c>
      <c r="F93" s="111">
        <v>139257</v>
      </c>
      <c r="G93" s="212">
        <v>46231</v>
      </c>
      <c r="H93" s="212" t="s">
        <v>240</v>
      </c>
      <c r="I93" s="55">
        <f t="shared" si="6"/>
        <v>4</v>
      </c>
      <c r="J93" s="212">
        <v>46237</v>
      </c>
      <c r="K93" s="55">
        <f t="shared" si="7"/>
        <v>2</v>
      </c>
      <c r="L93" s="212" t="s">
        <v>250</v>
      </c>
      <c r="M93" s="55">
        <f t="shared" si="8"/>
        <v>1</v>
      </c>
      <c r="N93" s="50" t="s">
        <v>900</v>
      </c>
      <c r="O93" s="50" t="s">
        <v>612</v>
      </c>
      <c r="P93" s="56" t="s">
        <v>53</v>
      </c>
      <c r="Q93" s="190">
        <v>313.03739130434781</v>
      </c>
      <c r="R93" s="190">
        <v>313.03739130434781</v>
      </c>
      <c r="S93" s="57">
        <f t="shared" si="9"/>
        <v>0</v>
      </c>
      <c r="T93" s="57"/>
      <c r="U93" s="57"/>
      <c r="V93" s="58">
        <f t="shared" si="10"/>
        <v>31.303739130434781</v>
      </c>
      <c r="W93" s="59">
        <f t="shared" si="11"/>
        <v>0</v>
      </c>
    </row>
    <row r="94" spans="1:23" hidden="1" x14ac:dyDescent="0.35">
      <c r="A94" s="60"/>
      <c r="B94" s="54">
        <v>91</v>
      </c>
      <c r="C94" s="65" t="s">
        <v>822</v>
      </c>
      <c r="D94" s="110">
        <v>136119</v>
      </c>
      <c r="E94" s="209" t="s">
        <v>945</v>
      </c>
      <c r="F94" s="111">
        <v>139256</v>
      </c>
      <c r="G94" s="212">
        <v>46231</v>
      </c>
      <c r="H94" s="212" t="s">
        <v>240</v>
      </c>
      <c r="I94" s="55">
        <f t="shared" si="6"/>
        <v>4</v>
      </c>
      <c r="J94" s="212">
        <v>46237</v>
      </c>
      <c r="K94" s="55">
        <f t="shared" si="7"/>
        <v>2</v>
      </c>
      <c r="L94" s="212" t="s">
        <v>250</v>
      </c>
      <c r="M94" s="55">
        <f t="shared" si="8"/>
        <v>1</v>
      </c>
      <c r="N94" s="50" t="s">
        <v>901</v>
      </c>
      <c r="O94" s="50" t="s">
        <v>612</v>
      </c>
      <c r="P94" s="56" t="s">
        <v>53</v>
      </c>
      <c r="Q94" s="190">
        <v>340.51086956521738</v>
      </c>
      <c r="R94" s="190">
        <v>340.51086956521738</v>
      </c>
      <c r="S94" s="57">
        <f t="shared" si="9"/>
        <v>0</v>
      </c>
      <c r="T94" s="57"/>
      <c r="U94" s="57"/>
      <c r="V94" s="58">
        <f t="shared" si="10"/>
        <v>34.051086956521736</v>
      </c>
      <c r="W94" s="59">
        <f t="shared" si="11"/>
        <v>0</v>
      </c>
    </row>
    <row r="95" spans="1:23" hidden="1" x14ac:dyDescent="0.35">
      <c r="A95" s="60"/>
      <c r="B95" s="54">
        <v>92</v>
      </c>
      <c r="C95" s="65" t="s">
        <v>822</v>
      </c>
      <c r="D95" s="110">
        <v>136120</v>
      </c>
      <c r="E95" s="209" t="s">
        <v>945</v>
      </c>
      <c r="F95" s="111">
        <v>139255</v>
      </c>
      <c r="G95" s="212">
        <v>46231</v>
      </c>
      <c r="H95" s="212" t="s">
        <v>240</v>
      </c>
      <c r="I95" s="55">
        <f t="shared" si="6"/>
        <v>4</v>
      </c>
      <c r="J95" s="212">
        <v>46237</v>
      </c>
      <c r="K95" s="55">
        <f t="shared" si="7"/>
        <v>2</v>
      </c>
      <c r="L95" s="212" t="s">
        <v>250</v>
      </c>
      <c r="M95" s="55">
        <f t="shared" si="8"/>
        <v>1</v>
      </c>
      <c r="N95" s="50" t="s">
        <v>902</v>
      </c>
      <c r="O95" s="50" t="s">
        <v>612</v>
      </c>
      <c r="P95" s="56" t="s">
        <v>53</v>
      </c>
      <c r="Q95" s="190">
        <v>353.97826086956519</v>
      </c>
      <c r="R95" s="190">
        <v>353.97826086956519</v>
      </c>
      <c r="S95" s="57">
        <f t="shared" si="9"/>
        <v>0</v>
      </c>
      <c r="T95" s="57"/>
      <c r="U95" s="57"/>
      <c r="V95" s="58">
        <f t="shared" si="10"/>
        <v>35.39782608695652</v>
      </c>
      <c r="W95" s="59">
        <f t="shared" si="11"/>
        <v>0</v>
      </c>
    </row>
    <row r="96" spans="1:23" hidden="1" x14ac:dyDescent="0.35">
      <c r="A96" s="60"/>
      <c r="B96" s="54">
        <v>93</v>
      </c>
      <c r="C96" s="65" t="s">
        <v>822</v>
      </c>
      <c r="D96" s="110">
        <v>136121</v>
      </c>
      <c r="E96" s="209" t="s">
        <v>946</v>
      </c>
      <c r="F96" s="111">
        <v>139252</v>
      </c>
      <c r="G96" s="212">
        <v>46231</v>
      </c>
      <c r="H96" s="212" t="s">
        <v>244</v>
      </c>
      <c r="I96" s="55">
        <f t="shared" si="6"/>
        <v>3</v>
      </c>
      <c r="J96" s="212">
        <v>46237</v>
      </c>
      <c r="K96" s="55">
        <f t="shared" si="7"/>
        <v>3</v>
      </c>
      <c r="L96" s="212" t="s">
        <v>250</v>
      </c>
      <c r="M96" s="55">
        <f t="shared" si="8"/>
        <v>1</v>
      </c>
      <c r="N96" s="50" t="s">
        <v>299</v>
      </c>
      <c r="O96" s="50" t="s">
        <v>626</v>
      </c>
      <c r="P96" s="56" t="s">
        <v>53</v>
      </c>
      <c r="Q96" s="190">
        <v>2967.391304347826</v>
      </c>
      <c r="R96" s="190">
        <v>2967.391304347826</v>
      </c>
      <c r="S96" s="57">
        <f t="shared" si="9"/>
        <v>0</v>
      </c>
      <c r="T96" s="57"/>
      <c r="U96" s="57"/>
      <c r="V96" s="58">
        <f t="shared" si="10"/>
        <v>296.73913043478262</v>
      </c>
      <c r="W96" s="59">
        <f t="shared" si="11"/>
        <v>0</v>
      </c>
    </row>
    <row r="97" spans="1:23" hidden="1" x14ac:dyDescent="0.35">
      <c r="A97" s="60"/>
      <c r="B97" s="54">
        <v>94</v>
      </c>
      <c r="C97" s="65" t="s">
        <v>822</v>
      </c>
      <c r="D97" s="110">
        <v>136123</v>
      </c>
      <c r="E97" s="209" t="s">
        <v>945</v>
      </c>
      <c r="F97" s="111">
        <v>139254</v>
      </c>
      <c r="G97" s="212">
        <v>46231</v>
      </c>
      <c r="H97" s="212" t="s">
        <v>240</v>
      </c>
      <c r="I97" s="55">
        <f t="shared" si="6"/>
        <v>4</v>
      </c>
      <c r="J97" s="212">
        <v>46237</v>
      </c>
      <c r="K97" s="55">
        <f t="shared" si="7"/>
        <v>2</v>
      </c>
      <c r="L97" s="212" t="s">
        <v>250</v>
      </c>
      <c r="M97" s="55">
        <f t="shared" si="8"/>
        <v>1</v>
      </c>
      <c r="N97" s="50" t="s">
        <v>903</v>
      </c>
      <c r="O97" s="50" t="s">
        <v>612</v>
      </c>
      <c r="P97" s="56" t="s">
        <v>53</v>
      </c>
      <c r="Q97" s="190">
        <v>26.608721739130434</v>
      </c>
      <c r="R97" s="190">
        <v>26.608721739130434</v>
      </c>
      <c r="S97" s="57">
        <f t="shared" si="9"/>
        <v>0</v>
      </c>
      <c r="T97" s="57"/>
      <c r="U97" s="57"/>
      <c r="V97" s="58">
        <f t="shared" si="10"/>
        <v>2.6608721739130434</v>
      </c>
      <c r="W97" s="59">
        <f t="shared" si="11"/>
        <v>0</v>
      </c>
    </row>
    <row r="98" spans="1:23" hidden="1" x14ac:dyDescent="0.35">
      <c r="A98" s="60"/>
      <c r="B98" s="54">
        <v>95</v>
      </c>
      <c r="C98" s="65" t="s">
        <v>822</v>
      </c>
      <c r="D98" s="110">
        <v>136124</v>
      </c>
      <c r="E98" s="209" t="s">
        <v>945</v>
      </c>
      <c r="F98" s="111">
        <v>139253</v>
      </c>
      <c r="G98" s="212">
        <v>46231</v>
      </c>
      <c r="H98" s="212" t="s">
        <v>240</v>
      </c>
      <c r="I98" s="55">
        <f t="shared" si="6"/>
        <v>4</v>
      </c>
      <c r="J98" s="212">
        <v>46237</v>
      </c>
      <c r="K98" s="55">
        <f t="shared" si="7"/>
        <v>2</v>
      </c>
      <c r="L98" s="212" t="s">
        <v>250</v>
      </c>
      <c r="M98" s="55">
        <f t="shared" si="8"/>
        <v>1</v>
      </c>
      <c r="N98" s="50" t="s">
        <v>904</v>
      </c>
      <c r="O98" s="50" t="s">
        <v>612</v>
      </c>
      <c r="P98" s="56" t="s">
        <v>53</v>
      </c>
      <c r="Q98" s="190">
        <v>1458.2391304347825</v>
      </c>
      <c r="R98" s="190">
        <v>1458.2391304347825</v>
      </c>
      <c r="S98" s="57">
        <f t="shared" si="9"/>
        <v>0</v>
      </c>
      <c r="T98" s="57"/>
      <c r="U98" s="57"/>
      <c r="V98" s="58">
        <f t="shared" si="10"/>
        <v>145.82391304347826</v>
      </c>
      <c r="W98" s="59">
        <f t="shared" si="11"/>
        <v>0</v>
      </c>
    </row>
    <row r="99" spans="1:23" hidden="1" x14ac:dyDescent="0.35">
      <c r="A99" s="60"/>
      <c r="B99" s="54">
        <v>96</v>
      </c>
      <c r="C99" s="65" t="s">
        <v>822</v>
      </c>
      <c r="D99" s="110">
        <v>136125</v>
      </c>
      <c r="E99" s="209" t="s">
        <v>945</v>
      </c>
      <c r="F99" s="111">
        <v>139250</v>
      </c>
      <c r="G99" s="212">
        <v>46231</v>
      </c>
      <c r="H99" s="212" t="s">
        <v>240</v>
      </c>
      <c r="I99" s="55">
        <f t="shared" si="6"/>
        <v>4</v>
      </c>
      <c r="J99" s="212">
        <v>46237</v>
      </c>
      <c r="K99" s="55">
        <f t="shared" si="7"/>
        <v>2</v>
      </c>
      <c r="L99" s="212" t="s">
        <v>250</v>
      </c>
      <c r="M99" s="55">
        <f t="shared" si="8"/>
        <v>1</v>
      </c>
      <c r="N99" s="50" t="s">
        <v>905</v>
      </c>
      <c r="O99" s="50" t="s">
        <v>605</v>
      </c>
      <c r="P99" s="56" t="s">
        <v>53</v>
      </c>
      <c r="Q99" s="190">
        <v>33.760869565217391</v>
      </c>
      <c r="R99" s="190">
        <v>33.760869565217391</v>
      </c>
      <c r="S99" s="57">
        <f t="shared" si="9"/>
        <v>0</v>
      </c>
      <c r="T99" s="57"/>
      <c r="U99" s="57"/>
      <c r="V99" s="58">
        <f t="shared" si="10"/>
        <v>3.3760869565217391</v>
      </c>
      <c r="W99" s="59">
        <f t="shared" si="11"/>
        <v>0</v>
      </c>
    </row>
    <row r="100" spans="1:23" hidden="1" x14ac:dyDescent="0.35">
      <c r="A100" s="60"/>
      <c r="B100" s="54">
        <v>97</v>
      </c>
      <c r="C100" s="65" t="s">
        <v>822</v>
      </c>
      <c r="D100" s="110">
        <v>136177</v>
      </c>
      <c r="E100" s="209" t="s">
        <v>945</v>
      </c>
      <c r="F100" s="111">
        <v>139249</v>
      </c>
      <c r="G100" s="212">
        <v>46231</v>
      </c>
      <c r="H100" s="212" t="s">
        <v>250</v>
      </c>
      <c r="I100" s="55">
        <f t="shared" si="6"/>
        <v>5</v>
      </c>
      <c r="J100" s="212">
        <v>46238</v>
      </c>
      <c r="K100" s="55">
        <f t="shared" si="7"/>
        <v>2</v>
      </c>
      <c r="L100" s="212" t="s">
        <v>251</v>
      </c>
      <c r="M100" s="55">
        <f t="shared" si="8"/>
        <v>1</v>
      </c>
      <c r="N100" s="50" t="s">
        <v>300</v>
      </c>
      <c r="O100" s="50" t="s">
        <v>627</v>
      </c>
      <c r="P100" s="56" t="s">
        <v>53</v>
      </c>
      <c r="Q100" s="190">
        <v>528.26086956521738</v>
      </c>
      <c r="R100" s="190">
        <v>528.26086956521738</v>
      </c>
      <c r="S100" s="57">
        <f t="shared" si="9"/>
        <v>0</v>
      </c>
      <c r="T100" s="57"/>
      <c r="U100" s="57"/>
      <c r="V100" s="58">
        <f t="shared" si="10"/>
        <v>52.826086956521742</v>
      </c>
      <c r="W100" s="59">
        <f t="shared" si="11"/>
        <v>0</v>
      </c>
    </row>
    <row r="101" spans="1:23" hidden="1" x14ac:dyDescent="0.35">
      <c r="A101" s="60"/>
      <c r="B101" s="54">
        <v>99</v>
      </c>
      <c r="C101" s="65" t="s">
        <v>822</v>
      </c>
      <c r="D101" s="110">
        <v>136058</v>
      </c>
      <c r="E101" s="209" t="s">
        <v>945</v>
      </c>
      <c r="F101" s="111">
        <v>139303</v>
      </c>
      <c r="G101" s="212">
        <v>46232</v>
      </c>
      <c r="H101" s="212" t="s">
        <v>240</v>
      </c>
      <c r="I101" s="55">
        <f t="shared" si="6"/>
        <v>3</v>
      </c>
      <c r="J101" s="212">
        <v>46237</v>
      </c>
      <c r="K101" s="55">
        <f t="shared" si="7"/>
        <v>2</v>
      </c>
      <c r="L101" s="212" t="s">
        <v>250</v>
      </c>
      <c r="M101" s="55">
        <f t="shared" si="8"/>
        <v>1</v>
      </c>
      <c r="N101" s="66" t="s">
        <v>301</v>
      </c>
      <c r="O101" s="50" t="s">
        <v>628</v>
      </c>
      <c r="P101" s="56" t="s">
        <v>53</v>
      </c>
      <c r="Q101" s="190">
        <v>853.64869565217396</v>
      </c>
      <c r="R101" s="190">
        <v>853.64869565217396</v>
      </c>
      <c r="S101" s="57">
        <f t="shared" si="9"/>
        <v>0</v>
      </c>
      <c r="T101" s="57"/>
      <c r="U101" s="57"/>
      <c r="V101" s="58">
        <f t="shared" si="10"/>
        <v>85.364869565217404</v>
      </c>
      <c r="W101" s="59">
        <f t="shared" si="11"/>
        <v>0</v>
      </c>
    </row>
    <row r="102" spans="1:23" hidden="1" x14ac:dyDescent="0.35">
      <c r="A102" s="60"/>
      <c r="B102" s="54">
        <v>100</v>
      </c>
      <c r="C102" s="65" t="s">
        <v>822</v>
      </c>
      <c r="D102" s="110">
        <v>136059</v>
      </c>
      <c r="E102" s="209" t="s">
        <v>945</v>
      </c>
      <c r="F102" s="111">
        <v>139299</v>
      </c>
      <c r="G102" s="212">
        <v>46232</v>
      </c>
      <c r="H102" s="212" t="s">
        <v>244</v>
      </c>
      <c r="I102" s="55">
        <f t="shared" si="6"/>
        <v>2</v>
      </c>
      <c r="J102" s="212">
        <v>46237</v>
      </c>
      <c r="K102" s="55">
        <f t="shared" si="7"/>
        <v>3</v>
      </c>
      <c r="L102" s="212" t="s">
        <v>250</v>
      </c>
      <c r="M102" s="55">
        <f t="shared" si="8"/>
        <v>1</v>
      </c>
      <c r="N102" s="50" t="s">
        <v>302</v>
      </c>
      <c r="O102" s="50" t="s">
        <v>629</v>
      </c>
      <c r="P102" s="56" t="s">
        <v>53</v>
      </c>
      <c r="Q102" s="190">
        <v>8478.2608695652179</v>
      </c>
      <c r="R102" s="190">
        <v>8478.2608695652179</v>
      </c>
      <c r="S102" s="57">
        <f t="shared" si="9"/>
        <v>0</v>
      </c>
      <c r="T102" s="57"/>
      <c r="U102" s="57"/>
      <c r="V102" s="58">
        <f t="shared" si="10"/>
        <v>847.82608695652186</v>
      </c>
      <c r="W102" s="59">
        <f t="shared" si="11"/>
        <v>0</v>
      </c>
    </row>
    <row r="103" spans="1:23" hidden="1" x14ac:dyDescent="0.35">
      <c r="A103" s="60"/>
      <c r="B103" s="54">
        <v>101</v>
      </c>
      <c r="C103" s="65" t="s">
        <v>822</v>
      </c>
      <c r="D103" s="110">
        <v>136065</v>
      </c>
      <c r="E103" s="209" t="s">
        <v>945</v>
      </c>
      <c r="F103" s="111">
        <v>139315</v>
      </c>
      <c r="G103" s="212">
        <v>46232</v>
      </c>
      <c r="H103" s="212" t="s">
        <v>240</v>
      </c>
      <c r="I103" s="55">
        <f t="shared" si="6"/>
        <v>3</v>
      </c>
      <c r="J103" s="212">
        <v>46237</v>
      </c>
      <c r="K103" s="55">
        <f t="shared" si="7"/>
        <v>2</v>
      </c>
      <c r="L103" s="212" t="s">
        <v>250</v>
      </c>
      <c r="M103" s="55">
        <f t="shared" si="8"/>
        <v>1</v>
      </c>
      <c r="N103" s="50" t="s">
        <v>303</v>
      </c>
      <c r="O103" s="50" t="s">
        <v>630</v>
      </c>
      <c r="P103" s="56" t="s">
        <v>53</v>
      </c>
      <c r="Q103" s="190">
        <v>1521.7391304347825</v>
      </c>
      <c r="R103" s="190">
        <v>1521.7391304347825</v>
      </c>
      <c r="S103" s="57">
        <f t="shared" si="9"/>
        <v>0</v>
      </c>
      <c r="T103" s="57"/>
      <c r="U103" s="57"/>
      <c r="V103" s="58">
        <f t="shared" si="10"/>
        <v>152.17391304347825</v>
      </c>
      <c r="W103" s="59">
        <f t="shared" si="11"/>
        <v>0</v>
      </c>
    </row>
    <row r="104" spans="1:23" hidden="1" x14ac:dyDescent="0.35">
      <c r="A104" s="60"/>
      <c r="B104" s="54">
        <v>102</v>
      </c>
      <c r="C104" s="65" t="s">
        <v>822</v>
      </c>
      <c r="D104" s="110">
        <v>136066</v>
      </c>
      <c r="E104" s="209" t="s">
        <v>945</v>
      </c>
      <c r="F104" s="111">
        <v>139310</v>
      </c>
      <c r="G104" s="212">
        <v>46232</v>
      </c>
      <c r="H104" s="212" t="s">
        <v>244</v>
      </c>
      <c r="I104" s="55">
        <f t="shared" si="6"/>
        <v>2</v>
      </c>
      <c r="J104" s="212">
        <v>46237</v>
      </c>
      <c r="K104" s="55">
        <f t="shared" si="7"/>
        <v>3</v>
      </c>
      <c r="L104" s="212" t="s">
        <v>250</v>
      </c>
      <c r="M104" s="55">
        <f t="shared" si="8"/>
        <v>1</v>
      </c>
      <c r="N104" s="50" t="s">
        <v>304</v>
      </c>
      <c r="O104" s="50" t="s">
        <v>631</v>
      </c>
      <c r="P104" s="56" t="s">
        <v>53</v>
      </c>
      <c r="Q104" s="190">
        <v>177.60869565217391</v>
      </c>
      <c r="R104" s="190">
        <v>177.60869565217391</v>
      </c>
      <c r="S104" s="57">
        <f t="shared" si="9"/>
        <v>0</v>
      </c>
      <c r="T104" s="57"/>
      <c r="U104" s="57"/>
      <c r="V104" s="58">
        <f t="shared" si="10"/>
        <v>17.760869565217391</v>
      </c>
      <c r="W104" s="59">
        <f t="shared" si="11"/>
        <v>0</v>
      </c>
    </row>
    <row r="105" spans="1:23" hidden="1" x14ac:dyDescent="0.35">
      <c r="A105" s="60"/>
      <c r="B105" s="54">
        <v>103</v>
      </c>
      <c r="C105" s="65" t="s">
        <v>822</v>
      </c>
      <c r="D105" s="110">
        <v>136067</v>
      </c>
      <c r="E105" s="209" t="s">
        <v>945</v>
      </c>
      <c r="F105" s="111">
        <v>139309</v>
      </c>
      <c r="G105" s="212">
        <v>46232</v>
      </c>
      <c r="H105" s="212" t="s">
        <v>244</v>
      </c>
      <c r="I105" s="55">
        <f t="shared" si="6"/>
        <v>2</v>
      </c>
      <c r="J105" s="212">
        <v>46237</v>
      </c>
      <c r="K105" s="55">
        <f t="shared" si="7"/>
        <v>3</v>
      </c>
      <c r="L105" s="212" t="s">
        <v>250</v>
      </c>
      <c r="M105" s="55">
        <f t="shared" si="8"/>
        <v>1</v>
      </c>
      <c r="N105" s="66" t="s">
        <v>305</v>
      </c>
      <c r="O105" s="50" t="s">
        <v>632</v>
      </c>
      <c r="P105" s="56" t="s">
        <v>53</v>
      </c>
      <c r="Q105" s="190">
        <v>19.673913043478262</v>
      </c>
      <c r="R105" s="190">
        <v>19.673913043478262</v>
      </c>
      <c r="S105" s="57">
        <f t="shared" si="9"/>
        <v>0</v>
      </c>
      <c r="T105" s="57"/>
      <c r="U105" s="57"/>
      <c r="V105" s="58">
        <f t="shared" si="10"/>
        <v>1.9673913043478262</v>
      </c>
      <c r="W105" s="59">
        <f t="shared" si="11"/>
        <v>0</v>
      </c>
    </row>
    <row r="106" spans="1:23" hidden="1" x14ac:dyDescent="0.35">
      <c r="A106" s="60"/>
      <c r="B106" s="54">
        <v>104</v>
      </c>
      <c r="C106" s="65" t="s">
        <v>822</v>
      </c>
      <c r="D106" s="110">
        <v>136069</v>
      </c>
      <c r="E106" s="209" t="s">
        <v>946</v>
      </c>
      <c r="F106" s="111">
        <v>139307</v>
      </c>
      <c r="G106" s="212">
        <v>46232</v>
      </c>
      <c r="H106" s="212" t="s">
        <v>240</v>
      </c>
      <c r="I106" s="55">
        <f t="shared" si="6"/>
        <v>3</v>
      </c>
      <c r="J106" s="212">
        <v>46237</v>
      </c>
      <c r="K106" s="55">
        <f t="shared" si="7"/>
        <v>2</v>
      </c>
      <c r="L106" s="212" t="s">
        <v>250</v>
      </c>
      <c r="M106" s="55">
        <f t="shared" si="8"/>
        <v>1</v>
      </c>
      <c r="N106" s="50" t="s">
        <v>306</v>
      </c>
      <c r="O106" s="50" t="s">
        <v>633</v>
      </c>
      <c r="P106" s="56" t="s">
        <v>53</v>
      </c>
      <c r="Q106" s="190">
        <v>6490.3384521739135</v>
      </c>
      <c r="R106" s="190">
        <v>6490.3384521739135</v>
      </c>
      <c r="S106" s="57">
        <f t="shared" si="9"/>
        <v>0</v>
      </c>
      <c r="T106" s="57"/>
      <c r="U106" s="57"/>
      <c r="V106" s="58">
        <f t="shared" si="10"/>
        <v>649.03384521739144</v>
      </c>
      <c r="W106" s="59">
        <f t="shared" si="11"/>
        <v>0</v>
      </c>
    </row>
    <row r="107" spans="1:23" hidden="1" x14ac:dyDescent="0.35">
      <c r="A107" s="60"/>
      <c r="B107" s="54">
        <v>105</v>
      </c>
      <c r="C107" s="65" t="s">
        <v>822</v>
      </c>
      <c r="D107" s="110">
        <v>136070</v>
      </c>
      <c r="E107" s="209" t="s">
        <v>946</v>
      </c>
      <c r="F107" s="111">
        <v>139305</v>
      </c>
      <c r="G107" s="212">
        <v>46232</v>
      </c>
      <c r="H107" s="212" t="s">
        <v>240</v>
      </c>
      <c r="I107" s="55">
        <f t="shared" si="6"/>
        <v>3</v>
      </c>
      <c r="J107" s="212">
        <v>46237</v>
      </c>
      <c r="K107" s="55">
        <f t="shared" si="7"/>
        <v>2</v>
      </c>
      <c r="L107" s="212" t="s">
        <v>250</v>
      </c>
      <c r="M107" s="55">
        <f t="shared" si="8"/>
        <v>1</v>
      </c>
      <c r="N107" s="50" t="s">
        <v>306</v>
      </c>
      <c r="O107" s="50" t="s">
        <v>633</v>
      </c>
      <c r="P107" s="56" t="s">
        <v>53</v>
      </c>
      <c r="Q107" s="190">
        <v>4552.4431652173917</v>
      </c>
      <c r="R107" s="190">
        <v>4552.4431652173917</v>
      </c>
      <c r="S107" s="57">
        <f t="shared" si="9"/>
        <v>0</v>
      </c>
      <c r="T107" s="57"/>
      <c r="U107" s="57"/>
      <c r="V107" s="58">
        <f t="shared" si="10"/>
        <v>455.24431652173917</v>
      </c>
      <c r="W107" s="59">
        <f t="shared" si="11"/>
        <v>0</v>
      </c>
    </row>
    <row r="108" spans="1:23" hidden="1" x14ac:dyDescent="0.35">
      <c r="A108" s="60"/>
      <c r="B108" s="54">
        <v>106</v>
      </c>
      <c r="C108" s="65" t="s">
        <v>822</v>
      </c>
      <c r="D108" s="110">
        <v>136071</v>
      </c>
      <c r="E108" s="209" t="s">
        <v>946</v>
      </c>
      <c r="F108" s="111">
        <v>139304</v>
      </c>
      <c r="G108" s="212">
        <v>46232</v>
      </c>
      <c r="H108" s="212" t="s">
        <v>240</v>
      </c>
      <c r="I108" s="55">
        <f t="shared" si="6"/>
        <v>3</v>
      </c>
      <c r="J108" s="212">
        <v>46237</v>
      </c>
      <c r="K108" s="55">
        <f t="shared" si="7"/>
        <v>2</v>
      </c>
      <c r="L108" s="212" t="s">
        <v>250</v>
      </c>
      <c r="M108" s="55">
        <f t="shared" si="8"/>
        <v>1</v>
      </c>
      <c r="N108" s="50" t="s">
        <v>306</v>
      </c>
      <c r="O108" s="50" t="s">
        <v>633</v>
      </c>
      <c r="P108" s="56" t="s">
        <v>53</v>
      </c>
      <c r="Q108" s="190">
        <v>4719.7014956521734</v>
      </c>
      <c r="R108" s="190">
        <v>4719.7014956521734</v>
      </c>
      <c r="S108" s="57">
        <f t="shared" si="9"/>
        <v>0</v>
      </c>
      <c r="T108" s="57"/>
      <c r="U108" s="57"/>
      <c r="V108" s="58">
        <f t="shared" si="10"/>
        <v>471.97014956521735</v>
      </c>
      <c r="W108" s="59">
        <f t="shared" si="11"/>
        <v>0</v>
      </c>
    </row>
    <row r="109" spans="1:23" hidden="1" x14ac:dyDescent="0.35">
      <c r="A109" s="60"/>
      <c r="B109" s="54">
        <v>107</v>
      </c>
      <c r="C109" s="65" t="s">
        <v>822</v>
      </c>
      <c r="D109" s="110">
        <v>136108</v>
      </c>
      <c r="E109" s="209" t="s">
        <v>945</v>
      </c>
      <c r="F109" s="111">
        <v>139314</v>
      </c>
      <c r="G109" s="212">
        <v>46232</v>
      </c>
      <c r="H109" s="212" t="s">
        <v>244</v>
      </c>
      <c r="I109" s="55">
        <f t="shared" si="6"/>
        <v>2</v>
      </c>
      <c r="J109" s="212">
        <v>46237</v>
      </c>
      <c r="K109" s="55">
        <f t="shared" si="7"/>
        <v>3</v>
      </c>
      <c r="L109" s="212" t="s">
        <v>250</v>
      </c>
      <c r="M109" s="55">
        <f t="shared" si="8"/>
        <v>1</v>
      </c>
      <c r="N109" s="50" t="s">
        <v>307</v>
      </c>
      <c r="O109" s="50" t="s">
        <v>634</v>
      </c>
      <c r="P109" s="56" t="s">
        <v>53</v>
      </c>
      <c r="Q109" s="190">
        <v>25127.38281873913</v>
      </c>
      <c r="R109" s="190">
        <v>25127.38281873913</v>
      </c>
      <c r="S109" s="57">
        <f t="shared" si="9"/>
        <v>0</v>
      </c>
      <c r="T109" s="57"/>
      <c r="U109" s="57"/>
      <c r="V109" s="58">
        <f t="shared" si="10"/>
        <v>2512.7382818739134</v>
      </c>
      <c r="W109" s="59">
        <f t="shared" si="11"/>
        <v>0</v>
      </c>
    </row>
    <row r="110" spans="1:23" hidden="1" x14ac:dyDescent="0.35">
      <c r="A110" s="60"/>
      <c r="B110" s="54">
        <v>108</v>
      </c>
      <c r="C110" s="65" t="s">
        <v>822</v>
      </c>
      <c r="D110" s="110">
        <v>136161</v>
      </c>
      <c r="E110" s="209" t="s">
        <v>945</v>
      </c>
      <c r="F110" s="111">
        <v>139313</v>
      </c>
      <c r="G110" s="212">
        <v>46232</v>
      </c>
      <c r="H110" s="212" t="s">
        <v>240</v>
      </c>
      <c r="I110" s="55">
        <f t="shared" si="6"/>
        <v>3</v>
      </c>
      <c r="J110" s="212">
        <v>46237</v>
      </c>
      <c r="K110" s="55">
        <f t="shared" si="7"/>
        <v>2</v>
      </c>
      <c r="L110" s="212" t="s">
        <v>250</v>
      </c>
      <c r="M110" s="55">
        <f t="shared" si="8"/>
        <v>1</v>
      </c>
      <c r="N110" s="50" t="s">
        <v>308</v>
      </c>
      <c r="O110" s="50" t="s">
        <v>635</v>
      </c>
      <c r="P110" s="56" t="s">
        <v>53</v>
      </c>
      <c r="Q110" s="190">
        <v>12.173913043478262</v>
      </c>
      <c r="R110" s="190">
        <v>12.173913043478262</v>
      </c>
      <c r="S110" s="57">
        <f t="shared" si="9"/>
        <v>0</v>
      </c>
      <c r="T110" s="57"/>
      <c r="U110" s="57"/>
      <c r="V110" s="58">
        <f t="shared" si="10"/>
        <v>1.2173913043478262</v>
      </c>
      <c r="W110" s="59">
        <f t="shared" si="11"/>
        <v>0</v>
      </c>
    </row>
    <row r="111" spans="1:23" x14ac:dyDescent="0.35">
      <c r="A111" s="60"/>
      <c r="B111" s="54">
        <v>109</v>
      </c>
      <c r="C111" s="65" t="s">
        <v>822</v>
      </c>
      <c r="D111" s="110">
        <v>136128</v>
      </c>
      <c r="E111" s="209" t="s">
        <v>945</v>
      </c>
      <c r="F111" s="111">
        <v>139336</v>
      </c>
      <c r="G111" s="212">
        <v>46233</v>
      </c>
      <c r="H111" s="212" t="s">
        <v>250</v>
      </c>
      <c r="I111" s="55">
        <f t="shared" si="6"/>
        <v>3</v>
      </c>
      <c r="J111" s="212">
        <v>46237</v>
      </c>
      <c r="K111" s="55">
        <f t="shared" si="7"/>
        <v>1</v>
      </c>
      <c r="L111" s="212" t="s">
        <v>251</v>
      </c>
      <c r="M111" s="55">
        <f t="shared" si="8"/>
        <v>2</v>
      </c>
      <c r="N111" s="50" t="s">
        <v>309</v>
      </c>
      <c r="O111" s="50" t="s">
        <v>636</v>
      </c>
      <c r="P111" s="56" t="s">
        <v>53</v>
      </c>
      <c r="Q111" s="190">
        <v>4516.2</v>
      </c>
      <c r="R111" s="190">
        <v>3763.89</v>
      </c>
      <c r="S111" s="57">
        <f t="shared" si="9"/>
        <v>752.31</v>
      </c>
      <c r="T111" s="57"/>
      <c r="U111" s="57"/>
      <c r="V111" s="58">
        <f t="shared" si="10"/>
        <v>451.62</v>
      </c>
      <c r="W111" s="59">
        <f t="shared" si="11"/>
        <v>0.166580310880829</v>
      </c>
    </row>
    <row r="112" spans="1:23" hidden="1" x14ac:dyDescent="0.35">
      <c r="A112" s="60"/>
      <c r="B112" s="54">
        <v>110</v>
      </c>
      <c r="C112" s="65" t="s">
        <v>822</v>
      </c>
      <c r="D112" s="110">
        <v>136062</v>
      </c>
      <c r="E112" s="209" t="s">
        <v>946</v>
      </c>
      <c r="F112" s="111">
        <v>139333</v>
      </c>
      <c r="G112" s="212">
        <v>46233</v>
      </c>
      <c r="H112" s="212" t="s">
        <v>244</v>
      </c>
      <c r="I112" s="55">
        <f t="shared" si="6"/>
        <v>1</v>
      </c>
      <c r="J112" s="212">
        <v>46237</v>
      </c>
      <c r="K112" s="55">
        <f t="shared" si="7"/>
        <v>3</v>
      </c>
      <c r="L112" s="212" t="s">
        <v>250</v>
      </c>
      <c r="M112" s="55">
        <f t="shared" si="8"/>
        <v>1</v>
      </c>
      <c r="N112" s="50" t="s">
        <v>310</v>
      </c>
      <c r="O112" s="50" t="s">
        <v>605</v>
      </c>
      <c r="P112" s="56" t="s">
        <v>53</v>
      </c>
      <c r="Q112" s="190">
        <v>2481.9565217391305</v>
      </c>
      <c r="R112" s="190">
        <v>2481.9565217391305</v>
      </c>
      <c r="S112" s="57">
        <f t="shared" si="9"/>
        <v>0</v>
      </c>
      <c r="T112" s="57"/>
      <c r="U112" s="57"/>
      <c r="V112" s="58">
        <f t="shared" si="10"/>
        <v>248.19565217391306</v>
      </c>
      <c r="W112" s="59">
        <f t="shared" si="11"/>
        <v>0</v>
      </c>
    </row>
    <row r="113" spans="1:23" hidden="1" x14ac:dyDescent="0.35">
      <c r="A113" s="60"/>
      <c r="B113" s="54">
        <v>111</v>
      </c>
      <c r="C113" s="65" t="s">
        <v>822</v>
      </c>
      <c r="D113" s="110">
        <v>136063</v>
      </c>
      <c r="E113" s="209" t="s">
        <v>945</v>
      </c>
      <c r="F113" s="111">
        <v>139331</v>
      </c>
      <c r="G113" s="212">
        <v>46233</v>
      </c>
      <c r="H113" s="212" t="s">
        <v>244</v>
      </c>
      <c r="I113" s="55">
        <f t="shared" si="6"/>
        <v>1</v>
      </c>
      <c r="J113" s="212">
        <v>46237</v>
      </c>
      <c r="K113" s="55">
        <f t="shared" si="7"/>
        <v>3</v>
      </c>
      <c r="L113" s="212" t="s">
        <v>250</v>
      </c>
      <c r="M113" s="55">
        <f t="shared" si="8"/>
        <v>1</v>
      </c>
      <c r="N113" s="66" t="s">
        <v>311</v>
      </c>
      <c r="O113" s="50" t="s">
        <v>605</v>
      </c>
      <c r="P113" s="56" t="s">
        <v>53</v>
      </c>
      <c r="Q113" s="190">
        <v>65820.65217391304</v>
      </c>
      <c r="R113" s="190">
        <v>65820.65217391304</v>
      </c>
      <c r="S113" s="57">
        <f t="shared" si="9"/>
        <v>0</v>
      </c>
      <c r="T113" s="57"/>
      <c r="U113" s="57"/>
      <c r="V113" s="58">
        <f t="shared" si="10"/>
        <v>6582.065217391304</v>
      </c>
      <c r="W113" s="59">
        <f t="shared" si="11"/>
        <v>0</v>
      </c>
    </row>
    <row r="114" spans="1:23" hidden="1" x14ac:dyDescent="0.35">
      <c r="A114" s="60"/>
      <c r="B114" s="54">
        <v>112</v>
      </c>
      <c r="C114" s="65" t="s">
        <v>822</v>
      </c>
      <c r="D114" s="110">
        <v>136064</v>
      </c>
      <c r="E114" s="209" t="s">
        <v>945</v>
      </c>
      <c r="F114" s="111">
        <v>139328</v>
      </c>
      <c r="G114" s="212">
        <v>46233</v>
      </c>
      <c r="H114" s="212" t="s">
        <v>244</v>
      </c>
      <c r="I114" s="55">
        <f t="shared" si="6"/>
        <v>1</v>
      </c>
      <c r="J114" s="212">
        <v>46237</v>
      </c>
      <c r="K114" s="55">
        <f t="shared" si="7"/>
        <v>3</v>
      </c>
      <c r="L114" s="212" t="s">
        <v>250</v>
      </c>
      <c r="M114" s="55">
        <f t="shared" si="8"/>
        <v>1</v>
      </c>
      <c r="N114" s="50" t="s">
        <v>312</v>
      </c>
      <c r="O114" s="50" t="s">
        <v>605</v>
      </c>
      <c r="P114" s="56" t="s">
        <v>53</v>
      </c>
      <c r="Q114" s="190">
        <v>51809.565217391304</v>
      </c>
      <c r="R114" s="190">
        <v>51809.565217391304</v>
      </c>
      <c r="S114" s="57">
        <f t="shared" si="9"/>
        <v>0</v>
      </c>
      <c r="T114" s="57"/>
      <c r="U114" s="57"/>
      <c r="V114" s="58">
        <f t="shared" si="10"/>
        <v>5180.9565217391309</v>
      </c>
      <c r="W114" s="59">
        <f t="shared" si="11"/>
        <v>0</v>
      </c>
    </row>
    <row r="115" spans="1:23" hidden="1" x14ac:dyDescent="0.35">
      <c r="A115" s="60"/>
      <c r="B115" s="54">
        <v>113</v>
      </c>
      <c r="C115" s="65" t="s">
        <v>822</v>
      </c>
      <c r="D115" s="110">
        <v>136068</v>
      </c>
      <c r="E115" s="209" t="s">
        <v>945</v>
      </c>
      <c r="F115" s="111">
        <v>139337</v>
      </c>
      <c r="G115" s="212">
        <v>46233</v>
      </c>
      <c r="H115" s="212" t="s">
        <v>240</v>
      </c>
      <c r="I115" s="55">
        <f t="shared" si="6"/>
        <v>2</v>
      </c>
      <c r="J115" s="212">
        <v>46237</v>
      </c>
      <c r="K115" s="55">
        <f t="shared" si="7"/>
        <v>2</v>
      </c>
      <c r="L115" s="212" t="s">
        <v>252</v>
      </c>
      <c r="M115" s="55">
        <f t="shared" si="8"/>
        <v>8</v>
      </c>
      <c r="N115" s="50" t="s">
        <v>313</v>
      </c>
      <c r="O115" s="50" t="s">
        <v>637</v>
      </c>
      <c r="P115" s="56" t="s">
        <v>53</v>
      </c>
      <c r="Q115" s="190">
        <v>8695.652173913044</v>
      </c>
      <c r="R115" s="190">
        <v>8695.652173913044</v>
      </c>
      <c r="S115" s="57">
        <f t="shared" si="9"/>
        <v>0</v>
      </c>
      <c r="T115" s="57"/>
      <c r="U115" s="57"/>
      <c r="V115" s="58">
        <f t="shared" si="10"/>
        <v>869.56521739130449</v>
      </c>
      <c r="W115" s="59">
        <f t="shared" si="11"/>
        <v>0</v>
      </c>
    </row>
    <row r="116" spans="1:23" hidden="1" x14ac:dyDescent="0.35">
      <c r="A116" s="60"/>
      <c r="B116" s="54">
        <v>114</v>
      </c>
      <c r="C116" s="65" t="s">
        <v>822</v>
      </c>
      <c r="D116" s="110">
        <v>136096</v>
      </c>
      <c r="E116" s="209" t="s">
        <v>945</v>
      </c>
      <c r="F116" s="111">
        <v>139349</v>
      </c>
      <c r="G116" s="212">
        <v>46233</v>
      </c>
      <c r="H116" s="212" t="s">
        <v>244</v>
      </c>
      <c r="I116" s="55">
        <f t="shared" si="6"/>
        <v>1</v>
      </c>
      <c r="J116" s="212">
        <v>46237</v>
      </c>
      <c r="K116" s="55">
        <f t="shared" si="7"/>
        <v>3</v>
      </c>
      <c r="L116" s="212" t="s">
        <v>250</v>
      </c>
      <c r="M116" s="55">
        <f t="shared" si="8"/>
        <v>1</v>
      </c>
      <c r="N116" s="50" t="s">
        <v>314</v>
      </c>
      <c r="O116" s="50" t="s">
        <v>632</v>
      </c>
      <c r="P116" s="56" t="s">
        <v>53</v>
      </c>
      <c r="Q116" s="190">
        <v>84891.304347826081</v>
      </c>
      <c r="R116" s="190">
        <v>84891.304347826081</v>
      </c>
      <c r="S116" s="57">
        <f t="shared" si="9"/>
        <v>0</v>
      </c>
      <c r="T116" s="57"/>
      <c r="U116" s="57"/>
      <c r="V116" s="58">
        <f t="shared" si="10"/>
        <v>8489.1304347826081</v>
      </c>
      <c r="W116" s="59">
        <f t="shared" si="11"/>
        <v>0</v>
      </c>
    </row>
    <row r="117" spans="1:23" hidden="1" x14ac:dyDescent="0.35">
      <c r="A117" s="60"/>
      <c r="B117" s="54">
        <v>115</v>
      </c>
      <c r="C117" s="65" t="s">
        <v>822</v>
      </c>
      <c r="D117" s="110">
        <v>136098</v>
      </c>
      <c r="E117" s="209" t="s">
        <v>945</v>
      </c>
      <c r="F117" s="111">
        <v>139346</v>
      </c>
      <c r="G117" s="212">
        <v>46233</v>
      </c>
      <c r="H117" s="212" t="s">
        <v>240</v>
      </c>
      <c r="I117" s="55">
        <f t="shared" si="6"/>
        <v>2</v>
      </c>
      <c r="J117" s="212">
        <v>46237</v>
      </c>
      <c r="K117" s="55">
        <f t="shared" si="7"/>
        <v>2</v>
      </c>
      <c r="L117" s="212" t="s">
        <v>250</v>
      </c>
      <c r="M117" s="55">
        <f t="shared" si="8"/>
        <v>1</v>
      </c>
      <c r="N117" s="50" t="s">
        <v>315</v>
      </c>
      <c r="O117" s="50" t="s">
        <v>638</v>
      </c>
      <c r="P117" s="56" t="s">
        <v>53</v>
      </c>
      <c r="Q117" s="190">
        <v>25.434782608695652</v>
      </c>
      <c r="R117" s="190">
        <v>25.434782608695652</v>
      </c>
      <c r="S117" s="57">
        <f t="shared" si="9"/>
        <v>0</v>
      </c>
      <c r="T117" s="57"/>
      <c r="U117" s="57"/>
      <c r="V117" s="58">
        <f t="shared" si="10"/>
        <v>2.5434782608695654</v>
      </c>
      <c r="W117" s="59">
        <f t="shared" si="11"/>
        <v>0</v>
      </c>
    </row>
    <row r="118" spans="1:23" hidden="1" x14ac:dyDescent="0.35">
      <c r="A118" s="60"/>
      <c r="B118" s="54">
        <v>116</v>
      </c>
      <c r="C118" s="65" t="s">
        <v>822</v>
      </c>
      <c r="D118" s="110">
        <v>136101</v>
      </c>
      <c r="E118" s="209" t="s">
        <v>945</v>
      </c>
      <c r="F118" s="111">
        <v>139345</v>
      </c>
      <c r="G118" s="212">
        <v>46233</v>
      </c>
      <c r="H118" s="212" t="s">
        <v>240</v>
      </c>
      <c r="I118" s="55">
        <f t="shared" si="6"/>
        <v>2</v>
      </c>
      <c r="J118" s="212">
        <v>46237</v>
      </c>
      <c r="K118" s="55">
        <f t="shared" si="7"/>
        <v>2</v>
      </c>
      <c r="L118" s="212" t="s">
        <v>251</v>
      </c>
      <c r="M118" s="55">
        <f t="shared" si="8"/>
        <v>2</v>
      </c>
      <c r="N118" s="50" t="s">
        <v>293</v>
      </c>
      <c r="O118" s="50" t="s">
        <v>639</v>
      </c>
      <c r="P118" s="56" t="s">
        <v>53</v>
      </c>
      <c r="Q118" s="190">
        <v>13043.478260869566</v>
      </c>
      <c r="R118" s="190">
        <v>13043.478260869566</v>
      </c>
      <c r="S118" s="57">
        <f t="shared" si="9"/>
        <v>0</v>
      </c>
      <c r="T118" s="57"/>
      <c r="U118" s="57"/>
      <c r="V118" s="58">
        <f t="shared" si="10"/>
        <v>1304.3478260869567</v>
      </c>
      <c r="W118" s="59">
        <f t="shared" si="11"/>
        <v>0</v>
      </c>
    </row>
    <row r="119" spans="1:23" hidden="1" x14ac:dyDescent="0.35">
      <c r="A119" s="60"/>
      <c r="B119" s="54">
        <v>117</v>
      </c>
      <c r="C119" s="65" t="s">
        <v>822</v>
      </c>
      <c r="D119" s="110">
        <v>136102</v>
      </c>
      <c r="E119" s="209" t="s">
        <v>946</v>
      </c>
      <c r="F119" s="111">
        <v>139343</v>
      </c>
      <c r="G119" s="212">
        <v>46233</v>
      </c>
      <c r="H119" s="212" t="s">
        <v>240</v>
      </c>
      <c r="I119" s="55">
        <f t="shared" si="6"/>
        <v>2</v>
      </c>
      <c r="J119" s="212">
        <v>46237</v>
      </c>
      <c r="K119" s="55">
        <f t="shared" si="7"/>
        <v>2</v>
      </c>
      <c r="L119" s="212" t="s">
        <v>251</v>
      </c>
      <c r="M119" s="55">
        <f t="shared" si="8"/>
        <v>2</v>
      </c>
      <c r="N119" s="50" t="s">
        <v>316</v>
      </c>
      <c r="O119" s="50" t="s">
        <v>640</v>
      </c>
      <c r="P119" s="56" t="s">
        <v>53</v>
      </c>
      <c r="Q119" s="190">
        <v>135766</v>
      </c>
      <c r="R119" s="190">
        <v>135766</v>
      </c>
      <c r="S119" s="57">
        <f t="shared" si="9"/>
        <v>0</v>
      </c>
      <c r="T119" s="57"/>
      <c r="U119" s="57"/>
      <c r="V119" s="58">
        <f t="shared" si="10"/>
        <v>13576.6</v>
      </c>
      <c r="W119" s="59">
        <f t="shared" si="11"/>
        <v>0</v>
      </c>
    </row>
    <row r="120" spans="1:23" hidden="1" x14ac:dyDescent="0.35">
      <c r="A120" s="60"/>
      <c r="B120" s="54">
        <v>118</v>
      </c>
      <c r="C120" s="65" t="s">
        <v>822</v>
      </c>
      <c r="D120" s="110">
        <v>136107</v>
      </c>
      <c r="E120" s="209" t="s">
        <v>945</v>
      </c>
      <c r="F120" s="111">
        <v>139341</v>
      </c>
      <c r="G120" s="212">
        <v>46233</v>
      </c>
      <c r="H120" s="212" t="s">
        <v>244</v>
      </c>
      <c r="I120" s="55">
        <f t="shared" si="6"/>
        <v>1</v>
      </c>
      <c r="J120" s="212">
        <v>46237</v>
      </c>
      <c r="K120" s="55">
        <f t="shared" si="7"/>
        <v>3</v>
      </c>
      <c r="L120" s="212" t="s">
        <v>250</v>
      </c>
      <c r="M120" s="55">
        <f t="shared" si="8"/>
        <v>1</v>
      </c>
      <c r="N120" s="50" t="s">
        <v>317</v>
      </c>
      <c r="O120" s="50" t="s">
        <v>605</v>
      </c>
      <c r="P120" s="56" t="s">
        <v>53</v>
      </c>
      <c r="Q120" s="190">
        <v>1354.3478260869565</v>
      </c>
      <c r="R120" s="190">
        <v>1354.3478260869565</v>
      </c>
      <c r="S120" s="57">
        <f t="shared" si="9"/>
        <v>0</v>
      </c>
      <c r="T120" s="57"/>
      <c r="U120" s="57"/>
      <c r="V120" s="58">
        <f t="shared" si="10"/>
        <v>135.43478260869566</v>
      </c>
      <c r="W120" s="59">
        <f t="shared" si="11"/>
        <v>0</v>
      </c>
    </row>
    <row r="121" spans="1:23" hidden="1" x14ac:dyDescent="0.35">
      <c r="A121" s="60"/>
      <c r="B121" s="54">
        <v>119</v>
      </c>
      <c r="C121" s="65" t="s">
        <v>822</v>
      </c>
      <c r="D121" s="110">
        <v>136129</v>
      </c>
      <c r="E121" s="209" t="s">
        <v>945</v>
      </c>
      <c r="F121" s="111">
        <v>139130</v>
      </c>
      <c r="G121" s="212">
        <v>46233</v>
      </c>
      <c r="H121" s="212" t="s">
        <v>240</v>
      </c>
      <c r="I121" s="55">
        <f t="shared" si="6"/>
        <v>2</v>
      </c>
      <c r="J121" s="212">
        <v>46237</v>
      </c>
      <c r="K121" s="55">
        <f t="shared" si="7"/>
        <v>2</v>
      </c>
      <c r="L121" s="212" t="s">
        <v>250</v>
      </c>
      <c r="M121" s="55">
        <f t="shared" si="8"/>
        <v>1</v>
      </c>
      <c r="N121" s="50" t="s">
        <v>318</v>
      </c>
      <c r="O121" s="50" t="s">
        <v>641</v>
      </c>
      <c r="P121" s="56" t="s">
        <v>53</v>
      </c>
      <c r="Q121" s="190">
        <v>101.08695652173913</v>
      </c>
      <c r="R121" s="190">
        <v>101.08695652173913</v>
      </c>
      <c r="S121" s="57">
        <f t="shared" si="9"/>
        <v>0</v>
      </c>
      <c r="T121" s="57"/>
      <c r="U121" s="57"/>
      <c r="V121" s="58">
        <f t="shared" si="10"/>
        <v>10.108695652173914</v>
      </c>
      <c r="W121" s="59">
        <f t="shared" si="11"/>
        <v>0</v>
      </c>
    </row>
    <row r="122" spans="1:23" hidden="1" x14ac:dyDescent="0.35">
      <c r="A122" s="60"/>
      <c r="B122" s="54">
        <v>120</v>
      </c>
      <c r="C122" s="65" t="s">
        <v>822</v>
      </c>
      <c r="D122" s="110">
        <v>136140</v>
      </c>
      <c r="E122" s="209" t="s">
        <v>945</v>
      </c>
      <c r="F122" s="111">
        <v>139321</v>
      </c>
      <c r="G122" s="212">
        <v>46233</v>
      </c>
      <c r="H122" s="212" t="s">
        <v>244</v>
      </c>
      <c r="I122" s="55">
        <f t="shared" si="6"/>
        <v>1</v>
      </c>
      <c r="J122" s="212">
        <v>46237</v>
      </c>
      <c r="K122" s="55">
        <f t="shared" si="7"/>
        <v>3</v>
      </c>
      <c r="L122" s="212" t="s">
        <v>250</v>
      </c>
      <c r="M122" s="55">
        <f t="shared" si="8"/>
        <v>1</v>
      </c>
      <c r="N122" s="50" t="s">
        <v>319</v>
      </c>
      <c r="O122" s="50" t="s">
        <v>642</v>
      </c>
      <c r="P122" s="56" t="s">
        <v>53</v>
      </c>
      <c r="Q122" s="190">
        <v>9053.224782608695</v>
      </c>
      <c r="R122" s="190">
        <v>9053.224782608695</v>
      </c>
      <c r="S122" s="57">
        <f t="shared" si="9"/>
        <v>0</v>
      </c>
      <c r="T122" s="57"/>
      <c r="U122" s="57"/>
      <c r="V122" s="58">
        <f t="shared" si="10"/>
        <v>905.3224782608695</v>
      </c>
      <c r="W122" s="59">
        <f t="shared" si="11"/>
        <v>0</v>
      </c>
    </row>
    <row r="123" spans="1:23" hidden="1" x14ac:dyDescent="0.35">
      <c r="A123" s="60"/>
      <c r="B123" s="54">
        <v>121</v>
      </c>
      <c r="C123" s="65" t="s">
        <v>822</v>
      </c>
      <c r="D123" s="110">
        <v>136170</v>
      </c>
      <c r="E123" s="209" t="s">
        <v>945</v>
      </c>
      <c r="F123" s="111">
        <v>139348</v>
      </c>
      <c r="G123" s="212">
        <v>46233</v>
      </c>
      <c r="H123" s="212" t="s">
        <v>244</v>
      </c>
      <c r="I123" s="55">
        <f t="shared" si="6"/>
        <v>1</v>
      </c>
      <c r="J123" s="212">
        <v>46238</v>
      </c>
      <c r="K123" s="55">
        <f t="shared" si="7"/>
        <v>4</v>
      </c>
      <c r="L123" s="212" t="s">
        <v>251</v>
      </c>
      <c r="M123" s="55">
        <f t="shared" si="8"/>
        <v>1</v>
      </c>
      <c r="N123" s="50" t="s">
        <v>320</v>
      </c>
      <c r="O123" s="50" t="s">
        <v>643</v>
      </c>
      <c r="P123" s="56" t="s">
        <v>53</v>
      </c>
      <c r="Q123" s="190">
        <v>65.217391304347828</v>
      </c>
      <c r="R123" s="190">
        <v>65.217391304347828</v>
      </c>
      <c r="S123" s="57">
        <f t="shared" si="9"/>
        <v>0</v>
      </c>
      <c r="T123" s="57"/>
      <c r="U123" s="57"/>
      <c r="V123" s="58">
        <f t="shared" si="10"/>
        <v>6.5217391304347831</v>
      </c>
      <c r="W123" s="59">
        <f t="shared" si="11"/>
        <v>0</v>
      </c>
    </row>
    <row r="124" spans="1:23" hidden="1" x14ac:dyDescent="0.35">
      <c r="A124" s="60"/>
      <c r="B124" s="54">
        <v>122</v>
      </c>
      <c r="C124" s="65" t="s">
        <v>822</v>
      </c>
      <c r="D124" s="110">
        <v>136178</v>
      </c>
      <c r="E124" s="209" t="s">
        <v>945</v>
      </c>
      <c r="F124" s="111">
        <v>139350</v>
      </c>
      <c r="G124" s="212">
        <v>46233</v>
      </c>
      <c r="H124" s="212" t="s">
        <v>250</v>
      </c>
      <c r="I124" s="55">
        <f t="shared" ref="I124:I182" si="12">IF(OR(H124="", G124=""), "", NETWORKDAYS(G124, H124))</f>
        <v>3</v>
      </c>
      <c r="J124" s="212">
        <v>46238</v>
      </c>
      <c r="K124" s="55">
        <f t="shared" ref="K124:K182" si="13">IF(OR(H124="", J124=""), "", NETWORKDAYS(H124, J124))</f>
        <v>2</v>
      </c>
      <c r="L124" s="212" t="s">
        <v>256</v>
      </c>
      <c r="M124" s="55">
        <f t="shared" ref="M124:M182" si="14">IF(OR(J124="", L124=""), "", NETWORKDAYS(J124, L124))</f>
        <v>3</v>
      </c>
      <c r="N124" s="50" t="s">
        <v>321</v>
      </c>
      <c r="O124" s="50" t="s">
        <v>644</v>
      </c>
      <c r="P124" s="56" t="s">
        <v>53</v>
      </c>
      <c r="Q124" s="190">
        <v>112600</v>
      </c>
      <c r="R124" s="190">
        <v>112600</v>
      </c>
      <c r="S124" s="57">
        <f t="shared" ref="S124:S162" si="15">Q124-R124</f>
        <v>0</v>
      </c>
      <c r="T124" s="57"/>
      <c r="U124" s="57"/>
      <c r="V124" s="58">
        <f t="shared" ref="V124:V182" si="16">IF(Q124="", "", Q124*10%)</f>
        <v>11260</v>
      </c>
      <c r="W124" s="59">
        <f t="shared" ref="W124:W182" si="17">IF(OR(Q124="", R124=""), "", (Q124- R124)/Q124)</f>
        <v>0</v>
      </c>
    </row>
    <row r="125" spans="1:23" hidden="1" x14ac:dyDescent="0.35">
      <c r="A125" s="60"/>
      <c r="B125" s="54">
        <v>123</v>
      </c>
      <c r="C125" s="65" t="s">
        <v>822</v>
      </c>
      <c r="D125" s="110">
        <v>136179</v>
      </c>
      <c r="E125" s="209" t="s">
        <v>945</v>
      </c>
      <c r="F125" s="111">
        <v>139334</v>
      </c>
      <c r="G125" s="212">
        <v>46233</v>
      </c>
      <c r="H125" s="212" t="s">
        <v>250</v>
      </c>
      <c r="I125" s="55">
        <f t="shared" si="12"/>
        <v>3</v>
      </c>
      <c r="J125" s="212">
        <v>46238</v>
      </c>
      <c r="K125" s="55">
        <f t="shared" si="13"/>
        <v>2</v>
      </c>
      <c r="L125" s="212" t="s">
        <v>251</v>
      </c>
      <c r="M125" s="55">
        <f t="shared" si="14"/>
        <v>1</v>
      </c>
      <c r="N125" s="50" t="s">
        <v>322</v>
      </c>
      <c r="O125" s="50" t="s">
        <v>644</v>
      </c>
      <c r="P125" s="56" t="s">
        <v>53</v>
      </c>
      <c r="Q125" s="190">
        <v>28150</v>
      </c>
      <c r="R125" s="190">
        <v>28150</v>
      </c>
      <c r="S125" s="57">
        <f t="shared" si="15"/>
        <v>0</v>
      </c>
      <c r="T125" s="57"/>
      <c r="U125" s="57"/>
      <c r="V125" s="58">
        <f t="shared" si="16"/>
        <v>2815</v>
      </c>
      <c r="W125" s="59">
        <f t="shared" si="17"/>
        <v>0</v>
      </c>
    </row>
    <row r="126" spans="1:23" hidden="1" x14ac:dyDescent="0.35">
      <c r="A126" s="60"/>
      <c r="B126" s="54">
        <v>124</v>
      </c>
      <c r="C126" s="65" t="s">
        <v>822</v>
      </c>
      <c r="D126" s="110">
        <v>136180</v>
      </c>
      <c r="E126" s="209" t="s">
        <v>945</v>
      </c>
      <c r="F126" s="111">
        <v>139351</v>
      </c>
      <c r="G126" s="212">
        <v>46233</v>
      </c>
      <c r="H126" s="212" t="s">
        <v>250</v>
      </c>
      <c r="I126" s="55">
        <f t="shared" si="12"/>
        <v>3</v>
      </c>
      <c r="J126" s="212">
        <v>46238</v>
      </c>
      <c r="K126" s="55">
        <f t="shared" si="13"/>
        <v>2</v>
      </c>
      <c r="L126" s="212" t="s">
        <v>251</v>
      </c>
      <c r="M126" s="55">
        <f t="shared" si="14"/>
        <v>1</v>
      </c>
      <c r="N126" s="50" t="s">
        <v>323</v>
      </c>
      <c r="O126" s="50" t="s">
        <v>645</v>
      </c>
      <c r="P126" s="56" t="s">
        <v>53</v>
      </c>
      <c r="Q126" s="190">
        <v>39354.726304347823</v>
      </c>
      <c r="R126" s="190">
        <v>39354.726304347823</v>
      </c>
      <c r="S126" s="57">
        <f t="shared" si="15"/>
        <v>0</v>
      </c>
      <c r="T126" s="57"/>
      <c r="U126" s="57"/>
      <c r="V126" s="58">
        <f t="shared" si="16"/>
        <v>3935.4726304347823</v>
      </c>
      <c r="W126" s="59">
        <f t="shared" si="17"/>
        <v>0</v>
      </c>
    </row>
    <row r="127" spans="1:23" hidden="1" x14ac:dyDescent="0.35">
      <c r="A127" s="60"/>
      <c r="B127" s="54">
        <v>125</v>
      </c>
      <c r="C127" s="65" t="s">
        <v>822</v>
      </c>
      <c r="D127" s="110">
        <v>136181</v>
      </c>
      <c r="E127" s="209" t="s">
        <v>945</v>
      </c>
      <c r="F127" s="111">
        <v>139352</v>
      </c>
      <c r="G127" s="212">
        <v>46233</v>
      </c>
      <c r="H127" s="212" t="s">
        <v>250</v>
      </c>
      <c r="I127" s="55">
        <f t="shared" si="12"/>
        <v>3</v>
      </c>
      <c r="J127" s="212">
        <v>46238</v>
      </c>
      <c r="K127" s="55">
        <f t="shared" si="13"/>
        <v>2</v>
      </c>
      <c r="L127" s="212" t="s">
        <v>251</v>
      </c>
      <c r="M127" s="55">
        <f t="shared" si="14"/>
        <v>1</v>
      </c>
      <c r="N127" s="50" t="s">
        <v>324</v>
      </c>
      <c r="O127" s="50" t="s">
        <v>645</v>
      </c>
      <c r="P127" s="56" t="s">
        <v>53</v>
      </c>
      <c r="Q127" s="190">
        <v>50225.448260869562</v>
      </c>
      <c r="R127" s="190">
        <v>50225.448260869562</v>
      </c>
      <c r="S127" s="57">
        <f t="shared" si="15"/>
        <v>0</v>
      </c>
      <c r="T127" s="57"/>
      <c r="U127" s="57"/>
      <c r="V127" s="58">
        <f t="shared" si="16"/>
        <v>5022.5448260869562</v>
      </c>
      <c r="W127" s="59">
        <f t="shared" si="17"/>
        <v>0</v>
      </c>
    </row>
    <row r="128" spans="1:23" hidden="1" x14ac:dyDescent="0.35">
      <c r="A128" s="60"/>
      <c r="B128" s="54">
        <v>126</v>
      </c>
      <c r="C128" s="65" t="s">
        <v>822</v>
      </c>
      <c r="D128" s="110">
        <v>136239</v>
      </c>
      <c r="E128" s="209" t="s">
        <v>945</v>
      </c>
      <c r="F128" s="111">
        <v>139326</v>
      </c>
      <c r="G128" s="212">
        <v>46233</v>
      </c>
      <c r="H128" s="212" t="s">
        <v>241</v>
      </c>
      <c r="I128" s="55">
        <f t="shared" si="12"/>
        <v>5</v>
      </c>
      <c r="J128" s="212">
        <v>46244</v>
      </c>
      <c r="K128" s="55">
        <f t="shared" si="13"/>
        <v>4</v>
      </c>
      <c r="L128" s="212" t="s">
        <v>258</v>
      </c>
      <c r="M128" s="55">
        <f t="shared" si="14"/>
        <v>1</v>
      </c>
      <c r="N128" s="50" t="s">
        <v>325</v>
      </c>
      <c r="O128" s="50" t="s">
        <v>646</v>
      </c>
      <c r="P128" s="56" t="s">
        <v>53</v>
      </c>
      <c r="Q128" s="190">
        <v>245.65217391304347</v>
      </c>
      <c r="R128" s="190">
        <v>245.65217391304347</v>
      </c>
      <c r="S128" s="57">
        <f t="shared" si="15"/>
        <v>0</v>
      </c>
      <c r="T128" s="57"/>
      <c r="U128" s="57"/>
      <c r="V128" s="58">
        <f t="shared" si="16"/>
        <v>24.565217391304348</v>
      </c>
      <c r="W128" s="59">
        <f t="shared" si="17"/>
        <v>0</v>
      </c>
    </row>
    <row r="129" spans="1:23" hidden="1" x14ac:dyDescent="0.35">
      <c r="A129" s="60"/>
      <c r="B129" s="54">
        <v>127</v>
      </c>
      <c r="C129" s="65" t="s">
        <v>822</v>
      </c>
      <c r="D129" s="110">
        <v>136240</v>
      </c>
      <c r="E129" s="209" t="s">
        <v>945</v>
      </c>
      <c r="F129" s="111">
        <v>139323</v>
      </c>
      <c r="G129" s="212">
        <v>46233</v>
      </c>
      <c r="H129" s="212" t="s">
        <v>241</v>
      </c>
      <c r="I129" s="55">
        <f t="shared" si="12"/>
        <v>5</v>
      </c>
      <c r="J129" s="212">
        <v>46244</v>
      </c>
      <c r="K129" s="55">
        <f t="shared" si="13"/>
        <v>4</v>
      </c>
      <c r="L129" s="212" t="s">
        <v>258</v>
      </c>
      <c r="M129" s="55">
        <f t="shared" si="14"/>
        <v>1</v>
      </c>
      <c r="N129" s="50" t="s">
        <v>326</v>
      </c>
      <c r="O129" s="50" t="s">
        <v>647</v>
      </c>
      <c r="P129" s="56" t="s">
        <v>53</v>
      </c>
      <c r="Q129" s="190">
        <v>297.82608695652175</v>
      </c>
      <c r="R129" s="190">
        <v>297.82608695652175</v>
      </c>
      <c r="S129" s="57">
        <f t="shared" si="15"/>
        <v>0</v>
      </c>
      <c r="T129" s="57"/>
      <c r="U129" s="57"/>
      <c r="V129" s="58">
        <f t="shared" si="16"/>
        <v>29.782608695652176</v>
      </c>
      <c r="W129" s="59">
        <f t="shared" si="17"/>
        <v>0</v>
      </c>
    </row>
    <row r="130" spans="1:23" hidden="1" x14ac:dyDescent="0.35">
      <c r="A130" s="60"/>
      <c r="B130" s="54">
        <v>128</v>
      </c>
      <c r="C130" s="65" t="s">
        <v>822</v>
      </c>
      <c r="D130" s="110">
        <v>136241</v>
      </c>
      <c r="E130" s="209" t="s">
        <v>945</v>
      </c>
      <c r="F130" s="111">
        <v>139324</v>
      </c>
      <c r="G130" s="212">
        <v>46233</v>
      </c>
      <c r="H130" s="212" t="s">
        <v>241</v>
      </c>
      <c r="I130" s="55">
        <f t="shared" si="12"/>
        <v>5</v>
      </c>
      <c r="J130" s="212">
        <v>46244</v>
      </c>
      <c r="K130" s="55">
        <f t="shared" si="13"/>
        <v>4</v>
      </c>
      <c r="L130" s="212" t="s">
        <v>258</v>
      </c>
      <c r="M130" s="55">
        <f t="shared" si="14"/>
        <v>1</v>
      </c>
      <c r="N130" s="50" t="s">
        <v>327</v>
      </c>
      <c r="O130" s="50" t="s">
        <v>647</v>
      </c>
      <c r="P130" s="56" t="s">
        <v>53</v>
      </c>
      <c r="Q130" s="190">
        <v>317.39130434782606</v>
      </c>
      <c r="R130" s="190">
        <v>317.39130434782606</v>
      </c>
      <c r="S130" s="57">
        <f t="shared" si="15"/>
        <v>0</v>
      </c>
      <c r="T130" s="57"/>
      <c r="U130" s="57"/>
      <c r="V130" s="58">
        <f t="shared" si="16"/>
        <v>31.739130434782609</v>
      </c>
      <c r="W130" s="59">
        <f t="shared" si="17"/>
        <v>0</v>
      </c>
    </row>
    <row r="131" spans="1:23" hidden="1" x14ac:dyDescent="0.35">
      <c r="A131" s="60"/>
      <c r="B131" s="54">
        <v>129</v>
      </c>
      <c r="C131" s="65" t="s">
        <v>822</v>
      </c>
      <c r="D131" s="110">
        <v>136242</v>
      </c>
      <c r="E131" s="209" t="s">
        <v>945</v>
      </c>
      <c r="F131" s="111">
        <v>139322</v>
      </c>
      <c r="G131" s="212">
        <v>46233</v>
      </c>
      <c r="H131" s="212" t="s">
        <v>241</v>
      </c>
      <c r="I131" s="55">
        <f t="shared" si="12"/>
        <v>5</v>
      </c>
      <c r="J131" s="212">
        <v>46244</v>
      </c>
      <c r="K131" s="55">
        <f t="shared" si="13"/>
        <v>4</v>
      </c>
      <c r="L131" s="212" t="s">
        <v>258</v>
      </c>
      <c r="M131" s="55">
        <f t="shared" si="14"/>
        <v>1</v>
      </c>
      <c r="N131" s="50" t="s">
        <v>328</v>
      </c>
      <c r="O131" s="50" t="s">
        <v>647</v>
      </c>
      <c r="P131" s="56" t="s">
        <v>53</v>
      </c>
      <c r="Q131" s="190">
        <v>182.60869565217391</v>
      </c>
      <c r="R131" s="190">
        <v>182.60869565217391</v>
      </c>
      <c r="S131" s="57">
        <f t="shared" si="15"/>
        <v>0</v>
      </c>
      <c r="T131" s="57"/>
      <c r="U131" s="57"/>
      <c r="V131" s="58">
        <f t="shared" si="16"/>
        <v>18.260869565217391</v>
      </c>
      <c r="W131" s="59">
        <f t="shared" si="17"/>
        <v>0</v>
      </c>
    </row>
    <row r="132" spans="1:23" hidden="1" x14ac:dyDescent="0.35">
      <c r="A132" s="60"/>
      <c r="B132" s="54">
        <v>130</v>
      </c>
      <c r="C132" s="65" t="s">
        <v>822</v>
      </c>
      <c r="D132" s="110">
        <v>136271</v>
      </c>
      <c r="E132" s="209" t="s">
        <v>945</v>
      </c>
      <c r="F132" s="111">
        <v>139327</v>
      </c>
      <c r="G132" s="212">
        <v>46233</v>
      </c>
      <c r="H132" s="212" t="s">
        <v>241</v>
      </c>
      <c r="I132" s="55">
        <f t="shared" si="12"/>
        <v>5</v>
      </c>
      <c r="J132" s="212">
        <v>46245</v>
      </c>
      <c r="K132" s="55">
        <f t="shared" si="13"/>
        <v>5</v>
      </c>
      <c r="L132" s="212" t="s">
        <v>254</v>
      </c>
      <c r="M132" s="55">
        <f t="shared" si="14"/>
        <v>1</v>
      </c>
      <c r="N132" s="50" t="s">
        <v>329</v>
      </c>
      <c r="O132" s="50" t="s">
        <v>622</v>
      </c>
      <c r="P132" s="56" t="s">
        <v>53</v>
      </c>
      <c r="Q132" s="190">
        <v>652.17391304347825</v>
      </c>
      <c r="R132" s="190">
        <v>652.17391304347825</v>
      </c>
      <c r="S132" s="57">
        <f t="shared" si="15"/>
        <v>0</v>
      </c>
      <c r="T132" s="57"/>
      <c r="U132" s="57"/>
      <c r="V132" s="58">
        <f t="shared" si="16"/>
        <v>65.217391304347828</v>
      </c>
      <c r="W132" s="59">
        <f t="shared" si="17"/>
        <v>0</v>
      </c>
    </row>
    <row r="133" spans="1:23" hidden="1" x14ac:dyDescent="0.35">
      <c r="A133" s="60"/>
      <c r="B133" s="54">
        <v>131</v>
      </c>
      <c r="C133" s="65" t="s">
        <v>822</v>
      </c>
      <c r="D133" s="110">
        <v>136545</v>
      </c>
      <c r="E133" s="209" t="s">
        <v>945</v>
      </c>
      <c r="F133" s="111">
        <v>139332</v>
      </c>
      <c r="G133" s="212">
        <v>46233</v>
      </c>
      <c r="H133" s="212" t="s">
        <v>241</v>
      </c>
      <c r="I133" s="55">
        <f t="shared" si="12"/>
        <v>5</v>
      </c>
      <c r="J133" s="212">
        <v>46242</v>
      </c>
      <c r="K133" s="55">
        <f t="shared" si="13"/>
        <v>3</v>
      </c>
      <c r="L133" s="212">
        <v>46244</v>
      </c>
      <c r="M133" s="55">
        <f t="shared" si="14"/>
        <v>1</v>
      </c>
      <c r="N133" s="66" t="s">
        <v>330</v>
      </c>
      <c r="O133" s="50" t="s">
        <v>648</v>
      </c>
      <c r="P133" s="56" t="s">
        <v>53</v>
      </c>
      <c r="Q133" s="190">
        <v>1743.3</v>
      </c>
      <c r="R133" s="190">
        <v>1743.3</v>
      </c>
      <c r="S133" s="57">
        <f t="shared" si="15"/>
        <v>0</v>
      </c>
      <c r="T133" s="57"/>
      <c r="U133" s="57"/>
      <c r="V133" s="58">
        <f t="shared" si="16"/>
        <v>174.33</v>
      </c>
      <c r="W133" s="59">
        <f t="shared" si="17"/>
        <v>0</v>
      </c>
    </row>
    <row r="134" spans="1:23" x14ac:dyDescent="0.35">
      <c r="A134" s="60"/>
      <c r="B134" s="54">
        <v>132</v>
      </c>
      <c r="C134" s="65" t="s">
        <v>822</v>
      </c>
      <c r="D134" s="110">
        <v>136078</v>
      </c>
      <c r="E134" s="209" t="s">
        <v>945</v>
      </c>
      <c r="F134" s="111">
        <v>139362</v>
      </c>
      <c r="G134" s="212">
        <v>46234</v>
      </c>
      <c r="H134" s="212" t="s">
        <v>250</v>
      </c>
      <c r="I134" s="55">
        <f t="shared" si="12"/>
        <v>2</v>
      </c>
      <c r="J134" s="212">
        <v>46237</v>
      </c>
      <c r="K134" s="55">
        <f t="shared" si="13"/>
        <v>1</v>
      </c>
      <c r="L134" s="212" t="s">
        <v>250</v>
      </c>
      <c r="M134" s="55">
        <f t="shared" si="14"/>
        <v>1</v>
      </c>
      <c r="N134" s="50" t="s">
        <v>331</v>
      </c>
      <c r="O134" s="50" t="s">
        <v>649</v>
      </c>
      <c r="P134" s="56" t="s">
        <v>53</v>
      </c>
      <c r="Q134" s="190">
        <v>573.91304347826087</v>
      </c>
      <c r="R134" s="190">
        <v>552.17391304347825</v>
      </c>
      <c r="S134" s="57">
        <f t="shared" si="15"/>
        <v>21.739130434782624</v>
      </c>
      <c r="T134" s="57"/>
      <c r="U134" s="57"/>
      <c r="V134" s="58">
        <f t="shared" si="16"/>
        <v>57.391304347826093</v>
      </c>
      <c r="W134" s="59">
        <f t="shared" si="17"/>
        <v>3.7878787878787908E-2</v>
      </c>
    </row>
    <row r="135" spans="1:23" x14ac:dyDescent="0.35">
      <c r="A135" s="60"/>
      <c r="B135" s="54">
        <v>133</v>
      </c>
      <c r="C135" s="65" t="s">
        <v>822</v>
      </c>
      <c r="D135" s="110">
        <v>136079</v>
      </c>
      <c r="E135" s="209" t="s">
        <v>945</v>
      </c>
      <c r="F135" s="111">
        <v>139295</v>
      </c>
      <c r="G135" s="212">
        <v>46234</v>
      </c>
      <c r="H135" s="212" t="s">
        <v>250</v>
      </c>
      <c r="I135" s="55">
        <f t="shared" si="12"/>
        <v>2</v>
      </c>
      <c r="J135" s="212">
        <v>46237</v>
      </c>
      <c r="K135" s="55">
        <f t="shared" si="13"/>
        <v>1</v>
      </c>
      <c r="L135" s="212" t="s">
        <v>250</v>
      </c>
      <c r="M135" s="55">
        <f t="shared" si="14"/>
        <v>1</v>
      </c>
      <c r="N135" s="50" t="s">
        <v>332</v>
      </c>
      <c r="O135" s="50" t="s">
        <v>650</v>
      </c>
      <c r="P135" s="56" t="s">
        <v>53</v>
      </c>
      <c r="Q135" s="190">
        <v>465.34526086956527</v>
      </c>
      <c r="R135" s="190">
        <v>398.9769782608696</v>
      </c>
      <c r="S135" s="57">
        <f t="shared" si="15"/>
        <v>66.368282608695665</v>
      </c>
      <c r="T135" s="57"/>
      <c r="U135" s="57"/>
      <c r="V135" s="58">
        <f t="shared" si="16"/>
        <v>46.534526086956532</v>
      </c>
      <c r="W135" s="59">
        <f t="shared" si="17"/>
        <v>0.14262159344800651</v>
      </c>
    </row>
    <row r="136" spans="1:23" hidden="1" x14ac:dyDescent="0.35">
      <c r="A136" s="60"/>
      <c r="B136" s="54">
        <v>134</v>
      </c>
      <c r="C136" s="65" t="s">
        <v>822</v>
      </c>
      <c r="D136" s="110">
        <v>136089</v>
      </c>
      <c r="E136" s="209" t="s">
        <v>946</v>
      </c>
      <c r="F136" s="111">
        <v>139357</v>
      </c>
      <c r="G136" s="212">
        <v>46234</v>
      </c>
      <c r="H136" s="212" t="s">
        <v>240</v>
      </c>
      <c r="I136" s="55">
        <f t="shared" si="12"/>
        <v>1</v>
      </c>
      <c r="J136" s="212">
        <v>46237</v>
      </c>
      <c r="K136" s="55">
        <f t="shared" si="13"/>
        <v>2</v>
      </c>
      <c r="L136" s="212" t="s">
        <v>250</v>
      </c>
      <c r="M136" s="55">
        <f t="shared" si="14"/>
        <v>1</v>
      </c>
      <c r="N136" s="50" t="s">
        <v>333</v>
      </c>
      <c r="O136" s="50" t="s">
        <v>651</v>
      </c>
      <c r="P136" s="56" t="s">
        <v>53</v>
      </c>
      <c r="Q136" s="190">
        <v>1762.5</v>
      </c>
      <c r="R136" s="190">
        <v>1762.5</v>
      </c>
      <c r="S136" s="57">
        <f t="shared" si="15"/>
        <v>0</v>
      </c>
      <c r="T136" s="57"/>
      <c r="U136" s="57"/>
      <c r="V136" s="58">
        <f t="shared" si="16"/>
        <v>176.25</v>
      </c>
      <c r="W136" s="59">
        <f t="shared" si="17"/>
        <v>0</v>
      </c>
    </row>
    <row r="137" spans="1:23" hidden="1" x14ac:dyDescent="0.35">
      <c r="A137" s="60"/>
      <c r="B137" s="54">
        <v>135</v>
      </c>
      <c r="C137" s="65" t="s">
        <v>822</v>
      </c>
      <c r="D137" s="110">
        <v>136087</v>
      </c>
      <c r="E137" s="209" t="s">
        <v>945</v>
      </c>
      <c r="F137" s="111">
        <v>139363</v>
      </c>
      <c r="G137" s="212">
        <v>46234</v>
      </c>
      <c r="H137" s="212" t="s">
        <v>240</v>
      </c>
      <c r="I137" s="55">
        <f t="shared" si="12"/>
        <v>1</v>
      </c>
      <c r="J137" s="212">
        <v>46237</v>
      </c>
      <c r="K137" s="55">
        <f t="shared" si="13"/>
        <v>2</v>
      </c>
      <c r="L137" s="212" t="s">
        <v>250</v>
      </c>
      <c r="M137" s="55">
        <f t="shared" si="14"/>
        <v>1</v>
      </c>
      <c r="N137" s="50" t="s">
        <v>334</v>
      </c>
      <c r="O137" s="50" t="s">
        <v>652</v>
      </c>
      <c r="P137" s="56" t="s">
        <v>53</v>
      </c>
      <c r="Q137" s="190">
        <v>8695.652173913044</v>
      </c>
      <c r="R137" s="190">
        <v>8695.652173913044</v>
      </c>
      <c r="S137" s="57">
        <f t="shared" si="15"/>
        <v>0</v>
      </c>
      <c r="T137" s="57"/>
      <c r="U137" s="57"/>
      <c r="V137" s="58">
        <f t="shared" si="16"/>
        <v>869.56521739130449</v>
      </c>
      <c r="W137" s="59">
        <f t="shared" si="17"/>
        <v>0</v>
      </c>
    </row>
    <row r="138" spans="1:23" hidden="1" x14ac:dyDescent="0.35">
      <c r="A138" s="60"/>
      <c r="B138" s="54">
        <v>136</v>
      </c>
      <c r="C138" s="65" t="s">
        <v>822</v>
      </c>
      <c r="D138" s="110">
        <v>136094</v>
      </c>
      <c r="E138" s="209" t="s">
        <v>945</v>
      </c>
      <c r="F138" s="111">
        <v>139356</v>
      </c>
      <c r="G138" s="212">
        <v>46234</v>
      </c>
      <c r="H138" s="212" t="s">
        <v>240</v>
      </c>
      <c r="I138" s="55">
        <f t="shared" si="12"/>
        <v>1</v>
      </c>
      <c r="J138" s="212">
        <v>46237</v>
      </c>
      <c r="K138" s="55">
        <f t="shared" si="13"/>
        <v>2</v>
      </c>
      <c r="L138" s="212" t="s">
        <v>250</v>
      </c>
      <c r="M138" s="55">
        <f t="shared" si="14"/>
        <v>1</v>
      </c>
      <c r="N138" s="50" t="s">
        <v>314</v>
      </c>
      <c r="O138" s="50" t="s">
        <v>632</v>
      </c>
      <c r="P138" s="56" t="s">
        <v>53</v>
      </c>
      <c r="Q138" s="190">
        <v>1543.4782608695652</v>
      </c>
      <c r="R138" s="190">
        <v>1543.4782608695652</v>
      </c>
      <c r="S138" s="57">
        <f t="shared" si="15"/>
        <v>0</v>
      </c>
      <c r="T138" s="57"/>
      <c r="U138" s="57"/>
      <c r="V138" s="58">
        <f t="shared" si="16"/>
        <v>154.34782608695653</v>
      </c>
      <c r="W138" s="59">
        <f t="shared" si="17"/>
        <v>0</v>
      </c>
    </row>
    <row r="139" spans="1:23" hidden="1" x14ac:dyDescent="0.35">
      <c r="A139" s="60"/>
      <c r="B139" s="54">
        <v>137</v>
      </c>
      <c r="C139" s="65" t="s">
        <v>822</v>
      </c>
      <c r="D139" s="110">
        <v>136095</v>
      </c>
      <c r="E139" s="209" t="s">
        <v>945</v>
      </c>
      <c r="F139" s="111">
        <v>139355</v>
      </c>
      <c r="G139" s="212">
        <v>46234</v>
      </c>
      <c r="H139" s="212" t="s">
        <v>240</v>
      </c>
      <c r="I139" s="55">
        <f t="shared" si="12"/>
        <v>1</v>
      </c>
      <c r="J139" s="212">
        <v>46237</v>
      </c>
      <c r="K139" s="55">
        <f t="shared" si="13"/>
        <v>2</v>
      </c>
      <c r="L139" s="212" t="s">
        <v>250</v>
      </c>
      <c r="M139" s="55">
        <f t="shared" si="14"/>
        <v>1</v>
      </c>
      <c r="N139" s="50" t="s">
        <v>314</v>
      </c>
      <c r="O139" s="50" t="s">
        <v>632</v>
      </c>
      <c r="P139" s="56" t="s">
        <v>53</v>
      </c>
      <c r="Q139" s="190">
        <v>2630.4347826086955</v>
      </c>
      <c r="R139" s="190">
        <v>2630.4347826086955</v>
      </c>
      <c r="S139" s="57">
        <f t="shared" si="15"/>
        <v>0</v>
      </c>
      <c r="T139" s="57"/>
      <c r="U139" s="57"/>
      <c r="V139" s="58">
        <f t="shared" si="16"/>
        <v>263.04347826086956</v>
      </c>
      <c r="W139" s="59">
        <f t="shared" si="17"/>
        <v>0</v>
      </c>
    </row>
    <row r="140" spans="1:23" hidden="1" x14ac:dyDescent="0.35">
      <c r="A140" s="60"/>
      <c r="B140" s="54">
        <v>138</v>
      </c>
      <c r="C140" s="65" t="s">
        <v>822</v>
      </c>
      <c r="D140" s="110">
        <v>136169</v>
      </c>
      <c r="E140" s="209" t="s">
        <v>945</v>
      </c>
      <c r="F140" s="111">
        <v>139367</v>
      </c>
      <c r="G140" s="212">
        <v>46234</v>
      </c>
      <c r="H140" s="212" t="s">
        <v>250</v>
      </c>
      <c r="I140" s="55">
        <f t="shared" si="12"/>
        <v>2</v>
      </c>
      <c r="J140" s="212">
        <v>46238</v>
      </c>
      <c r="K140" s="55">
        <f t="shared" si="13"/>
        <v>2</v>
      </c>
      <c r="L140" s="212" t="s">
        <v>256</v>
      </c>
      <c r="M140" s="55">
        <f t="shared" si="14"/>
        <v>3</v>
      </c>
      <c r="N140" s="50" t="s">
        <v>335</v>
      </c>
      <c r="O140" s="50" t="s">
        <v>653</v>
      </c>
      <c r="P140" s="56" t="s">
        <v>53</v>
      </c>
      <c r="Q140" s="190">
        <v>24456.521739130436</v>
      </c>
      <c r="R140" s="190">
        <v>24456.521739130436</v>
      </c>
      <c r="S140" s="57">
        <f t="shared" si="15"/>
        <v>0</v>
      </c>
      <c r="T140" s="57"/>
      <c r="U140" s="57"/>
      <c r="V140" s="58">
        <f t="shared" si="16"/>
        <v>2445.6521739130435</v>
      </c>
      <c r="W140" s="59">
        <f t="shared" si="17"/>
        <v>0</v>
      </c>
    </row>
    <row r="141" spans="1:23" hidden="1" x14ac:dyDescent="0.35">
      <c r="A141" s="60"/>
      <c r="B141" s="54">
        <v>139</v>
      </c>
      <c r="C141" s="65" t="s">
        <v>822</v>
      </c>
      <c r="D141" s="110">
        <v>136171</v>
      </c>
      <c r="E141" s="209" t="s">
        <v>945</v>
      </c>
      <c r="F141" s="111">
        <v>139366</v>
      </c>
      <c r="G141" s="212">
        <v>46234</v>
      </c>
      <c r="H141" s="212" t="s">
        <v>250</v>
      </c>
      <c r="I141" s="55">
        <f t="shared" si="12"/>
        <v>2</v>
      </c>
      <c r="J141" s="212">
        <v>46238</v>
      </c>
      <c r="K141" s="55">
        <f t="shared" si="13"/>
        <v>2</v>
      </c>
      <c r="L141" s="212" t="s">
        <v>251</v>
      </c>
      <c r="M141" s="55">
        <f t="shared" si="14"/>
        <v>1</v>
      </c>
      <c r="N141" s="50" t="s">
        <v>336</v>
      </c>
      <c r="O141" s="50" t="s">
        <v>654</v>
      </c>
      <c r="P141" s="56" t="s">
        <v>53</v>
      </c>
      <c r="Q141" s="190">
        <v>259.78260869565219</v>
      </c>
      <c r="R141" s="190">
        <v>259.78260869565219</v>
      </c>
      <c r="S141" s="57">
        <f t="shared" si="15"/>
        <v>0</v>
      </c>
      <c r="T141" s="57"/>
      <c r="U141" s="57"/>
      <c r="V141" s="58">
        <f t="shared" si="16"/>
        <v>25.978260869565219</v>
      </c>
      <c r="W141" s="59">
        <f t="shared" si="17"/>
        <v>0</v>
      </c>
    </row>
    <row r="142" spans="1:23" hidden="1" x14ac:dyDescent="0.35">
      <c r="A142" s="60"/>
      <c r="B142" s="54">
        <v>140</v>
      </c>
      <c r="C142" s="65" t="s">
        <v>822</v>
      </c>
      <c r="D142" s="110">
        <v>136183</v>
      </c>
      <c r="E142" s="209" t="s">
        <v>945</v>
      </c>
      <c r="F142" s="111">
        <v>139354</v>
      </c>
      <c r="G142" s="212">
        <v>46234</v>
      </c>
      <c r="H142" s="212" t="s">
        <v>251</v>
      </c>
      <c r="I142" s="55">
        <f t="shared" si="12"/>
        <v>3</v>
      </c>
      <c r="J142" s="212">
        <v>46239</v>
      </c>
      <c r="K142" s="55">
        <f t="shared" si="13"/>
        <v>2</v>
      </c>
      <c r="L142" s="212" t="s">
        <v>241</v>
      </c>
      <c r="M142" s="55">
        <f t="shared" si="14"/>
        <v>1</v>
      </c>
      <c r="N142" s="50" t="s">
        <v>314</v>
      </c>
      <c r="O142" s="50" t="s">
        <v>632</v>
      </c>
      <c r="P142" s="56" t="s">
        <v>53</v>
      </c>
      <c r="Q142" s="190">
        <v>24695.652173913044</v>
      </c>
      <c r="R142" s="190">
        <v>24695.652173913044</v>
      </c>
      <c r="S142" s="57">
        <f t="shared" si="15"/>
        <v>0</v>
      </c>
      <c r="T142" s="57"/>
      <c r="U142" s="57"/>
      <c r="V142" s="58">
        <f t="shared" si="16"/>
        <v>2469.5652173913045</v>
      </c>
      <c r="W142" s="59">
        <f t="shared" si="17"/>
        <v>0</v>
      </c>
    </row>
    <row r="143" spans="1:23" hidden="1" x14ac:dyDescent="0.35">
      <c r="A143" s="60"/>
      <c r="B143" s="54">
        <v>141</v>
      </c>
      <c r="C143" s="65" t="s">
        <v>822</v>
      </c>
      <c r="D143" s="110">
        <v>136210</v>
      </c>
      <c r="E143" s="209" t="s">
        <v>945</v>
      </c>
      <c r="F143" s="111">
        <v>139364</v>
      </c>
      <c r="G143" s="212">
        <v>46234</v>
      </c>
      <c r="H143" s="212" t="s">
        <v>251</v>
      </c>
      <c r="I143" s="55">
        <f t="shared" si="12"/>
        <v>3</v>
      </c>
      <c r="J143" s="212">
        <v>46240</v>
      </c>
      <c r="K143" s="55">
        <f t="shared" si="13"/>
        <v>3</v>
      </c>
      <c r="L143" s="212" t="s">
        <v>256</v>
      </c>
      <c r="M143" s="55">
        <f t="shared" si="14"/>
        <v>1</v>
      </c>
      <c r="N143" s="50" t="s">
        <v>337</v>
      </c>
      <c r="O143" s="50" t="s">
        <v>655</v>
      </c>
      <c r="P143" s="56" t="s">
        <v>53</v>
      </c>
      <c r="Q143" s="190">
        <v>478.26086956521738</v>
      </c>
      <c r="R143" s="190">
        <v>478.26086956521738</v>
      </c>
      <c r="S143" s="57">
        <f t="shared" si="15"/>
        <v>0</v>
      </c>
      <c r="T143" s="57"/>
      <c r="U143" s="57"/>
      <c r="V143" s="58">
        <f t="shared" si="16"/>
        <v>47.826086956521742</v>
      </c>
      <c r="W143" s="59">
        <f t="shared" si="17"/>
        <v>0</v>
      </c>
    </row>
    <row r="144" spans="1:23" hidden="1" x14ac:dyDescent="0.35">
      <c r="A144" s="60"/>
      <c r="B144" s="54">
        <v>142</v>
      </c>
      <c r="C144" s="65" t="s">
        <v>822</v>
      </c>
      <c r="D144" s="110">
        <v>136224</v>
      </c>
      <c r="E144" s="209" t="s">
        <v>945</v>
      </c>
      <c r="F144" s="111">
        <v>139359</v>
      </c>
      <c r="G144" s="212">
        <v>46234</v>
      </c>
      <c r="H144" s="212" t="s">
        <v>241</v>
      </c>
      <c r="I144" s="55">
        <f t="shared" si="12"/>
        <v>4</v>
      </c>
      <c r="J144" s="212">
        <v>46241</v>
      </c>
      <c r="K144" s="55">
        <f t="shared" si="13"/>
        <v>3</v>
      </c>
      <c r="L144" s="212" t="s">
        <v>255</v>
      </c>
      <c r="M144" s="55">
        <f t="shared" si="14"/>
        <v>1</v>
      </c>
      <c r="N144" s="66" t="s">
        <v>338</v>
      </c>
      <c r="O144" s="50" t="s">
        <v>656</v>
      </c>
      <c r="P144" s="56" t="s">
        <v>53</v>
      </c>
      <c r="Q144" s="190">
        <v>2913.0434782608695</v>
      </c>
      <c r="R144" s="190">
        <v>2913.0434782608695</v>
      </c>
      <c r="S144" s="57">
        <f t="shared" si="15"/>
        <v>0</v>
      </c>
      <c r="T144" s="57"/>
      <c r="U144" s="57"/>
      <c r="V144" s="58">
        <f t="shared" si="16"/>
        <v>291.30434782608694</v>
      </c>
      <c r="W144" s="59">
        <f t="shared" si="17"/>
        <v>0</v>
      </c>
    </row>
    <row r="145" spans="1:23" hidden="1" x14ac:dyDescent="0.35">
      <c r="A145" s="60"/>
      <c r="B145" s="54">
        <v>143</v>
      </c>
      <c r="C145" s="65" t="s">
        <v>822</v>
      </c>
      <c r="D145" s="110">
        <v>136243</v>
      </c>
      <c r="E145" s="209" t="s">
        <v>945</v>
      </c>
      <c r="F145" s="111">
        <v>139358</v>
      </c>
      <c r="G145" s="212">
        <v>46234</v>
      </c>
      <c r="H145" s="212" t="s">
        <v>241</v>
      </c>
      <c r="I145" s="55">
        <f t="shared" si="12"/>
        <v>4</v>
      </c>
      <c r="J145" s="212">
        <v>46244</v>
      </c>
      <c r="K145" s="55">
        <f t="shared" si="13"/>
        <v>4</v>
      </c>
      <c r="L145" s="212" t="s">
        <v>258</v>
      </c>
      <c r="M145" s="55">
        <f t="shared" si="14"/>
        <v>1</v>
      </c>
      <c r="N145" s="50" t="s">
        <v>339</v>
      </c>
      <c r="O145" s="50" t="s">
        <v>622</v>
      </c>
      <c r="P145" s="56" t="s">
        <v>53</v>
      </c>
      <c r="Q145" s="190">
        <v>3043.478260869565</v>
      </c>
      <c r="R145" s="190">
        <v>3043.478260869565</v>
      </c>
      <c r="S145" s="57">
        <f t="shared" si="15"/>
        <v>0</v>
      </c>
      <c r="T145" s="57"/>
      <c r="U145" s="57"/>
      <c r="V145" s="58">
        <f t="shared" si="16"/>
        <v>304.3478260869565</v>
      </c>
      <c r="W145" s="59">
        <f t="shared" si="17"/>
        <v>0</v>
      </c>
    </row>
    <row r="146" spans="1:23" hidden="1" x14ac:dyDescent="0.35">
      <c r="A146" s="60"/>
      <c r="B146" s="54">
        <v>144</v>
      </c>
      <c r="C146" s="65" t="s">
        <v>822</v>
      </c>
      <c r="D146" s="110">
        <v>136244</v>
      </c>
      <c r="E146" s="209" t="s">
        <v>945</v>
      </c>
      <c r="F146" s="111">
        <v>139360</v>
      </c>
      <c r="G146" s="212">
        <v>46234</v>
      </c>
      <c r="H146" s="212" t="s">
        <v>241</v>
      </c>
      <c r="I146" s="55">
        <f t="shared" si="12"/>
        <v>4</v>
      </c>
      <c r="J146" s="212">
        <v>46244</v>
      </c>
      <c r="K146" s="55">
        <f t="shared" si="13"/>
        <v>4</v>
      </c>
      <c r="L146" s="212" t="s">
        <v>258</v>
      </c>
      <c r="M146" s="55">
        <f t="shared" si="14"/>
        <v>1</v>
      </c>
      <c r="N146" s="50" t="s">
        <v>340</v>
      </c>
      <c r="O146" s="50" t="s">
        <v>657</v>
      </c>
      <c r="P146" s="56" t="s">
        <v>53</v>
      </c>
      <c r="Q146" s="190">
        <v>1331.1</v>
      </c>
      <c r="R146" s="190">
        <v>1331.1</v>
      </c>
      <c r="S146" s="57">
        <f t="shared" si="15"/>
        <v>0</v>
      </c>
      <c r="T146" s="57"/>
      <c r="U146" s="57"/>
      <c r="V146" s="58">
        <f t="shared" si="16"/>
        <v>133.10999999999999</v>
      </c>
      <c r="W146" s="59">
        <f t="shared" si="17"/>
        <v>0</v>
      </c>
    </row>
    <row r="147" spans="1:23" hidden="1" x14ac:dyDescent="0.35">
      <c r="A147" s="60"/>
      <c r="B147" s="54">
        <v>145</v>
      </c>
      <c r="C147" s="65" t="s">
        <v>822</v>
      </c>
      <c r="D147" s="110">
        <v>136286</v>
      </c>
      <c r="E147" s="14" t="s">
        <v>945</v>
      </c>
      <c r="F147" s="111">
        <v>139365</v>
      </c>
      <c r="G147" s="212">
        <v>46234</v>
      </c>
      <c r="H147" s="212" t="s">
        <v>252</v>
      </c>
      <c r="I147" s="55">
        <f t="shared" si="12"/>
        <v>9</v>
      </c>
      <c r="J147" s="212">
        <v>46247</v>
      </c>
      <c r="K147" s="55">
        <f t="shared" si="13"/>
        <v>2</v>
      </c>
      <c r="L147" s="212" t="s">
        <v>243</v>
      </c>
      <c r="M147" s="55">
        <f t="shared" si="14"/>
        <v>1</v>
      </c>
      <c r="N147" s="50" t="s">
        <v>341</v>
      </c>
      <c r="O147" s="50" t="s">
        <v>658</v>
      </c>
      <c r="P147" s="56" t="s">
        <v>53</v>
      </c>
      <c r="Q147" s="190">
        <v>60.869565217391305</v>
      </c>
      <c r="R147" s="190">
        <v>60.869565217391305</v>
      </c>
      <c r="S147" s="57">
        <f t="shared" si="15"/>
        <v>0</v>
      </c>
      <c r="T147" s="57"/>
      <c r="U147" s="57"/>
      <c r="V147" s="58">
        <f t="shared" si="16"/>
        <v>6.0869565217391308</v>
      </c>
      <c r="W147" s="59">
        <f t="shared" si="17"/>
        <v>0</v>
      </c>
    </row>
    <row r="148" spans="1:23" hidden="1" x14ac:dyDescent="0.35">
      <c r="A148" s="60"/>
      <c r="B148" s="54">
        <v>146</v>
      </c>
      <c r="C148" s="65" t="s">
        <v>822</v>
      </c>
      <c r="D148" s="110">
        <v>136130</v>
      </c>
      <c r="E148" s="209" t="s">
        <v>946</v>
      </c>
      <c r="F148" s="111">
        <v>139373</v>
      </c>
      <c r="G148" s="212">
        <v>46237</v>
      </c>
      <c r="H148" s="212" t="s">
        <v>250</v>
      </c>
      <c r="I148" s="55">
        <f t="shared" si="12"/>
        <v>1</v>
      </c>
      <c r="J148" s="212">
        <v>46237</v>
      </c>
      <c r="K148" s="55">
        <f t="shared" si="13"/>
        <v>1</v>
      </c>
      <c r="L148" s="212" t="s">
        <v>250</v>
      </c>
      <c r="M148" s="55">
        <f t="shared" si="14"/>
        <v>1</v>
      </c>
      <c r="N148" s="50" t="s">
        <v>342</v>
      </c>
      <c r="O148" s="50" t="s">
        <v>615</v>
      </c>
      <c r="P148" s="56" t="s">
        <v>53</v>
      </c>
      <c r="Q148" s="190">
        <v>380.43478260869563</v>
      </c>
      <c r="R148" s="190">
        <v>380.43478260869563</v>
      </c>
      <c r="S148" s="57">
        <f t="shared" si="15"/>
        <v>0</v>
      </c>
      <c r="T148" s="57"/>
      <c r="U148" s="57"/>
      <c r="V148" s="58">
        <f t="shared" si="16"/>
        <v>38.043478260869563</v>
      </c>
      <c r="W148" s="59">
        <f t="shared" si="17"/>
        <v>0</v>
      </c>
    </row>
    <row r="149" spans="1:23" hidden="1" x14ac:dyDescent="0.35">
      <c r="A149" s="60"/>
      <c r="B149" s="54">
        <v>147</v>
      </c>
      <c r="C149" s="65" t="s">
        <v>822</v>
      </c>
      <c r="D149" s="110">
        <v>136162</v>
      </c>
      <c r="E149" s="209" t="s">
        <v>945</v>
      </c>
      <c r="F149" s="111">
        <v>139378</v>
      </c>
      <c r="G149" s="212">
        <v>46237</v>
      </c>
      <c r="H149" s="212" t="s">
        <v>250</v>
      </c>
      <c r="I149" s="55">
        <f t="shared" si="12"/>
        <v>1</v>
      </c>
      <c r="J149" s="212">
        <v>46237</v>
      </c>
      <c r="K149" s="55">
        <f t="shared" si="13"/>
        <v>1</v>
      </c>
      <c r="L149" s="212" t="s">
        <v>250</v>
      </c>
      <c r="M149" s="55">
        <f t="shared" si="14"/>
        <v>1</v>
      </c>
      <c r="N149" s="50" t="s">
        <v>343</v>
      </c>
      <c r="O149" s="50" t="s">
        <v>659</v>
      </c>
      <c r="P149" s="56" t="s">
        <v>53</v>
      </c>
      <c r="Q149" s="190">
        <v>150</v>
      </c>
      <c r="R149" s="190">
        <v>150</v>
      </c>
      <c r="S149" s="57">
        <f t="shared" si="15"/>
        <v>0</v>
      </c>
      <c r="T149" s="57"/>
      <c r="U149" s="57"/>
      <c r="V149" s="58">
        <f t="shared" si="16"/>
        <v>15</v>
      </c>
      <c r="W149" s="59">
        <f t="shared" si="17"/>
        <v>0</v>
      </c>
    </row>
    <row r="150" spans="1:23" hidden="1" x14ac:dyDescent="0.35">
      <c r="A150" s="60"/>
      <c r="B150" s="54">
        <v>148</v>
      </c>
      <c r="C150" s="65" t="s">
        <v>822</v>
      </c>
      <c r="D150" s="110">
        <v>136164</v>
      </c>
      <c r="E150" s="209" t="s">
        <v>945</v>
      </c>
      <c r="F150" s="111">
        <v>139387</v>
      </c>
      <c r="G150" s="212">
        <v>46237</v>
      </c>
      <c r="H150" s="212" t="s">
        <v>250</v>
      </c>
      <c r="I150" s="55">
        <f t="shared" si="12"/>
        <v>1</v>
      </c>
      <c r="J150" s="212">
        <v>46238</v>
      </c>
      <c r="K150" s="55">
        <f t="shared" si="13"/>
        <v>2</v>
      </c>
      <c r="L150" s="212" t="s">
        <v>251</v>
      </c>
      <c r="M150" s="55">
        <f t="shared" si="14"/>
        <v>1</v>
      </c>
      <c r="N150" s="50" t="s">
        <v>344</v>
      </c>
      <c r="O150" s="50" t="s">
        <v>660</v>
      </c>
      <c r="P150" s="56" t="s">
        <v>53</v>
      </c>
      <c r="Q150" s="190">
        <v>228.2608695652174</v>
      </c>
      <c r="R150" s="190">
        <v>228.2608695652174</v>
      </c>
      <c r="S150" s="57">
        <f t="shared" si="15"/>
        <v>0</v>
      </c>
      <c r="T150" s="57"/>
      <c r="U150" s="57"/>
      <c r="V150" s="58">
        <f t="shared" si="16"/>
        <v>22.826086956521742</v>
      </c>
      <c r="W150" s="59">
        <f t="shared" si="17"/>
        <v>0</v>
      </c>
    </row>
    <row r="151" spans="1:23" hidden="1" x14ac:dyDescent="0.35">
      <c r="A151" s="60"/>
      <c r="B151" s="54">
        <v>149</v>
      </c>
      <c r="C151" s="65" t="s">
        <v>822</v>
      </c>
      <c r="D151" s="110">
        <v>136165</v>
      </c>
      <c r="E151" s="209" t="s">
        <v>946</v>
      </c>
      <c r="F151" s="111">
        <v>139385</v>
      </c>
      <c r="G151" s="212">
        <v>46237</v>
      </c>
      <c r="H151" s="212" t="s">
        <v>250</v>
      </c>
      <c r="I151" s="55">
        <f t="shared" si="12"/>
        <v>1</v>
      </c>
      <c r="J151" s="212">
        <v>46238</v>
      </c>
      <c r="K151" s="55">
        <f t="shared" si="13"/>
        <v>2</v>
      </c>
      <c r="L151" s="212" t="s">
        <v>251</v>
      </c>
      <c r="M151" s="55">
        <f t="shared" si="14"/>
        <v>1</v>
      </c>
      <c r="N151" s="50" t="s">
        <v>345</v>
      </c>
      <c r="O151" s="50" t="s">
        <v>661</v>
      </c>
      <c r="P151" s="56" t="s">
        <v>53</v>
      </c>
      <c r="Q151" s="190">
        <v>8805.9894369565209</v>
      </c>
      <c r="R151" s="190">
        <v>8805.9894369565209</v>
      </c>
      <c r="S151" s="57">
        <f t="shared" si="15"/>
        <v>0</v>
      </c>
      <c r="T151" s="57"/>
      <c r="U151" s="57"/>
      <c r="V151" s="58">
        <f t="shared" si="16"/>
        <v>880.59894369565211</v>
      </c>
      <c r="W151" s="59">
        <f t="shared" si="17"/>
        <v>0</v>
      </c>
    </row>
    <row r="152" spans="1:23" hidden="1" x14ac:dyDescent="0.35">
      <c r="A152" s="60"/>
      <c r="B152" s="54">
        <v>150</v>
      </c>
      <c r="C152" s="65" t="s">
        <v>822</v>
      </c>
      <c r="D152" s="110">
        <v>136166</v>
      </c>
      <c r="E152" s="209" t="s">
        <v>946</v>
      </c>
      <c r="F152" s="111">
        <v>139383</v>
      </c>
      <c r="G152" s="212">
        <v>46237</v>
      </c>
      <c r="H152" s="212" t="s">
        <v>250</v>
      </c>
      <c r="I152" s="55">
        <f t="shared" si="12"/>
        <v>1</v>
      </c>
      <c r="J152" s="212">
        <v>46238</v>
      </c>
      <c r="K152" s="55">
        <f t="shared" si="13"/>
        <v>2</v>
      </c>
      <c r="L152" s="212" t="s">
        <v>251</v>
      </c>
      <c r="M152" s="55">
        <f t="shared" si="14"/>
        <v>1</v>
      </c>
      <c r="N152" s="50" t="s">
        <v>345</v>
      </c>
      <c r="O152" s="50" t="s">
        <v>661</v>
      </c>
      <c r="P152" s="56" t="s">
        <v>53</v>
      </c>
      <c r="Q152" s="190">
        <v>14563.575780434783</v>
      </c>
      <c r="R152" s="190">
        <v>14563.575780434783</v>
      </c>
      <c r="S152" s="57">
        <f t="shared" si="15"/>
        <v>0</v>
      </c>
      <c r="T152" s="57"/>
      <c r="U152" s="57"/>
      <c r="V152" s="58">
        <f t="shared" si="16"/>
        <v>1456.3575780434785</v>
      </c>
      <c r="W152" s="59">
        <f t="shared" si="17"/>
        <v>0</v>
      </c>
    </row>
    <row r="153" spans="1:23" hidden="1" x14ac:dyDescent="0.35">
      <c r="A153" s="60"/>
      <c r="B153" s="54">
        <v>151</v>
      </c>
      <c r="C153" s="65" t="s">
        <v>822</v>
      </c>
      <c r="D153" s="110">
        <v>136167</v>
      </c>
      <c r="E153" s="209" t="s">
        <v>945</v>
      </c>
      <c r="F153" s="111">
        <v>139380</v>
      </c>
      <c r="G153" s="212">
        <v>46237</v>
      </c>
      <c r="H153" s="212" t="s">
        <v>250</v>
      </c>
      <c r="I153" s="55">
        <f t="shared" si="12"/>
        <v>1</v>
      </c>
      <c r="J153" s="212">
        <v>46238</v>
      </c>
      <c r="K153" s="55">
        <f t="shared" si="13"/>
        <v>2</v>
      </c>
      <c r="L153" s="212" t="s">
        <v>251</v>
      </c>
      <c r="M153" s="55">
        <f t="shared" si="14"/>
        <v>1</v>
      </c>
      <c r="N153" s="50" t="s">
        <v>346</v>
      </c>
      <c r="O153" s="50" t="s">
        <v>623</v>
      </c>
      <c r="P153" s="56" t="s">
        <v>53</v>
      </c>
      <c r="Q153" s="190">
        <v>4896.6099347826084</v>
      </c>
      <c r="R153" s="190">
        <v>4896.6099347826084</v>
      </c>
      <c r="S153" s="57">
        <f t="shared" si="15"/>
        <v>0</v>
      </c>
      <c r="T153" s="57"/>
      <c r="U153" s="57"/>
      <c r="V153" s="58">
        <f t="shared" si="16"/>
        <v>489.66099347826088</v>
      </c>
      <c r="W153" s="59">
        <f t="shared" si="17"/>
        <v>0</v>
      </c>
    </row>
    <row r="154" spans="1:23" hidden="1" x14ac:dyDescent="0.35">
      <c r="A154" s="60"/>
      <c r="B154" s="54">
        <v>152</v>
      </c>
      <c r="C154" s="65" t="s">
        <v>822</v>
      </c>
      <c r="D154" s="110">
        <v>136168</v>
      </c>
      <c r="E154" s="209" t="s">
        <v>945</v>
      </c>
      <c r="F154" s="111">
        <v>139375</v>
      </c>
      <c r="G154" s="212">
        <v>46237</v>
      </c>
      <c r="H154" s="212" t="s">
        <v>250</v>
      </c>
      <c r="I154" s="55">
        <f t="shared" si="12"/>
        <v>1</v>
      </c>
      <c r="J154" s="212">
        <v>46238</v>
      </c>
      <c r="K154" s="55">
        <f t="shared" si="13"/>
        <v>2</v>
      </c>
      <c r="L154" s="212" t="s">
        <v>251</v>
      </c>
      <c r="M154" s="55">
        <f t="shared" si="14"/>
        <v>1</v>
      </c>
      <c r="N154" s="50" t="s">
        <v>347</v>
      </c>
      <c r="O154" s="50" t="s">
        <v>653</v>
      </c>
      <c r="P154" s="56" t="s">
        <v>53</v>
      </c>
      <c r="Q154" s="190">
        <v>52536.23195652174</v>
      </c>
      <c r="R154" s="190">
        <v>52536.23195652174</v>
      </c>
      <c r="S154" s="57">
        <f t="shared" si="15"/>
        <v>0</v>
      </c>
      <c r="T154" s="57"/>
      <c r="U154" s="57"/>
      <c r="V154" s="58">
        <f t="shared" si="16"/>
        <v>5253.6231956521742</v>
      </c>
      <c r="W154" s="59">
        <f t="shared" si="17"/>
        <v>0</v>
      </c>
    </row>
    <row r="155" spans="1:23" hidden="1" x14ac:dyDescent="0.35">
      <c r="A155" s="60"/>
      <c r="B155" s="54">
        <v>153</v>
      </c>
      <c r="C155" s="65" t="s">
        <v>822</v>
      </c>
      <c r="D155" s="110">
        <v>136172</v>
      </c>
      <c r="E155" s="209" t="s">
        <v>945</v>
      </c>
      <c r="F155" s="111">
        <v>139379</v>
      </c>
      <c r="G155" s="212">
        <v>46237</v>
      </c>
      <c r="H155" s="212" t="s">
        <v>250</v>
      </c>
      <c r="I155" s="55">
        <f t="shared" si="12"/>
        <v>1</v>
      </c>
      <c r="J155" s="212">
        <v>46238</v>
      </c>
      <c r="K155" s="55">
        <f t="shared" si="13"/>
        <v>2</v>
      </c>
      <c r="L155" s="212" t="s">
        <v>268</v>
      </c>
      <c r="M155" s="55">
        <f t="shared" si="14"/>
        <v>27</v>
      </c>
      <c r="N155" s="66" t="s">
        <v>348</v>
      </c>
      <c r="O155" s="50" t="s">
        <v>662</v>
      </c>
      <c r="P155" s="56" t="s">
        <v>53</v>
      </c>
      <c r="Q155" s="190">
        <v>300</v>
      </c>
      <c r="R155" s="190">
        <v>300</v>
      </c>
      <c r="S155" s="57">
        <f t="shared" si="15"/>
        <v>0</v>
      </c>
      <c r="T155" s="57"/>
      <c r="U155" s="57"/>
      <c r="V155" s="58">
        <f t="shared" si="16"/>
        <v>30</v>
      </c>
      <c r="W155" s="59">
        <f t="shared" si="17"/>
        <v>0</v>
      </c>
    </row>
    <row r="156" spans="1:23" hidden="1" x14ac:dyDescent="0.35">
      <c r="A156" s="60"/>
      <c r="B156" s="54">
        <v>154</v>
      </c>
      <c r="C156" s="65" t="s">
        <v>822</v>
      </c>
      <c r="D156" s="110">
        <v>136173</v>
      </c>
      <c r="E156" s="209" t="s">
        <v>945</v>
      </c>
      <c r="F156" s="111">
        <v>139382</v>
      </c>
      <c r="G156" s="212">
        <v>46237</v>
      </c>
      <c r="H156" s="212" t="s">
        <v>251</v>
      </c>
      <c r="I156" s="55">
        <f t="shared" si="12"/>
        <v>2</v>
      </c>
      <c r="J156" s="212">
        <v>46238</v>
      </c>
      <c r="K156" s="55">
        <f t="shared" si="13"/>
        <v>1</v>
      </c>
      <c r="L156" s="212" t="s">
        <v>251</v>
      </c>
      <c r="M156" s="55">
        <f t="shared" si="14"/>
        <v>1</v>
      </c>
      <c r="N156" s="50" t="s">
        <v>349</v>
      </c>
      <c r="O156" s="50" t="s">
        <v>663</v>
      </c>
      <c r="P156" s="56" t="s">
        <v>53</v>
      </c>
      <c r="Q156" s="190">
        <v>669.56521739130437</v>
      </c>
      <c r="R156" s="190">
        <v>669.56521739130437</v>
      </c>
      <c r="S156" s="57">
        <f t="shared" si="15"/>
        <v>0</v>
      </c>
      <c r="T156" s="57"/>
      <c r="U156" s="57"/>
      <c r="V156" s="58">
        <f t="shared" si="16"/>
        <v>66.956521739130437</v>
      </c>
      <c r="W156" s="59">
        <f t="shared" si="17"/>
        <v>0</v>
      </c>
    </row>
    <row r="157" spans="1:23" hidden="1" x14ac:dyDescent="0.35">
      <c r="A157" s="60"/>
      <c r="B157" s="54">
        <v>155</v>
      </c>
      <c r="C157" s="65" t="s">
        <v>822</v>
      </c>
      <c r="D157" s="110">
        <v>136174</v>
      </c>
      <c r="E157" s="209" t="s">
        <v>946</v>
      </c>
      <c r="F157" s="111">
        <v>139390</v>
      </c>
      <c r="G157" s="212">
        <v>46237</v>
      </c>
      <c r="H157" s="212" t="s">
        <v>251</v>
      </c>
      <c r="I157" s="55">
        <f t="shared" si="12"/>
        <v>2</v>
      </c>
      <c r="J157" s="212">
        <v>46238</v>
      </c>
      <c r="K157" s="55">
        <f t="shared" si="13"/>
        <v>1</v>
      </c>
      <c r="L157" s="212" t="s">
        <v>251</v>
      </c>
      <c r="M157" s="55">
        <f t="shared" si="14"/>
        <v>1</v>
      </c>
      <c r="N157" s="50" t="s">
        <v>350</v>
      </c>
      <c r="O157" s="50" t="s">
        <v>615</v>
      </c>
      <c r="P157" s="56" t="s">
        <v>53</v>
      </c>
      <c r="Q157" s="190">
        <v>345.94565217391306</v>
      </c>
      <c r="R157" s="190">
        <v>345.94565217391306</v>
      </c>
      <c r="S157" s="57">
        <f t="shared" si="15"/>
        <v>0</v>
      </c>
      <c r="T157" s="57"/>
      <c r="U157" s="57"/>
      <c r="V157" s="58">
        <f t="shared" si="16"/>
        <v>34.594565217391306</v>
      </c>
      <c r="W157" s="59">
        <f t="shared" si="17"/>
        <v>0</v>
      </c>
    </row>
    <row r="158" spans="1:23" hidden="1" x14ac:dyDescent="0.35">
      <c r="A158" s="60"/>
      <c r="B158" s="54">
        <v>156</v>
      </c>
      <c r="C158" s="65" t="s">
        <v>822</v>
      </c>
      <c r="D158" s="110">
        <v>136175</v>
      </c>
      <c r="E158" s="209" t="s">
        <v>945</v>
      </c>
      <c r="F158" s="111">
        <v>139386</v>
      </c>
      <c r="G158" s="212">
        <v>46237</v>
      </c>
      <c r="H158" s="212" t="s">
        <v>251</v>
      </c>
      <c r="I158" s="55">
        <f t="shared" si="12"/>
        <v>2</v>
      </c>
      <c r="J158" s="212">
        <v>46238</v>
      </c>
      <c r="K158" s="55">
        <f t="shared" si="13"/>
        <v>1</v>
      </c>
      <c r="L158" s="212" t="s">
        <v>241</v>
      </c>
      <c r="M158" s="55">
        <f t="shared" si="14"/>
        <v>2</v>
      </c>
      <c r="N158" s="50" t="s">
        <v>351</v>
      </c>
      <c r="O158" s="50" t="s">
        <v>663</v>
      </c>
      <c r="P158" s="56" t="s">
        <v>53</v>
      </c>
      <c r="Q158" s="190">
        <v>1874.7826086956522</v>
      </c>
      <c r="R158" s="190">
        <v>1874.7826086956522</v>
      </c>
      <c r="S158" s="57">
        <f t="shared" si="15"/>
        <v>0</v>
      </c>
      <c r="T158" s="57"/>
      <c r="U158" s="57"/>
      <c r="V158" s="58">
        <f t="shared" si="16"/>
        <v>187.47826086956525</v>
      </c>
      <c r="W158" s="59">
        <f t="shared" si="17"/>
        <v>0</v>
      </c>
    </row>
    <row r="159" spans="1:23" hidden="1" x14ac:dyDescent="0.35">
      <c r="A159" s="60"/>
      <c r="B159" s="54">
        <v>157</v>
      </c>
      <c r="C159" s="65" t="s">
        <v>822</v>
      </c>
      <c r="D159" s="110">
        <v>136176</v>
      </c>
      <c r="E159" s="209" t="s">
        <v>945</v>
      </c>
      <c r="F159" s="111">
        <v>139391</v>
      </c>
      <c r="G159" s="212">
        <v>46237</v>
      </c>
      <c r="H159" s="212" t="s">
        <v>251</v>
      </c>
      <c r="I159" s="55">
        <f t="shared" si="12"/>
        <v>2</v>
      </c>
      <c r="J159" s="212">
        <v>46238</v>
      </c>
      <c r="K159" s="55">
        <f t="shared" si="13"/>
        <v>1</v>
      </c>
      <c r="L159" s="212" t="s">
        <v>251</v>
      </c>
      <c r="M159" s="55">
        <f t="shared" si="14"/>
        <v>1</v>
      </c>
      <c r="N159" s="50" t="s">
        <v>352</v>
      </c>
      <c r="O159" s="50" t="s">
        <v>663</v>
      </c>
      <c r="P159" s="56" t="s">
        <v>53</v>
      </c>
      <c r="Q159" s="190">
        <v>2209.5652173913045</v>
      </c>
      <c r="R159" s="190">
        <v>2209.5652173913045</v>
      </c>
      <c r="S159" s="57">
        <f t="shared" si="15"/>
        <v>0</v>
      </c>
      <c r="T159" s="57"/>
      <c r="U159" s="57"/>
      <c r="V159" s="58">
        <f t="shared" si="16"/>
        <v>220.95652173913047</v>
      </c>
      <c r="W159" s="59">
        <f t="shared" si="17"/>
        <v>0</v>
      </c>
    </row>
    <row r="160" spans="1:23" hidden="1" x14ac:dyDescent="0.35">
      <c r="A160" s="60"/>
      <c r="B160" s="54">
        <v>158</v>
      </c>
      <c r="C160" s="65" t="s">
        <v>822</v>
      </c>
      <c r="D160" s="110">
        <v>136186</v>
      </c>
      <c r="E160" s="209" t="s">
        <v>945</v>
      </c>
      <c r="F160" s="111">
        <v>139376</v>
      </c>
      <c r="G160" s="212">
        <v>46237</v>
      </c>
      <c r="H160" s="212" t="s">
        <v>251</v>
      </c>
      <c r="I160" s="55">
        <f t="shared" si="12"/>
        <v>2</v>
      </c>
      <c r="J160" s="212">
        <v>46239</v>
      </c>
      <c r="K160" s="55">
        <f t="shared" si="13"/>
        <v>2</v>
      </c>
      <c r="L160" s="212" t="s">
        <v>241</v>
      </c>
      <c r="M160" s="55">
        <f t="shared" si="14"/>
        <v>1</v>
      </c>
      <c r="N160" s="66" t="s">
        <v>353</v>
      </c>
      <c r="O160" s="50" t="s">
        <v>632</v>
      </c>
      <c r="P160" s="56" t="s">
        <v>53</v>
      </c>
      <c r="Q160" s="190">
        <v>3304.3478260869565</v>
      </c>
      <c r="R160" s="190">
        <v>3304.3478260869565</v>
      </c>
      <c r="S160" s="57">
        <f t="shared" si="15"/>
        <v>0</v>
      </c>
      <c r="T160" s="57"/>
      <c r="U160" s="57"/>
      <c r="V160" s="58">
        <f t="shared" si="16"/>
        <v>330.43478260869568</v>
      </c>
      <c r="W160" s="59">
        <f t="shared" si="17"/>
        <v>0</v>
      </c>
    </row>
    <row r="161" spans="1:23" hidden="1" x14ac:dyDescent="0.35">
      <c r="A161" s="60"/>
      <c r="B161" s="54">
        <v>159</v>
      </c>
      <c r="C161" s="65" t="s">
        <v>822</v>
      </c>
      <c r="D161" s="110">
        <v>136187</v>
      </c>
      <c r="E161" s="209" t="s">
        <v>945</v>
      </c>
      <c r="F161" s="111">
        <v>139377</v>
      </c>
      <c r="G161" s="212">
        <v>46237</v>
      </c>
      <c r="H161" s="212" t="s">
        <v>251</v>
      </c>
      <c r="I161" s="55">
        <f t="shared" si="12"/>
        <v>2</v>
      </c>
      <c r="J161" s="212">
        <v>46239</v>
      </c>
      <c r="K161" s="55">
        <f t="shared" si="13"/>
        <v>2</v>
      </c>
      <c r="L161" s="212" t="s">
        <v>241</v>
      </c>
      <c r="M161" s="55">
        <f t="shared" si="14"/>
        <v>1</v>
      </c>
      <c r="N161" s="50" t="s">
        <v>354</v>
      </c>
      <c r="O161" s="50" t="s">
        <v>632</v>
      </c>
      <c r="P161" s="56" t="s">
        <v>53</v>
      </c>
      <c r="Q161" s="190">
        <v>21391.304347826088</v>
      </c>
      <c r="R161" s="190">
        <v>21391.304347826088</v>
      </c>
      <c r="S161" s="57">
        <f t="shared" si="15"/>
        <v>0</v>
      </c>
      <c r="T161" s="57"/>
      <c r="U161" s="57"/>
      <c r="V161" s="58">
        <f t="shared" si="16"/>
        <v>2139.130434782609</v>
      </c>
      <c r="W161" s="59">
        <f t="shared" si="17"/>
        <v>0</v>
      </c>
    </row>
    <row r="162" spans="1:23" hidden="1" x14ac:dyDescent="0.35">
      <c r="A162" s="60"/>
      <c r="B162" s="54">
        <v>160</v>
      </c>
      <c r="C162" s="65" t="s">
        <v>822</v>
      </c>
      <c r="D162" s="110">
        <v>136188</v>
      </c>
      <c r="E162" s="209" t="s">
        <v>945</v>
      </c>
      <c r="F162" s="111">
        <v>139392</v>
      </c>
      <c r="G162" s="212">
        <v>46237</v>
      </c>
      <c r="H162" s="212" t="s">
        <v>251</v>
      </c>
      <c r="I162" s="55">
        <f t="shared" si="12"/>
        <v>2</v>
      </c>
      <c r="J162" s="212">
        <v>46239</v>
      </c>
      <c r="K162" s="55">
        <f t="shared" si="13"/>
        <v>2</v>
      </c>
      <c r="L162" s="212" t="s">
        <v>241</v>
      </c>
      <c r="M162" s="55">
        <f t="shared" si="14"/>
        <v>1</v>
      </c>
      <c r="N162" s="50" t="s">
        <v>355</v>
      </c>
      <c r="O162" s="50" t="s">
        <v>664</v>
      </c>
      <c r="P162" s="56" t="s">
        <v>53</v>
      </c>
      <c r="Q162" s="190">
        <v>28.396739130434781</v>
      </c>
      <c r="R162" s="190">
        <v>28.396739130434781</v>
      </c>
      <c r="S162" s="57">
        <f t="shared" si="15"/>
        <v>0</v>
      </c>
      <c r="T162" s="57"/>
      <c r="U162" s="57"/>
      <c r="V162" s="58">
        <f t="shared" si="16"/>
        <v>2.8396739130434785</v>
      </c>
      <c r="W162" s="59">
        <f t="shared" si="17"/>
        <v>0</v>
      </c>
    </row>
    <row r="163" spans="1:23" x14ac:dyDescent="0.35">
      <c r="A163" s="60"/>
      <c r="B163" s="54">
        <v>161</v>
      </c>
      <c r="C163" s="65" t="s">
        <v>822</v>
      </c>
      <c r="D163" s="110">
        <v>136189</v>
      </c>
      <c r="E163" s="209" t="s">
        <v>945</v>
      </c>
      <c r="F163" s="111">
        <v>139388</v>
      </c>
      <c r="G163" s="212">
        <v>46237</v>
      </c>
      <c r="H163" s="212" t="s">
        <v>251</v>
      </c>
      <c r="I163" s="55">
        <f t="shared" si="12"/>
        <v>2</v>
      </c>
      <c r="J163" s="212">
        <v>46239</v>
      </c>
      <c r="K163" s="55">
        <f t="shared" si="13"/>
        <v>2</v>
      </c>
      <c r="L163" s="212" t="s">
        <v>241</v>
      </c>
      <c r="M163" s="55">
        <f t="shared" si="14"/>
        <v>1</v>
      </c>
      <c r="N163" s="50" t="s">
        <v>356</v>
      </c>
      <c r="O163" s="50" t="s">
        <v>664</v>
      </c>
      <c r="P163" s="56" t="s">
        <v>53</v>
      </c>
      <c r="Q163" s="190">
        <v>28.75</v>
      </c>
      <c r="R163" s="190">
        <v>28.75</v>
      </c>
      <c r="S163" s="57">
        <v>109.06935388263173</v>
      </c>
      <c r="T163" s="57"/>
      <c r="U163" s="57"/>
      <c r="V163" s="58">
        <f t="shared" si="16"/>
        <v>2.875</v>
      </c>
      <c r="W163" s="59">
        <f t="shared" si="17"/>
        <v>0</v>
      </c>
    </row>
    <row r="164" spans="1:23" x14ac:dyDescent="0.35">
      <c r="A164" s="60"/>
      <c r="B164" s="54">
        <v>162</v>
      </c>
      <c r="C164" s="65" t="s">
        <v>822</v>
      </c>
      <c r="D164" s="110">
        <v>136287</v>
      </c>
      <c r="E164" s="209" t="s">
        <v>945</v>
      </c>
      <c r="F164" s="111">
        <v>139389</v>
      </c>
      <c r="G164" s="212">
        <v>46237</v>
      </c>
      <c r="H164" s="212" t="s">
        <v>252</v>
      </c>
      <c r="I164" s="55">
        <f t="shared" si="12"/>
        <v>8</v>
      </c>
      <c r="J164" s="212">
        <v>46247</v>
      </c>
      <c r="K164" s="55">
        <f t="shared" si="13"/>
        <v>2</v>
      </c>
      <c r="L164" s="212" t="s">
        <v>243</v>
      </c>
      <c r="M164" s="55">
        <f t="shared" si="14"/>
        <v>1</v>
      </c>
      <c r="N164" s="50" t="s">
        <v>357</v>
      </c>
      <c r="O164" s="50" t="s">
        <v>665</v>
      </c>
      <c r="P164" s="56" t="s">
        <v>53</v>
      </c>
      <c r="Q164" s="190">
        <v>1739.1304347826087</v>
      </c>
      <c r="R164" s="190">
        <v>1739.1304347826087</v>
      </c>
      <c r="S164" s="57">
        <v>144.04267931238883</v>
      </c>
      <c r="T164" s="57"/>
      <c r="U164" s="57"/>
      <c r="V164" s="58">
        <f t="shared" si="16"/>
        <v>173.91304347826087</v>
      </c>
      <c r="W164" s="59">
        <f t="shared" si="17"/>
        <v>0</v>
      </c>
    </row>
    <row r="165" spans="1:23" hidden="1" x14ac:dyDescent="0.35">
      <c r="A165" s="60"/>
      <c r="B165" s="54">
        <v>163</v>
      </c>
      <c r="C165" s="65" t="s">
        <v>822</v>
      </c>
      <c r="D165" s="110">
        <v>136288</v>
      </c>
      <c r="E165" s="209" t="s">
        <v>945</v>
      </c>
      <c r="F165" s="111">
        <v>139371</v>
      </c>
      <c r="G165" s="220">
        <v>46237</v>
      </c>
      <c r="H165" s="212" t="s">
        <v>252</v>
      </c>
      <c r="I165" s="55">
        <f t="shared" si="12"/>
        <v>8</v>
      </c>
      <c r="J165" s="212">
        <v>46247</v>
      </c>
      <c r="K165" s="55">
        <f t="shared" si="13"/>
        <v>2</v>
      </c>
      <c r="L165" s="212" t="s">
        <v>243</v>
      </c>
      <c r="M165" s="55">
        <f t="shared" si="14"/>
        <v>1</v>
      </c>
      <c r="N165" s="50" t="s">
        <v>358</v>
      </c>
      <c r="O165" s="50" t="s">
        <v>622</v>
      </c>
      <c r="P165" s="56" t="s">
        <v>53</v>
      </c>
      <c r="Q165" s="190">
        <v>173.91304347826087</v>
      </c>
      <c r="R165" s="190">
        <v>173.91304347826087</v>
      </c>
      <c r="S165" s="57">
        <v>0</v>
      </c>
      <c r="T165" s="57"/>
      <c r="U165" s="57"/>
      <c r="V165" s="58">
        <f t="shared" si="16"/>
        <v>17.39130434782609</v>
      </c>
      <c r="W165" s="59">
        <f t="shared" si="17"/>
        <v>0</v>
      </c>
    </row>
    <row r="166" spans="1:23" hidden="1" x14ac:dyDescent="0.35">
      <c r="A166" s="60"/>
      <c r="B166" s="54">
        <v>164</v>
      </c>
      <c r="C166" s="65" t="s">
        <v>822</v>
      </c>
      <c r="D166" s="110">
        <v>136289</v>
      </c>
      <c r="E166" s="209" t="s">
        <v>945</v>
      </c>
      <c r="F166" s="111">
        <v>139370</v>
      </c>
      <c r="G166" s="212">
        <v>46237</v>
      </c>
      <c r="H166" s="212" t="s">
        <v>252</v>
      </c>
      <c r="I166" s="55">
        <f t="shared" si="12"/>
        <v>8</v>
      </c>
      <c r="J166" s="212">
        <v>46247</v>
      </c>
      <c r="K166" s="55">
        <f t="shared" si="13"/>
        <v>2</v>
      </c>
      <c r="L166" s="212" t="s">
        <v>243</v>
      </c>
      <c r="M166" s="55">
        <f t="shared" si="14"/>
        <v>1</v>
      </c>
      <c r="N166" s="50" t="s">
        <v>293</v>
      </c>
      <c r="O166" s="50" t="s">
        <v>666</v>
      </c>
      <c r="P166" s="56" t="s">
        <v>53</v>
      </c>
      <c r="Q166" s="190">
        <v>1086.9565217391305</v>
      </c>
      <c r="R166" s="190">
        <v>1086.9565217391305</v>
      </c>
      <c r="S166" s="57">
        <v>0</v>
      </c>
      <c r="T166" s="57"/>
      <c r="U166" s="57"/>
      <c r="V166" s="58">
        <f t="shared" si="16"/>
        <v>108.69565217391306</v>
      </c>
      <c r="W166" s="59">
        <f t="shared" si="17"/>
        <v>0</v>
      </c>
    </row>
    <row r="167" spans="1:23" x14ac:dyDescent="0.35">
      <c r="A167" s="60"/>
      <c r="B167" s="54">
        <v>165</v>
      </c>
      <c r="C167" s="65" t="s">
        <v>822</v>
      </c>
      <c r="D167" s="110">
        <v>136292</v>
      </c>
      <c r="E167" s="209" t="s">
        <v>945</v>
      </c>
      <c r="F167" s="111">
        <v>139369</v>
      </c>
      <c r="G167" s="212">
        <v>46237</v>
      </c>
      <c r="H167" s="212" t="s">
        <v>252</v>
      </c>
      <c r="I167" s="55">
        <f t="shared" si="12"/>
        <v>8</v>
      </c>
      <c r="J167" s="212">
        <v>46247</v>
      </c>
      <c r="K167" s="55">
        <f t="shared" si="13"/>
        <v>2</v>
      </c>
      <c r="L167" s="212" t="s">
        <v>243</v>
      </c>
      <c r="M167" s="55">
        <f t="shared" si="14"/>
        <v>1</v>
      </c>
      <c r="N167" s="50" t="s">
        <v>357</v>
      </c>
      <c r="O167" s="50" t="s">
        <v>667</v>
      </c>
      <c r="P167" s="56" t="s">
        <v>53</v>
      </c>
      <c r="Q167" s="190">
        <v>1304.3478260869565</v>
      </c>
      <c r="R167" s="190">
        <v>1304.3478260869565</v>
      </c>
      <c r="S167" s="57">
        <v>156859.23864848842</v>
      </c>
      <c r="T167" s="57"/>
      <c r="U167" s="57"/>
      <c r="V167" s="58">
        <f t="shared" si="16"/>
        <v>130.43478260869566</v>
      </c>
      <c r="W167" s="59">
        <f t="shared" si="17"/>
        <v>0</v>
      </c>
    </row>
    <row r="168" spans="1:23" hidden="1" x14ac:dyDescent="0.35">
      <c r="A168" s="60"/>
      <c r="B168" s="54">
        <v>166</v>
      </c>
      <c r="C168" s="65" t="s">
        <v>822</v>
      </c>
      <c r="D168" s="110">
        <v>136365</v>
      </c>
      <c r="E168" s="209" t="s">
        <v>945</v>
      </c>
      <c r="F168" s="111">
        <v>139372</v>
      </c>
      <c r="G168" s="212">
        <v>46237</v>
      </c>
      <c r="H168" s="212" t="s">
        <v>253</v>
      </c>
      <c r="I168" s="55">
        <f t="shared" si="12"/>
        <v>12</v>
      </c>
      <c r="J168" s="212">
        <v>46252</v>
      </c>
      <c r="K168" s="55">
        <f t="shared" si="13"/>
        <v>1</v>
      </c>
      <c r="L168" s="212" t="s">
        <v>253</v>
      </c>
      <c r="M168" s="55">
        <f t="shared" si="14"/>
        <v>1</v>
      </c>
      <c r="N168" s="66" t="s">
        <v>906</v>
      </c>
      <c r="O168" s="50" t="s">
        <v>668</v>
      </c>
      <c r="P168" s="56" t="s">
        <v>53</v>
      </c>
      <c r="Q168" s="190">
        <v>413.04347826086956</v>
      </c>
      <c r="R168" s="190">
        <v>413.04347826086956</v>
      </c>
      <c r="S168" s="57">
        <v>0</v>
      </c>
      <c r="T168" s="57"/>
      <c r="U168" s="57"/>
      <c r="V168" s="58">
        <f t="shared" si="16"/>
        <v>41.304347826086961</v>
      </c>
      <c r="W168" s="59">
        <f t="shared" si="17"/>
        <v>0</v>
      </c>
    </row>
    <row r="169" spans="1:23" hidden="1" x14ac:dyDescent="0.35">
      <c r="A169" s="60"/>
      <c r="B169" s="54">
        <v>167</v>
      </c>
      <c r="C169" s="65" t="s">
        <v>822</v>
      </c>
      <c r="D169" s="110">
        <v>136195</v>
      </c>
      <c r="E169" s="209" t="s">
        <v>945</v>
      </c>
      <c r="F169" s="111">
        <v>139399</v>
      </c>
      <c r="G169" s="212">
        <v>46238</v>
      </c>
      <c r="H169" s="212" t="s">
        <v>241</v>
      </c>
      <c r="I169" s="55">
        <f t="shared" si="12"/>
        <v>2</v>
      </c>
      <c r="J169" s="212">
        <v>46240</v>
      </c>
      <c r="K169" s="55">
        <f t="shared" si="13"/>
        <v>2</v>
      </c>
      <c r="L169" s="212" t="s">
        <v>256</v>
      </c>
      <c r="M169" s="55">
        <f t="shared" si="14"/>
        <v>1</v>
      </c>
      <c r="N169" s="66" t="s">
        <v>359</v>
      </c>
      <c r="O169" s="50" t="s">
        <v>669</v>
      </c>
      <c r="P169" s="56" t="s">
        <v>53</v>
      </c>
      <c r="Q169" s="190">
        <v>149937.08117391303</v>
      </c>
      <c r="R169" s="190">
        <v>136306.43745217391</v>
      </c>
      <c r="S169" s="57">
        <v>0</v>
      </c>
      <c r="T169" s="57"/>
      <c r="U169" s="57"/>
      <c r="V169" s="58">
        <f t="shared" si="16"/>
        <v>14993.708117391303</v>
      </c>
      <c r="W169" s="59">
        <f t="shared" si="17"/>
        <v>9.0909090766738657E-2</v>
      </c>
    </row>
    <row r="170" spans="1:23" hidden="1" x14ac:dyDescent="0.35">
      <c r="A170" s="60"/>
      <c r="B170" s="54">
        <v>168</v>
      </c>
      <c r="C170" s="65" t="s">
        <v>822</v>
      </c>
      <c r="D170" s="110">
        <v>136185</v>
      </c>
      <c r="E170" s="209" t="s">
        <v>945</v>
      </c>
      <c r="F170" s="111">
        <v>139410</v>
      </c>
      <c r="G170" s="212">
        <v>46238</v>
      </c>
      <c r="H170" s="212" t="s">
        <v>251</v>
      </c>
      <c r="I170" s="55">
        <f t="shared" si="12"/>
        <v>1</v>
      </c>
      <c r="J170" s="212">
        <v>46239</v>
      </c>
      <c r="K170" s="55">
        <f t="shared" si="13"/>
        <v>2</v>
      </c>
      <c r="L170" s="212" t="s">
        <v>241</v>
      </c>
      <c r="M170" s="55">
        <f t="shared" si="14"/>
        <v>1</v>
      </c>
      <c r="N170" s="66" t="s">
        <v>360</v>
      </c>
      <c r="O170" s="50" t="s">
        <v>650</v>
      </c>
      <c r="P170" s="56" t="s">
        <v>53</v>
      </c>
      <c r="Q170" s="190">
        <v>75.882352173913063</v>
      </c>
      <c r="R170" s="190">
        <v>65.984654347826094</v>
      </c>
      <c r="S170" s="57">
        <v>0</v>
      </c>
      <c r="T170" s="57"/>
      <c r="U170" s="57"/>
      <c r="V170" s="58">
        <f t="shared" si="16"/>
        <v>7.5882352173913068</v>
      </c>
      <c r="W170" s="59">
        <f t="shared" si="17"/>
        <v>0.13043477887193924</v>
      </c>
    </row>
    <row r="171" spans="1:23" hidden="1" x14ac:dyDescent="0.35">
      <c r="A171" s="60"/>
      <c r="B171" s="54">
        <v>169</v>
      </c>
      <c r="C171" s="65" t="s">
        <v>822</v>
      </c>
      <c r="D171" s="110">
        <v>136225</v>
      </c>
      <c r="E171" s="209" t="s">
        <v>945</v>
      </c>
      <c r="F171" s="111">
        <v>139420</v>
      </c>
      <c r="G171" s="212">
        <v>46238</v>
      </c>
      <c r="H171" s="212" t="s">
        <v>241</v>
      </c>
      <c r="I171" s="55">
        <f t="shared" si="12"/>
        <v>2</v>
      </c>
      <c r="J171" s="212">
        <v>46241</v>
      </c>
      <c r="K171" s="55">
        <f t="shared" si="13"/>
        <v>3</v>
      </c>
      <c r="L171" s="212" t="s">
        <v>258</v>
      </c>
      <c r="M171" s="55">
        <f t="shared" si="14"/>
        <v>2</v>
      </c>
      <c r="N171" s="66" t="s">
        <v>361</v>
      </c>
      <c r="O171" s="50" t="s">
        <v>670</v>
      </c>
      <c r="P171" s="56" t="s">
        <v>53</v>
      </c>
      <c r="Q171" s="190">
        <v>772629.37064819993</v>
      </c>
      <c r="R171" s="190">
        <v>472289.69052720006</v>
      </c>
      <c r="S171" s="57">
        <v>0</v>
      </c>
      <c r="T171" s="57"/>
      <c r="U171" s="57"/>
      <c r="V171" s="58">
        <f t="shared" si="16"/>
        <v>77262.937064819998</v>
      </c>
      <c r="W171" s="59">
        <f t="shared" si="17"/>
        <v>0.38872413026316732</v>
      </c>
    </row>
    <row r="172" spans="1:23" hidden="1" x14ac:dyDescent="0.35">
      <c r="A172" s="60"/>
      <c r="B172" s="54">
        <v>170</v>
      </c>
      <c r="C172" s="65" t="s">
        <v>822</v>
      </c>
      <c r="D172" s="110">
        <v>136291</v>
      </c>
      <c r="E172" s="209" t="s">
        <v>945</v>
      </c>
      <c r="F172" s="111">
        <v>139393</v>
      </c>
      <c r="G172" s="212">
        <v>46238</v>
      </c>
      <c r="H172" s="212" t="s">
        <v>252</v>
      </c>
      <c r="I172" s="55">
        <f t="shared" si="12"/>
        <v>7</v>
      </c>
      <c r="J172" s="212">
        <v>46247</v>
      </c>
      <c r="K172" s="55">
        <f t="shared" si="13"/>
        <v>2</v>
      </c>
      <c r="L172" s="212" t="s">
        <v>243</v>
      </c>
      <c r="M172" s="55">
        <f t="shared" si="14"/>
        <v>1</v>
      </c>
      <c r="N172" s="66" t="s">
        <v>362</v>
      </c>
      <c r="O172" s="50" t="s">
        <v>671</v>
      </c>
      <c r="P172" s="56" t="s">
        <v>53</v>
      </c>
      <c r="Q172" s="190">
        <v>1712.608695652174</v>
      </c>
      <c r="R172" s="190">
        <v>1712.608695652174</v>
      </c>
      <c r="S172" s="57">
        <v>0</v>
      </c>
      <c r="T172" s="57"/>
      <c r="U172" s="57"/>
      <c r="V172" s="58">
        <f t="shared" si="16"/>
        <v>171.2608695652174</v>
      </c>
      <c r="W172" s="59">
        <f t="shared" si="17"/>
        <v>0</v>
      </c>
    </row>
    <row r="173" spans="1:23" hidden="1" x14ac:dyDescent="0.35">
      <c r="A173" s="60"/>
      <c r="B173" s="54">
        <v>171</v>
      </c>
      <c r="C173" s="65" t="s">
        <v>822</v>
      </c>
      <c r="D173" s="110">
        <v>136184</v>
      </c>
      <c r="E173" s="209" t="s">
        <v>945</v>
      </c>
      <c r="F173" s="111">
        <v>139419</v>
      </c>
      <c r="G173" s="212">
        <v>46238</v>
      </c>
      <c r="H173" s="212" t="s">
        <v>251</v>
      </c>
      <c r="I173" s="55">
        <f t="shared" si="12"/>
        <v>1</v>
      </c>
      <c r="J173" s="212">
        <v>46239</v>
      </c>
      <c r="K173" s="55">
        <f t="shared" si="13"/>
        <v>2</v>
      </c>
      <c r="L173" s="212" t="s">
        <v>241</v>
      </c>
      <c r="M173" s="55">
        <f t="shared" si="14"/>
        <v>1</v>
      </c>
      <c r="N173" s="66" t="s">
        <v>363</v>
      </c>
      <c r="O173" s="50" t="s">
        <v>672</v>
      </c>
      <c r="P173" s="56" t="s">
        <v>53</v>
      </c>
      <c r="Q173" s="190">
        <v>2965.0724999999998</v>
      </c>
      <c r="R173" s="190">
        <v>2965.0724999999998</v>
      </c>
      <c r="S173" s="57">
        <v>0</v>
      </c>
      <c r="T173" s="57"/>
      <c r="U173" s="57"/>
      <c r="V173" s="58">
        <f t="shared" si="16"/>
        <v>296.50725</v>
      </c>
      <c r="W173" s="59">
        <f t="shared" si="17"/>
        <v>0</v>
      </c>
    </row>
    <row r="174" spans="1:23" hidden="1" x14ac:dyDescent="0.35">
      <c r="A174" s="60"/>
      <c r="B174" s="54">
        <v>172</v>
      </c>
      <c r="C174" s="65" t="s">
        <v>822</v>
      </c>
      <c r="D174" s="110">
        <v>136194</v>
      </c>
      <c r="E174" s="209" t="s">
        <v>945</v>
      </c>
      <c r="F174" s="111">
        <v>139394</v>
      </c>
      <c r="G174" s="212">
        <v>46238</v>
      </c>
      <c r="H174" s="212" t="s">
        <v>241</v>
      </c>
      <c r="I174" s="55">
        <f t="shared" si="12"/>
        <v>2</v>
      </c>
      <c r="J174" s="212">
        <v>46240</v>
      </c>
      <c r="K174" s="55">
        <f t="shared" si="13"/>
        <v>2</v>
      </c>
      <c r="L174" s="212" t="s">
        <v>256</v>
      </c>
      <c r="M174" s="55">
        <f t="shared" si="14"/>
        <v>1</v>
      </c>
      <c r="N174" s="66" t="s">
        <v>364</v>
      </c>
      <c r="O174" s="50" t="s">
        <v>673</v>
      </c>
      <c r="P174" s="56" t="s">
        <v>53</v>
      </c>
      <c r="Q174" s="190">
        <v>114437.95</v>
      </c>
      <c r="R174" s="190">
        <v>114437.95</v>
      </c>
      <c r="S174" s="57">
        <v>0</v>
      </c>
      <c r="T174" s="57"/>
      <c r="U174" s="57"/>
      <c r="V174" s="58">
        <f t="shared" si="16"/>
        <v>11443.795</v>
      </c>
      <c r="W174" s="59">
        <f t="shared" si="17"/>
        <v>0</v>
      </c>
    </row>
    <row r="175" spans="1:23" hidden="1" x14ac:dyDescent="0.35">
      <c r="A175" s="60"/>
      <c r="B175" s="54">
        <v>173</v>
      </c>
      <c r="C175" s="65" t="s">
        <v>822</v>
      </c>
      <c r="D175" s="110">
        <v>136201</v>
      </c>
      <c r="E175" s="209" t="s">
        <v>945</v>
      </c>
      <c r="F175" s="111">
        <v>139421</v>
      </c>
      <c r="G175" s="212">
        <v>46238</v>
      </c>
      <c r="H175" s="212" t="s">
        <v>241</v>
      </c>
      <c r="I175" s="55">
        <f t="shared" si="12"/>
        <v>2</v>
      </c>
      <c r="J175" s="212">
        <v>46240</v>
      </c>
      <c r="K175" s="55">
        <f t="shared" si="13"/>
        <v>2</v>
      </c>
      <c r="L175" s="212" t="s">
        <v>256</v>
      </c>
      <c r="M175" s="55">
        <f t="shared" si="14"/>
        <v>1</v>
      </c>
      <c r="N175" s="66" t="s">
        <v>293</v>
      </c>
      <c r="O175" s="50" t="s">
        <v>674</v>
      </c>
      <c r="P175" s="56" t="s">
        <v>53</v>
      </c>
      <c r="Q175" s="190">
        <v>3260.8695652173915</v>
      </c>
      <c r="R175" s="190">
        <v>3260.8695652173915</v>
      </c>
      <c r="S175" s="57">
        <v>0</v>
      </c>
      <c r="T175" s="57"/>
      <c r="U175" s="57"/>
      <c r="V175" s="58">
        <f t="shared" si="16"/>
        <v>326.08695652173918</v>
      </c>
      <c r="W175" s="59">
        <f t="shared" si="17"/>
        <v>0</v>
      </c>
    </row>
    <row r="176" spans="1:23" x14ac:dyDescent="0.35">
      <c r="A176" s="60"/>
      <c r="B176" s="54">
        <v>174</v>
      </c>
      <c r="C176" s="65" t="s">
        <v>822</v>
      </c>
      <c r="D176" s="110">
        <v>136203</v>
      </c>
      <c r="E176" s="209" t="s">
        <v>946</v>
      </c>
      <c r="F176" s="111">
        <v>139409</v>
      </c>
      <c r="G176" s="212">
        <v>46238</v>
      </c>
      <c r="H176" s="212" t="s">
        <v>241</v>
      </c>
      <c r="I176" s="55">
        <f t="shared" si="12"/>
        <v>2</v>
      </c>
      <c r="J176" s="212">
        <v>46240</v>
      </c>
      <c r="K176" s="55">
        <f t="shared" si="13"/>
        <v>2</v>
      </c>
      <c r="L176" s="212" t="s">
        <v>256</v>
      </c>
      <c r="M176" s="55">
        <f t="shared" si="14"/>
        <v>1</v>
      </c>
      <c r="N176" s="50" t="s">
        <v>365</v>
      </c>
      <c r="O176" s="50" t="s">
        <v>615</v>
      </c>
      <c r="P176" s="56" t="s">
        <v>53</v>
      </c>
      <c r="Q176" s="190">
        <v>329.56521739130437</v>
      </c>
      <c r="R176" s="190">
        <v>329.56521739130437</v>
      </c>
      <c r="S176" s="57">
        <v>281.84647302904523</v>
      </c>
      <c r="T176" s="57"/>
      <c r="U176" s="57"/>
      <c r="V176" s="58">
        <f t="shared" si="16"/>
        <v>32.956521739130437</v>
      </c>
      <c r="W176" s="59">
        <f t="shared" si="17"/>
        <v>0</v>
      </c>
    </row>
    <row r="177" spans="1:23" hidden="1" x14ac:dyDescent="0.35">
      <c r="A177" s="60"/>
      <c r="B177" s="54">
        <v>175</v>
      </c>
      <c r="C177" s="65" t="s">
        <v>822</v>
      </c>
      <c r="D177" s="110">
        <v>136204</v>
      </c>
      <c r="E177" s="209" t="s">
        <v>945</v>
      </c>
      <c r="F177" s="111">
        <v>139418</v>
      </c>
      <c r="G177" s="212">
        <v>46238</v>
      </c>
      <c r="H177" s="212" t="s">
        <v>241</v>
      </c>
      <c r="I177" s="55">
        <f t="shared" si="12"/>
        <v>2</v>
      </c>
      <c r="J177" s="212">
        <v>46240</v>
      </c>
      <c r="K177" s="55">
        <f t="shared" si="13"/>
        <v>2</v>
      </c>
      <c r="L177" s="212" t="s">
        <v>256</v>
      </c>
      <c r="M177" s="55">
        <f t="shared" si="14"/>
        <v>1</v>
      </c>
      <c r="N177" s="50" t="s">
        <v>314</v>
      </c>
      <c r="O177" s="50" t="s">
        <v>675</v>
      </c>
      <c r="P177" s="56" t="s">
        <v>53</v>
      </c>
      <c r="Q177" s="190">
        <v>14086.95652173913</v>
      </c>
      <c r="R177" s="190">
        <v>14086.95652173913</v>
      </c>
      <c r="S177" s="57">
        <v>0</v>
      </c>
      <c r="T177" s="57"/>
      <c r="U177" s="57"/>
      <c r="V177" s="58">
        <f t="shared" si="16"/>
        <v>1408.695652173913</v>
      </c>
      <c r="W177" s="59">
        <f t="shared" si="17"/>
        <v>0</v>
      </c>
    </row>
    <row r="178" spans="1:23" hidden="1" x14ac:dyDescent="0.35">
      <c r="A178" s="60"/>
      <c r="B178" s="54">
        <v>176</v>
      </c>
      <c r="C178" s="65" t="s">
        <v>822</v>
      </c>
      <c r="D178" s="110">
        <v>136205</v>
      </c>
      <c r="E178" s="209" t="s">
        <v>945</v>
      </c>
      <c r="F178" s="111">
        <v>139414</v>
      </c>
      <c r="G178" s="212">
        <v>46238</v>
      </c>
      <c r="H178" s="212" t="s">
        <v>241</v>
      </c>
      <c r="I178" s="55">
        <f t="shared" si="12"/>
        <v>2</v>
      </c>
      <c r="J178" s="212">
        <v>46240</v>
      </c>
      <c r="K178" s="55">
        <f t="shared" si="13"/>
        <v>2</v>
      </c>
      <c r="L178" s="212" t="s">
        <v>256</v>
      </c>
      <c r="M178" s="55">
        <f t="shared" si="14"/>
        <v>1</v>
      </c>
      <c r="N178" s="50" t="s">
        <v>366</v>
      </c>
      <c r="O178" s="50" t="s">
        <v>643</v>
      </c>
      <c r="P178" s="56" t="s">
        <v>53</v>
      </c>
      <c r="Q178" s="190">
        <v>78.69565200000001</v>
      </c>
      <c r="R178" s="190">
        <v>78.69565200000001</v>
      </c>
      <c r="S178" s="57">
        <v>0</v>
      </c>
      <c r="T178" s="57"/>
      <c r="U178" s="57"/>
      <c r="V178" s="58">
        <f t="shared" si="16"/>
        <v>7.8695652000000011</v>
      </c>
      <c r="W178" s="59">
        <f t="shared" si="17"/>
        <v>0</v>
      </c>
    </row>
    <row r="179" spans="1:23" hidden="1" x14ac:dyDescent="0.35">
      <c r="A179" s="60"/>
      <c r="B179" s="54">
        <v>177</v>
      </c>
      <c r="C179" s="65" t="s">
        <v>822</v>
      </c>
      <c r="D179" s="110">
        <v>136206</v>
      </c>
      <c r="E179" s="209" t="s">
        <v>946</v>
      </c>
      <c r="F179" s="111">
        <v>139413</v>
      </c>
      <c r="G179" s="212">
        <v>46238</v>
      </c>
      <c r="H179" s="212" t="s">
        <v>251</v>
      </c>
      <c r="I179" s="55">
        <f t="shared" si="12"/>
        <v>1</v>
      </c>
      <c r="J179" s="212">
        <v>46240</v>
      </c>
      <c r="K179" s="55">
        <f t="shared" si="13"/>
        <v>3</v>
      </c>
      <c r="L179" s="212" t="s">
        <v>256</v>
      </c>
      <c r="M179" s="55">
        <f t="shared" si="14"/>
        <v>1</v>
      </c>
      <c r="N179" s="50" t="s">
        <v>367</v>
      </c>
      <c r="O179" s="50" t="s">
        <v>676</v>
      </c>
      <c r="P179" s="56" t="s">
        <v>53</v>
      </c>
      <c r="Q179" s="190">
        <v>152.44565217391303</v>
      </c>
      <c r="R179" s="190">
        <v>152.44565217391303</v>
      </c>
      <c r="S179" s="57">
        <v>0</v>
      </c>
      <c r="T179" s="57"/>
      <c r="U179" s="57"/>
      <c r="V179" s="58">
        <f t="shared" si="16"/>
        <v>15.244565217391305</v>
      </c>
      <c r="W179" s="59">
        <f t="shared" si="17"/>
        <v>0</v>
      </c>
    </row>
    <row r="180" spans="1:23" hidden="1" x14ac:dyDescent="0.35">
      <c r="A180" s="60"/>
      <c r="B180" s="54">
        <v>178</v>
      </c>
      <c r="C180" s="65" t="s">
        <v>822</v>
      </c>
      <c r="D180" s="110">
        <v>136207</v>
      </c>
      <c r="E180" s="209" t="s">
        <v>945</v>
      </c>
      <c r="F180" s="111">
        <v>139412</v>
      </c>
      <c r="G180" s="212">
        <v>46238</v>
      </c>
      <c r="H180" s="212" t="s">
        <v>241</v>
      </c>
      <c r="I180" s="55">
        <f t="shared" si="12"/>
        <v>2</v>
      </c>
      <c r="J180" s="212">
        <v>46240</v>
      </c>
      <c r="K180" s="55">
        <f t="shared" si="13"/>
        <v>2</v>
      </c>
      <c r="L180" s="212" t="s">
        <v>256</v>
      </c>
      <c r="M180" s="55">
        <f t="shared" si="14"/>
        <v>1</v>
      </c>
      <c r="N180" s="50" t="s">
        <v>368</v>
      </c>
      <c r="O180" s="50" t="s">
        <v>677</v>
      </c>
      <c r="P180" s="56" t="s">
        <v>53</v>
      </c>
      <c r="Q180" s="190">
        <v>297.101452173913</v>
      </c>
      <c r="R180" s="190">
        <v>297.101452173913</v>
      </c>
      <c r="S180" s="57">
        <v>0</v>
      </c>
      <c r="T180" s="57"/>
      <c r="U180" s="57"/>
      <c r="V180" s="58">
        <f t="shared" si="16"/>
        <v>29.7101452173913</v>
      </c>
      <c r="W180" s="59">
        <f t="shared" si="17"/>
        <v>0</v>
      </c>
    </row>
    <row r="181" spans="1:23" hidden="1" x14ac:dyDescent="0.35">
      <c r="A181" s="60"/>
      <c r="B181" s="54">
        <v>179</v>
      </c>
      <c r="C181" s="65" t="s">
        <v>822</v>
      </c>
      <c r="D181" s="110">
        <v>136208</v>
      </c>
      <c r="E181" s="209" t="s">
        <v>945</v>
      </c>
      <c r="F181" s="111">
        <v>139404</v>
      </c>
      <c r="G181" s="212">
        <v>46238</v>
      </c>
      <c r="H181" s="212" t="s">
        <v>241</v>
      </c>
      <c r="I181" s="55">
        <f t="shared" si="12"/>
        <v>2</v>
      </c>
      <c r="J181" s="212">
        <v>46240</v>
      </c>
      <c r="K181" s="55">
        <f t="shared" si="13"/>
        <v>2</v>
      </c>
      <c r="L181" s="212" t="s">
        <v>256</v>
      </c>
      <c r="M181" s="55">
        <f t="shared" si="14"/>
        <v>1</v>
      </c>
      <c r="N181" s="50" t="s">
        <v>369</v>
      </c>
      <c r="O181" s="50" t="s">
        <v>678</v>
      </c>
      <c r="P181" s="56" t="s">
        <v>53</v>
      </c>
      <c r="Q181" s="190">
        <v>521.73939130434792</v>
      </c>
      <c r="R181" s="190">
        <v>521.73939130434792</v>
      </c>
      <c r="S181" s="57">
        <v>0</v>
      </c>
      <c r="T181" s="57"/>
      <c r="U181" s="57"/>
      <c r="V181" s="58">
        <f t="shared" si="16"/>
        <v>52.173939130434796</v>
      </c>
      <c r="W181" s="59">
        <f t="shared" si="17"/>
        <v>0</v>
      </c>
    </row>
    <row r="182" spans="1:23" hidden="1" x14ac:dyDescent="0.35">
      <c r="A182" s="60"/>
      <c r="B182" s="54">
        <v>180</v>
      </c>
      <c r="C182" s="65" t="s">
        <v>822</v>
      </c>
      <c r="D182" s="110">
        <v>136209</v>
      </c>
      <c r="E182" s="209" t="s">
        <v>945</v>
      </c>
      <c r="F182" s="111">
        <v>139397</v>
      </c>
      <c r="G182" s="212">
        <v>46238</v>
      </c>
      <c r="H182" s="212" t="s">
        <v>241</v>
      </c>
      <c r="I182" s="55">
        <f t="shared" si="12"/>
        <v>2</v>
      </c>
      <c r="J182" s="212">
        <v>46240</v>
      </c>
      <c r="K182" s="55">
        <f t="shared" si="13"/>
        <v>2</v>
      </c>
      <c r="L182" s="212" t="s">
        <v>256</v>
      </c>
      <c r="M182" s="55">
        <f t="shared" si="14"/>
        <v>1</v>
      </c>
      <c r="N182" s="50" t="s">
        <v>370</v>
      </c>
      <c r="O182" s="50" t="s">
        <v>650</v>
      </c>
      <c r="P182" s="56" t="s">
        <v>53</v>
      </c>
      <c r="Q182" s="190">
        <v>184.78260869565219</v>
      </c>
      <c r="R182" s="190">
        <v>184.78260869565219</v>
      </c>
      <c r="S182" s="57">
        <v>0</v>
      </c>
      <c r="T182" s="57"/>
      <c r="U182" s="57"/>
      <c r="V182" s="58">
        <f t="shared" si="16"/>
        <v>18.478260869565219</v>
      </c>
      <c r="W182" s="59">
        <f t="shared" si="17"/>
        <v>0</v>
      </c>
    </row>
    <row r="183" spans="1:23" x14ac:dyDescent="0.35">
      <c r="A183" s="60"/>
      <c r="B183" s="54">
        <v>181</v>
      </c>
      <c r="C183" s="65" t="s">
        <v>822</v>
      </c>
      <c r="D183" s="110">
        <v>136233</v>
      </c>
      <c r="E183" s="209" t="s">
        <v>945</v>
      </c>
      <c r="F183" s="111">
        <v>139406</v>
      </c>
      <c r="G183" s="212">
        <v>46238</v>
      </c>
      <c r="H183" s="212" t="s">
        <v>241</v>
      </c>
      <c r="I183" s="55">
        <f t="shared" ref="I183:I245" si="18">IF(OR(H183="", G183=""), "", NETWORKDAYS(G183, H183))</f>
        <v>2</v>
      </c>
      <c r="J183" s="212">
        <v>46241</v>
      </c>
      <c r="K183" s="55">
        <f t="shared" ref="K183:K245" si="19">IF(OR(H183="", J183=""), "", NETWORKDAYS(H183, J183))</f>
        <v>3</v>
      </c>
      <c r="L183" s="212" t="s">
        <v>255</v>
      </c>
      <c r="M183" s="55">
        <f t="shared" ref="M183:M245" si="20">IF(OR(J183="", L183=""), "", NETWORKDAYS(J183, L183))</f>
        <v>1</v>
      </c>
      <c r="N183" s="50" t="s">
        <v>371</v>
      </c>
      <c r="O183" s="50" t="s">
        <v>679</v>
      </c>
      <c r="P183" s="56" t="s">
        <v>53</v>
      </c>
      <c r="Q183" s="190">
        <v>93321.58173913043</v>
      </c>
      <c r="R183" s="190">
        <v>93321.58173913043</v>
      </c>
      <c r="S183" s="57">
        <v>2494.3687018375822</v>
      </c>
      <c r="T183" s="57"/>
      <c r="U183" s="57"/>
      <c r="V183" s="58">
        <f t="shared" ref="V183:V245" si="21">IF(Q183="", "", Q183*10%)</f>
        <v>9332.1581739130434</v>
      </c>
      <c r="W183" s="59">
        <f t="shared" ref="W183:W245" si="22">IF(OR(Q183="", R183=""), "", (Q183- R183)/Q183)</f>
        <v>0</v>
      </c>
    </row>
    <row r="184" spans="1:23" hidden="1" x14ac:dyDescent="0.35">
      <c r="A184" s="60"/>
      <c r="B184" s="54">
        <v>182</v>
      </c>
      <c r="C184" s="65" t="s">
        <v>822</v>
      </c>
      <c r="D184" s="110">
        <v>136237</v>
      </c>
      <c r="E184" s="209" t="s">
        <v>945</v>
      </c>
      <c r="F184" s="111">
        <v>139411</v>
      </c>
      <c r="G184" s="212">
        <v>46238</v>
      </c>
      <c r="H184" s="212" t="s">
        <v>241</v>
      </c>
      <c r="I184" s="55">
        <f t="shared" si="18"/>
        <v>2</v>
      </c>
      <c r="J184" s="212">
        <v>46244</v>
      </c>
      <c r="K184" s="55">
        <f t="shared" si="19"/>
        <v>4</v>
      </c>
      <c r="L184" s="212" t="s">
        <v>258</v>
      </c>
      <c r="M184" s="55">
        <f t="shared" si="20"/>
        <v>1</v>
      </c>
      <c r="N184" s="50" t="s">
        <v>372</v>
      </c>
      <c r="O184" s="50" t="s">
        <v>622</v>
      </c>
      <c r="P184" s="56" t="s">
        <v>53</v>
      </c>
      <c r="Q184" s="190">
        <v>271.73913043478262</v>
      </c>
      <c r="R184" s="190">
        <v>271.73913043478262</v>
      </c>
      <c r="S184" s="57">
        <f t="shared" ref="S184:S245" si="23">Q184-R184</f>
        <v>0</v>
      </c>
      <c r="T184" s="57"/>
      <c r="U184" s="57"/>
      <c r="V184" s="58">
        <f t="shared" si="21"/>
        <v>27.173913043478265</v>
      </c>
      <c r="W184" s="59">
        <f t="shared" si="22"/>
        <v>0</v>
      </c>
    </row>
    <row r="185" spans="1:23" hidden="1" x14ac:dyDescent="0.35">
      <c r="A185" s="60"/>
      <c r="B185" s="54">
        <v>183</v>
      </c>
      <c r="C185" s="65" t="s">
        <v>822</v>
      </c>
      <c r="D185" s="110">
        <v>136238</v>
      </c>
      <c r="E185" s="209" t="s">
        <v>945</v>
      </c>
      <c r="F185" s="111">
        <v>139408</v>
      </c>
      <c r="G185" s="212">
        <v>46238</v>
      </c>
      <c r="H185" s="212" t="s">
        <v>241</v>
      </c>
      <c r="I185" s="55">
        <f t="shared" si="18"/>
        <v>2</v>
      </c>
      <c r="J185" s="212">
        <v>46244</v>
      </c>
      <c r="K185" s="55">
        <f t="shared" si="19"/>
        <v>4</v>
      </c>
      <c r="L185" s="212" t="s">
        <v>258</v>
      </c>
      <c r="M185" s="55">
        <f t="shared" si="20"/>
        <v>1</v>
      </c>
      <c r="N185" s="50" t="s">
        <v>373</v>
      </c>
      <c r="O185" s="50" t="s">
        <v>680</v>
      </c>
      <c r="P185" s="56" t="s">
        <v>53</v>
      </c>
      <c r="Q185" s="190">
        <v>38478.260869565216</v>
      </c>
      <c r="R185" s="190">
        <v>38478.260869565216</v>
      </c>
      <c r="S185" s="57">
        <f t="shared" si="23"/>
        <v>0</v>
      </c>
      <c r="T185" s="57"/>
      <c r="U185" s="57"/>
      <c r="V185" s="58">
        <f t="shared" si="21"/>
        <v>3847.826086956522</v>
      </c>
      <c r="W185" s="59">
        <f t="shared" si="22"/>
        <v>0</v>
      </c>
    </row>
    <row r="186" spans="1:23" hidden="1" x14ac:dyDescent="0.35">
      <c r="A186" s="60"/>
      <c r="B186" s="54">
        <v>184</v>
      </c>
      <c r="C186" s="65" t="s">
        <v>822</v>
      </c>
      <c r="D186" s="110">
        <v>136290</v>
      </c>
      <c r="E186" s="209" t="s">
        <v>945</v>
      </c>
      <c r="F186" s="111">
        <v>139395</v>
      </c>
      <c r="G186" s="212">
        <v>46238</v>
      </c>
      <c r="H186" s="212" t="s">
        <v>252</v>
      </c>
      <c r="I186" s="55">
        <f t="shared" si="18"/>
        <v>7</v>
      </c>
      <c r="J186" s="212">
        <v>46247</v>
      </c>
      <c r="K186" s="55">
        <f t="shared" si="19"/>
        <v>2</v>
      </c>
      <c r="L186" s="212" t="s">
        <v>243</v>
      </c>
      <c r="M186" s="55">
        <f t="shared" si="20"/>
        <v>1</v>
      </c>
      <c r="N186" s="50" t="s">
        <v>374</v>
      </c>
      <c r="O186" s="50" t="s">
        <v>681</v>
      </c>
      <c r="P186" s="56" t="s">
        <v>53</v>
      </c>
      <c r="Q186" s="190">
        <v>2173.913043478261</v>
      </c>
      <c r="R186" s="190">
        <v>2173.913043478261</v>
      </c>
      <c r="S186" s="57">
        <f t="shared" si="23"/>
        <v>0</v>
      </c>
      <c r="T186" s="57"/>
      <c r="U186" s="57"/>
      <c r="V186" s="58">
        <f t="shared" si="21"/>
        <v>217.39130434782612</v>
      </c>
      <c r="W186" s="59">
        <f t="shared" si="22"/>
        <v>0</v>
      </c>
    </row>
    <row r="187" spans="1:23" hidden="1" x14ac:dyDescent="0.35">
      <c r="A187" s="60"/>
      <c r="B187" s="54">
        <v>185</v>
      </c>
      <c r="C187" s="65" t="s">
        <v>822</v>
      </c>
      <c r="D187" s="110">
        <v>136302</v>
      </c>
      <c r="E187" s="209" t="s">
        <v>945</v>
      </c>
      <c r="F187" s="111">
        <v>139417</v>
      </c>
      <c r="G187" s="212">
        <v>46238</v>
      </c>
      <c r="H187" s="212" t="s">
        <v>252</v>
      </c>
      <c r="I187" s="55">
        <f t="shared" si="18"/>
        <v>7</v>
      </c>
      <c r="J187" s="212">
        <v>46247</v>
      </c>
      <c r="K187" s="55">
        <f t="shared" si="19"/>
        <v>2</v>
      </c>
      <c r="L187" s="212" t="s">
        <v>243</v>
      </c>
      <c r="M187" s="55">
        <f t="shared" si="20"/>
        <v>1</v>
      </c>
      <c r="N187" s="66" t="s">
        <v>375</v>
      </c>
      <c r="O187" s="50" t="s">
        <v>682</v>
      </c>
      <c r="P187" s="56" t="s">
        <v>53</v>
      </c>
      <c r="Q187" s="190">
        <v>869.56521739130437</v>
      </c>
      <c r="R187" s="190">
        <v>869.56521739130437</v>
      </c>
      <c r="S187" s="57">
        <f t="shared" si="23"/>
        <v>0</v>
      </c>
      <c r="T187" s="57"/>
      <c r="U187" s="57"/>
      <c r="V187" s="58">
        <f t="shared" si="21"/>
        <v>86.956521739130437</v>
      </c>
      <c r="W187" s="59">
        <f t="shared" si="22"/>
        <v>0</v>
      </c>
    </row>
    <row r="188" spans="1:23" hidden="1" x14ac:dyDescent="0.35">
      <c r="A188" s="60"/>
      <c r="B188" s="54">
        <v>186</v>
      </c>
      <c r="C188" s="65" t="s">
        <v>822</v>
      </c>
      <c r="D188" s="110">
        <v>136303</v>
      </c>
      <c r="E188" s="209" t="s">
        <v>945</v>
      </c>
      <c r="F188" s="111">
        <v>139415</v>
      </c>
      <c r="G188" s="212">
        <v>46238</v>
      </c>
      <c r="H188" s="212" t="s">
        <v>252</v>
      </c>
      <c r="I188" s="55">
        <f t="shared" si="18"/>
        <v>7</v>
      </c>
      <c r="J188" s="212">
        <v>46247</v>
      </c>
      <c r="K188" s="55">
        <f t="shared" si="19"/>
        <v>2</v>
      </c>
      <c r="L188" s="212" t="s">
        <v>243</v>
      </c>
      <c r="M188" s="55">
        <f t="shared" si="20"/>
        <v>1</v>
      </c>
      <c r="N188" s="50" t="s">
        <v>293</v>
      </c>
      <c r="O188" s="50" t="s">
        <v>683</v>
      </c>
      <c r="P188" s="56" t="s">
        <v>53</v>
      </c>
      <c r="Q188" s="190">
        <v>5434.782608695652</v>
      </c>
      <c r="R188" s="190">
        <v>5434.782608695652</v>
      </c>
      <c r="S188" s="57">
        <f t="shared" si="23"/>
        <v>0</v>
      </c>
      <c r="T188" s="57"/>
      <c r="U188" s="57"/>
      <c r="V188" s="58">
        <f t="shared" si="21"/>
        <v>543.47826086956525</v>
      </c>
      <c r="W188" s="59">
        <f t="shared" si="22"/>
        <v>0</v>
      </c>
    </row>
    <row r="189" spans="1:23" hidden="1" x14ac:dyDescent="0.35">
      <c r="A189" s="60"/>
      <c r="B189" s="54">
        <v>187</v>
      </c>
      <c r="C189" s="65" t="s">
        <v>822</v>
      </c>
      <c r="D189" s="110">
        <v>136315</v>
      </c>
      <c r="E189" s="209" t="s">
        <v>945</v>
      </c>
      <c r="F189" s="111">
        <v>139401</v>
      </c>
      <c r="G189" s="212">
        <v>46238</v>
      </c>
      <c r="H189" s="212" t="s">
        <v>243</v>
      </c>
      <c r="I189" s="55">
        <f t="shared" si="18"/>
        <v>8</v>
      </c>
      <c r="J189" s="212">
        <v>46247</v>
      </c>
      <c r="K189" s="55">
        <f t="shared" si="19"/>
        <v>1</v>
      </c>
      <c r="L189" s="212" t="s">
        <v>243</v>
      </c>
      <c r="M189" s="55">
        <f t="shared" si="20"/>
        <v>1</v>
      </c>
      <c r="N189" s="50" t="s">
        <v>376</v>
      </c>
      <c r="O189" s="50" t="s">
        <v>641</v>
      </c>
      <c r="P189" s="56" t="s">
        <v>53</v>
      </c>
      <c r="Q189" s="190">
        <v>175000</v>
      </c>
      <c r="R189" s="190">
        <v>175000</v>
      </c>
      <c r="S189" s="57">
        <f t="shared" si="23"/>
        <v>0</v>
      </c>
      <c r="T189" s="57"/>
      <c r="U189" s="57"/>
      <c r="V189" s="58">
        <f t="shared" si="21"/>
        <v>17500</v>
      </c>
      <c r="W189" s="59">
        <f t="shared" si="22"/>
        <v>0</v>
      </c>
    </row>
    <row r="190" spans="1:23" hidden="1" x14ac:dyDescent="0.35">
      <c r="A190" s="60"/>
      <c r="B190" s="54">
        <v>188</v>
      </c>
      <c r="C190" s="65" t="s">
        <v>822</v>
      </c>
      <c r="D190" s="110">
        <v>136318</v>
      </c>
      <c r="E190" s="209" t="s">
        <v>945</v>
      </c>
      <c r="F190" s="111">
        <v>139407</v>
      </c>
      <c r="G190" s="212">
        <v>46238</v>
      </c>
      <c r="H190" s="212" t="s">
        <v>251</v>
      </c>
      <c r="I190" s="55">
        <f t="shared" si="18"/>
        <v>1</v>
      </c>
      <c r="J190" s="212">
        <v>46247</v>
      </c>
      <c r="K190" s="55">
        <f t="shared" si="19"/>
        <v>8</v>
      </c>
      <c r="L190" s="212" t="s">
        <v>243</v>
      </c>
      <c r="M190" s="55">
        <f t="shared" si="20"/>
        <v>1</v>
      </c>
      <c r="N190" s="66" t="s">
        <v>377</v>
      </c>
      <c r="O190" s="50" t="s">
        <v>684</v>
      </c>
      <c r="P190" s="56" t="s">
        <v>53</v>
      </c>
      <c r="Q190" s="190">
        <v>3217.5</v>
      </c>
      <c r="R190" s="190">
        <v>3217.5</v>
      </c>
      <c r="S190" s="57">
        <f t="shared" si="23"/>
        <v>0</v>
      </c>
      <c r="T190" s="57"/>
      <c r="U190" s="57"/>
      <c r="V190" s="58">
        <f t="shared" si="21"/>
        <v>321.75</v>
      </c>
      <c r="W190" s="59">
        <f t="shared" si="22"/>
        <v>0</v>
      </c>
    </row>
    <row r="191" spans="1:23" hidden="1" x14ac:dyDescent="0.35">
      <c r="A191" s="60"/>
      <c r="B191" s="54">
        <v>189</v>
      </c>
      <c r="C191" s="65" t="s">
        <v>822</v>
      </c>
      <c r="D191" s="110">
        <v>136366</v>
      </c>
      <c r="E191" s="209" t="s">
        <v>945</v>
      </c>
      <c r="F191" s="111">
        <v>139405</v>
      </c>
      <c r="G191" s="212">
        <v>46238</v>
      </c>
      <c r="H191" s="212" t="s">
        <v>253</v>
      </c>
      <c r="I191" s="55">
        <f t="shared" si="18"/>
        <v>11</v>
      </c>
      <c r="J191" s="212">
        <v>46252</v>
      </c>
      <c r="K191" s="55">
        <f t="shared" si="19"/>
        <v>1</v>
      </c>
      <c r="L191" s="212" t="s">
        <v>253</v>
      </c>
      <c r="M191" s="55">
        <f t="shared" si="20"/>
        <v>1</v>
      </c>
      <c r="N191" s="50" t="s">
        <v>907</v>
      </c>
      <c r="O191" s="50" t="s">
        <v>685</v>
      </c>
      <c r="P191" s="56" t="s">
        <v>53</v>
      </c>
      <c r="Q191" s="190">
        <v>184.17608695652174</v>
      </c>
      <c r="R191" s="190">
        <v>184.17608695652174</v>
      </c>
      <c r="S191" s="57">
        <f t="shared" si="23"/>
        <v>0</v>
      </c>
      <c r="T191" s="57"/>
      <c r="U191" s="57"/>
      <c r="V191" s="58">
        <f t="shared" si="21"/>
        <v>18.417608695652174</v>
      </c>
      <c r="W191" s="59">
        <f t="shared" si="22"/>
        <v>0</v>
      </c>
    </row>
    <row r="192" spans="1:23" x14ac:dyDescent="0.35">
      <c r="A192" s="60"/>
      <c r="B192" s="54">
        <v>190</v>
      </c>
      <c r="C192" s="65" t="s">
        <v>822</v>
      </c>
      <c r="D192" s="110">
        <v>136199</v>
      </c>
      <c r="E192" s="209" t="s">
        <v>945</v>
      </c>
      <c r="F192" s="111">
        <v>139429</v>
      </c>
      <c r="G192" s="212">
        <v>46239</v>
      </c>
      <c r="H192" s="212" t="s">
        <v>241</v>
      </c>
      <c r="I192" s="55">
        <f t="shared" si="18"/>
        <v>1</v>
      </c>
      <c r="J192" s="212">
        <v>46240</v>
      </c>
      <c r="K192" s="55">
        <f t="shared" si="19"/>
        <v>2</v>
      </c>
      <c r="L192" s="212" t="s">
        <v>256</v>
      </c>
      <c r="M192" s="55">
        <f t="shared" si="20"/>
        <v>1</v>
      </c>
      <c r="N192" s="50" t="s">
        <v>378</v>
      </c>
      <c r="O192" s="50" t="s">
        <v>672</v>
      </c>
      <c r="P192" s="56" t="s">
        <v>53</v>
      </c>
      <c r="Q192" s="190">
        <v>10395.192599999998</v>
      </c>
      <c r="R192" s="190">
        <v>10240.752599999998</v>
      </c>
      <c r="S192" s="57">
        <f t="shared" si="23"/>
        <v>154.44000000000051</v>
      </c>
      <c r="T192" s="57"/>
      <c r="U192" s="57"/>
      <c r="V192" s="58">
        <f t="shared" si="21"/>
        <v>1039.5192599999998</v>
      </c>
      <c r="W192" s="59">
        <f t="shared" si="22"/>
        <v>1.4856867587042161E-2</v>
      </c>
    </row>
    <row r="193" spans="1:23" x14ac:dyDescent="0.35">
      <c r="A193" s="60"/>
      <c r="B193" s="54">
        <v>191</v>
      </c>
      <c r="C193" s="65" t="s">
        <v>822</v>
      </c>
      <c r="D193" s="110">
        <v>136310</v>
      </c>
      <c r="E193" s="209" t="s">
        <v>946</v>
      </c>
      <c r="F193" s="111">
        <v>139424</v>
      </c>
      <c r="G193" s="212">
        <v>46239</v>
      </c>
      <c r="H193" s="212" t="s">
        <v>254</v>
      </c>
      <c r="I193" s="55">
        <f t="shared" si="18"/>
        <v>5</v>
      </c>
      <c r="J193" s="212">
        <v>46247</v>
      </c>
      <c r="K193" s="55">
        <f t="shared" si="19"/>
        <v>3</v>
      </c>
      <c r="L193" s="212" t="s">
        <v>243</v>
      </c>
      <c r="M193" s="55">
        <f t="shared" si="20"/>
        <v>1</v>
      </c>
      <c r="N193" s="50" t="s">
        <v>379</v>
      </c>
      <c r="O193" s="50" t="s">
        <v>609</v>
      </c>
      <c r="P193" s="56" t="s">
        <v>53</v>
      </c>
      <c r="Q193" s="190">
        <v>4487.021739130435</v>
      </c>
      <c r="R193" s="190">
        <v>4193.478260869565</v>
      </c>
      <c r="S193" s="57">
        <f t="shared" si="23"/>
        <v>293.54347826086996</v>
      </c>
      <c r="T193" s="57"/>
      <c r="U193" s="57"/>
      <c r="V193" s="58">
        <f t="shared" si="21"/>
        <v>448.70217391304351</v>
      </c>
      <c r="W193" s="59">
        <f t="shared" si="22"/>
        <v>6.5420560747663642E-2</v>
      </c>
    </row>
    <row r="194" spans="1:23" x14ac:dyDescent="0.35">
      <c r="A194" s="60"/>
      <c r="B194" s="54">
        <v>192</v>
      </c>
      <c r="C194" s="65" t="s">
        <v>822</v>
      </c>
      <c r="D194" s="110">
        <v>136314</v>
      </c>
      <c r="E194" s="209" t="s">
        <v>945</v>
      </c>
      <c r="F194" s="111">
        <v>139442</v>
      </c>
      <c r="G194" s="212">
        <v>46239</v>
      </c>
      <c r="H194" s="212" t="s">
        <v>254</v>
      </c>
      <c r="I194" s="55">
        <f t="shared" si="18"/>
        <v>5</v>
      </c>
      <c r="J194" s="212">
        <v>46247</v>
      </c>
      <c r="K194" s="55">
        <f t="shared" si="19"/>
        <v>3</v>
      </c>
      <c r="L194" s="212" t="s">
        <v>259</v>
      </c>
      <c r="M194" s="55">
        <f t="shared" si="20"/>
        <v>2</v>
      </c>
      <c r="N194" s="66" t="s">
        <v>380</v>
      </c>
      <c r="O194" s="50" t="s">
        <v>608</v>
      </c>
      <c r="P194" s="56" t="s">
        <v>53</v>
      </c>
      <c r="Q194" s="190">
        <v>4696.9876086956519</v>
      </c>
      <c r="R194" s="190">
        <v>4269.9886956521741</v>
      </c>
      <c r="S194" s="57">
        <f t="shared" si="23"/>
        <v>426.99891304347784</v>
      </c>
      <c r="T194" s="57"/>
      <c r="U194" s="57"/>
      <c r="V194" s="58">
        <f t="shared" si="21"/>
        <v>469.69876086956521</v>
      </c>
      <c r="W194" s="59">
        <f t="shared" si="22"/>
        <v>9.0909099324206002E-2</v>
      </c>
    </row>
    <row r="195" spans="1:23" x14ac:dyDescent="0.35">
      <c r="A195" s="60"/>
      <c r="B195" s="54">
        <v>193</v>
      </c>
      <c r="C195" s="65" t="s">
        <v>822</v>
      </c>
      <c r="D195" s="110">
        <v>136251</v>
      </c>
      <c r="E195" s="209" t="s">
        <v>945</v>
      </c>
      <c r="F195" s="111">
        <v>139427</v>
      </c>
      <c r="G195" s="212">
        <v>46239</v>
      </c>
      <c r="H195" s="212" t="s">
        <v>255</v>
      </c>
      <c r="I195" s="55">
        <f t="shared" si="18"/>
        <v>3</v>
      </c>
      <c r="J195" s="212">
        <v>46244</v>
      </c>
      <c r="K195" s="55">
        <f t="shared" si="19"/>
        <v>2</v>
      </c>
      <c r="L195" s="212" t="s">
        <v>258</v>
      </c>
      <c r="M195" s="55">
        <f t="shared" si="20"/>
        <v>1</v>
      </c>
      <c r="N195" s="50" t="s">
        <v>381</v>
      </c>
      <c r="O195" s="50" t="s">
        <v>686</v>
      </c>
      <c r="P195" s="56" t="s">
        <v>53</v>
      </c>
      <c r="Q195" s="190">
        <v>130392.88673913044</v>
      </c>
      <c r="R195" s="190">
        <v>115865.67847826087</v>
      </c>
      <c r="S195" s="57">
        <f t="shared" si="23"/>
        <v>14527.208260869564</v>
      </c>
      <c r="T195" s="57"/>
      <c r="U195" s="57"/>
      <c r="V195" s="58">
        <f t="shared" si="21"/>
        <v>13039.288673913044</v>
      </c>
      <c r="W195" s="59">
        <f t="shared" si="22"/>
        <v>0.11141104874787622</v>
      </c>
    </row>
    <row r="196" spans="1:23" x14ac:dyDescent="0.35">
      <c r="A196" s="60"/>
      <c r="B196" s="54">
        <v>194</v>
      </c>
      <c r="C196" s="65" t="s">
        <v>822</v>
      </c>
      <c r="D196" s="110">
        <v>136197</v>
      </c>
      <c r="E196" s="209" t="s">
        <v>945</v>
      </c>
      <c r="F196" s="111">
        <v>139430</v>
      </c>
      <c r="G196" s="212">
        <v>46239</v>
      </c>
      <c r="H196" s="212" t="s">
        <v>241</v>
      </c>
      <c r="I196" s="55">
        <f t="shared" si="18"/>
        <v>1</v>
      </c>
      <c r="J196" s="212">
        <v>46240</v>
      </c>
      <c r="K196" s="55">
        <f t="shared" si="19"/>
        <v>2</v>
      </c>
      <c r="L196" s="212" t="s">
        <v>258</v>
      </c>
      <c r="M196" s="55">
        <f t="shared" si="20"/>
        <v>3</v>
      </c>
      <c r="N196" s="50" t="s">
        <v>382</v>
      </c>
      <c r="O196" s="50" t="s">
        <v>687</v>
      </c>
      <c r="P196" s="56" t="s">
        <v>53</v>
      </c>
      <c r="Q196" s="190">
        <v>1261784.3439239999</v>
      </c>
      <c r="R196" s="190">
        <v>809764.74294299993</v>
      </c>
      <c r="S196" s="57">
        <f t="shared" si="23"/>
        <v>452019.600981</v>
      </c>
      <c r="T196" s="57"/>
      <c r="U196" s="57"/>
      <c r="V196" s="58">
        <f t="shared" si="21"/>
        <v>126178.4343924</v>
      </c>
      <c r="W196" s="59">
        <f t="shared" si="22"/>
        <v>0.35823839720127809</v>
      </c>
    </row>
    <row r="197" spans="1:23" hidden="1" x14ac:dyDescent="0.35">
      <c r="A197" s="60"/>
      <c r="B197" s="54">
        <v>195</v>
      </c>
      <c r="C197" s="65" t="s">
        <v>822</v>
      </c>
      <c r="D197" s="110">
        <v>136190</v>
      </c>
      <c r="E197" s="209" t="s">
        <v>946</v>
      </c>
      <c r="F197" s="111">
        <v>139432</v>
      </c>
      <c r="G197" s="212">
        <v>46239</v>
      </c>
      <c r="H197" s="212" t="s">
        <v>241</v>
      </c>
      <c r="I197" s="55">
        <f t="shared" si="18"/>
        <v>1</v>
      </c>
      <c r="J197" s="212">
        <v>46239</v>
      </c>
      <c r="K197" s="55">
        <f t="shared" si="19"/>
        <v>1</v>
      </c>
      <c r="L197" s="212" t="s">
        <v>241</v>
      </c>
      <c r="M197" s="55">
        <f t="shared" si="20"/>
        <v>1</v>
      </c>
      <c r="N197" s="50" t="s">
        <v>383</v>
      </c>
      <c r="O197" s="50" t="s">
        <v>672</v>
      </c>
      <c r="P197" s="56" t="s">
        <v>53</v>
      </c>
      <c r="Q197" s="190">
        <v>301.93019999999996</v>
      </c>
      <c r="R197" s="190">
        <v>301.93019999999996</v>
      </c>
      <c r="S197" s="57">
        <f t="shared" si="23"/>
        <v>0</v>
      </c>
      <c r="T197" s="57"/>
      <c r="U197" s="57"/>
      <c r="V197" s="58">
        <f t="shared" si="21"/>
        <v>30.193019999999997</v>
      </c>
      <c r="W197" s="59">
        <f t="shared" si="22"/>
        <v>0</v>
      </c>
    </row>
    <row r="198" spans="1:23" hidden="1" x14ac:dyDescent="0.35">
      <c r="A198" s="60"/>
      <c r="B198" s="54">
        <v>196</v>
      </c>
      <c r="C198" s="65" t="s">
        <v>822</v>
      </c>
      <c r="D198" s="110">
        <v>136192</v>
      </c>
      <c r="E198" s="209" t="s">
        <v>946</v>
      </c>
      <c r="F198" s="111">
        <v>139443</v>
      </c>
      <c r="G198" s="212">
        <v>46239</v>
      </c>
      <c r="H198" s="212" t="s">
        <v>241</v>
      </c>
      <c r="I198" s="55">
        <f t="shared" si="18"/>
        <v>1</v>
      </c>
      <c r="J198" s="212">
        <v>46239</v>
      </c>
      <c r="K198" s="55">
        <f t="shared" si="19"/>
        <v>1</v>
      </c>
      <c r="L198" s="212" t="s">
        <v>241</v>
      </c>
      <c r="M198" s="55">
        <f t="shared" si="20"/>
        <v>1</v>
      </c>
      <c r="N198" s="50" t="s">
        <v>384</v>
      </c>
      <c r="O198" s="50" t="s">
        <v>651</v>
      </c>
      <c r="P198" s="56" t="s">
        <v>53</v>
      </c>
      <c r="Q198" s="190">
        <v>314.5470845478261</v>
      </c>
      <c r="R198" s="190">
        <v>314.5470845478261</v>
      </c>
      <c r="S198" s="57">
        <f t="shared" si="23"/>
        <v>0</v>
      </c>
      <c r="T198" s="57"/>
      <c r="U198" s="57"/>
      <c r="V198" s="58">
        <f t="shared" si="21"/>
        <v>31.454708454782612</v>
      </c>
      <c r="W198" s="59">
        <f t="shared" si="22"/>
        <v>0</v>
      </c>
    </row>
    <row r="199" spans="1:23" hidden="1" x14ac:dyDescent="0.35">
      <c r="A199" s="60"/>
      <c r="B199" s="54">
        <v>197</v>
      </c>
      <c r="C199" s="65" t="s">
        <v>822</v>
      </c>
      <c r="D199" s="110">
        <v>136193</v>
      </c>
      <c r="E199" s="209" t="s">
        <v>945</v>
      </c>
      <c r="F199" s="111">
        <v>139446</v>
      </c>
      <c r="G199" s="212">
        <v>46239</v>
      </c>
      <c r="H199" s="212" t="s">
        <v>241</v>
      </c>
      <c r="I199" s="55">
        <f t="shared" si="18"/>
        <v>1</v>
      </c>
      <c r="J199" s="212">
        <v>46239</v>
      </c>
      <c r="K199" s="55">
        <f t="shared" si="19"/>
        <v>1</v>
      </c>
      <c r="L199" s="212" t="s">
        <v>241</v>
      </c>
      <c r="M199" s="55">
        <f t="shared" si="20"/>
        <v>1</v>
      </c>
      <c r="N199" s="50" t="s">
        <v>385</v>
      </c>
      <c r="O199" s="50" t="s">
        <v>688</v>
      </c>
      <c r="P199" s="56" t="s">
        <v>53</v>
      </c>
      <c r="Q199" s="190">
        <v>1483.695652173913</v>
      </c>
      <c r="R199" s="190">
        <v>1483.695652173913</v>
      </c>
      <c r="S199" s="57">
        <f t="shared" si="23"/>
        <v>0</v>
      </c>
      <c r="T199" s="57"/>
      <c r="U199" s="57"/>
      <c r="V199" s="58">
        <f t="shared" si="21"/>
        <v>148.36956521739131</v>
      </c>
      <c r="W199" s="59">
        <f t="shared" si="22"/>
        <v>0</v>
      </c>
    </row>
    <row r="200" spans="1:23" hidden="1" x14ac:dyDescent="0.35">
      <c r="A200" s="60"/>
      <c r="B200" s="54">
        <v>198</v>
      </c>
      <c r="C200" s="65" t="s">
        <v>822</v>
      </c>
      <c r="D200" s="110">
        <v>136198</v>
      </c>
      <c r="E200" s="209" t="s">
        <v>945</v>
      </c>
      <c r="F200" s="111">
        <v>139444</v>
      </c>
      <c r="G200" s="212">
        <v>46239</v>
      </c>
      <c r="H200" s="212" t="s">
        <v>256</v>
      </c>
      <c r="I200" s="55">
        <f t="shared" si="18"/>
        <v>2</v>
      </c>
      <c r="J200" s="212">
        <v>46240</v>
      </c>
      <c r="K200" s="55">
        <f t="shared" si="19"/>
        <v>1</v>
      </c>
      <c r="L200" s="212" t="s">
        <v>256</v>
      </c>
      <c r="M200" s="55">
        <f t="shared" si="20"/>
        <v>1</v>
      </c>
      <c r="N200" s="50" t="s">
        <v>293</v>
      </c>
      <c r="O200" s="50" t="s">
        <v>689</v>
      </c>
      <c r="P200" s="56" t="s">
        <v>53</v>
      </c>
      <c r="Q200" s="190">
        <v>543.47826086956525</v>
      </c>
      <c r="R200" s="190">
        <v>543.47826086956525</v>
      </c>
      <c r="S200" s="57">
        <f t="shared" si="23"/>
        <v>0</v>
      </c>
      <c r="T200" s="57"/>
      <c r="U200" s="57"/>
      <c r="V200" s="58">
        <f t="shared" si="21"/>
        <v>54.34782608695653</v>
      </c>
      <c r="W200" s="59">
        <f t="shared" si="22"/>
        <v>0</v>
      </c>
    </row>
    <row r="201" spans="1:23" hidden="1" x14ac:dyDescent="0.35">
      <c r="A201" s="60"/>
      <c r="B201" s="54">
        <v>199</v>
      </c>
      <c r="C201" s="65" t="s">
        <v>822</v>
      </c>
      <c r="D201" s="110">
        <v>136200</v>
      </c>
      <c r="E201" s="209" t="s">
        <v>945</v>
      </c>
      <c r="F201" s="111">
        <v>139422</v>
      </c>
      <c r="G201" s="212">
        <v>46239</v>
      </c>
      <c r="H201" s="212" t="s">
        <v>241</v>
      </c>
      <c r="I201" s="55">
        <f t="shared" si="18"/>
        <v>1</v>
      </c>
      <c r="J201" s="212">
        <v>46240</v>
      </c>
      <c r="K201" s="55">
        <f t="shared" si="19"/>
        <v>2</v>
      </c>
      <c r="L201" s="212" t="s">
        <v>258</v>
      </c>
      <c r="M201" s="55">
        <f t="shared" si="20"/>
        <v>3</v>
      </c>
      <c r="N201" s="50" t="s">
        <v>293</v>
      </c>
      <c r="O201" s="50" t="s">
        <v>690</v>
      </c>
      <c r="P201" s="56" t="s">
        <v>53</v>
      </c>
      <c r="Q201" s="190">
        <v>1521.7391304347825</v>
      </c>
      <c r="R201" s="190">
        <v>1521.7391304347825</v>
      </c>
      <c r="S201" s="57">
        <f t="shared" si="23"/>
        <v>0</v>
      </c>
      <c r="T201" s="57"/>
      <c r="U201" s="57"/>
      <c r="V201" s="58">
        <f t="shared" si="21"/>
        <v>152.17391304347825</v>
      </c>
      <c r="W201" s="59">
        <f t="shared" si="22"/>
        <v>0</v>
      </c>
    </row>
    <row r="202" spans="1:23" hidden="1" x14ac:dyDescent="0.35">
      <c r="A202" s="60"/>
      <c r="B202" s="54">
        <v>200</v>
      </c>
      <c r="C202" s="65" t="s">
        <v>822</v>
      </c>
      <c r="D202" s="110">
        <v>136250</v>
      </c>
      <c r="E202" s="209" t="s">
        <v>945</v>
      </c>
      <c r="F202" s="111">
        <v>139425</v>
      </c>
      <c r="G202" s="212">
        <v>46239</v>
      </c>
      <c r="H202" s="212" t="s">
        <v>255</v>
      </c>
      <c r="I202" s="55">
        <f t="shared" si="18"/>
        <v>3</v>
      </c>
      <c r="J202" s="212">
        <v>46244</v>
      </c>
      <c r="K202" s="55">
        <f t="shared" si="19"/>
        <v>2</v>
      </c>
      <c r="L202" s="212" t="s">
        <v>258</v>
      </c>
      <c r="M202" s="55">
        <f t="shared" si="20"/>
        <v>1</v>
      </c>
      <c r="N202" s="50" t="s">
        <v>386</v>
      </c>
      <c r="O202" s="50" t="s">
        <v>660</v>
      </c>
      <c r="P202" s="56" t="s">
        <v>53</v>
      </c>
      <c r="Q202" s="190">
        <v>196.08695652173913</v>
      </c>
      <c r="R202" s="190">
        <v>196.08695652173913</v>
      </c>
      <c r="S202" s="57">
        <f t="shared" si="23"/>
        <v>0</v>
      </c>
      <c r="T202" s="57"/>
      <c r="U202" s="57"/>
      <c r="V202" s="58">
        <f t="shared" si="21"/>
        <v>19.608695652173914</v>
      </c>
      <c r="W202" s="59">
        <f t="shared" si="22"/>
        <v>0</v>
      </c>
    </row>
    <row r="203" spans="1:23" hidden="1" x14ac:dyDescent="0.35">
      <c r="A203" s="60"/>
      <c r="B203" s="54">
        <v>201</v>
      </c>
      <c r="C203" s="65" t="s">
        <v>822</v>
      </c>
      <c r="D203" s="110">
        <v>136253</v>
      </c>
      <c r="E203" s="209" t="s">
        <v>945</v>
      </c>
      <c r="F203" s="111">
        <v>139434</v>
      </c>
      <c r="G203" s="212">
        <v>46239</v>
      </c>
      <c r="H203" s="212" t="s">
        <v>255</v>
      </c>
      <c r="I203" s="55">
        <f t="shared" si="18"/>
        <v>3</v>
      </c>
      <c r="J203" s="212">
        <v>46244</v>
      </c>
      <c r="K203" s="55">
        <f t="shared" si="19"/>
        <v>2</v>
      </c>
      <c r="L203" s="212" t="s">
        <v>258</v>
      </c>
      <c r="M203" s="55">
        <f t="shared" si="20"/>
        <v>1</v>
      </c>
      <c r="N203" s="50" t="s">
        <v>387</v>
      </c>
      <c r="O203" s="50" t="s">
        <v>691</v>
      </c>
      <c r="P203" s="56" t="s">
        <v>53</v>
      </c>
      <c r="Q203" s="190">
        <v>670.10869565217388</v>
      </c>
      <c r="R203" s="190">
        <v>670.10869565217388</v>
      </c>
      <c r="S203" s="57">
        <f t="shared" si="23"/>
        <v>0</v>
      </c>
      <c r="T203" s="57"/>
      <c r="U203" s="57"/>
      <c r="V203" s="58">
        <f t="shared" si="21"/>
        <v>67.010869565217391</v>
      </c>
      <c r="W203" s="59">
        <f t="shared" si="22"/>
        <v>0</v>
      </c>
    </row>
    <row r="204" spans="1:23" hidden="1" x14ac:dyDescent="0.35">
      <c r="A204" s="60"/>
      <c r="B204" s="54">
        <v>202</v>
      </c>
      <c r="C204" s="65" t="s">
        <v>822</v>
      </c>
      <c r="D204" s="110">
        <v>136295</v>
      </c>
      <c r="E204" s="209" t="s">
        <v>945</v>
      </c>
      <c r="F204" s="111">
        <v>139445</v>
      </c>
      <c r="G204" s="212">
        <v>46242</v>
      </c>
      <c r="H204" s="212" t="s">
        <v>252</v>
      </c>
      <c r="I204" s="55">
        <f t="shared" si="18"/>
        <v>3</v>
      </c>
      <c r="J204" s="212">
        <v>46247</v>
      </c>
      <c r="K204" s="55">
        <f t="shared" si="19"/>
        <v>2</v>
      </c>
      <c r="L204" s="212" t="s">
        <v>243</v>
      </c>
      <c r="M204" s="55">
        <f t="shared" si="20"/>
        <v>1</v>
      </c>
      <c r="N204" s="50" t="s">
        <v>293</v>
      </c>
      <c r="O204" s="50" t="s">
        <v>692</v>
      </c>
      <c r="P204" s="56" t="s">
        <v>53</v>
      </c>
      <c r="Q204" s="190">
        <v>2173.913043478261</v>
      </c>
      <c r="R204" s="190">
        <v>2173.913043478261</v>
      </c>
      <c r="S204" s="57">
        <f t="shared" si="23"/>
        <v>0</v>
      </c>
      <c r="T204" s="57"/>
      <c r="U204" s="57"/>
      <c r="V204" s="58">
        <f t="shared" si="21"/>
        <v>217.39130434782612</v>
      </c>
      <c r="W204" s="59">
        <f t="shared" si="22"/>
        <v>0</v>
      </c>
    </row>
    <row r="205" spans="1:23" hidden="1" x14ac:dyDescent="0.35">
      <c r="A205" s="60"/>
      <c r="B205" s="54">
        <v>203</v>
      </c>
      <c r="C205" s="65" t="s">
        <v>822</v>
      </c>
      <c r="D205" s="110">
        <v>136296</v>
      </c>
      <c r="E205" s="209" t="s">
        <v>945</v>
      </c>
      <c r="F205" s="111">
        <v>139441</v>
      </c>
      <c r="G205" s="212">
        <v>46242</v>
      </c>
      <c r="H205" s="212" t="s">
        <v>252</v>
      </c>
      <c r="I205" s="55">
        <f t="shared" si="18"/>
        <v>3</v>
      </c>
      <c r="J205" s="212">
        <v>46247</v>
      </c>
      <c r="K205" s="55">
        <f t="shared" si="19"/>
        <v>2</v>
      </c>
      <c r="L205" s="212" t="s">
        <v>243</v>
      </c>
      <c r="M205" s="55">
        <f t="shared" si="20"/>
        <v>1</v>
      </c>
      <c r="N205" s="50" t="s">
        <v>388</v>
      </c>
      <c r="O205" s="50" t="s">
        <v>693</v>
      </c>
      <c r="P205" s="56" t="s">
        <v>53</v>
      </c>
      <c r="Q205" s="190">
        <v>1086.9565217391305</v>
      </c>
      <c r="R205" s="190">
        <v>1086.9565217391305</v>
      </c>
      <c r="S205" s="57">
        <f t="shared" si="23"/>
        <v>0</v>
      </c>
      <c r="T205" s="57"/>
      <c r="U205" s="57"/>
      <c r="V205" s="58">
        <f t="shared" si="21"/>
        <v>108.69565217391306</v>
      </c>
      <c r="W205" s="59">
        <f t="shared" si="22"/>
        <v>0</v>
      </c>
    </row>
    <row r="206" spans="1:23" hidden="1" x14ac:dyDescent="0.35">
      <c r="A206" s="60"/>
      <c r="B206" s="54">
        <v>204</v>
      </c>
      <c r="C206" s="65" t="s">
        <v>822</v>
      </c>
      <c r="D206" s="110">
        <v>136297</v>
      </c>
      <c r="E206" s="209" t="s">
        <v>945</v>
      </c>
      <c r="F206" s="111">
        <v>139440</v>
      </c>
      <c r="G206" s="212">
        <v>46242</v>
      </c>
      <c r="H206" s="212" t="s">
        <v>252</v>
      </c>
      <c r="I206" s="55">
        <f t="shared" si="18"/>
        <v>3</v>
      </c>
      <c r="J206" s="212">
        <v>46247</v>
      </c>
      <c r="K206" s="55">
        <f t="shared" si="19"/>
        <v>2</v>
      </c>
      <c r="L206" s="212" t="s">
        <v>243</v>
      </c>
      <c r="M206" s="55">
        <f t="shared" si="20"/>
        <v>1</v>
      </c>
      <c r="N206" s="50" t="s">
        <v>389</v>
      </c>
      <c r="O206" s="50" t="s">
        <v>694</v>
      </c>
      <c r="P206" s="56" t="s">
        <v>53</v>
      </c>
      <c r="Q206" s="190">
        <v>652.17391304347825</v>
      </c>
      <c r="R206" s="190">
        <v>652.17391304347825</v>
      </c>
      <c r="S206" s="57">
        <f t="shared" si="23"/>
        <v>0</v>
      </c>
      <c r="T206" s="57"/>
      <c r="U206" s="57"/>
      <c r="V206" s="58">
        <f t="shared" si="21"/>
        <v>65.217391304347828</v>
      </c>
      <c r="W206" s="59">
        <f t="shared" si="22"/>
        <v>0</v>
      </c>
    </row>
    <row r="207" spans="1:23" hidden="1" x14ac:dyDescent="0.35">
      <c r="A207" s="60"/>
      <c r="B207" s="54">
        <v>205</v>
      </c>
      <c r="C207" s="65" t="s">
        <v>822</v>
      </c>
      <c r="D207" s="110">
        <v>136298</v>
      </c>
      <c r="E207" s="209" t="s">
        <v>945</v>
      </c>
      <c r="F207" s="111">
        <v>139438</v>
      </c>
      <c r="G207" s="212">
        <v>46242</v>
      </c>
      <c r="H207" s="212" t="s">
        <v>252</v>
      </c>
      <c r="I207" s="55">
        <f t="shared" si="18"/>
        <v>3</v>
      </c>
      <c r="J207" s="212">
        <v>46247</v>
      </c>
      <c r="K207" s="55">
        <f t="shared" si="19"/>
        <v>2</v>
      </c>
      <c r="L207" s="212" t="s">
        <v>243</v>
      </c>
      <c r="M207" s="55">
        <f t="shared" si="20"/>
        <v>1</v>
      </c>
      <c r="N207" s="50" t="s">
        <v>390</v>
      </c>
      <c r="O207" s="50" t="s">
        <v>639</v>
      </c>
      <c r="P207" s="56" t="s">
        <v>53</v>
      </c>
      <c r="Q207" s="190">
        <v>3369.5652173913045</v>
      </c>
      <c r="R207" s="190">
        <v>3369.5652173913045</v>
      </c>
      <c r="S207" s="57">
        <f t="shared" si="23"/>
        <v>0</v>
      </c>
      <c r="T207" s="57"/>
      <c r="U207" s="57"/>
      <c r="V207" s="58">
        <f t="shared" si="21"/>
        <v>336.95652173913049</v>
      </c>
      <c r="W207" s="59">
        <f t="shared" si="22"/>
        <v>0</v>
      </c>
    </row>
    <row r="208" spans="1:23" hidden="1" x14ac:dyDescent="0.35">
      <c r="A208" s="60"/>
      <c r="B208" s="54">
        <v>206</v>
      </c>
      <c r="C208" s="65" t="s">
        <v>822</v>
      </c>
      <c r="D208" s="110">
        <v>136299</v>
      </c>
      <c r="E208" s="209" t="s">
        <v>945</v>
      </c>
      <c r="F208" s="111">
        <v>139437</v>
      </c>
      <c r="G208" s="212">
        <v>46242</v>
      </c>
      <c r="H208" s="212" t="s">
        <v>252</v>
      </c>
      <c r="I208" s="55">
        <f t="shared" si="18"/>
        <v>3</v>
      </c>
      <c r="J208" s="212">
        <v>46247</v>
      </c>
      <c r="K208" s="55">
        <f t="shared" si="19"/>
        <v>2</v>
      </c>
      <c r="L208" s="212" t="s">
        <v>243</v>
      </c>
      <c r="M208" s="55">
        <f t="shared" si="20"/>
        <v>1</v>
      </c>
      <c r="N208" s="50" t="s">
        <v>391</v>
      </c>
      <c r="O208" s="50" t="s">
        <v>650</v>
      </c>
      <c r="P208" s="56" t="s">
        <v>53</v>
      </c>
      <c r="Q208" s="190">
        <v>534.78260869565213</v>
      </c>
      <c r="R208" s="190">
        <v>534.78260869565213</v>
      </c>
      <c r="S208" s="57">
        <f t="shared" si="23"/>
        <v>0</v>
      </c>
      <c r="T208" s="57"/>
      <c r="U208" s="57"/>
      <c r="V208" s="58">
        <f t="shared" si="21"/>
        <v>53.478260869565219</v>
      </c>
      <c r="W208" s="59">
        <f t="shared" si="22"/>
        <v>0</v>
      </c>
    </row>
    <row r="209" spans="1:23" hidden="1" x14ac:dyDescent="0.35">
      <c r="A209" s="60"/>
      <c r="B209" s="54">
        <v>207</v>
      </c>
      <c r="C209" s="65" t="s">
        <v>822</v>
      </c>
      <c r="D209" s="110">
        <v>136300</v>
      </c>
      <c r="E209" s="209" t="s">
        <v>945</v>
      </c>
      <c r="F209" s="111">
        <v>139436</v>
      </c>
      <c r="G209" s="212">
        <v>46242</v>
      </c>
      <c r="H209" s="212" t="s">
        <v>252</v>
      </c>
      <c r="I209" s="55">
        <f t="shared" si="18"/>
        <v>3</v>
      </c>
      <c r="J209" s="212">
        <v>46247</v>
      </c>
      <c r="K209" s="55">
        <f t="shared" si="19"/>
        <v>2</v>
      </c>
      <c r="L209" s="212" t="s">
        <v>243</v>
      </c>
      <c r="M209" s="55">
        <f t="shared" si="20"/>
        <v>1</v>
      </c>
      <c r="N209" s="66" t="s">
        <v>392</v>
      </c>
      <c r="O209" s="50" t="s">
        <v>695</v>
      </c>
      <c r="P209" s="56" t="s">
        <v>53</v>
      </c>
      <c r="Q209" s="190">
        <v>548.39782608695657</v>
      </c>
      <c r="R209" s="190">
        <v>548.39782608695657</v>
      </c>
      <c r="S209" s="57">
        <f t="shared" si="23"/>
        <v>0</v>
      </c>
      <c r="T209" s="57"/>
      <c r="U209" s="57"/>
      <c r="V209" s="58">
        <f t="shared" si="21"/>
        <v>54.839782608695657</v>
      </c>
      <c r="W209" s="59">
        <f t="shared" si="22"/>
        <v>0</v>
      </c>
    </row>
    <row r="210" spans="1:23" hidden="1" x14ac:dyDescent="0.35">
      <c r="A210" s="60"/>
      <c r="B210" s="54">
        <v>208</v>
      </c>
      <c r="C210" s="65" t="s">
        <v>822</v>
      </c>
      <c r="D210" s="110">
        <v>136301</v>
      </c>
      <c r="E210" s="209" t="s">
        <v>945</v>
      </c>
      <c r="F210" s="111">
        <v>139423</v>
      </c>
      <c r="G210" s="212">
        <v>46242</v>
      </c>
      <c r="H210" s="212" t="s">
        <v>252</v>
      </c>
      <c r="I210" s="55">
        <f t="shared" si="18"/>
        <v>3</v>
      </c>
      <c r="J210" s="212">
        <v>46247</v>
      </c>
      <c r="K210" s="55">
        <f t="shared" si="19"/>
        <v>2</v>
      </c>
      <c r="L210" s="212" t="s">
        <v>243</v>
      </c>
      <c r="M210" s="55">
        <f t="shared" si="20"/>
        <v>1</v>
      </c>
      <c r="N210" s="50" t="s">
        <v>393</v>
      </c>
      <c r="O210" s="50" t="s">
        <v>696</v>
      </c>
      <c r="P210" s="56" t="s">
        <v>53</v>
      </c>
      <c r="Q210" s="190">
        <v>1304.3478260869565</v>
      </c>
      <c r="R210" s="190">
        <v>1304.3478260869565</v>
      </c>
      <c r="S210" s="57">
        <f t="shared" si="23"/>
        <v>0</v>
      </c>
      <c r="T210" s="57"/>
      <c r="U210" s="57"/>
      <c r="V210" s="58">
        <f t="shared" si="21"/>
        <v>130.43478260869566</v>
      </c>
      <c r="W210" s="59">
        <f t="shared" si="22"/>
        <v>0</v>
      </c>
    </row>
    <row r="211" spans="1:23" hidden="1" x14ac:dyDescent="0.35">
      <c r="A211" s="60"/>
      <c r="B211" s="54">
        <v>209</v>
      </c>
      <c r="C211" s="65" t="s">
        <v>822</v>
      </c>
      <c r="D211" s="110">
        <v>136362</v>
      </c>
      <c r="E211" s="209" t="s">
        <v>945</v>
      </c>
      <c r="F211" s="111">
        <v>139426</v>
      </c>
      <c r="G211" s="212">
        <v>46239</v>
      </c>
      <c r="H211" s="212" t="s">
        <v>248</v>
      </c>
      <c r="I211" s="55">
        <f t="shared" si="18"/>
        <v>9</v>
      </c>
      <c r="J211" s="212">
        <v>46251</v>
      </c>
      <c r="K211" s="55">
        <f t="shared" si="19"/>
        <v>1</v>
      </c>
      <c r="L211" s="212" t="s">
        <v>264</v>
      </c>
      <c r="M211" s="55">
        <f t="shared" si="20"/>
        <v>8</v>
      </c>
      <c r="N211" s="50" t="s">
        <v>394</v>
      </c>
      <c r="O211" s="50" t="s">
        <v>697</v>
      </c>
      <c r="P211" s="56" t="s">
        <v>53</v>
      </c>
      <c r="Q211" s="190">
        <v>11722.826086956522</v>
      </c>
      <c r="R211" s="190">
        <v>11722.826086956522</v>
      </c>
      <c r="S211" s="57">
        <f t="shared" si="23"/>
        <v>0</v>
      </c>
      <c r="T211" s="57"/>
      <c r="U211" s="57"/>
      <c r="V211" s="58">
        <f t="shared" si="21"/>
        <v>1172.2826086956522</v>
      </c>
      <c r="W211" s="59">
        <f t="shared" si="22"/>
        <v>0</v>
      </c>
    </row>
    <row r="212" spans="1:23" hidden="1" x14ac:dyDescent="0.35">
      <c r="A212" s="60"/>
      <c r="B212" s="54">
        <v>210</v>
      </c>
      <c r="C212" s="65" t="s">
        <v>822</v>
      </c>
      <c r="D212" s="110">
        <v>136363</v>
      </c>
      <c r="E212" s="209" t="s">
        <v>945</v>
      </c>
      <c r="F212" s="111">
        <v>139431</v>
      </c>
      <c r="G212" s="212">
        <v>46239</v>
      </c>
      <c r="H212" s="212" t="s">
        <v>248</v>
      </c>
      <c r="I212" s="55">
        <f t="shared" si="18"/>
        <v>9</v>
      </c>
      <c r="J212" s="212">
        <v>46251</v>
      </c>
      <c r="K212" s="55">
        <f t="shared" si="19"/>
        <v>1</v>
      </c>
      <c r="L212" s="212" t="s">
        <v>248</v>
      </c>
      <c r="M212" s="55">
        <f t="shared" si="20"/>
        <v>1</v>
      </c>
      <c r="N212" s="50" t="s">
        <v>908</v>
      </c>
      <c r="O212" s="50" t="s">
        <v>672</v>
      </c>
      <c r="P212" s="56" t="s">
        <v>53</v>
      </c>
      <c r="Q212" s="190">
        <v>2320.7066999999997</v>
      </c>
      <c r="R212" s="190">
        <v>2320.7066999999997</v>
      </c>
      <c r="S212" s="57">
        <f t="shared" si="23"/>
        <v>0</v>
      </c>
      <c r="T212" s="57"/>
      <c r="U212" s="57"/>
      <c r="V212" s="58">
        <f t="shared" si="21"/>
        <v>232.07066999999998</v>
      </c>
      <c r="W212" s="59">
        <f t="shared" si="22"/>
        <v>0</v>
      </c>
    </row>
    <row r="213" spans="1:23" x14ac:dyDescent="0.35">
      <c r="A213" s="60"/>
      <c r="B213" s="54">
        <v>212</v>
      </c>
      <c r="C213" s="65" t="s">
        <v>822</v>
      </c>
      <c r="D213" s="110">
        <v>136272</v>
      </c>
      <c r="E213" s="209" t="s">
        <v>945</v>
      </c>
      <c r="F213" s="111">
        <v>139461</v>
      </c>
      <c r="G213" s="212">
        <v>46240</v>
      </c>
      <c r="H213" s="212" t="s">
        <v>254</v>
      </c>
      <c r="I213" s="11">
        <f t="shared" si="18"/>
        <v>4</v>
      </c>
      <c r="J213" s="212">
        <v>46245</v>
      </c>
      <c r="K213" s="11">
        <f t="shared" si="19"/>
        <v>1</v>
      </c>
      <c r="L213" s="212" t="s">
        <v>269</v>
      </c>
      <c r="M213" s="11">
        <f t="shared" si="20"/>
        <v>17</v>
      </c>
      <c r="N213" s="50" t="s">
        <v>395</v>
      </c>
      <c r="O213" s="50" t="s">
        <v>679</v>
      </c>
      <c r="P213" s="56" t="s">
        <v>53</v>
      </c>
      <c r="Q213" s="190">
        <v>89789.7</v>
      </c>
      <c r="R213" s="190">
        <v>64135.5</v>
      </c>
      <c r="S213" s="57">
        <f t="shared" si="23"/>
        <v>25654.199999999997</v>
      </c>
      <c r="T213" s="57"/>
      <c r="U213" s="57"/>
      <c r="V213" s="58">
        <f t="shared" si="21"/>
        <v>8978.9699999999993</v>
      </c>
      <c r="W213" s="59">
        <f t="shared" si="22"/>
        <v>0.2857142857142857</v>
      </c>
    </row>
    <row r="214" spans="1:23" x14ac:dyDescent="0.35">
      <c r="A214" s="60"/>
      <c r="B214" s="54">
        <v>213</v>
      </c>
      <c r="C214" s="65" t="s">
        <v>822</v>
      </c>
      <c r="D214" s="110">
        <v>136226</v>
      </c>
      <c r="E214" s="209" t="s">
        <v>945</v>
      </c>
      <c r="F214" s="111">
        <v>139450</v>
      </c>
      <c r="G214" s="212">
        <v>46240</v>
      </c>
      <c r="H214" s="212" t="s">
        <v>255</v>
      </c>
      <c r="I214" s="11">
        <f t="shared" si="18"/>
        <v>2</v>
      </c>
      <c r="J214" s="212">
        <v>46241</v>
      </c>
      <c r="K214" s="11">
        <f t="shared" si="19"/>
        <v>1</v>
      </c>
      <c r="L214" s="212" t="s">
        <v>258</v>
      </c>
      <c r="M214" s="11">
        <f t="shared" si="20"/>
        <v>2</v>
      </c>
      <c r="N214" s="50" t="s">
        <v>396</v>
      </c>
      <c r="O214" s="50" t="s">
        <v>698</v>
      </c>
      <c r="P214" s="56" t="s">
        <v>53</v>
      </c>
      <c r="Q214" s="190">
        <v>2274383.8663299</v>
      </c>
      <c r="R214" s="190">
        <v>1220190.9734079</v>
      </c>
      <c r="S214" s="57">
        <f t="shared" si="23"/>
        <v>1054192.892922</v>
      </c>
      <c r="T214" s="57"/>
      <c r="U214" s="57"/>
      <c r="V214" s="58">
        <f t="shared" si="21"/>
        <v>227438.38663299</v>
      </c>
      <c r="W214" s="59">
        <f t="shared" si="22"/>
        <v>0.46350702206796657</v>
      </c>
    </row>
    <row r="215" spans="1:23" hidden="1" x14ac:dyDescent="0.35">
      <c r="A215" s="60"/>
      <c r="B215" s="54">
        <v>214</v>
      </c>
      <c r="C215" s="65" t="s">
        <v>822</v>
      </c>
      <c r="D215" s="110">
        <v>136235</v>
      </c>
      <c r="E215" s="209" t="s">
        <v>945</v>
      </c>
      <c r="F215" s="111">
        <v>139455</v>
      </c>
      <c r="G215" s="212">
        <v>46240</v>
      </c>
      <c r="H215" s="212" t="s">
        <v>256</v>
      </c>
      <c r="I215" s="11">
        <f t="shared" si="18"/>
        <v>1</v>
      </c>
      <c r="J215" s="212">
        <v>46244</v>
      </c>
      <c r="K215" s="11">
        <f t="shared" si="19"/>
        <v>3</v>
      </c>
      <c r="L215" s="212" t="s">
        <v>258</v>
      </c>
      <c r="M215" s="11">
        <f t="shared" si="20"/>
        <v>1</v>
      </c>
      <c r="N215" s="50" t="s">
        <v>909</v>
      </c>
      <c r="O215" s="50" t="s">
        <v>699</v>
      </c>
      <c r="P215" s="56" t="s">
        <v>53</v>
      </c>
      <c r="Q215" s="190">
        <v>5148</v>
      </c>
      <c r="R215" s="190">
        <v>5148</v>
      </c>
      <c r="S215" s="57">
        <f t="shared" si="23"/>
        <v>0</v>
      </c>
      <c r="T215" s="57"/>
      <c r="U215" s="57"/>
      <c r="V215" s="58">
        <f t="shared" si="21"/>
        <v>514.80000000000007</v>
      </c>
      <c r="W215" s="59">
        <f t="shared" si="22"/>
        <v>0</v>
      </c>
    </row>
    <row r="216" spans="1:23" x14ac:dyDescent="0.35">
      <c r="A216" s="60"/>
      <c r="B216" s="54">
        <v>215</v>
      </c>
      <c r="C216" s="65" t="s">
        <v>822</v>
      </c>
      <c r="D216" s="110">
        <v>136236</v>
      </c>
      <c r="E216" s="209" t="s">
        <v>945</v>
      </c>
      <c r="F216" s="111">
        <v>139462</v>
      </c>
      <c r="G216" s="212">
        <v>46240</v>
      </c>
      <c r="H216" s="212" t="s">
        <v>256</v>
      </c>
      <c r="I216" s="11">
        <f t="shared" si="18"/>
        <v>1</v>
      </c>
      <c r="J216" s="212">
        <v>46244</v>
      </c>
      <c r="K216" s="11">
        <f t="shared" si="19"/>
        <v>3</v>
      </c>
      <c r="L216" s="212" t="s">
        <v>258</v>
      </c>
      <c r="M216" s="11">
        <f t="shared" si="20"/>
        <v>1</v>
      </c>
      <c r="N216" s="50" t="s">
        <v>910</v>
      </c>
      <c r="O216" s="50" t="s">
        <v>699</v>
      </c>
      <c r="P216" s="56" t="s">
        <v>53</v>
      </c>
      <c r="Q216" s="190">
        <v>20483.78378378378</v>
      </c>
      <c r="R216" s="190">
        <v>20463.3</v>
      </c>
      <c r="S216" s="57">
        <f t="shared" si="23"/>
        <v>20.483783783780382</v>
      </c>
      <c r="T216" s="57"/>
      <c r="U216" s="57"/>
      <c r="V216" s="58">
        <f t="shared" si="21"/>
        <v>2048.3783783783779</v>
      </c>
      <c r="W216" s="59">
        <f t="shared" si="22"/>
        <v>9.9999999999983414E-4</v>
      </c>
    </row>
    <row r="217" spans="1:23" hidden="1" x14ac:dyDescent="0.35">
      <c r="A217" s="60"/>
      <c r="B217" s="54">
        <v>216</v>
      </c>
      <c r="C217" s="65" t="s">
        <v>822</v>
      </c>
      <c r="D217" s="110">
        <v>136215</v>
      </c>
      <c r="E217" s="209" t="s">
        <v>945</v>
      </c>
      <c r="F217" s="111">
        <v>139457</v>
      </c>
      <c r="G217" s="212">
        <v>46240</v>
      </c>
      <c r="H217" s="212" t="s">
        <v>256</v>
      </c>
      <c r="I217" s="11">
        <f t="shared" si="18"/>
        <v>1</v>
      </c>
      <c r="J217" s="212">
        <v>46240</v>
      </c>
      <c r="K217" s="11">
        <f t="shared" si="19"/>
        <v>1</v>
      </c>
      <c r="L217" s="212" t="s">
        <v>256</v>
      </c>
      <c r="M217" s="11">
        <f t="shared" si="20"/>
        <v>1</v>
      </c>
      <c r="N217" s="50" t="s">
        <v>911</v>
      </c>
      <c r="O217" s="50" t="s">
        <v>700</v>
      </c>
      <c r="P217" s="56" t="s">
        <v>53</v>
      </c>
      <c r="Q217" s="190">
        <v>3195.6521739130435</v>
      </c>
      <c r="R217" s="190">
        <v>3195.6521739130435</v>
      </c>
      <c r="S217" s="57">
        <f t="shared" si="23"/>
        <v>0</v>
      </c>
      <c r="T217" s="57"/>
      <c r="U217" s="57"/>
      <c r="V217" s="58">
        <f t="shared" si="21"/>
        <v>319.56521739130437</v>
      </c>
      <c r="W217" s="59">
        <f t="shared" si="22"/>
        <v>0</v>
      </c>
    </row>
    <row r="218" spans="1:23" hidden="1" x14ac:dyDescent="0.35">
      <c r="A218" s="60"/>
      <c r="B218" s="54">
        <v>217</v>
      </c>
      <c r="C218" s="65" t="s">
        <v>822</v>
      </c>
      <c r="D218" s="110">
        <v>136216</v>
      </c>
      <c r="E218" s="209" t="s">
        <v>945</v>
      </c>
      <c r="F218" s="111">
        <v>139451</v>
      </c>
      <c r="G218" s="212">
        <v>46240</v>
      </c>
      <c r="H218" s="212" t="s">
        <v>256</v>
      </c>
      <c r="I218" s="11">
        <f t="shared" si="18"/>
        <v>1</v>
      </c>
      <c r="J218" s="212">
        <v>46241</v>
      </c>
      <c r="K218" s="11">
        <f t="shared" si="19"/>
        <v>2</v>
      </c>
      <c r="L218" s="212" t="s">
        <v>255</v>
      </c>
      <c r="M218" s="11">
        <f t="shared" si="20"/>
        <v>1</v>
      </c>
      <c r="N218" s="50" t="s">
        <v>397</v>
      </c>
      <c r="O218" s="50" t="s">
        <v>701</v>
      </c>
      <c r="P218" s="56" t="s">
        <v>53</v>
      </c>
      <c r="Q218" s="190">
        <v>2381.0041304347824</v>
      </c>
      <c r="R218" s="190">
        <v>2381.0041304347824</v>
      </c>
      <c r="S218" s="57">
        <f t="shared" si="23"/>
        <v>0</v>
      </c>
      <c r="T218" s="57"/>
      <c r="U218" s="57"/>
      <c r="V218" s="58">
        <f t="shared" si="21"/>
        <v>238.10041304347826</v>
      </c>
      <c r="W218" s="59">
        <f t="shared" si="22"/>
        <v>0</v>
      </c>
    </row>
    <row r="219" spans="1:23" hidden="1" x14ac:dyDescent="0.35">
      <c r="A219" s="60"/>
      <c r="B219" s="54">
        <v>218</v>
      </c>
      <c r="C219" s="65" t="s">
        <v>822</v>
      </c>
      <c r="D219" s="110">
        <v>136217</v>
      </c>
      <c r="E219" s="209" t="s">
        <v>946</v>
      </c>
      <c r="F219" s="111">
        <v>139463</v>
      </c>
      <c r="G219" s="212">
        <v>46240</v>
      </c>
      <c r="H219" s="212" t="s">
        <v>256</v>
      </c>
      <c r="I219" s="11">
        <f t="shared" si="18"/>
        <v>1</v>
      </c>
      <c r="J219" s="212">
        <v>46241</v>
      </c>
      <c r="K219" s="11">
        <f t="shared" si="19"/>
        <v>2</v>
      </c>
      <c r="L219" s="212" t="s">
        <v>255</v>
      </c>
      <c r="M219" s="11">
        <f t="shared" si="20"/>
        <v>1</v>
      </c>
      <c r="N219" s="50" t="s">
        <v>398</v>
      </c>
      <c r="O219" s="50" t="s">
        <v>653</v>
      </c>
      <c r="P219" s="56" t="s">
        <v>53</v>
      </c>
      <c r="Q219" s="190">
        <v>75</v>
      </c>
      <c r="R219" s="190">
        <v>75</v>
      </c>
      <c r="S219" s="57">
        <f t="shared" si="23"/>
        <v>0</v>
      </c>
      <c r="T219" s="57"/>
      <c r="U219" s="57"/>
      <c r="V219" s="58">
        <f t="shared" si="21"/>
        <v>7.5</v>
      </c>
      <c r="W219" s="59">
        <f t="shared" si="22"/>
        <v>0</v>
      </c>
    </row>
    <row r="220" spans="1:23" hidden="1" x14ac:dyDescent="0.35">
      <c r="A220" s="60"/>
      <c r="B220" s="54">
        <v>219</v>
      </c>
      <c r="C220" s="65" t="s">
        <v>822</v>
      </c>
      <c r="D220" s="110">
        <v>136218</v>
      </c>
      <c r="E220" s="209" t="s">
        <v>945</v>
      </c>
      <c r="F220" s="111">
        <v>139464</v>
      </c>
      <c r="G220" s="212">
        <v>46240</v>
      </c>
      <c r="H220" s="212" t="s">
        <v>256</v>
      </c>
      <c r="I220" s="11">
        <f t="shared" si="18"/>
        <v>1</v>
      </c>
      <c r="J220" s="212">
        <v>46241</v>
      </c>
      <c r="K220" s="11">
        <f t="shared" si="19"/>
        <v>2</v>
      </c>
      <c r="L220" s="212" t="s">
        <v>255</v>
      </c>
      <c r="M220" s="11">
        <f t="shared" si="20"/>
        <v>1</v>
      </c>
      <c r="N220" s="50" t="s">
        <v>399</v>
      </c>
      <c r="O220" s="50" t="s">
        <v>605</v>
      </c>
      <c r="P220" s="56" t="s">
        <v>53</v>
      </c>
      <c r="Q220" s="190">
        <v>52078.630434782608</v>
      </c>
      <c r="R220" s="190">
        <v>52078.630434782608</v>
      </c>
      <c r="S220" s="57">
        <f t="shared" si="23"/>
        <v>0</v>
      </c>
      <c r="T220" s="57"/>
      <c r="U220" s="57"/>
      <c r="V220" s="58">
        <f t="shared" si="21"/>
        <v>5207.8630434782608</v>
      </c>
      <c r="W220" s="59">
        <f t="shared" si="22"/>
        <v>0</v>
      </c>
    </row>
    <row r="221" spans="1:23" hidden="1" x14ac:dyDescent="0.35">
      <c r="A221" s="60"/>
      <c r="B221" s="54">
        <v>220</v>
      </c>
      <c r="C221" s="65" t="s">
        <v>822</v>
      </c>
      <c r="D221" s="110">
        <v>136227</v>
      </c>
      <c r="E221" s="209" t="s">
        <v>945</v>
      </c>
      <c r="F221" s="111">
        <v>139448</v>
      </c>
      <c r="G221" s="212">
        <v>46240</v>
      </c>
      <c r="H221" s="212" t="s">
        <v>255</v>
      </c>
      <c r="I221" s="11">
        <f t="shared" si="18"/>
        <v>2</v>
      </c>
      <c r="J221" s="212">
        <v>46241</v>
      </c>
      <c r="K221" s="11">
        <f t="shared" si="19"/>
        <v>1</v>
      </c>
      <c r="L221" s="212" t="s">
        <v>255</v>
      </c>
      <c r="M221" s="11">
        <f t="shared" si="20"/>
        <v>1</v>
      </c>
      <c r="N221" s="50" t="s">
        <v>400</v>
      </c>
      <c r="O221" s="50" t="s">
        <v>702</v>
      </c>
      <c r="P221" s="56" t="s">
        <v>53</v>
      </c>
      <c r="Q221" s="190">
        <v>2400</v>
      </c>
      <c r="R221" s="190">
        <v>2400</v>
      </c>
      <c r="S221" s="57">
        <f t="shared" si="23"/>
        <v>0</v>
      </c>
      <c r="T221" s="57"/>
      <c r="U221" s="57"/>
      <c r="V221" s="58">
        <f t="shared" si="21"/>
        <v>240</v>
      </c>
      <c r="W221" s="59">
        <f t="shared" si="22"/>
        <v>0</v>
      </c>
    </row>
    <row r="222" spans="1:23" hidden="1" x14ac:dyDescent="0.35">
      <c r="A222" s="60"/>
      <c r="B222" s="54">
        <v>221</v>
      </c>
      <c r="C222" s="65" t="s">
        <v>822</v>
      </c>
      <c r="D222" s="110">
        <v>136245</v>
      </c>
      <c r="E222" s="209" t="s">
        <v>945</v>
      </c>
      <c r="F222" s="111">
        <v>139466</v>
      </c>
      <c r="G222" s="212">
        <v>46240</v>
      </c>
      <c r="H222" s="212" t="s">
        <v>258</v>
      </c>
      <c r="I222" s="11">
        <f t="shared" si="18"/>
        <v>3</v>
      </c>
      <c r="J222" s="212">
        <v>46244</v>
      </c>
      <c r="K222" s="11">
        <f t="shared" si="19"/>
        <v>1</v>
      </c>
      <c r="L222" s="212" t="s">
        <v>258</v>
      </c>
      <c r="M222" s="11">
        <f t="shared" si="20"/>
        <v>1</v>
      </c>
      <c r="N222" s="50" t="s">
        <v>912</v>
      </c>
      <c r="O222" s="50" t="s">
        <v>623</v>
      </c>
      <c r="P222" s="56" t="s">
        <v>53</v>
      </c>
      <c r="Q222" s="190">
        <v>35.869565217391305</v>
      </c>
      <c r="R222" s="190">
        <v>35.869565217391305</v>
      </c>
      <c r="S222" s="57">
        <f t="shared" si="23"/>
        <v>0</v>
      </c>
      <c r="T222" s="57"/>
      <c r="U222" s="57"/>
      <c r="V222" s="58">
        <f t="shared" si="21"/>
        <v>3.5869565217391308</v>
      </c>
      <c r="W222" s="59">
        <f t="shared" si="22"/>
        <v>0</v>
      </c>
    </row>
    <row r="223" spans="1:23" hidden="1" x14ac:dyDescent="0.35">
      <c r="A223" s="60"/>
      <c r="B223" s="54">
        <v>222</v>
      </c>
      <c r="C223" s="65" t="s">
        <v>822</v>
      </c>
      <c r="D223" s="110">
        <v>136246</v>
      </c>
      <c r="E223" s="209" t="s">
        <v>945</v>
      </c>
      <c r="F223" s="111">
        <v>139467</v>
      </c>
      <c r="G223" s="212">
        <v>46240</v>
      </c>
      <c r="H223" s="212" t="s">
        <v>258</v>
      </c>
      <c r="I223" s="11">
        <f t="shared" si="18"/>
        <v>3</v>
      </c>
      <c r="J223" s="212">
        <v>46244</v>
      </c>
      <c r="K223" s="11">
        <f t="shared" si="19"/>
        <v>1</v>
      </c>
      <c r="L223" s="212" t="s">
        <v>258</v>
      </c>
      <c r="M223" s="11">
        <f t="shared" si="20"/>
        <v>1</v>
      </c>
      <c r="N223" s="50" t="s">
        <v>913</v>
      </c>
      <c r="O223" s="50" t="s">
        <v>703</v>
      </c>
      <c r="P223" s="56" t="s">
        <v>53</v>
      </c>
      <c r="Q223" s="190">
        <v>391.30434782608694</v>
      </c>
      <c r="R223" s="190">
        <v>391.30434782608694</v>
      </c>
      <c r="S223" s="57">
        <f t="shared" si="23"/>
        <v>0</v>
      </c>
      <c r="T223" s="57"/>
      <c r="U223" s="57"/>
      <c r="V223" s="58">
        <f t="shared" si="21"/>
        <v>39.130434782608695</v>
      </c>
      <c r="W223" s="59">
        <f t="shared" si="22"/>
        <v>0</v>
      </c>
    </row>
    <row r="224" spans="1:23" hidden="1" x14ac:dyDescent="0.35">
      <c r="A224" s="60"/>
      <c r="B224" s="54">
        <v>223</v>
      </c>
      <c r="C224" s="65" t="s">
        <v>822</v>
      </c>
      <c r="D224" s="110">
        <v>136252</v>
      </c>
      <c r="E224" s="209" t="s">
        <v>945</v>
      </c>
      <c r="F224" s="111">
        <v>139452</v>
      </c>
      <c r="G224" s="212">
        <v>46240</v>
      </c>
      <c r="H224" s="212" t="s">
        <v>255</v>
      </c>
      <c r="I224" s="11">
        <f t="shared" si="18"/>
        <v>2</v>
      </c>
      <c r="J224" s="212">
        <v>46244</v>
      </c>
      <c r="K224" s="11">
        <f t="shared" si="19"/>
        <v>2</v>
      </c>
      <c r="L224" s="212" t="s">
        <v>258</v>
      </c>
      <c r="M224" s="11">
        <f t="shared" si="20"/>
        <v>1</v>
      </c>
      <c r="N224" s="50" t="s">
        <v>401</v>
      </c>
      <c r="O224" s="50" t="s">
        <v>704</v>
      </c>
      <c r="P224" s="56" t="s">
        <v>53</v>
      </c>
      <c r="Q224" s="190">
        <v>1177</v>
      </c>
      <c r="R224" s="190">
        <v>1177</v>
      </c>
      <c r="S224" s="57">
        <f t="shared" si="23"/>
        <v>0</v>
      </c>
      <c r="T224" s="57"/>
      <c r="U224" s="57"/>
      <c r="V224" s="58">
        <f t="shared" si="21"/>
        <v>117.7</v>
      </c>
      <c r="W224" s="59">
        <f t="shared" si="22"/>
        <v>0</v>
      </c>
    </row>
    <row r="225" spans="1:23" hidden="1" x14ac:dyDescent="0.35">
      <c r="A225" s="60"/>
      <c r="B225" s="54">
        <v>224</v>
      </c>
      <c r="C225" s="65" t="s">
        <v>822</v>
      </c>
      <c r="D225" s="110">
        <v>136261</v>
      </c>
      <c r="E225" s="209" t="s">
        <v>945</v>
      </c>
      <c r="F225" s="111">
        <v>139465</v>
      </c>
      <c r="G225" s="212">
        <v>46240</v>
      </c>
      <c r="H225" s="212" t="s">
        <v>255</v>
      </c>
      <c r="I225" s="11">
        <f t="shared" si="18"/>
        <v>2</v>
      </c>
      <c r="J225" s="212">
        <v>46244</v>
      </c>
      <c r="K225" s="11">
        <f t="shared" si="19"/>
        <v>2</v>
      </c>
      <c r="L225" s="212" t="s">
        <v>258</v>
      </c>
      <c r="M225" s="11">
        <f t="shared" si="20"/>
        <v>1</v>
      </c>
      <c r="N225" s="66" t="s">
        <v>402</v>
      </c>
      <c r="O225" s="50" t="s">
        <v>612</v>
      </c>
      <c r="P225" s="56" t="s">
        <v>53</v>
      </c>
      <c r="Q225" s="190">
        <v>2530.2079434782609</v>
      </c>
      <c r="R225" s="190">
        <v>2530.2079434782609</v>
      </c>
      <c r="S225" s="57">
        <f t="shared" si="23"/>
        <v>0</v>
      </c>
      <c r="T225" s="57"/>
      <c r="U225" s="57"/>
      <c r="V225" s="58">
        <f t="shared" si="21"/>
        <v>253.0207943478261</v>
      </c>
      <c r="W225" s="59">
        <f t="shared" si="22"/>
        <v>0</v>
      </c>
    </row>
    <row r="226" spans="1:23" hidden="1" x14ac:dyDescent="0.35">
      <c r="A226" s="60"/>
      <c r="B226" s="54">
        <v>225</v>
      </c>
      <c r="C226" s="65" t="s">
        <v>822</v>
      </c>
      <c r="D226" s="110">
        <v>136307</v>
      </c>
      <c r="E226" s="209" t="s">
        <v>945</v>
      </c>
      <c r="F226" s="111">
        <v>139454</v>
      </c>
      <c r="G226" s="212">
        <v>46240</v>
      </c>
      <c r="H226" s="212" t="s">
        <v>252</v>
      </c>
      <c r="I226" s="11">
        <f t="shared" si="18"/>
        <v>5</v>
      </c>
      <c r="J226" s="212">
        <v>46247</v>
      </c>
      <c r="K226" s="11">
        <f t="shared" si="19"/>
        <v>2</v>
      </c>
      <c r="L226" s="212" t="s">
        <v>243</v>
      </c>
      <c r="M226" s="11">
        <f t="shared" si="20"/>
        <v>1</v>
      </c>
      <c r="N226" s="50" t="s">
        <v>403</v>
      </c>
      <c r="O226" s="50" t="s">
        <v>628</v>
      </c>
      <c r="P226" s="56" t="s">
        <v>53</v>
      </c>
      <c r="Q226" s="190">
        <v>1217.6139130434783</v>
      </c>
      <c r="R226" s="190">
        <v>1217.6139130434783</v>
      </c>
      <c r="S226" s="57">
        <f t="shared" si="23"/>
        <v>0</v>
      </c>
      <c r="T226" s="57"/>
      <c r="U226" s="57"/>
      <c r="V226" s="58">
        <f t="shared" si="21"/>
        <v>121.76139130434784</v>
      </c>
      <c r="W226" s="59">
        <f t="shared" si="22"/>
        <v>0</v>
      </c>
    </row>
    <row r="227" spans="1:23" hidden="1" x14ac:dyDescent="0.35">
      <c r="A227" s="60"/>
      <c r="B227" s="54">
        <v>226</v>
      </c>
      <c r="C227" s="65" t="s">
        <v>822</v>
      </c>
      <c r="D227" s="110">
        <v>136308</v>
      </c>
      <c r="E227" s="209" t="s">
        <v>945</v>
      </c>
      <c r="F227" s="111">
        <v>139453</v>
      </c>
      <c r="G227" s="212">
        <v>46240</v>
      </c>
      <c r="H227" s="212" t="s">
        <v>252</v>
      </c>
      <c r="I227" s="11">
        <f t="shared" si="18"/>
        <v>5</v>
      </c>
      <c r="J227" s="212">
        <v>46247</v>
      </c>
      <c r="K227" s="11">
        <f t="shared" si="19"/>
        <v>2</v>
      </c>
      <c r="L227" s="212" t="s">
        <v>243</v>
      </c>
      <c r="M227" s="11">
        <f t="shared" si="20"/>
        <v>1</v>
      </c>
      <c r="N227" s="50" t="s">
        <v>404</v>
      </c>
      <c r="O227" s="50" t="s">
        <v>705</v>
      </c>
      <c r="P227" s="56" t="s">
        <v>53</v>
      </c>
      <c r="Q227" s="190">
        <v>130.43478260869566</v>
      </c>
      <c r="R227" s="190">
        <v>130.43478260869566</v>
      </c>
      <c r="S227" s="57">
        <f t="shared" si="23"/>
        <v>0</v>
      </c>
      <c r="T227" s="57"/>
      <c r="U227" s="57"/>
      <c r="V227" s="58">
        <f t="shared" si="21"/>
        <v>13.043478260869566</v>
      </c>
      <c r="W227" s="59">
        <f t="shared" si="22"/>
        <v>0</v>
      </c>
    </row>
    <row r="228" spans="1:23" hidden="1" x14ac:dyDescent="0.35">
      <c r="A228" s="60"/>
      <c r="B228" s="54">
        <v>227</v>
      </c>
      <c r="C228" s="65" t="s">
        <v>822</v>
      </c>
      <c r="D228" s="110">
        <v>136463</v>
      </c>
      <c r="E228" s="209" t="s">
        <v>946</v>
      </c>
      <c r="F228" s="111">
        <v>139449</v>
      </c>
      <c r="G228" s="212">
        <v>46240</v>
      </c>
      <c r="H228" s="212" t="s">
        <v>259</v>
      </c>
      <c r="I228" s="11">
        <f t="shared" si="18"/>
        <v>7</v>
      </c>
      <c r="J228" s="212">
        <v>46258</v>
      </c>
      <c r="K228" s="11">
        <f t="shared" si="19"/>
        <v>7</v>
      </c>
      <c r="L228" s="212" t="s">
        <v>257</v>
      </c>
      <c r="M228" s="11">
        <f t="shared" si="20"/>
        <v>1</v>
      </c>
      <c r="N228" s="50" t="s">
        <v>405</v>
      </c>
      <c r="O228" s="50" t="s">
        <v>615</v>
      </c>
      <c r="P228" s="56" t="s">
        <v>53</v>
      </c>
      <c r="Q228" s="190">
        <v>508.69565217391306</v>
      </c>
      <c r="R228" s="190">
        <v>508.69565217391306</v>
      </c>
      <c r="S228" s="57">
        <f t="shared" si="23"/>
        <v>0</v>
      </c>
      <c r="T228" s="57"/>
      <c r="U228" s="57"/>
      <c r="V228" s="58">
        <f t="shared" si="21"/>
        <v>50.869565217391312</v>
      </c>
      <c r="W228" s="59">
        <f t="shared" si="22"/>
        <v>0</v>
      </c>
    </row>
    <row r="229" spans="1:23" hidden="1" x14ac:dyDescent="0.35">
      <c r="A229" s="60"/>
      <c r="B229" s="54">
        <v>228</v>
      </c>
      <c r="C229" s="65" t="s">
        <v>822</v>
      </c>
      <c r="D229" s="110">
        <v>136507</v>
      </c>
      <c r="E229" s="209" t="s">
        <v>945</v>
      </c>
      <c r="F229" s="111">
        <v>139456</v>
      </c>
      <c r="G229" s="212">
        <v>46240</v>
      </c>
      <c r="H229" s="212" t="s">
        <v>258</v>
      </c>
      <c r="I229" s="11">
        <f t="shared" si="18"/>
        <v>3</v>
      </c>
      <c r="J229" s="212">
        <v>46251</v>
      </c>
      <c r="K229" s="11">
        <f t="shared" si="19"/>
        <v>6</v>
      </c>
      <c r="L229" s="212" t="s">
        <v>265</v>
      </c>
      <c r="M229" s="11">
        <f t="shared" si="20"/>
        <v>9</v>
      </c>
      <c r="N229" s="66" t="s">
        <v>406</v>
      </c>
      <c r="O229" s="50" t="s">
        <v>610</v>
      </c>
      <c r="P229" s="56" t="s">
        <v>53</v>
      </c>
      <c r="Q229" s="190">
        <v>2943.8407608695652</v>
      </c>
      <c r="R229" s="190">
        <v>2943.8407608695652</v>
      </c>
      <c r="S229" s="57">
        <f t="shared" si="23"/>
        <v>0</v>
      </c>
      <c r="T229" s="57"/>
      <c r="U229" s="57"/>
      <c r="V229" s="58">
        <f t="shared" si="21"/>
        <v>294.38407608695655</v>
      </c>
      <c r="W229" s="59">
        <f t="shared" si="22"/>
        <v>0</v>
      </c>
    </row>
    <row r="230" spans="1:23" x14ac:dyDescent="0.35">
      <c r="A230" s="60"/>
      <c r="B230" s="54">
        <v>229</v>
      </c>
      <c r="C230" s="65" t="s">
        <v>822</v>
      </c>
      <c r="D230" s="110">
        <v>136316</v>
      </c>
      <c r="E230" s="209" t="s">
        <v>945</v>
      </c>
      <c r="F230" s="111">
        <v>139478</v>
      </c>
      <c r="G230" s="212">
        <v>46241</v>
      </c>
      <c r="H230" s="212" t="s">
        <v>254</v>
      </c>
      <c r="I230" s="11">
        <f t="shared" si="18"/>
        <v>3</v>
      </c>
      <c r="J230" s="212">
        <v>46247</v>
      </c>
      <c r="K230" s="11">
        <f t="shared" si="19"/>
        <v>3</v>
      </c>
      <c r="L230" s="212" t="s">
        <v>243</v>
      </c>
      <c r="M230" s="11">
        <f t="shared" si="20"/>
        <v>1</v>
      </c>
      <c r="N230" s="50" t="s">
        <v>407</v>
      </c>
      <c r="O230" s="50" t="s">
        <v>706</v>
      </c>
      <c r="P230" s="56" t="s">
        <v>53</v>
      </c>
      <c r="Q230" s="190">
        <v>563.40123695652176</v>
      </c>
      <c r="R230" s="190">
        <v>524.09418695652164</v>
      </c>
      <c r="S230" s="57">
        <f t="shared" si="23"/>
        <v>39.307050000000118</v>
      </c>
      <c r="T230" s="57"/>
      <c r="U230" s="57"/>
      <c r="V230" s="58">
        <f t="shared" si="21"/>
        <v>56.340123695652181</v>
      </c>
      <c r="W230" s="59">
        <f t="shared" si="22"/>
        <v>6.976741870915254E-2</v>
      </c>
    </row>
    <row r="231" spans="1:23" hidden="1" x14ac:dyDescent="0.35">
      <c r="A231" s="60"/>
      <c r="B231" s="54">
        <v>230</v>
      </c>
      <c r="C231" s="65" t="s">
        <v>822</v>
      </c>
      <c r="D231" s="110">
        <v>136222</v>
      </c>
      <c r="E231" s="209" t="s">
        <v>946</v>
      </c>
      <c r="F231" s="111">
        <v>139469</v>
      </c>
      <c r="G231" s="212">
        <v>46241</v>
      </c>
      <c r="H231" s="212" t="s">
        <v>255</v>
      </c>
      <c r="I231" s="11">
        <f t="shared" si="18"/>
        <v>1</v>
      </c>
      <c r="J231" s="212">
        <v>46241</v>
      </c>
      <c r="K231" s="11">
        <f t="shared" si="19"/>
        <v>1</v>
      </c>
      <c r="L231" s="212" t="s">
        <v>255</v>
      </c>
      <c r="M231" s="11">
        <f t="shared" si="20"/>
        <v>1</v>
      </c>
      <c r="N231" s="50" t="s">
        <v>408</v>
      </c>
      <c r="O231" s="50" t="s">
        <v>707</v>
      </c>
      <c r="P231" s="56" t="s">
        <v>53</v>
      </c>
      <c r="Q231" s="190">
        <v>335.50724130434782</v>
      </c>
      <c r="R231" s="190">
        <v>335.50724130434782</v>
      </c>
      <c r="S231" s="57">
        <f t="shared" si="23"/>
        <v>0</v>
      </c>
      <c r="T231" s="57"/>
      <c r="U231" s="57"/>
      <c r="V231" s="58">
        <f t="shared" si="21"/>
        <v>33.55072413043478</v>
      </c>
      <c r="W231" s="59">
        <f t="shared" si="22"/>
        <v>0</v>
      </c>
    </row>
    <row r="232" spans="1:23" hidden="1" x14ac:dyDescent="0.35">
      <c r="A232" s="60"/>
      <c r="B232" s="54">
        <v>231</v>
      </c>
      <c r="C232" s="65" t="s">
        <v>822</v>
      </c>
      <c r="D232" s="110">
        <v>136223</v>
      </c>
      <c r="E232" s="209" t="s">
        <v>946</v>
      </c>
      <c r="F232" s="111">
        <v>139470</v>
      </c>
      <c r="G232" s="212">
        <v>46241</v>
      </c>
      <c r="H232" s="212" t="s">
        <v>255</v>
      </c>
      <c r="I232" s="11">
        <f t="shared" si="18"/>
        <v>1</v>
      </c>
      <c r="J232" s="212">
        <v>46241</v>
      </c>
      <c r="K232" s="11">
        <f t="shared" si="19"/>
        <v>1</v>
      </c>
      <c r="L232" s="212" t="s">
        <v>255</v>
      </c>
      <c r="M232" s="11">
        <f t="shared" si="20"/>
        <v>1</v>
      </c>
      <c r="N232" s="50" t="s">
        <v>409</v>
      </c>
      <c r="O232" s="50" t="s">
        <v>708</v>
      </c>
      <c r="P232" s="56" t="s">
        <v>53</v>
      </c>
      <c r="Q232" s="190">
        <v>12.5</v>
      </c>
      <c r="R232" s="190">
        <v>12.5</v>
      </c>
      <c r="S232" s="57">
        <f t="shared" si="23"/>
        <v>0</v>
      </c>
      <c r="T232" s="57"/>
      <c r="U232" s="57"/>
      <c r="V232" s="58">
        <f t="shared" si="21"/>
        <v>1.25</v>
      </c>
      <c r="W232" s="59">
        <f t="shared" si="22"/>
        <v>0</v>
      </c>
    </row>
    <row r="233" spans="1:23" hidden="1" x14ac:dyDescent="0.35">
      <c r="A233" s="60"/>
      <c r="B233" s="54">
        <v>232</v>
      </c>
      <c r="C233" s="65" t="s">
        <v>822</v>
      </c>
      <c r="D233" s="110">
        <v>136248</v>
      </c>
      <c r="E233" s="209" t="s">
        <v>945</v>
      </c>
      <c r="F233" s="111">
        <v>139486</v>
      </c>
      <c r="G233" s="212">
        <v>46241</v>
      </c>
      <c r="H233" s="212" t="s">
        <v>255</v>
      </c>
      <c r="I233" s="11">
        <f t="shared" si="18"/>
        <v>1</v>
      </c>
      <c r="J233" s="212">
        <v>46244</v>
      </c>
      <c r="K233" s="11">
        <f t="shared" si="19"/>
        <v>2</v>
      </c>
      <c r="L233" s="212" t="s">
        <v>258</v>
      </c>
      <c r="M233" s="11">
        <f t="shared" si="20"/>
        <v>1</v>
      </c>
      <c r="N233" s="66" t="s">
        <v>410</v>
      </c>
      <c r="O233" s="50" t="s">
        <v>709</v>
      </c>
      <c r="P233" s="56" t="s">
        <v>53</v>
      </c>
      <c r="Q233" s="190">
        <v>309.6521739130435</v>
      </c>
      <c r="R233" s="190">
        <v>309.6521739130435</v>
      </c>
      <c r="S233" s="57">
        <f t="shared" si="23"/>
        <v>0</v>
      </c>
      <c r="T233" s="57"/>
      <c r="U233" s="57"/>
      <c r="V233" s="58">
        <f t="shared" si="21"/>
        <v>30.96521739130435</v>
      </c>
      <c r="W233" s="59">
        <f t="shared" si="22"/>
        <v>0</v>
      </c>
    </row>
    <row r="234" spans="1:23" hidden="1" x14ac:dyDescent="0.35">
      <c r="A234" s="60"/>
      <c r="B234" s="54">
        <v>233</v>
      </c>
      <c r="C234" s="65" t="s">
        <v>822</v>
      </c>
      <c r="D234" s="110">
        <v>136249</v>
      </c>
      <c r="E234" s="209" t="s">
        <v>945</v>
      </c>
      <c r="F234" s="111">
        <v>139479</v>
      </c>
      <c r="G234" s="212">
        <v>46241</v>
      </c>
      <c r="H234" s="212" t="s">
        <v>258</v>
      </c>
      <c r="I234" s="11">
        <f t="shared" si="18"/>
        <v>2</v>
      </c>
      <c r="J234" s="212">
        <v>46244</v>
      </c>
      <c r="K234" s="11">
        <f t="shared" si="19"/>
        <v>1</v>
      </c>
      <c r="L234" s="212" t="s">
        <v>258</v>
      </c>
      <c r="M234" s="11">
        <f t="shared" si="20"/>
        <v>1</v>
      </c>
      <c r="N234" s="50" t="s">
        <v>411</v>
      </c>
      <c r="O234" s="50" t="s">
        <v>710</v>
      </c>
      <c r="P234" s="56" t="s">
        <v>53</v>
      </c>
      <c r="Q234" s="190">
        <v>36.521739130434781</v>
      </c>
      <c r="R234" s="190">
        <v>36.521739130434781</v>
      </c>
      <c r="S234" s="57">
        <f t="shared" si="23"/>
        <v>0</v>
      </c>
      <c r="T234" s="57"/>
      <c r="U234" s="57"/>
      <c r="V234" s="58">
        <f t="shared" si="21"/>
        <v>3.6521739130434785</v>
      </c>
      <c r="W234" s="59">
        <f t="shared" si="22"/>
        <v>0</v>
      </c>
    </row>
    <row r="235" spans="1:23" hidden="1" x14ac:dyDescent="0.35">
      <c r="A235" s="60"/>
      <c r="B235" s="54">
        <v>234</v>
      </c>
      <c r="C235" s="65" t="s">
        <v>822</v>
      </c>
      <c r="D235" s="110">
        <v>136254</v>
      </c>
      <c r="E235" s="209" t="s">
        <v>945</v>
      </c>
      <c r="F235" s="111">
        <v>139483</v>
      </c>
      <c r="G235" s="212">
        <v>46241</v>
      </c>
      <c r="H235" s="212" t="s">
        <v>255</v>
      </c>
      <c r="I235" s="11">
        <f t="shared" si="18"/>
        <v>1</v>
      </c>
      <c r="J235" s="212">
        <v>46244</v>
      </c>
      <c r="K235" s="11">
        <f t="shared" si="19"/>
        <v>2</v>
      </c>
      <c r="L235" s="212" t="s">
        <v>258</v>
      </c>
      <c r="M235" s="11">
        <f t="shared" si="20"/>
        <v>1</v>
      </c>
      <c r="N235" s="66" t="s">
        <v>412</v>
      </c>
      <c r="O235" s="50" t="s">
        <v>711</v>
      </c>
      <c r="P235" s="56" t="s">
        <v>53</v>
      </c>
      <c r="Q235" s="190">
        <v>934.78260869565213</v>
      </c>
      <c r="R235" s="190">
        <v>934.78260869565213</v>
      </c>
      <c r="S235" s="57">
        <f t="shared" si="23"/>
        <v>0</v>
      </c>
      <c r="T235" s="57"/>
      <c r="U235" s="57"/>
      <c r="V235" s="58">
        <f t="shared" si="21"/>
        <v>93.478260869565219</v>
      </c>
      <c r="W235" s="59">
        <f t="shared" si="22"/>
        <v>0</v>
      </c>
    </row>
    <row r="236" spans="1:23" hidden="1" x14ac:dyDescent="0.35">
      <c r="A236" s="60"/>
      <c r="B236" s="54">
        <v>235</v>
      </c>
      <c r="C236" s="65" t="s">
        <v>822</v>
      </c>
      <c r="D236" s="110">
        <v>136255</v>
      </c>
      <c r="E236" s="209" t="s">
        <v>945</v>
      </c>
      <c r="F236" s="111">
        <v>139482</v>
      </c>
      <c r="G236" s="212">
        <v>46241</v>
      </c>
      <c r="H236" s="212" t="s">
        <v>255</v>
      </c>
      <c r="I236" s="11">
        <f t="shared" si="18"/>
        <v>1</v>
      </c>
      <c r="J236" s="212">
        <v>46244</v>
      </c>
      <c r="K236" s="11">
        <f t="shared" si="19"/>
        <v>2</v>
      </c>
      <c r="L236" s="212" t="s">
        <v>258</v>
      </c>
      <c r="M236" s="11">
        <f t="shared" si="20"/>
        <v>1</v>
      </c>
      <c r="N236" s="50" t="s">
        <v>336</v>
      </c>
      <c r="O236" s="50" t="s">
        <v>654</v>
      </c>
      <c r="P236" s="56" t="s">
        <v>53</v>
      </c>
      <c r="Q236" s="190">
        <v>531.304347826087</v>
      </c>
      <c r="R236" s="190">
        <v>531.304347826087</v>
      </c>
      <c r="S236" s="57">
        <f t="shared" si="23"/>
        <v>0</v>
      </c>
      <c r="T236" s="57"/>
      <c r="U236" s="57"/>
      <c r="V236" s="58">
        <f t="shared" si="21"/>
        <v>53.130434782608702</v>
      </c>
      <c r="W236" s="59">
        <f t="shared" si="22"/>
        <v>0</v>
      </c>
    </row>
    <row r="237" spans="1:23" hidden="1" x14ac:dyDescent="0.35">
      <c r="A237" s="60"/>
      <c r="B237" s="54">
        <v>236</v>
      </c>
      <c r="C237" s="65" t="s">
        <v>822</v>
      </c>
      <c r="D237" s="110">
        <v>136256</v>
      </c>
      <c r="E237" s="209" t="s">
        <v>946</v>
      </c>
      <c r="F237" s="111">
        <v>139481</v>
      </c>
      <c r="G237" s="212">
        <v>46241</v>
      </c>
      <c r="H237" s="212" t="s">
        <v>255</v>
      </c>
      <c r="I237" s="11">
        <f t="shared" si="18"/>
        <v>1</v>
      </c>
      <c r="J237" s="212">
        <v>46244</v>
      </c>
      <c r="K237" s="11">
        <f t="shared" si="19"/>
        <v>2</v>
      </c>
      <c r="L237" s="212" t="s">
        <v>258</v>
      </c>
      <c r="M237" s="11">
        <f t="shared" si="20"/>
        <v>1</v>
      </c>
      <c r="N237" s="50" t="s">
        <v>413</v>
      </c>
      <c r="O237" s="50" t="s">
        <v>712</v>
      </c>
      <c r="P237" s="56" t="s">
        <v>53</v>
      </c>
      <c r="Q237" s="190">
        <v>163.04347826086956</v>
      </c>
      <c r="R237" s="190">
        <v>163.04347826086956</v>
      </c>
      <c r="S237" s="57">
        <f t="shared" si="23"/>
        <v>0</v>
      </c>
      <c r="T237" s="57"/>
      <c r="U237" s="57"/>
      <c r="V237" s="58">
        <f t="shared" si="21"/>
        <v>16.304347826086957</v>
      </c>
      <c r="W237" s="59">
        <f t="shared" si="22"/>
        <v>0</v>
      </c>
    </row>
    <row r="238" spans="1:23" hidden="1" x14ac:dyDescent="0.35">
      <c r="A238" s="60"/>
      <c r="B238" s="54">
        <v>237</v>
      </c>
      <c r="C238" s="65" t="s">
        <v>822</v>
      </c>
      <c r="D238" s="110">
        <v>136259</v>
      </c>
      <c r="E238" s="209" t="s">
        <v>946</v>
      </c>
      <c r="F238" s="111">
        <v>139475</v>
      </c>
      <c r="G238" s="212">
        <v>46241</v>
      </c>
      <c r="H238" s="212" t="s">
        <v>255</v>
      </c>
      <c r="I238" s="11">
        <f t="shared" si="18"/>
        <v>1</v>
      </c>
      <c r="J238" s="212">
        <v>46244</v>
      </c>
      <c r="K238" s="11">
        <f t="shared" si="19"/>
        <v>2</v>
      </c>
      <c r="L238" s="212" t="s">
        <v>258</v>
      </c>
      <c r="M238" s="11">
        <f t="shared" si="20"/>
        <v>1</v>
      </c>
      <c r="N238" s="50" t="s">
        <v>414</v>
      </c>
      <c r="O238" s="50" t="s">
        <v>643</v>
      </c>
      <c r="P238" s="56" t="s">
        <v>53</v>
      </c>
      <c r="Q238" s="190">
        <v>26.521738956521741</v>
      </c>
      <c r="R238" s="190">
        <v>26.521738956521741</v>
      </c>
      <c r="S238" s="57">
        <f t="shared" si="23"/>
        <v>0</v>
      </c>
      <c r="T238" s="57"/>
      <c r="U238" s="57"/>
      <c r="V238" s="58">
        <f t="shared" si="21"/>
        <v>2.6521738956521741</v>
      </c>
      <c r="W238" s="59">
        <f t="shared" si="22"/>
        <v>0</v>
      </c>
    </row>
    <row r="239" spans="1:23" hidden="1" x14ac:dyDescent="0.35">
      <c r="A239" s="60"/>
      <c r="B239" s="54">
        <v>238</v>
      </c>
      <c r="C239" s="65" t="s">
        <v>822</v>
      </c>
      <c r="D239" s="110">
        <v>136260</v>
      </c>
      <c r="E239" s="209" t="s">
        <v>945</v>
      </c>
      <c r="F239" s="111">
        <v>139471</v>
      </c>
      <c r="G239" s="212">
        <v>46241</v>
      </c>
      <c r="H239" s="212" t="s">
        <v>255</v>
      </c>
      <c r="I239" s="11">
        <f t="shared" si="18"/>
        <v>1</v>
      </c>
      <c r="J239" s="212">
        <v>46244</v>
      </c>
      <c r="K239" s="11">
        <f t="shared" si="19"/>
        <v>2</v>
      </c>
      <c r="L239" s="212" t="s">
        <v>258</v>
      </c>
      <c r="M239" s="11">
        <f t="shared" si="20"/>
        <v>1</v>
      </c>
      <c r="N239" s="50" t="s">
        <v>415</v>
      </c>
      <c r="O239" s="50" t="s">
        <v>713</v>
      </c>
      <c r="P239" s="56" t="s">
        <v>53</v>
      </c>
      <c r="Q239" s="190">
        <v>223.91304347826087</v>
      </c>
      <c r="R239" s="190">
        <v>223.91304347826087</v>
      </c>
      <c r="S239" s="57">
        <f t="shared" si="23"/>
        <v>0</v>
      </c>
      <c r="T239" s="57"/>
      <c r="U239" s="57"/>
      <c r="V239" s="58">
        <f t="shared" si="21"/>
        <v>22.39130434782609</v>
      </c>
      <c r="W239" s="59">
        <f t="shared" si="22"/>
        <v>0</v>
      </c>
    </row>
    <row r="240" spans="1:23" hidden="1" x14ac:dyDescent="0.35">
      <c r="A240" s="60"/>
      <c r="B240" s="54">
        <v>239</v>
      </c>
      <c r="C240" s="65" t="s">
        <v>822</v>
      </c>
      <c r="D240" s="110">
        <v>136264</v>
      </c>
      <c r="E240" s="209" t="s">
        <v>945</v>
      </c>
      <c r="F240" s="111">
        <v>139433</v>
      </c>
      <c r="G240" s="212">
        <v>46241</v>
      </c>
      <c r="H240" s="212" t="s">
        <v>254</v>
      </c>
      <c r="I240" s="11">
        <f t="shared" si="18"/>
        <v>3</v>
      </c>
      <c r="J240" s="212">
        <v>46245</v>
      </c>
      <c r="K240" s="11">
        <f t="shared" si="19"/>
        <v>1</v>
      </c>
      <c r="L240" s="212" t="s">
        <v>254</v>
      </c>
      <c r="M240" s="11">
        <f t="shared" si="20"/>
        <v>1</v>
      </c>
      <c r="N240" s="50" t="s">
        <v>416</v>
      </c>
      <c r="O240" s="50" t="s">
        <v>714</v>
      </c>
      <c r="P240" s="56" t="s">
        <v>53</v>
      </c>
      <c r="Q240" s="190">
        <v>39.130434782608695</v>
      </c>
      <c r="R240" s="190">
        <v>39.130434782608695</v>
      </c>
      <c r="S240" s="57">
        <f t="shared" si="23"/>
        <v>0</v>
      </c>
      <c r="T240" s="57"/>
      <c r="U240" s="57"/>
      <c r="V240" s="58">
        <f t="shared" si="21"/>
        <v>3.9130434782608696</v>
      </c>
      <c r="W240" s="59">
        <f t="shared" si="22"/>
        <v>0</v>
      </c>
    </row>
    <row r="241" spans="1:23" hidden="1" x14ac:dyDescent="0.35">
      <c r="A241" s="60"/>
      <c r="B241" s="54">
        <v>240</v>
      </c>
      <c r="C241" s="65" t="s">
        <v>822</v>
      </c>
      <c r="D241" s="110">
        <v>136265</v>
      </c>
      <c r="E241" s="209" t="s">
        <v>945</v>
      </c>
      <c r="F241" s="111">
        <v>139494</v>
      </c>
      <c r="G241" s="212">
        <v>46241</v>
      </c>
      <c r="H241" s="212" t="s">
        <v>254</v>
      </c>
      <c r="I241" s="11">
        <f t="shared" si="18"/>
        <v>3</v>
      </c>
      <c r="J241" s="212">
        <v>46245</v>
      </c>
      <c r="K241" s="11">
        <f t="shared" si="19"/>
        <v>1</v>
      </c>
      <c r="L241" s="212" t="s">
        <v>254</v>
      </c>
      <c r="M241" s="11">
        <f t="shared" si="20"/>
        <v>1</v>
      </c>
      <c r="N241" s="50" t="s">
        <v>417</v>
      </c>
      <c r="O241" s="50" t="s">
        <v>703</v>
      </c>
      <c r="P241" s="56" t="s">
        <v>53</v>
      </c>
      <c r="Q241" s="190">
        <v>290.60869565217394</v>
      </c>
      <c r="R241" s="190">
        <v>290.60869565217394</v>
      </c>
      <c r="S241" s="57">
        <f t="shared" si="23"/>
        <v>0</v>
      </c>
      <c r="T241" s="57"/>
      <c r="U241" s="57"/>
      <c r="V241" s="58">
        <f t="shared" si="21"/>
        <v>29.060869565217395</v>
      </c>
      <c r="W241" s="59">
        <f t="shared" si="22"/>
        <v>0</v>
      </c>
    </row>
    <row r="242" spans="1:23" hidden="1" x14ac:dyDescent="0.35">
      <c r="A242" s="60"/>
      <c r="B242" s="54">
        <v>241</v>
      </c>
      <c r="C242" s="65" t="s">
        <v>822</v>
      </c>
      <c r="D242" s="110">
        <v>136266</v>
      </c>
      <c r="E242" s="209" t="s">
        <v>945</v>
      </c>
      <c r="F242" s="111">
        <v>139477</v>
      </c>
      <c r="G242" s="212">
        <v>46241</v>
      </c>
      <c r="H242" s="212" t="s">
        <v>254</v>
      </c>
      <c r="I242" s="11">
        <f t="shared" si="18"/>
        <v>3</v>
      </c>
      <c r="J242" s="212">
        <v>46245</v>
      </c>
      <c r="K242" s="11">
        <f t="shared" si="19"/>
        <v>1</v>
      </c>
      <c r="L242" s="212" t="s">
        <v>254</v>
      </c>
      <c r="M242" s="11">
        <f t="shared" si="20"/>
        <v>1</v>
      </c>
      <c r="N242" s="50" t="s">
        <v>418</v>
      </c>
      <c r="O242" s="50" t="s">
        <v>715</v>
      </c>
      <c r="P242" s="56" t="s">
        <v>53</v>
      </c>
      <c r="Q242" s="190">
        <v>175850.91068863045</v>
      </c>
      <c r="R242" s="190">
        <v>175850.91068863045</v>
      </c>
      <c r="S242" s="57">
        <f t="shared" si="23"/>
        <v>0</v>
      </c>
      <c r="T242" s="57"/>
      <c r="U242" s="57"/>
      <c r="V242" s="58">
        <f t="shared" si="21"/>
        <v>17585.091068863047</v>
      </c>
      <c r="W242" s="59">
        <f t="shared" si="22"/>
        <v>0</v>
      </c>
    </row>
    <row r="243" spans="1:23" hidden="1" x14ac:dyDescent="0.35">
      <c r="A243" s="60"/>
      <c r="B243" s="54">
        <v>242</v>
      </c>
      <c r="C243" s="65" t="s">
        <v>822</v>
      </c>
      <c r="D243" s="110">
        <v>136267</v>
      </c>
      <c r="E243" s="209" t="s">
        <v>945</v>
      </c>
      <c r="F243" s="111">
        <v>139487</v>
      </c>
      <c r="G243" s="212">
        <v>46241</v>
      </c>
      <c r="H243" s="212" t="s">
        <v>254</v>
      </c>
      <c r="I243" s="11">
        <f t="shared" si="18"/>
        <v>3</v>
      </c>
      <c r="J243" s="212">
        <v>46245</v>
      </c>
      <c r="K243" s="11">
        <f t="shared" si="19"/>
        <v>1</v>
      </c>
      <c r="L243" s="212" t="s">
        <v>254</v>
      </c>
      <c r="M243" s="11">
        <f t="shared" si="20"/>
        <v>1</v>
      </c>
      <c r="N243" s="50" t="s">
        <v>419</v>
      </c>
      <c r="O243" s="50" t="s">
        <v>716</v>
      </c>
      <c r="P243" s="56" t="s">
        <v>53</v>
      </c>
      <c r="Q243" s="190">
        <v>70425.56</v>
      </c>
      <c r="R243" s="190">
        <v>70425.56</v>
      </c>
      <c r="S243" s="57">
        <f t="shared" si="23"/>
        <v>0</v>
      </c>
      <c r="T243" s="57"/>
      <c r="U243" s="57"/>
      <c r="V243" s="58">
        <f t="shared" si="21"/>
        <v>7042.5560000000005</v>
      </c>
      <c r="W243" s="59">
        <f t="shared" si="22"/>
        <v>0</v>
      </c>
    </row>
    <row r="244" spans="1:23" hidden="1" x14ac:dyDescent="0.35">
      <c r="A244" s="60"/>
      <c r="B244" s="54">
        <v>243</v>
      </c>
      <c r="C244" s="65" t="s">
        <v>822</v>
      </c>
      <c r="D244" s="110">
        <v>136279</v>
      </c>
      <c r="E244" s="209" t="s">
        <v>946</v>
      </c>
      <c r="F244" s="111">
        <v>139468</v>
      </c>
      <c r="G244" s="212">
        <v>46241</v>
      </c>
      <c r="H244" s="212" t="s">
        <v>252</v>
      </c>
      <c r="I244" s="11">
        <f t="shared" si="18"/>
        <v>4</v>
      </c>
      <c r="J244" s="212">
        <v>46246</v>
      </c>
      <c r="K244" s="11">
        <f t="shared" si="19"/>
        <v>1</v>
      </c>
      <c r="L244" s="212" t="s">
        <v>252</v>
      </c>
      <c r="M244" s="11">
        <f t="shared" si="20"/>
        <v>1</v>
      </c>
      <c r="N244" s="50" t="s">
        <v>420</v>
      </c>
      <c r="O244" s="50" t="s">
        <v>717</v>
      </c>
      <c r="P244" s="56" t="s">
        <v>53</v>
      </c>
      <c r="Q244" s="190">
        <v>1826.0869565217392</v>
      </c>
      <c r="R244" s="190">
        <v>1826.0869565217392</v>
      </c>
      <c r="S244" s="57">
        <f t="shared" si="23"/>
        <v>0</v>
      </c>
      <c r="T244" s="57"/>
      <c r="U244" s="57"/>
      <c r="V244" s="58">
        <f t="shared" si="21"/>
        <v>182.60869565217394</v>
      </c>
      <c r="W244" s="59">
        <f t="shared" si="22"/>
        <v>0</v>
      </c>
    </row>
    <row r="245" spans="1:23" hidden="1" x14ac:dyDescent="0.35">
      <c r="A245" s="60"/>
      <c r="B245" s="54">
        <v>244</v>
      </c>
      <c r="C245" s="65" t="s">
        <v>822</v>
      </c>
      <c r="D245" s="110">
        <v>136280</v>
      </c>
      <c r="E245" s="209" t="s">
        <v>945</v>
      </c>
      <c r="F245" s="111">
        <v>139490</v>
      </c>
      <c r="G245" s="212">
        <v>46241</v>
      </c>
      <c r="H245" s="212" t="s">
        <v>252</v>
      </c>
      <c r="I245" s="11">
        <f t="shared" si="18"/>
        <v>4</v>
      </c>
      <c r="J245" s="212">
        <v>46246</v>
      </c>
      <c r="K245" s="11">
        <f t="shared" si="19"/>
        <v>1</v>
      </c>
      <c r="L245" s="212" t="s">
        <v>252</v>
      </c>
      <c r="M245" s="11">
        <f t="shared" si="20"/>
        <v>1</v>
      </c>
      <c r="N245" s="50" t="s">
        <v>421</v>
      </c>
      <c r="O245" s="50" t="s">
        <v>634</v>
      </c>
      <c r="P245" s="56" t="s">
        <v>53</v>
      </c>
      <c r="Q245" s="190">
        <v>713.31521739130437</v>
      </c>
      <c r="R245" s="190">
        <v>713.31521739130437</v>
      </c>
      <c r="S245" s="57">
        <f t="shared" si="23"/>
        <v>0</v>
      </c>
      <c r="T245" s="57"/>
      <c r="U245" s="57"/>
      <c r="V245" s="58">
        <f t="shared" si="21"/>
        <v>71.331521739130437</v>
      </c>
      <c r="W245" s="59">
        <f t="shared" si="22"/>
        <v>0</v>
      </c>
    </row>
    <row r="246" spans="1:23" hidden="1" x14ac:dyDescent="0.35">
      <c r="A246" s="60"/>
      <c r="B246" s="54">
        <v>245</v>
      </c>
      <c r="C246" s="65" t="s">
        <v>822</v>
      </c>
      <c r="D246" s="110">
        <v>136293</v>
      </c>
      <c r="E246" s="209" t="s">
        <v>946</v>
      </c>
      <c r="F246" s="111">
        <v>139400</v>
      </c>
      <c r="G246" s="212">
        <v>46241</v>
      </c>
      <c r="H246" s="212" t="s">
        <v>252</v>
      </c>
      <c r="I246" s="11">
        <f t="shared" ref="I246:I309" si="24">IF(OR(H246="", G246=""), "", NETWORKDAYS(G246, H246))</f>
        <v>4</v>
      </c>
      <c r="J246" s="212">
        <v>46247</v>
      </c>
      <c r="K246" s="11">
        <f t="shared" ref="K246:K309" si="25">IF(OR(H246="", J246=""), "", NETWORKDAYS(H246, J246))</f>
        <v>2</v>
      </c>
      <c r="L246" s="212" t="s">
        <v>243</v>
      </c>
      <c r="M246" s="11">
        <f t="shared" ref="M246:M309" si="26">IF(OR(J246="", L246=""), "", NETWORKDAYS(J246, L246))</f>
        <v>1</v>
      </c>
      <c r="N246" s="50" t="s">
        <v>422</v>
      </c>
      <c r="O246" s="50" t="s">
        <v>718</v>
      </c>
      <c r="P246" s="56" t="s">
        <v>53</v>
      </c>
      <c r="Q246" s="190">
        <v>20777.22</v>
      </c>
      <c r="R246" s="190">
        <v>20777.22</v>
      </c>
      <c r="S246" s="57">
        <f t="shared" ref="S246:S309" si="27">Q246-R246</f>
        <v>0</v>
      </c>
      <c r="T246" s="57"/>
      <c r="U246" s="57"/>
      <c r="V246" s="58">
        <f t="shared" ref="V246:V309" si="28">IF(Q246="", "", Q246*10%)</f>
        <v>2077.7220000000002</v>
      </c>
      <c r="W246" s="59">
        <f t="shared" ref="W246:W309" si="29">IF(OR(Q246="", R246=""), "", (Q246- R246)/Q246)</f>
        <v>0</v>
      </c>
    </row>
    <row r="247" spans="1:23" hidden="1" x14ac:dyDescent="0.35">
      <c r="A247" s="60"/>
      <c r="B247" s="54">
        <v>246</v>
      </c>
      <c r="C247" s="65" t="s">
        <v>822</v>
      </c>
      <c r="D247" s="110">
        <v>136294</v>
      </c>
      <c r="E247" s="209" t="s">
        <v>945</v>
      </c>
      <c r="F247" s="111">
        <v>139398</v>
      </c>
      <c r="G247" s="212">
        <v>46241</v>
      </c>
      <c r="H247" s="212" t="s">
        <v>252</v>
      </c>
      <c r="I247" s="11">
        <f t="shared" si="24"/>
        <v>4</v>
      </c>
      <c r="J247" s="212">
        <v>46247</v>
      </c>
      <c r="K247" s="11">
        <f t="shared" si="25"/>
        <v>2</v>
      </c>
      <c r="L247" s="212" t="s">
        <v>243</v>
      </c>
      <c r="M247" s="11">
        <f t="shared" si="26"/>
        <v>1</v>
      </c>
      <c r="N247" s="50" t="s">
        <v>422</v>
      </c>
      <c r="O247" s="50" t="s">
        <v>641</v>
      </c>
      <c r="P247" s="56" t="s">
        <v>53</v>
      </c>
      <c r="Q247" s="190">
        <v>25554.347826086956</v>
      </c>
      <c r="R247" s="190">
        <v>25554.347826086956</v>
      </c>
      <c r="S247" s="57">
        <f t="shared" si="27"/>
        <v>0</v>
      </c>
      <c r="T247" s="57"/>
      <c r="U247" s="57"/>
      <c r="V247" s="58">
        <f t="shared" si="28"/>
        <v>2555.434782608696</v>
      </c>
      <c r="W247" s="59">
        <f t="shared" si="29"/>
        <v>0</v>
      </c>
    </row>
    <row r="248" spans="1:23" hidden="1" x14ac:dyDescent="0.35">
      <c r="A248" s="60"/>
      <c r="B248" s="54">
        <v>247</v>
      </c>
      <c r="C248" s="65" t="s">
        <v>822</v>
      </c>
      <c r="D248" s="110">
        <v>136304</v>
      </c>
      <c r="E248" s="209" t="s">
        <v>945</v>
      </c>
      <c r="F248" s="111">
        <v>139485</v>
      </c>
      <c r="G248" s="212">
        <v>46241</v>
      </c>
      <c r="H248" s="212" t="s">
        <v>252</v>
      </c>
      <c r="I248" s="11">
        <f t="shared" si="24"/>
        <v>4</v>
      </c>
      <c r="J248" s="212">
        <v>46247</v>
      </c>
      <c r="K248" s="11">
        <f t="shared" si="25"/>
        <v>2</v>
      </c>
      <c r="L248" s="212" t="s">
        <v>243</v>
      </c>
      <c r="M248" s="11">
        <f t="shared" si="26"/>
        <v>1</v>
      </c>
      <c r="N248" s="50" t="s">
        <v>423</v>
      </c>
      <c r="O248" s="50" t="s">
        <v>719</v>
      </c>
      <c r="P248" s="56" t="s">
        <v>53</v>
      </c>
      <c r="Q248" s="190">
        <v>1608.695652173913</v>
      </c>
      <c r="R248" s="190">
        <v>1608.695652173913</v>
      </c>
      <c r="S248" s="57">
        <f t="shared" si="27"/>
        <v>0</v>
      </c>
      <c r="T248" s="57"/>
      <c r="U248" s="57"/>
      <c r="V248" s="58">
        <f t="shared" si="28"/>
        <v>160.86956521739131</v>
      </c>
      <c r="W248" s="59">
        <f t="shared" si="29"/>
        <v>0</v>
      </c>
    </row>
    <row r="249" spans="1:23" hidden="1" x14ac:dyDescent="0.35">
      <c r="A249" s="60"/>
      <c r="B249" s="54">
        <v>248</v>
      </c>
      <c r="C249" s="65" t="s">
        <v>822</v>
      </c>
      <c r="D249" s="110">
        <v>136305</v>
      </c>
      <c r="E249" s="209" t="s">
        <v>945</v>
      </c>
      <c r="F249" s="111">
        <v>139473</v>
      </c>
      <c r="G249" s="212">
        <v>46241</v>
      </c>
      <c r="H249" s="212" t="s">
        <v>252</v>
      </c>
      <c r="I249" s="11">
        <f t="shared" si="24"/>
        <v>4</v>
      </c>
      <c r="J249" s="212">
        <v>46247</v>
      </c>
      <c r="K249" s="11">
        <f t="shared" si="25"/>
        <v>2</v>
      </c>
      <c r="L249" s="212" t="s">
        <v>243</v>
      </c>
      <c r="M249" s="11">
        <f t="shared" si="26"/>
        <v>1</v>
      </c>
      <c r="N249" s="50" t="s">
        <v>293</v>
      </c>
      <c r="O249" s="50" t="s">
        <v>720</v>
      </c>
      <c r="P249" s="56" t="s">
        <v>53</v>
      </c>
      <c r="Q249" s="190">
        <v>434.78260869565219</v>
      </c>
      <c r="R249" s="190">
        <v>434.78260869565219</v>
      </c>
      <c r="S249" s="57">
        <f t="shared" si="27"/>
        <v>0</v>
      </c>
      <c r="T249" s="57"/>
      <c r="U249" s="57"/>
      <c r="V249" s="58">
        <f t="shared" si="28"/>
        <v>43.478260869565219</v>
      </c>
      <c r="W249" s="59">
        <f t="shared" si="29"/>
        <v>0</v>
      </c>
    </row>
    <row r="250" spans="1:23" hidden="1" x14ac:dyDescent="0.35">
      <c r="A250" s="60"/>
      <c r="B250" s="54">
        <v>249</v>
      </c>
      <c r="C250" s="65" t="s">
        <v>822</v>
      </c>
      <c r="D250" s="110">
        <v>136306</v>
      </c>
      <c r="E250" s="209" t="s">
        <v>945</v>
      </c>
      <c r="F250" s="111">
        <v>139472</v>
      </c>
      <c r="G250" s="212">
        <v>46241</v>
      </c>
      <c r="H250" s="212" t="s">
        <v>252</v>
      </c>
      <c r="I250" s="11">
        <f t="shared" si="24"/>
        <v>4</v>
      </c>
      <c r="J250" s="212">
        <v>46247</v>
      </c>
      <c r="K250" s="11">
        <f t="shared" si="25"/>
        <v>2</v>
      </c>
      <c r="L250" s="212" t="s">
        <v>243</v>
      </c>
      <c r="M250" s="11">
        <f t="shared" si="26"/>
        <v>1</v>
      </c>
      <c r="N250" s="50" t="s">
        <v>293</v>
      </c>
      <c r="O250" s="50" t="s">
        <v>721</v>
      </c>
      <c r="P250" s="56" t="s">
        <v>53</v>
      </c>
      <c r="Q250" s="190">
        <v>652.17391304347825</v>
      </c>
      <c r="R250" s="190">
        <v>652.17391304347825</v>
      </c>
      <c r="S250" s="57">
        <f t="shared" si="27"/>
        <v>0</v>
      </c>
      <c r="T250" s="57"/>
      <c r="U250" s="57"/>
      <c r="V250" s="58">
        <f t="shared" si="28"/>
        <v>65.217391304347828</v>
      </c>
      <c r="W250" s="59">
        <f t="shared" si="29"/>
        <v>0</v>
      </c>
    </row>
    <row r="251" spans="1:23" hidden="1" x14ac:dyDescent="0.35">
      <c r="A251" s="60"/>
      <c r="B251" s="54">
        <v>250</v>
      </c>
      <c r="C251" s="65" t="s">
        <v>822</v>
      </c>
      <c r="D251" s="110">
        <v>136311</v>
      </c>
      <c r="E251" s="209" t="s">
        <v>945</v>
      </c>
      <c r="F251" s="111">
        <v>139474</v>
      </c>
      <c r="G251" s="212">
        <v>46241</v>
      </c>
      <c r="H251" s="212" t="s">
        <v>254</v>
      </c>
      <c r="I251" s="11">
        <f t="shared" si="24"/>
        <v>3</v>
      </c>
      <c r="J251" s="212">
        <v>46247</v>
      </c>
      <c r="K251" s="11">
        <f t="shared" si="25"/>
        <v>3</v>
      </c>
      <c r="L251" s="212" t="s">
        <v>243</v>
      </c>
      <c r="M251" s="11">
        <f t="shared" si="26"/>
        <v>1</v>
      </c>
      <c r="N251" s="66" t="s">
        <v>424</v>
      </c>
      <c r="O251" s="50" t="s">
        <v>656</v>
      </c>
      <c r="P251" s="56" t="s">
        <v>53</v>
      </c>
      <c r="Q251" s="190">
        <v>1282.608695652174</v>
      </c>
      <c r="R251" s="190">
        <v>1282.608695652174</v>
      </c>
      <c r="S251" s="57">
        <f t="shared" si="27"/>
        <v>0</v>
      </c>
      <c r="T251" s="57"/>
      <c r="U251" s="57"/>
      <c r="V251" s="58">
        <f t="shared" si="28"/>
        <v>128.2608695652174</v>
      </c>
      <c r="W251" s="59">
        <f t="shared" si="29"/>
        <v>0</v>
      </c>
    </row>
    <row r="252" spans="1:23" hidden="1" x14ac:dyDescent="0.35">
      <c r="A252" s="60"/>
      <c r="B252" s="54">
        <v>251</v>
      </c>
      <c r="C252" s="65" t="s">
        <v>822</v>
      </c>
      <c r="D252" s="110">
        <v>136325</v>
      </c>
      <c r="E252" s="209" t="s">
        <v>945</v>
      </c>
      <c r="F252" s="111">
        <v>139480</v>
      </c>
      <c r="G252" s="212">
        <v>46241</v>
      </c>
      <c r="H252" s="212" t="s">
        <v>259</v>
      </c>
      <c r="I252" s="11">
        <f t="shared" si="24"/>
        <v>6</v>
      </c>
      <c r="J252" s="212">
        <v>46248</v>
      </c>
      <c r="K252" s="11">
        <f t="shared" si="25"/>
        <v>1</v>
      </c>
      <c r="L252" s="212" t="s">
        <v>259</v>
      </c>
      <c r="M252" s="11">
        <f t="shared" si="26"/>
        <v>1</v>
      </c>
      <c r="N252" s="50" t="s">
        <v>425</v>
      </c>
      <c r="O252" s="50" t="s">
        <v>709</v>
      </c>
      <c r="P252" s="56" t="s">
        <v>53</v>
      </c>
      <c r="Q252" s="190">
        <v>506.45652173913044</v>
      </c>
      <c r="R252" s="190">
        <v>506.45652173913044</v>
      </c>
      <c r="S252" s="57">
        <f t="shared" si="27"/>
        <v>0</v>
      </c>
      <c r="T252" s="57"/>
      <c r="U252" s="57"/>
      <c r="V252" s="58">
        <f t="shared" si="28"/>
        <v>50.645652173913049</v>
      </c>
      <c r="W252" s="59">
        <f t="shared" si="29"/>
        <v>0</v>
      </c>
    </row>
    <row r="253" spans="1:23" hidden="1" x14ac:dyDescent="0.35">
      <c r="A253" s="60"/>
      <c r="B253" s="54">
        <v>252</v>
      </c>
      <c r="C253" s="65" t="s">
        <v>822</v>
      </c>
      <c r="D253" s="110">
        <v>136357</v>
      </c>
      <c r="E253" s="209" t="s">
        <v>945</v>
      </c>
      <c r="F253" s="111">
        <v>139493</v>
      </c>
      <c r="G253" s="212">
        <v>46241</v>
      </c>
      <c r="H253" s="212" t="s">
        <v>248</v>
      </c>
      <c r="I253" s="11">
        <f t="shared" si="24"/>
        <v>7</v>
      </c>
      <c r="J253" s="212">
        <v>46251</v>
      </c>
      <c r="K253" s="11">
        <f t="shared" si="25"/>
        <v>1</v>
      </c>
      <c r="L253" s="212" t="s">
        <v>253</v>
      </c>
      <c r="M253" s="11">
        <f t="shared" si="26"/>
        <v>2</v>
      </c>
      <c r="N253" s="50" t="s">
        <v>426</v>
      </c>
      <c r="O253" s="50" t="s">
        <v>722</v>
      </c>
      <c r="P253" s="56" t="s">
        <v>53</v>
      </c>
      <c r="Q253" s="190">
        <v>10237.5</v>
      </c>
      <c r="R253" s="190">
        <v>10237.5</v>
      </c>
      <c r="S253" s="57">
        <f t="shared" si="27"/>
        <v>0</v>
      </c>
      <c r="T253" s="57"/>
      <c r="U253" s="57"/>
      <c r="V253" s="58">
        <f t="shared" si="28"/>
        <v>1023.75</v>
      </c>
      <c r="W253" s="59">
        <f t="shared" si="29"/>
        <v>0</v>
      </c>
    </row>
    <row r="254" spans="1:23" hidden="1" x14ac:dyDescent="0.35">
      <c r="A254" s="60"/>
      <c r="B254" s="54">
        <v>253</v>
      </c>
      <c r="C254" s="65" t="s">
        <v>822</v>
      </c>
      <c r="D254" s="110">
        <v>136358</v>
      </c>
      <c r="E254" s="209" t="s">
        <v>945</v>
      </c>
      <c r="F254" s="111">
        <v>139492</v>
      </c>
      <c r="G254" s="212">
        <v>46241</v>
      </c>
      <c r="H254" s="212" t="s">
        <v>248</v>
      </c>
      <c r="I254" s="11">
        <f t="shared" si="24"/>
        <v>7</v>
      </c>
      <c r="J254" s="212">
        <v>46251</v>
      </c>
      <c r="K254" s="11">
        <f t="shared" si="25"/>
        <v>1</v>
      </c>
      <c r="L254" s="212" t="s">
        <v>248</v>
      </c>
      <c r="M254" s="11">
        <f t="shared" si="26"/>
        <v>1</v>
      </c>
      <c r="N254" s="50" t="s">
        <v>426</v>
      </c>
      <c r="O254" s="50" t="s">
        <v>722</v>
      </c>
      <c r="P254" s="56" t="s">
        <v>53</v>
      </c>
      <c r="Q254" s="190">
        <v>11375.090999999999</v>
      </c>
      <c r="R254" s="190">
        <v>11375.090999999999</v>
      </c>
      <c r="S254" s="57">
        <f t="shared" si="27"/>
        <v>0</v>
      </c>
      <c r="T254" s="57"/>
      <c r="U254" s="57"/>
      <c r="V254" s="58">
        <f t="shared" si="28"/>
        <v>1137.5091</v>
      </c>
      <c r="W254" s="59">
        <f t="shared" si="29"/>
        <v>0</v>
      </c>
    </row>
    <row r="255" spans="1:23" hidden="1" x14ac:dyDescent="0.35">
      <c r="A255" s="60"/>
      <c r="B255" s="54">
        <v>254</v>
      </c>
      <c r="C255" s="65" t="s">
        <v>822</v>
      </c>
      <c r="D255" s="110">
        <v>136359</v>
      </c>
      <c r="E255" s="209" t="s">
        <v>945</v>
      </c>
      <c r="F255" s="111">
        <v>139491</v>
      </c>
      <c r="G255" s="212">
        <v>46241</v>
      </c>
      <c r="H255" s="212" t="s">
        <v>248</v>
      </c>
      <c r="I255" s="11">
        <f t="shared" si="24"/>
        <v>7</v>
      </c>
      <c r="J255" s="212">
        <v>46251</v>
      </c>
      <c r="K255" s="11">
        <f t="shared" si="25"/>
        <v>1</v>
      </c>
      <c r="L255" s="212" t="s">
        <v>248</v>
      </c>
      <c r="M255" s="11">
        <f t="shared" si="26"/>
        <v>1</v>
      </c>
      <c r="N255" s="50" t="s">
        <v>426</v>
      </c>
      <c r="O255" s="50" t="s">
        <v>722</v>
      </c>
      <c r="P255" s="56" t="s">
        <v>53</v>
      </c>
      <c r="Q255" s="190">
        <v>11375.090999999999</v>
      </c>
      <c r="R255" s="190">
        <v>11375.090999999999</v>
      </c>
      <c r="S255" s="57">
        <f t="shared" si="27"/>
        <v>0</v>
      </c>
      <c r="T255" s="57"/>
      <c r="U255" s="57"/>
      <c r="V255" s="58">
        <f t="shared" si="28"/>
        <v>1137.5091</v>
      </c>
      <c r="W255" s="59">
        <f t="shared" si="29"/>
        <v>0</v>
      </c>
    </row>
    <row r="256" spans="1:23" hidden="1" x14ac:dyDescent="0.35">
      <c r="A256" s="60"/>
      <c r="B256" s="54">
        <v>255</v>
      </c>
      <c r="C256" s="65" t="s">
        <v>822</v>
      </c>
      <c r="D256" s="110">
        <v>136368</v>
      </c>
      <c r="E256" s="209" t="s">
        <v>945</v>
      </c>
      <c r="F256" s="111">
        <v>139484</v>
      </c>
      <c r="G256" s="212">
        <v>46241</v>
      </c>
      <c r="H256" s="212" t="s">
        <v>253</v>
      </c>
      <c r="I256" s="11">
        <f t="shared" si="24"/>
        <v>8</v>
      </c>
      <c r="J256" s="212">
        <v>46252</v>
      </c>
      <c r="K256" s="11">
        <f t="shared" si="25"/>
        <v>1</v>
      </c>
      <c r="L256" s="212" t="s">
        <v>253</v>
      </c>
      <c r="M256" s="11">
        <f t="shared" si="26"/>
        <v>1</v>
      </c>
      <c r="N256" s="50" t="s">
        <v>427</v>
      </c>
      <c r="O256" s="50" t="s">
        <v>723</v>
      </c>
      <c r="P256" s="56" t="s">
        <v>53</v>
      </c>
      <c r="Q256" s="190">
        <v>114.12173913043478</v>
      </c>
      <c r="R256" s="190">
        <v>114.12173913043478</v>
      </c>
      <c r="S256" s="57">
        <f t="shared" si="27"/>
        <v>0</v>
      </c>
      <c r="T256" s="57"/>
      <c r="U256" s="57"/>
      <c r="V256" s="58">
        <f t="shared" si="28"/>
        <v>11.412173913043478</v>
      </c>
      <c r="W256" s="59">
        <f t="shared" si="29"/>
        <v>0</v>
      </c>
    </row>
    <row r="257" spans="1:23" hidden="1" x14ac:dyDescent="0.35">
      <c r="A257" s="60"/>
      <c r="B257" s="54">
        <v>256</v>
      </c>
      <c r="C257" s="65" t="s">
        <v>822</v>
      </c>
      <c r="D257" s="110">
        <v>136375</v>
      </c>
      <c r="E257" s="209" t="s">
        <v>945</v>
      </c>
      <c r="F257" s="111">
        <v>139489</v>
      </c>
      <c r="G257" s="212">
        <v>46241</v>
      </c>
      <c r="H257" s="212" t="s">
        <v>253</v>
      </c>
      <c r="I257" s="11">
        <f t="shared" si="24"/>
        <v>8</v>
      </c>
      <c r="J257" s="212">
        <v>46252</v>
      </c>
      <c r="K257" s="11">
        <f t="shared" si="25"/>
        <v>1</v>
      </c>
      <c r="L257" s="212" t="s">
        <v>253</v>
      </c>
      <c r="M257" s="11">
        <f t="shared" si="26"/>
        <v>1</v>
      </c>
      <c r="N257" s="50" t="s">
        <v>428</v>
      </c>
      <c r="O257" s="50" t="s">
        <v>724</v>
      </c>
      <c r="P257" s="56" t="s">
        <v>53</v>
      </c>
      <c r="Q257" s="190">
        <v>2437.891304347826</v>
      </c>
      <c r="R257" s="190">
        <v>2437.891304347826</v>
      </c>
      <c r="S257" s="57">
        <f t="shared" si="27"/>
        <v>0</v>
      </c>
      <c r="T257" s="57"/>
      <c r="U257" s="57"/>
      <c r="V257" s="58">
        <f t="shared" si="28"/>
        <v>243.78913043478261</v>
      </c>
      <c r="W257" s="59">
        <f t="shared" si="29"/>
        <v>0</v>
      </c>
    </row>
    <row r="258" spans="1:23" hidden="1" x14ac:dyDescent="0.35">
      <c r="A258" s="60"/>
      <c r="B258" s="54">
        <v>257</v>
      </c>
      <c r="C258" s="65" t="s">
        <v>822</v>
      </c>
      <c r="D258" s="110">
        <v>136247</v>
      </c>
      <c r="E258" s="209" t="s">
        <v>945</v>
      </c>
      <c r="F258" s="111">
        <v>139501</v>
      </c>
      <c r="G258" s="212">
        <v>46244</v>
      </c>
      <c r="H258" s="212" t="s">
        <v>258</v>
      </c>
      <c r="I258" s="11">
        <f t="shared" si="24"/>
        <v>1</v>
      </c>
      <c r="J258" s="212">
        <v>46244</v>
      </c>
      <c r="K258" s="11">
        <f t="shared" si="25"/>
        <v>1</v>
      </c>
      <c r="L258" s="212" t="s">
        <v>258</v>
      </c>
      <c r="M258" s="11">
        <f t="shared" si="26"/>
        <v>1</v>
      </c>
      <c r="N258" s="66" t="s">
        <v>914</v>
      </c>
      <c r="O258" s="50" t="s">
        <v>709</v>
      </c>
      <c r="P258" s="56" t="s">
        <v>53</v>
      </c>
      <c r="Q258" s="190">
        <v>663.82608695652175</v>
      </c>
      <c r="R258" s="190">
        <v>663.82608695652175</v>
      </c>
      <c r="S258" s="57">
        <f t="shared" si="27"/>
        <v>0</v>
      </c>
      <c r="T258" s="57"/>
      <c r="U258" s="57"/>
      <c r="V258" s="58">
        <f t="shared" si="28"/>
        <v>66.382608695652181</v>
      </c>
      <c r="W258" s="59">
        <f t="shared" si="29"/>
        <v>0</v>
      </c>
    </row>
    <row r="259" spans="1:23" hidden="1" x14ac:dyDescent="0.35">
      <c r="A259" s="60"/>
      <c r="B259" s="54">
        <v>258</v>
      </c>
      <c r="C259" s="65" t="s">
        <v>822</v>
      </c>
      <c r="D259" s="110">
        <v>136268</v>
      </c>
      <c r="E259" s="209" t="s">
        <v>945</v>
      </c>
      <c r="F259" s="111">
        <v>139506</v>
      </c>
      <c r="G259" s="212">
        <v>46244</v>
      </c>
      <c r="H259" s="212" t="s">
        <v>254</v>
      </c>
      <c r="I259" s="11">
        <f t="shared" si="24"/>
        <v>2</v>
      </c>
      <c r="J259" s="212">
        <v>46245</v>
      </c>
      <c r="K259" s="11">
        <f t="shared" si="25"/>
        <v>1</v>
      </c>
      <c r="L259" s="212" t="s">
        <v>254</v>
      </c>
      <c r="M259" s="11">
        <f t="shared" si="26"/>
        <v>1</v>
      </c>
      <c r="N259" s="50" t="s">
        <v>429</v>
      </c>
      <c r="O259" s="50" t="s">
        <v>715</v>
      </c>
      <c r="P259" s="56" t="s">
        <v>53</v>
      </c>
      <c r="Q259" s="190">
        <v>14990.874782608696</v>
      </c>
      <c r="R259" s="190">
        <v>14990.874782608696</v>
      </c>
      <c r="S259" s="57">
        <f t="shared" si="27"/>
        <v>0</v>
      </c>
      <c r="T259" s="57"/>
      <c r="U259" s="57"/>
      <c r="V259" s="58">
        <f t="shared" si="28"/>
        <v>1499.0874782608698</v>
      </c>
      <c r="W259" s="59">
        <f t="shared" si="29"/>
        <v>0</v>
      </c>
    </row>
    <row r="260" spans="1:23" hidden="1" x14ac:dyDescent="0.35">
      <c r="A260" s="60"/>
      <c r="B260" s="54">
        <v>259</v>
      </c>
      <c r="C260" s="65" t="s">
        <v>822</v>
      </c>
      <c r="D260" s="110">
        <v>136269</v>
      </c>
      <c r="E260" s="209" t="s">
        <v>945</v>
      </c>
      <c r="F260" s="111">
        <v>139514</v>
      </c>
      <c r="G260" s="212">
        <v>46244</v>
      </c>
      <c r="H260" s="212" t="s">
        <v>254</v>
      </c>
      <c r="I260" s="11">
        <f t="shared" si="24"/>
        <v>2</v>
      </c>
      <c r="J260" s="212">
        <v>46245</v>
      </c>
      <c r="K260" s="11">
        <f t="shared" si="25"/>
        <v>1</v>
      </c>
      <c r="L260" s="212" t="s">
        <v>254</v>
      </c>
      <c r="M260" s="11">
        <f t="shared" si="26"/>
        <v>1</v>
      </c>
      <c r="N260" s="50" t="s">
        <v>430</v>
      </c>
      <c r="O260" s="50" t="s">
        <v>714</v>
      </c>
      <c r="P260" s="56" t="s">
        <v>53</v>
      </c>
      <c r="Q260" s="190">
        <v>13.043478260869565</v>
      </c>
      <c r="R260" s="190">
        <v>13.043478260869565</v>
      </c>
      <c r="S260" s="57">
        <f t="shared" si="27"/>
        <v>0</v>
      </c>
      <c r="T260" s="57"/>
      <c r="U260" s="57"/>
      <c r="V260" s="58">
        <f t="shared" si="28"/>
        <v>1.3043478260869565</v>
      </c>
      <c r="W260" s="59">
        <f t="shared" si="29"/>
        <v>0</v>
      </c>
    </row>
    <row r="261" spans="1:23" hidden="1" x14ac:dyDescent="0.35">
      <c r="A261" s="60"/>
      <c r="B261" s="54">
        <v>260</v>
      </c>
      <c r="C261" s="65" t="s">
        <v>822</v>
      </c>
      <c r="D261" s="110">
        <v>136270</v>
      </c>
      <c r="E261" s="209" t="s">
        <v>946</v>
      </c>
      <c r="F261" s="111">
        <v>139504</v>
      </c>
      <c r="G261" s="212">
        <v>46244</v>
      </c>
      <c r="H261" s="212" t="s">
        <v>254</v>
      </c>
      <c r="I261" s="11">
        <f t="shared" si="24"/>
        <v>2</v>
      </c>
      <c r="J261" s="212">
        <v>46245</v>
      </c>
      <c r="K261" s="11">
        <f t="shared" si="25"/>
        <v>1</v>
      </c>
      <c r="L261" s="212" t="s">
        <v>254</v>
      </c>
      <c r="M261" s="11">
        <f t="shared" si="26"/>
        <v>1</v>
      </c>
      <c r="N261" s="50" t="s">
        <v>431</v>
      </c>
      <c r="O261" s="50" t="s">
        <v>709</v>
      </c>
      <c r="P261" s="56" t="s">
        <v>53</v>
      </c>
      <c r="Q261" s="190">
        <v>49.108695652173914</v>
      </c>
      <c r="R261" s="190">
        <v>49.108695652173914</v>
      </c>
      <c r="S261" s="57">
        <f t="shared" si="27"/>
        <v>0</v>
      </c>
      <c r="T261" s="57"/>
      <c r="U261" s="57"/>
      <c r="V261" s="58">
        <f t="shared" si="28"/>
        <v>4.9108695652173919</v>
      </c>
      <c r="W261" s="59">
        <f t="shared" si="29"/>
        <v>0</v>
      </c>
    </row>
    <row r="262" spans="1:23" hidden="1" x14ac:dyDescent="0.35">
      <c r="A262" s="60"/>
      <c r="B262" s="54">
        <v>261</v>
      </c>
      <c r="C262" s="65" t="s">
        <v>822</v>
      </c>
      <c r="D262" s="12">
        <v>136312</v>
      </c>
      <c r="E262" s="210" t="s">
        <v>945</v>
      </c>
      <c r="F262" s="12">
        <v>139499</v>
      </c>
      <c r="G262" s="212">
        <v>46244</v>
      </c>
      <c r="H262" s="212" t="s">
        <v>254</v>
      </c>
      <c r="I262" s="11">
        <f t="shared" si="24"/>
        <v>2</v>
      </c>
      <c r="J262" s="212">
        <v>46247</v>
      </c>
      <c r="K262" s="11">
        <f t="shared" si="25"/>
        <v>3</v>
      </c>
      <c r="L262" s="212" t="s">
        <v>243</v>
      </c>
      <c r="M262" s="11">
        <f t="shared" si="26"/>
        <v>1</v>
      </c>
      <c r="N262" s="12" t="s">
        <v>432</v>
      </c>
      <c r="O262" s="12" t="s">
        <v>725</v>
      </c>
      <c r="P262" s="56" t="s">
        <v>53</v>
      </c>
      <c r="Q262" s="190">
        <v>7.6076956521739136</v>
      </c>
      <c r="R262" s="190">
        <v>7.6076956521739136</v>
      </c>
      <c r="S262" s="57">
        <f t="shared" si="27"/>
        <v>0</v>
      </c>
      <c r="T262" s="57"/>
      <c r="U262" s="57"/>
      <c r="V262" s="58">
        <f t="shared" si="28"/>
        <v>0.76076956521739136</v>
      </c>
      <c r="W262" s="59">
        <f t="shared" si="29"/>
        <v>0</v>
      </c>
    </row>
    <row r="263" spans="1:23" hidden="1" x14ac:dyDescent="0.35">
      <c r="A263" s="60"/>
      <c r="B263" s="54">
        <v>262</v>
      </c>
      <c r="C263" s="65" t="s">
        <v>822</v>
      </c>
      <c r="D263" s="12">
        <v>136317</v>
      </c>
      <c r="E263" s="210" t="s">
        <v>945</v>
      </c>
      <c r="F263" s="12">
        <v>139500</v>
      </c>
      <c r="G263" s="212">
        <v>46244</v>
      </c>
      <c r="H263" s="212" t="s">
        <v>254</v>
      </c>
      <c r="I263" s="11">
        <f t="shared" si="24"/>
        <v>2</v>
      </c>
      <c r="J263" s="212">
        <v>46247</v>
      </c>
      <c r="K263" s="11">
        <f t="shared" si="25"/>
        <v>3</v>
      </c>
      <c r="L263" s="212" t="s">
        <v>243</v>
      </c>
      <c r="M263" s="11">
        <f t="shared" si="26"/>
        <v>1</v>
      </c>
      <c r="N263" s="12" t="s">
        <v>433</v>
      </c>
      <c r="O263" s="12" t="s">
        <v>664</v>
      </c>
      <c r="P263" s="56" t="s">
        <v>53</v>
      </c>
      <c r="Q263" s="190">
        <v>82.388695652173908</v>
      </c>
      <c r="R263" s="190">
        <v>82.388695652173908</v>
      </c>
      <c r="S263" s="57">
        <f t="shared" si="27"/>
        <v>0</v>
      </c>
      <c r="T263" s="57"/>
      <c r="U263" s="57"/>
      <c r="V263" s="58">
        <f t="shared" si="28"/>
        <v>8.2388695652173904</v>
      </c>
      <c r="W263" s="59">
        <f t="shared" si="29"/>
        <v>0</v>
      </c>
    </row>
    <row r="264" spans="1:23" hidden="1" x14ac:dyDescent="0.35">
      <c r="A264" s="60"/>
      <c r="B264" s="54">
        <v>263</v>
      </c>
      <c r="C264" s="65" t="s">
        <v>822</v>
      </c>
      <c r="D264" s="12">
        <v>136323</v>
      </c>
      <c r="E264" s="210" t="s">
        <v>945</v>
      </c>
      <c r="F264" s="12">
        <v>139498</v>
      </c>
      <c r="G264" s="212">
        <v>46244</v>
      </c>
      <c r="H264" s="212" t="s">
        <v>243</v>
      </c>
      <c r="I264" s="11">
        <f t="shared" si="24"/>
        <v>4</v>
      </c>
      <c r="J264" s="212">
        <v>46248</v>
      </c>
      <c r="K264" s="11">
        <f t="shared" si="25"/>
        <v>2</v>
      </c>
      <c r="L264" s="212" t="s">
        <v>259</v>
      </c>
      <c r="M264" s="11">
        <f t="shared" si="26"/>
        <v>1</v>
      </c>
      <c r="N264" s="12" t="s">
        <v>434</v>
      </c>
      <c r="O264" s="12" t="s">
        <v>622</v>
      </c>
      <c r="P264" s="56" t="s">
        <v>53</v>
      </c>
      <c r="Q264" s="190">
        <v>934.78260869565213</v>
      </c>
      <c r="R264" s="190">
        <v>934.78260869565213</v>
      </c>
      <c r="S264" s="57">
        <f t="shared" si="27"/>
        <v>0</v>
      </c>
      <c r="T264" s="57"/>
      <c r="U264" s="57"/>
      <c r="V264" s="58">
        <f t="shared" si="28"/>
        <v>93.478260869565219</v>
      </c>
      <c r="W264" s="59">
        <f t="shared" si="29"/>
        <v>0</v>
      </c>
    </row>
    <row r="265" spans="1:23" hidden="1" x14ac:dyDescent="0.35">
      <c r="A265" s="60"/>
      <c r="B265" s="54">
        <v>264</v>
      </c>
      <c r="C265" s="65" t="s">
        <v>822</v>
      </c>
      <c r="D265" s="12">
        <v>136324</v>
      </c>
      <c r="E265" s="210" t="s">
        <v>945</v>
      </c>
      <c r="F265" s="12">
        <v>139502</v>
      </c>
      <c r="G265" s="212">
        <v>46244</v>
      </c>
      <c r="H265" s="212" t="s">
        <v>243</v>
      </c>
      <c r="I265" s="11">
        <f t="shared" si="24"/>
        <v>4</v>
      </c>
      <c r="J265" s="212">
        <v>46248</v>
      </c>
      <c r="K265" s="11">
        <f t="shared" si="25"/>
        <v>2</v>
      </c>
      <c r="L265" s="212" t="s">
        <v>259</v>
      </c>
      <c r="M265" s="11">
        <f t="shared" si="26"/>
        <v>1</v>
      </c>
      <c r="N265" s="12" t="s">
        <v>435</v>
      </c>
      <c r="O265" s="12" t="s">
        <v>622</v>
      </c>
      <c r="P265" s="56" t="s">
        <v>53</v>
      </c>
      <c r="Q265" s="190">
        <v>1877.1739130434783</v>
      </c>
      <c r="R265" s="190">
        <v>1877.1739130434783</v>
      </c>
      <c r="S265" s="57">
        <f t="shared" si="27"/>
        <v>0</v>
      </c>
      <c r="T265" s="57"/>
      <c r="U265" s="57"/>
      <c r="V265" s="58">
        <f t="shared" si="28"/>
        <v>187.71739130434784</v>
      </c>
      <c r="W265" s="59">
        <f t="shared" si="29"/>
        <v>0</v>
      </c>
    </row>
    <row r="266" spans="1:23" hidden="1" x14ac:dyDescent="0.35">
      <c r="A266" s="60"/>
      <c r="B266" s="54">
        <v>265</v>
      </c>
      <c r="C266" s="65" t="s">
        <v>822</v>
      </c>
      <c r="D266" s="12">
        <v>136330</v>
      </c>
      <c r="E266" s="210" t="s">
        <v>945</v>
      </c>
      <c r="F266" s="12">
        <v>139503</v>
      </c>
      <c r="G266" s="212">
        <v>46244</v>
      </c>
      <c r="H266" s="212" t="s">
        <v>243</v>
      </c>
      <c r="I266" s="11">
        <f t="shared" si="24"/>
        <v>4</v>
      </c>
      <c r="J266" s="212">
        <v>46251</v>
      </c>
      <c r="K266" s="11">
        <f t="shared" si="25"/>
        <v>3</v>
      </c>
      <c r="L266" s="212" t="s">
        <v>248</v>
      </c>
      <c r="M266" s="11">
        <f t="shared" si="26"/>
        <v>1</v>
      </c>
      <c r="N266" s="12" t="s">
        <v>436</v>
      </c>
      <c r="O266" s="12" t="s">
        <v>726</v>
      </c>
      <c r="P266" s="56" t="s">
        <v>53</v>
      </c>
      <c r="Q266" s="190">
        <v>572.71852173913044</v>
      </c>
      <c r="R266" s="190">
        <v>572.71852173913044</v>
      </c>
      <c r="S266" s="57">
        <f t="shared" si="27"/>
        <v>0</v>
      </c>
      <c r="T266" s="57"/>
      <c r="U266" s="57"/>
      <c r="V266" s="58">
        <f t="shared" si="28"/>
        <v>57.271852173913047</v>
      </c>
      <c r="W266" s="59">
        <f t="shared" si="29"/>
        <v>0</v>
      </c>
    </row>
    <row r="267" spans="1:23" hidden="1" x14ac:dyDescent="0.35">
      <c r="A267" s="60"/>
      <c r="B267" s="54">
        <v>266</v>
      </c>
      <c r="C267" s="65" t="s">
        <v>822</v>
      </c>
      <c r="D267" s="12">
        <v>136331</v>
      </c>
      <c r="E267" s="210" t="s">
        <v>945</v>
      </c>
      <c r="F267" s="12">
        <v>139507</v>
      </c>
      <c r="G267" s="212">
        <v>46244</v>
      </c>
      <c r="H267" s="212" t="s">
        <v>243</v>
      </c>
      <c r="I267" s="11">
        <f t="shared" si="24"/>
        <v>4</v>
      </c>
      <c r="J267" s="212">
        <v>46251</v>
      </c>
      <c r="K267" s="11">
        <f t="shared" si="25"/>
        <v>3</v>
      </c>
      <c r="L267" s="212" t="s">
        <v>248</v>
      </c>
      <c r="M267" s="11">
        <f t="shared" si="26"/>
        <v>1</v>
      </c>
      <c r="N267" s="12" t="s">
        <v>437</v>
      </c>
      <c r="O267" s="12" t="s">
        <v>727</v>
      </c>
      <c r="P267" s="56" t="s">
        <v>53</v>
      </c>
      <c r="Q267" s="190">
        <v>5398.5507260869563</v>
      </c>
      <c r="R267" s="190">
        <v>5398.5507260869563</v>
      </c>
      <c r="S267" s="57">
        <f t="shared" si="27"/>
        <v>0</v>
      </c>
      <c r="T267" s="57"/>
      <c r="U267" s="57"/>
      <c r="V267" s="58">
        <f t="shared" si="28"/>
        <v>539.85507260869565</v>
      </c>
      <c r="W267" s="59">
        <f t="shared" si="29"/>
        <v>0</v>
      </c>
    </row>
    <row r="268" spans="1:23" hidden="1" x14ac:dyDescent="0.35">
      <c r="A268" s="60"/>
      <c r="B268" s="54">
        <v>267</v>
      </c>
      <c r="C268" s="65" t="s">
        <v>822</v>
      </c>
      <c r="D268" s="12">
        <v>136340</v>
      </c>
      <c r="E268" s="209" t="s">
        <v>946</v>
      </c>
      <c r="F268" s="12">
        <v>139497</v>
      </c>
      <c r="G268" s="212">
        <v>46244</v>
      </c>
      <c r="H268" s="212" t="s">
        <v>259</v>
      </c>
      <c r="I268" s="11">
        <f t="shared" si="24"/>
        <v>5</v>
      </c>
      <c r="J268" s="212">
        <v>46251</v>
      </c>
      <c r="K268" s="11">
        <f t="shared" si="25"/>
        <v>2</v>
      </c>
      <c r="L268" s="212" t="s">
        <v>248</v>
      </c>
      <c r="M268" s="11">
        <f t="shared" si="26"/>
        <v>1</v>
      </c>
      <c r="N268" s="12" t="s">
        <v>438</v>
      </c>
      <c r="O268" s="12" t="s">
        <v>612</v>
      </c>
      <c r="P268" s="56" t="s">
        <v>53</v>
      </c>
      <c r="Q268" s="190">
        <v>206.95652173913044</v>
      </c>
      <c r="R268" s="190">
        <v>206.95652173913044</v>
      </c>
      <c r="S268" s="57">
        <f t="shared" si="27"/>
        <v>0</v>
      </c>
      <c r="T268" s="57"/>
      <c r="U268" s="57"/>
      <c r="V268" s="58">
        <f t="shared" si="28"/>
        <v>20.695652173913047</v>
      </c>
      <c r="W268" s="59">
        <f t="shared" si="29"/>
        <v>0</v>
      </c>
    </row>
    <row r="269" spans="1:23" hidden="1" x14ac:dyDescent="0.35">
      <c r="A269" s="60"/>
      <c r="B269" s="54">
        <v>268</v>
      </c>
      <c r="C269" s="65" t="s">
        <v>822</v>
      </c>
      <c r="D269" s="12">
        <v>136342</v>
      </c>
      <c r="E269" s="209" t="s">
        <v>946</v>
      </c>
      <c r="F269" s="12">
        <v>139505</v>
      </c>
      <c r="G269" s="212">
        <v>46244</v>
      </c>
      <c r="H269" s="212" t="s">
        <v>259</v>
      </c>
      <c r="I269" s="11">
        <f t="shared" si="24"/>
        <v>5</v>
      </c>
      <c r="J269" s="212">
        <v>46251</v>
      </c>
      <c r="K269" s="11">
        <f t="shared" si="25"/>
        <v>2</v>
      </c>
      <c r="L269" s="212" t="s">
        <v>248</v>
      </c>
      <c r="M269" s="11">
        <f t="shared" si="26"/>
        <v>1</v>
      </c>
      <c r="N269" s="12" t="s">
        <v>439</v>
      </c>
      <c r="O269" s="12" t="s">
        <v>728</v>
      </c>
      <c r="P269" s="56" t="s">
        <v>53</v>
      </c>
      <c r="Q269" s="197">
        <v>645.6521739130435</v>
      </c>
      <c r="R269" s="197">
        <v>645.6521739130435</v>
      </c>
      <c r="S269" s="57">
        <f t="shared" si="27"/>
        <v>0</v>
      </c>
      <c r="T269" s="57"/>
      <c r="U269" s="57"/>
      <c r="V269" s="58">
        <f t="shared" si="28"/>
        <v>64.565217391304358</v>
      </c>
      <c r="W269" s="59">
        <f t="shared" si="29"/>
        <v>0</v>
      </c>
    </row>
    <row r="270" spans="1:23" hidden="1" x14ac:dyDescent="0.35">
      <c r="A270" s="60"/>
      <c r="B270" s="54">
        <v>269</v>
      </c>
      <c r="C270" s="65" t="s">
        <v>822</v>
      </c>
      <c r="D270" s="12">
        <v>136346</v>
      </c>
      <c r="E270" s="210" t="s">
        <v>945</v>
      </c>
      <c r="F270" s="12">
        <v>139496</v>
      </c>
      <c r="G270" s="212">
        <v>46244</v>
      </c>
      <c r="H270" s="212" t="s">
        <v>259</v>
      </c>
      <c r="I270" s="11">
        <f t="shared" si="24"/>
        <v>5</v>
      </c>
      <c r="J270" s="212">
        <v>46251</v>
      </c>
      <c r="K270" s="11">
        <f t="shared" si="25"/>
        <v>2</v>
      </c>
      <c r="L270" s="212" t="s">
        <v>248</v>
      </c>
      <c r="M270" s="11">
        <f t="shared" si="26"/>
        <v>1</v>
      </c>
      <c r="N270" s="12" t="s">
        <v>440</v>
      </c>
      <c r="O270" s="12" t="s">
        <v>605</v>
      </c>
      <c r="P270" s="56" t="s">
        <v>53</v>
      </c>
      <c r="Q270" s="190">
        <v>189.13043478260869</v>
      </c>
      <c r="R270" s="190">
        <v>189.13043478260869</v>
      </c>
      <c r="S270" s="57">
        <f t="shared" si="27"/>
        <v>0</v>
      </c>
      <c r="T270" s="57"/>
      <c r="U270" s="57"/>
      <c r="V270" s="58">
        <f t="shared" si="28"/>
        <v>18.913043478260871</v>
      </c>
      <c r="W270" s="59">
        <f t="shared" si="29"/>
        <v>0</v>
      </c>
    </row>
    <row r="271" spans="1:23" hidden="1" x14ac:dyDescent="0.35">
      <c r="A271" s="60"/>
      <c r="B271" s="54">
        <v>270</v>
      </c>
      <c r="C271" s="65" t="s">
        <v>822</v>
      </c>
      <c r="D271" s="12">
        <v>136348</v>
      </c>
      <c r="E271" s="210" t="s">
        <v>945</v>
      </c>
      <c r="F271" s="12">
        <v>139495</v>
      </c>
      <c r="G271" s="212">
        <v>46244</v>
      </c>
      <c r="H271" s="212" t="s">
        <v>259</v>
      </c>
      <c r="I271" s="11">
        <f t="shared" si="24"/>
        <v>5</v>
      </c>
      <c r="J271" s="212">
        <v>46251</v>
      </c>
      <c r="K271" s="11">
        <f t="shared" si="25"/>
        <v>2</v>
      </c>
      <c r="L271" s="212" t="s">
        <v>248</v>
      </c>
      <c r="M271" s="11">
        <f t="shared" si="26"/>
        <v>1</v>
      </c>
      <c r="N271" s="12" t="s">
        <v>440</v>
      </c>
      <c r="O271" s="12" t="s">
        <v>605</v>
      </c>
      <c r="P271" s="56" t="s">
        <v>53</v>
      </c>
      <c r="Q271" s="190">
        <v>170.86956521739131</v>
      </c>
      <c r="R271" s="190">
        <v>170.86956521739131</v>
      </c>
      <c r="S271" s="57">
        <f t="shared" si="27"/>
        <v>0</v>
      </c>
      <c r="T271" s="57"/>
      <c r="U271" s="57"/>
      <c r="V271" s="58">
        <f t="shared" si="28"/>
        <v>17.086956521739133</v>
      </c>
      <c r="W271" s="59">
        <f t="shared" si="29"/>
        <v>0</v>
      </c>
    </row>
    <row r="272" spans="1:23" hidden="1" x14ac:dyDescent="0.35">
      <c r="A272" s="60"/>
      <c r="B272" s="54">
        <v>271</v>
      </c>
      <c r="C272" s="65" t="s">
        <v>822</v>
      </c>
      <c r="D272" s="12">
        <v>136350</v>
      </c>
      <c r="E272" s="210" t="s">
        <v>945</v>
      </c>
      <c r="F272" s="12">
        <v>139510</v>
      </c>
      <c r="G272" s="212">
        <v>46244</v>
      </c>
      <c r="H272" s="212" t="s">
        <v>248</v>
      </c>
      <c r="I272" s="11">
        <f t="shared" si="24"/>
        <v>6</v>
      </c>
      <c r="J272" s="212">
        <v>46251</v>
      </c>
      <c r="K272" s="11">
        <f t="shared" si="25"/>
        <v>1</v>
      </c>
      <c r="L272" s="212" t="s">
        <v>248</v>
      </c>
      <c r="M272" s="11">
        <f t="shared" si="26"/>
        <v>1</v>
      </c>
      <c r="N272" s="12" t="s">
        <v>441</v>
      </c>
      <c r="O272" s="12" t="s">
        <v>729</v>
      </c>
      <c r="P272" s="56" t="s">
        <v>53</v>
      </c>
      <c r="Q272" s="190">
        <v>117.39130434782609</v>
      </c>
      <c r="R272" s="190">
        <v>117.39130434782609</v>
      </c>
      <c r="S272" s="57">
        <f t="shared" si="27"/>
        <v>0</v>
      </c>
      <c r="T272" s="57"/>
      <c r="U272" s="57"/>
      <c r="V272" s="58">
        <f t="shared" si="28"/>
        <v>11.739130434782609</v>
      </c>
      <c r="W272" s="59">
        <f t="shared" si="29"/>
        <v>0</v>
      </c>
    </row>
    <row r="273" spans="1:23" hidden="1" x14ac:dyDescent="0.35">
      <c r="A273" s="60"/>
      <c r="B273" s="54">
        <v>272</v>
      </c>
      <c r="C273" s="65" t="s">
        <v>822</v>
      </c>
      <c r="D273" s="12">
        <v>136367</v>
      </c>
      <c r="E273" s="210" t="s">
        <v>946</v>
      </c>
      <c r="F273" s="12">
        <v>139508</v>
      </c>
      <c r="G273" s="212">
        <v>46244</v>
      </c>
      <c r="H273" s="212" t="s">
        <v>253</v>
      </c>
      <c r="I273" s="11">
        <f t="shared" si="24"/>
        <v>7</v>
      </c>
      <c r="J273" s="212">
        <v>46252</v>
      </c>
      <c r="K273" s="11">
        <f t="shared" si="25"/>
        <v>1</v>
      </c>
      <c r="L273" s="212" t="s">
        <v>253</v>
      </c>
      <c r="M273" s="11">
        <f t="shared" si="26"/>
        <v>1</v>
      </c>
      <c r="N273" s="12" t="s">
        <v>915</v>
      </c>
      <c r="O273" s="12" t="s">
        <v>615</v>
      </c>
      <c r="P273" s="56" t="s">
        <v>53</v>
      </c>
      <c r="Q273" s="190">
        <v>81.521739130434781</v>
      </c>
      <c r="R273" s="190">
        <v>81.521739130434781</v>
      </c>
      <c r="S273" s="57">
        <f t="shared" si="27"/>
        <v>0</v>
      </c>
      <c r="T273" s="57"/>
      <c r="U273" s="57"/>
      <c r="V273" s="58">
        <f t="shared" si="28"/>
        <v>8.1521739130434785</v>
      </c>
      <c r="W273" s="59">
        <f t="shared" si="29"/>
        <v>0</v>
      </c>
    </row>
    <row r="274" spans="1:23" hidden="1" x14ac:dyDescent="0.35">
      <c r="A274" s="60"/>
      <c r="B274" s="54">
        <v>273</v>
      </c>
      <c r="C274" s="65" t="s">
        <v>822</v>
      </c>
      <c r="D274" s="12">
        <v>136369</v>
      </c>
      <c r="E274" s="210" t="s">
        <v>945</v>
      </c>
      <c r="F274" s="12">
        <v>139509</v>
      </c>
      <c r="G274" s="212">
        <v>46244</v>
      </c>
      <c r="H274" s="212" t="s">
        <v>253</v>
      </c>
      <c r="I274" s="11">
        <f t="shared" si="24"/>
        <v>7</v>
      </c>
      <c r="J274" s="212">
        <v>46252</v>
      </c>
      <c r="K274" s="11">
        <f t="shared" si="25"/>
        <v>1</v>
      </c>
      <c r="L274" s="212" t="s">
        <v>253</v>
      </c>
      <c r="M274" s="11">
        <f t="shared" si="26"/>
        <v>1</v>
      </c>
      <c r="N274" s="12" t="s">
        <v>916</v>
      </c>
      <c r="O274" s="12" t="s">
        <v>730</v>
      </c>
      <c r="P274" s="56" t="s">
        <v>53</v>
      </c>
      <c r="Q274" s="190">
        <v>43.478260869565219</v>
      </c>
      <c r="R274" s="190">
        <v>43.478260869565219</v>
      </c>
      <c r="S274" s="57">
        <f t="shared" si="27"/>
        <v>0</v>
      </c>
      <c r="T274" s="57"/>
      <c r="U274" s="57"/>
      <c r="V274" s="58">
        <f t="shared" si="28"/>
        <v>4.3478260869565224</v>
      </c>
      <c r="W274" s="59">
        <f t="shared" si="29"/>
        <v>0</v>
      </c>
    </row>
    <row r="275" spans="1:23" hidden="1" x14ac:dyDescent="0.35">
      <c r="A275" s="60"/>
      <c r="B275" s="54">
        <v>274</v>
      </c>
      <c r="C275" s="65" t="s">
        <v>822</v>
      </c>
      <c r="D275" s="12">
        <v>136412</v>
      </c>
      <c r="E275" s="209" t="s">
        <v>946</v>
      </c>
      <c r="F275" s="12">
        <v>139511</v>
      </c>
      <c r="G275" s="212">
        <v>46244</v>
      </c>
      <c r="H275" s="212" t="s">
        <v>259</v>
      </c>
      <c r="I275" s="11">
        <f t="shared" si="24"/>
        <v>5</v>
      </c>
      <c r="J275" s="212">
        <v>46254</v>
      </c>
      <c r="K275" s="11">
        <f t="shared" si="25"/>
        <v>5</v>
      </c>
      <c r="L275" s="212" t="s">
        <v>263</v>
      </c>
      <c r="M275" s="11">
        <f t="shared" si="26"/>
        <v>1</v>
      </c>
      <c r="N275" s="12" t="s">
        <v>442</v>
      </c>
      <c r="O275" s="12" t="s">
        <v>617</v>
      </c>
      <c r="P275" s="56" t="s">
        <v>53</v>
      </c>
      <c r="Q275" s="190">
        <v>2447.391304347826</v>
      </c>
      <c r="R275" s="190">
        <v>2447.391304347826</v>
      </c>
      <c r="S275" s="57">
        <f t="shared" si="27"/>
        <v>0</v>
      </c>
      <c r="T275" s="57"/>
      <c r="U275" s="57"/>
      <c r="V275" s="58">
        <f t="shared" si="28"/>
        <v>244.73913043478262</v>
      </c>
      <c r="W275" s="59">
        <f t="shared" si="29"/>
        <v>0</v>
      </c>
    </row>
    <row r="276" spans="1:23" hidden="1" x14ac:dyDescent="0.35">
      <c r="A276" s="60"/>
      <c r="B276" s="54">
        <v>275</v>
      </c>
      <c r="C276" s="65" t="s">
        <v>822</v>
      </c>
      <c r="D276" s="12">
        <v>136414</v>
      </c>
      <c r="E276" s="210" t="s">
        <v>945</v>
      </c>
      <c r="F276" s="12">
        <v>139512</v>
      </c>
      <c r="G276" s="212">
        <v>46244</v>
      </c>
      <c r="H276" s="212" t="s">
        <v>248</v>
      </c>
      <c r="I276" s="11">
        <f t="shared" si="24"/>
        <v>6</v>
      </c>
      <c r="J276" s="212">
        <v>46254</v>
      </c>
      <c r="K276" s="11">
        <f t="shared" si="25"/>
        <v>4</v>
      </c>
      <c r="L276" s="212" t="s">
        <v>263</v>
      </c>
      <c r="M276" s="11">
        <f t="shared" si="26"/>
        <v>1</v>
      </c>
      <c r="N276" s="12" t="s">
        <v>443</v>
      </c>
      <c r="O276" s="12" t="s">
        <v>731</v>
      </c>
      <c r="P276" s="56" t="s">
        <v>53</v>
      </c>
      <c r="Q276" s="190">
        <v>86.956521739130437</v>
      </c>
      <c r="R276" s="190">
        <v>86.956521739130437</v>
      </c>
      <c r="S276" s="57">
        <f t="shared" si="27"/>
        <v>0</v>
      </c>
      <c r="T276" s="57"/>
      <c r="U276" s="57"/>
      <c r="V276" s="58">
        <f t="shared" si="28"/>
        <v>8.6956521739130448</v>
      </c>
      <c r="W276" s="59">
        <f t="shared" si="29"/>
        <v>0</v>
      </c>
    </row>
    <row r="277" spans="1:23" hidden="1" x14ac:dyDescent="0.35">
      <c r="A277" s="60"/>
      <c r="B277" s="54">
        <v>276</v>
      </c>
      <c r="C277" s="65" t="s">
        <v>822</v>
      </c>
      <c r="D277" s="12">
        <v>136273</v>
      </c>
      <c r="E277" s="210" t="s">
        <v>945</v>
      </c>
      <c r="F277" s="12">
        <v>139538</v>
      </c>
      <c r="G277" s="212">
        <v>46245</v>
      </c>
      <c r="H277" s="212" t="s">
        <v>252</v>
      </c>
      <c r="I277" s="11">
        <f t="shared" si="24"/>
        <v>2</v>
      </c>
      <c r="J277" s="212">
        <v>46246</v>
      </c>
      <c r="K277" s="11">
        <f t="shared" si="25"/>
        <v>1</v>
      </c>
      <c r="L277" s="212" t="s">
        <v>252</v>
      </c>
      <c r="M277" s="11">
        <f t="shared" si="26"/>
        <v>1</v>
      </c>
      <c r="N277" s="12" t="s">
        <v>917</v>
      </c>
      <c r="O277" s="12" t="s">
        <v>732</v>
      </c>
      <c r="P277" s="56" t="s">
        <v>53</v>
      </c>
      <c r="Q277" s="190">
        <v>2391.304347826087</v>
      </c>
      <c r="R277" s="190">
        <v>2391.304347826087</v>
      </c>
      <c r="S277" s="57">
        <f t="shared" si="27"/>
        <v>0</v>
      </c>
      <c r="T277" s="57"/>
      <c r="U277" s="57"/>
      <c r="V277" s="58">
        <f t="shared" si="28"/>
        <v>239.13043478260872</v>
      </c>
      <c r="W277" s="59">
        <f t="shared" si="29"/>
        <v>0</v>
      </c>
    </row>
    <row r="278" spans="1:23" hidden="1" x14ac:dyDescent="0.35">
      <c r="A278" s="60"/>
      <c r="B278" s="54">
        <v>277</v>
      </c>
      <c r="C278" s="65" t="s">
        <v>822</v>
      </c>
      <c r="D278" s="12">
        <v>136274</v>
      </c>
      <c r="E278" s="210" t="s">
        <v>945</v>
      </c>
      <c r="F278" s="12">
        <v>139523</v>
      </c>
      <c r="G278" s="212">
        <v>46245</v>
      </c>
      <c r="H278" s="212" t="s">
        <v>252</v>
      </c>
      <c r="I278" s="11">
        <f t="shared" si="24"/>
        <v>2</v>
      </c>
      <c r="J278" s="212">
        <v>46246</v>
      </c>
      <c r="K278" s="11">
        <f t="shared" si="25"/>
        <v>1</v>
      </c>
      <c r="L278" s="212" t="s">
        <v>252</v>
      </c>
      <c r="M278" s="11">
        <f t="shared" si="26"/>
        <v>1</v>
      </c>
      <c r="N278" s="12" t="s">
        <v>444</v>
      </c>
      <c r="O278" s="12" t="s">
        <v>733</v>
      </c>
      <c r="P278" s="56" t="s">
        <v>53</v>
      </c>
      <c r="Q278" s="190">
        <v>130.43478260869566</v>
      </c>
      <c r="R278" s="190">
        <v>130.43478260869566</v>
      </c>
      <c r="S278" s="57">
        <f t="shared" si="27"/>
        <v>0</v>
      </c>
      <c r="T278" s="57"/>
      <c r="U278" s="57"/>
      <c r="V278" s="58">
        <f t="shared" si="28"/>
        <v>13.043478260869566</v>
      </c>
      <c r="W278" s="59">
        <f t="shared" si="29"/>
        <v>0</v>
      </c>
    </row>
    <row r="279" spans="1:23" hidden="1" x14ac:dyDescent="0.35">
      <c r="A279" s="60"/>
      <c r="B279" s="54">
        <v>278</v>
      </c>
      <c r="C279" s="65" t="s">
        <v>822</v>
      </c>
      <c r="D279" s="12">
        <v>136275</v>
      </c>
      <c r="E279" s="210" t="s">
        <v>946</v>
      </c>
      <c r="F279" s="12">
        <v>139542</v>
      </c>
      <c r="G279" s="212">
        <v>46245</v>
      </c>
      <c r="H279" s="212" t="s">
        <v>252</v>
      </c>
      <c r="I279" s="11">
        <f t="shared" si="24"/>
        <v>2</v>
      </c>
      <c r="J279" s="212">
        <v>46246</v>
      </c>
      <c r="K279" s="11">
        <f t="shared" si="25"/>
        <v>1</v>
      </c>
      <c r="L279" s="212" t="s">
        <v>252</v>
      </c>
      <c r="M279" s="11">
        <f t="shared" si="26"/>
        <v>1</v>
      </c>
      <c r="N279" s="12" t="s">
        <v>445</v>
      </c>
      <c r="O279" s="12" t="s">
        <v>734</v>
      </c>
      <c r="P279" s="56" t="s">
        <v>53</v>
      </c>
      <c r="Q279" s="190">
        <v>117.11893878260871</v>
      </c>
      <c r="R279" s="190">
        <v>117.11893878260871</v>
      </c>
      <c r="S279" s="57">
        <f t="shared" si="27"/>
        <v>0</v>
      </c>
      <c r="T279" s="57"/>
      <c r="U279" s="57"/>
      <c r="V279" s="58">
        <f t="shared" si="28"/>
        <v>11.711893878260872</v>
      </c>
      <c r="W279" s="59">
        <f t="shared" si="29"/>
        <v>0</v>
      </c>
    </row>
    <row r="280" spans="1:23" hidden="1" x14ac:dyDescent="0.35">
      <c r="A280" s="60"/>
      <c r="B280" s="54">
        <v>279</v>
      </c>
      <c r="C280" s="65" t="s">
        <v>822</v>
      </c>
      <c r="D280" s="12">
        <v>136276</v>
      </c>
      <c r="E280" s="210" t="s">
        <v>945</v>
      </c>
      <c r="F280" s="12">
        <v>139447</v>
      </c>
      <c r="G280" s="212">
        <v>46245</v>
      </c>
      <c r="H280" s="212" t="s">
        <v>252</v>
      </c>
      <c r="I280" s="11">
        <f t="shared" si="24"/>
        <v>2</v>
      </c>
      <c r="J280" s="212">
        <v>46246</v>
      </c>
      <c r="K280" s="11">
        <f t="shared" si="25"/>
        <v>1</v>
      </c>
      <c r="L280" s="212" t="s">
        <v>252</v>
      </c>
      <c r="M280" s="11">
        <f t="shared" si="26"/>
        <v>1</v>
      </c>
      <c r="N280" s="12" t="s">
        <v>446</v>
      </c>
      <c r="O280" s="12" t="s">
        <v>735</v>
      </c>
      <c r="P280" s="56" t="s">
        <v>53</v>
      </c>
      <c r="Q280" s="190">
        <v>9990</v>
      </c>
      <c r="R280" s="190">
        <v>9990</v>
      </c>
      <c r="S280" s="57">
        <f t="shared" si="27"/>
        <v>0</v>
      </c>
      <c r="T280" s="57"/>
      <c r="U280" s="57"/>
      <c r="V280" s="58">
        <f t="shared" si="28"/>
        <v>999</v>
      </c>
      <c r="W280" s="59">
        <f t="shared" si="29"/>
        <v>0</v>
      </c>
    </row>
    <row r="281" spans="1:23" hidden="1" x14ac:dyDescent="0.35">
      <c r="A281" s="60"/>
      <c r="B281" s="54">
        <v>280</v>
      </c>
      <c r="C281" s="65" t="s">
        <v>822</v>
      </c>
      <c r="D281" s="12">
        <v>136277</v>
      </c>
      <c r="E281" s="210" t="s">
        <v>945</v>
      </c>
      <c r="F281" s="12">
        <v>139543</v>
      </c>
      <c r="G281" s="212">
        <v>46245</v>
      </c>
      <c r="H281" s="212" t="s">
        <v>252</v>
      </c>
      <c r="I281" s="11">
        <f t="shared" si="24"/>
        <v>2</v>
      </c>
      <c r="J281" s="212">
        <v>46246</v>
      </c>
      <c r="K281" s="11">
        <f t="shared" si="25"/>
        <v>1</v>
      </c>
      <c r="L281" s="212" t="s">
        <v>252</v>
      </c>
      <c r="M281" s="11">
        <f t="shared" si="26"/>
        <v>1</v>
      </c>
      <c r="N281" s="12" t="s">
        <v>447</v>
      </c>
      <c r="O281" s="12" t="s">
        <v>736</v>
      </c>
      <c r="P281" s="56" t="s">
        <v>53</v>
      </c>
      <c r="Q281" s="190">
        <v>32608.695652173912</v>
      </c>
      <c r="R281" s="190">
        <v>32608.695652173912</v>
      </c>
      <c r="S281" s="57">
        <f t="shared" si="27"/>
        <v>0</v>
      </c>
      <c r="T281" s="57"/>
      <c r="U281" s="57"/>
      <c r="V281" s="58">
        <f t="shared" si="28"/>
        <v>3260.8695652173915</v>
      </c>
      <c r="W281" s="59">
        <f t="shared" si="29"/>
        <v>0</v>
      </c>
    </row>
    <row r="282" spans="1:23" hidden="1" x14ac:dyDescent="0.35">
      <c r="A282" s="60"/>
      <c r="B282" s="54">
        <v>281</v>
      </c>
      <c r="C282" s="65" t="s">
        <v>822</v>
      </c>
      <c r="D282" s="12">
        <v>136319</v>
      </c>
      <c r="E282" s="210" t="s">
        <v>945</v>
      </c>
      <c r="F282" s="12">
        <v>139541</v>
      </c>
      <c r="G282" s="212">
        <v>46245</v>
      </c>
      <c r="H282" s="212" t="s">
        <v>243</v>
      </c>
      <c r="I282" s="11">
        <f t="shared" si="24"/>
        <v>3</v>
      </c>
      <c r="J282" s="212">
        <v>46248</v>
      </c>
      <c r="K282" s="11">
        <f t="shared" si="25"/>
        <v>2</v>
      </c>
      <c r="L282" s="212" t="s">
        <v>259</v>
      </c>
      <c r="M282" s="11">
        <f t="shared" si="26"/>
        <v>1</v>
      </c>
      <c r="N282" s="12" t="s">
        <v>448</v>
      </c>
      <c r="O282" s="12" t="s">
        <v>709</v>
      </c>
      <c r="P282" s="56" t="s">
        <v>53</v>
      </c>
      <c r="Q282" s="190">
        <v>450.76086956521738</v>
      </c>
      <c r="R282" s="190">
        <v>450.76086956521738</v>
      </c>
      <c r="S282" s="57">
        <f t="shared" si="27"/>
        <v>0</v>
      </c>
      <c r="T282" s="57"/>
      <c r="U282" s="57"/>
      <c r="V282" s="58">
        <f t="shared" si="28"/>
        <v>45.076086956521742</v>
      </c>
      <c r="W282" s="59">
        <f t="shared" si="29"/>
        <v>0</v>
      </c>
    </row>
    <row r="283" spans="1:23" hidden="1" x14ac:dyDescent="0.35">
      <c r="A283" s="60"/>
      <c r="B283" s="54">
        <v>282</v>
      </c>
      <c r="C283" s="65" t="s">
        <v>822</v>
      </c>
      <c r="D283" s="12">
        <v>136333</v>
      </c>
      <c r="E283" s="210" t="s">
        <v>945</v>
      </c>
      <c r="F283" s="12">
        <v>139528</v>
      </c>
      <c r="G283" s="212">
        <v>46245</v>
      </c>
      <c r="H283" s="212" t="s">
        <v>243</v>
      </c>
      <c r="I283" s="11">
        <f t="shared" si="24"/>
        <v>3</v>
      </c>
      <c r="J283" s="212">
        <v>46251</v>
      </c>
      <c r="K283" s="11">
        <f t="shared" si="25"/>
        <v>3</v>
      </c>
      <c r="L283" s="212" t="s">
        <v>248</v>
      </c>
      <c r="M283" s="11">
        <f t="shared" si="26"/>
        <v>1</v>
      </c>
      <c r="N283" s="12" t="s">
        <v>449</v>
      </c>
      <c r="O283" s="12" t="s">
        <v>655</v>
      </c>
      <c r="P283" s="56" t="s">
        <v>53</v>
      </c>
      <c r="Q283" s="190">
        <v>1364.7824217391303</v>
      </c>
      <c r="R283" s="190">
        <v>1364.7824217391303</v>
      </c>
      <c r="S283" s="57">
        <f t="shared" si="27"/>
        <v>0</v>
      </c>
      <c r="T283" s="57"/>
      <c r="U283" s="57"/>
      <c r="V283" s="58">
        <f t="shared" si="28"/>
        <v>136.47824217391303</v>
      </c>
      <c r="W283" s="59">
        <f t="shared" si="29"/>
        <v>0</v>
      </c>
    </row>
    <row r="284" spans="1:23" hidden="1" x14ac:dyDescent="0.35">
      <c r="A284" s="60"/>
      <c r="B284" s="54">
        <v>283</v>
      </c>
      <c r="C284" s="65" t="s">
        <v>822</v>
      </c>
      <c r="D284" s="12">
        <v>136334</v>
      </c>
      <c r="E284" s="210" t="s">
        <v>945</v>
      </c>
      <c r="F284" s="12">
        <v>139534</v>
      </c>
      <c r="G284" s="212">
        <v>46245</v>
      </c>
      <c r="H284" s="212" t="s">
        <v>243</v>
      </c>
      <c r="I284" s="11">
        <f t="shared" si="24"/>
        <v>3</v>
      </c>
      <c r="J284" s="212">
        <v>46251</v>
      </c>
      <c r="K284" s="11">
        <f t="shared" si="25"/>
        <v>3</v>
      </c>
      <c r="L284" s="212" t="s">
        <v>248</v>
      </c>
      <c r="M284" s="11">
        <f t="shared" si="26"/>
        <v>1</v>
      </c>
      <c r="N284" s="12" t="s">
        <v>450</v>
      </c>
      <c r="O284" s="12" t="s">
        <v>737</v>
      </c>
      <c r="P284" s="56" t="s">
        <v>53</v>
      </c>
      <c r="Q284" s="190">
        <v>934.78260869565213</v>
      </c>
      <c r="R284" s="190">
        <v>934.78260869565213</v>
      </c>
      <c r="S284" s="57">
        <f t="shared" si="27"/>
        <v>0</v>
      </c>
      <c r="T284" s="57"/>
      <c r="U284" s="57"/>
      <c r="V284" s="58">
        <f t="shared" si="28"/>
        <v>93.478260869565219</v>
      </c>
      <c r="W284" s="59">
        <f t="shared" si="29"/>
        <v>0</v>
      </c>
    </row>
    <row r="285" spans="1:23" hidden="1" x14ac:dyDescent="0.35">
      <c r="A285" s="60"/>
      <c r="B285" s="54">
        <v>284</v>
      </c>
      <c r="C285" s="65" t="s">
        <v>822</v>
      </c>
      <c r="D285" s="12">
        <v>136338</v>
      </c>
      <c r="E285" s="210" t="s">
        <v>945</v>
      </c>
      <c r="F285" s="12">
        <v>139548</v>
      </c>
      <c r="G285" s="212">
        <v>46245</v>
      </c>
      <c r="H285" s="212" t="s">
        <v>259</v>
      </c>
      <c r="I285" s="11">
        <f t="shared" si="24"/>
        <v>4</v>
      </c>
      <c r="J285" s="212">
        <v>46251</v>
      </c>
      <c r="K285" s="11">
        <f t="shared" si="25"/>
        <v>2</v>
      </c>
      <c r="L285" s="212" t="s">
        <v>248</v>
      </c>
      <c r="M285" s="11">
        <f t="shared" si="26"/>
        <v>1</v>
      </c>
      <c r="N285" s="12" t="s">
        <v>451</v>
      </c>
      <c r="O285" s="12" t="s">
        <v>709</v>
      </c>
      <c r="P285" s="56" t="s">
        <v>53</v>
      </c>
      <c r="Q285" s="190">
        <v>434.63043478260869</v>
      </c>
      <c r="R285" s="190">
        <v>434.63043478260869</v>
      </c>
      <c r="S285" s="57">
        <f t="shared" si="27"/>
        <v>0</v>
      </c>
      <c r="T285" s="57"/>
      <c r="U285" s="57"/>
      <c r="V285" s="58">
        <f t="shared" si="28"/>
        <v>43.463043478260872</v>
      </c>
      <c r="W285" s="59">
        <f t="shared" si="29"/>
        <v>0</v>
      </c>
    </row>
    <row r="286" spans="1:23" hidden="1" x14ac:dyDescent="0.35">
      <c r="A286" s="60"/>
      <c r="B286" s="54">
        <v>285</v>
      </c>
      <c r="C286" s="65" t="s">
        <v>822</v>
      </c>
      <c r="D286" s="12">
        <v>136343</v>
      </c>
      <c r="E286" s="210" t="s">
        <v>945</v>
      </c>
      <c r="F286" s="12">
        <v>139522</v>
      </c>
      <c r="G286" s="212">
        <v>46245</v>
      </c>
      <c r="H286" s="212" t="s">
        <v>259</v>
      </c>
      <c r="I286" s="11">
        <f t="shared" si="24"/>
        <v>4</v>
      </c>
      <c r="J286" s="212">
        <v>46251</v>
      </c>
      <c r="K286" s="11">
        <f t="shared" si="25"/>
        <v>2</v>
      </c>
      <c r="L286" s="212" t="s">
        <v>248</v>
      </c>
      <c r="M286" s="11">
        <f t="shared" si="26"/>
        <v>1</v>
      </c>
      <c r="N286" s="12" t="s">
        <v>452</v>
      </c>
      <c r="O286" s="12" t="s">
        <v>623</v>
      </c>
      <c r="P286" s="56" t="s">
        <v>53</v>
      </c>
      <c r="Q286" s="190">
        <v>12065.217391304348</v>
      </c>
      <c r="R286" s="190">
        <v>12065.217391304348</v>
      </c>
      <c r="S286" s="57">
        <f t="shared" si="27"/>
        <v>0</v>
      </c>
      <c r="T286" s="57"/>
      <c r="U286" s="57"/>
      <c r="V286" s="58">
        <f t="shared" si="28"/>
        <v>1206.5217391304348</v>
      </c>
      <c r="W286" s="59">
        <f t="shared" si="29"/>
        <v>0</v>
      </c>
    </row>
    <row r="287" spans="1:23" hidden="1" x14ac:dyDescent="0.35">
      <c r="A287" s="60"/>
      <c r="B287" s="54">
        <v>286</v>
      </c>
      <c r="C287" s="65" t="s">
        <v>822</v>
      </c>
      <c r="D287" s="12">
        <v>136344</v>
      </c>
      <c r="E287" s="210" t="s">
        <v>945</v>
      </c>
      <c r="F287" s="12">
        <v>139521</v>
      </c>
      <c r="G287" s="212">
        <v>46245</v>
      </c>
      <c r="H287" s="212" t="s">
        <v>259</v>
      </c>
      <c r="I287" s="11">
        <f t="shared" si="24"/>
        <v>4</v>
      </c>
      <c r="J287" s="212">
        <v>46251</v>
      </c>
      <c r="K287" s="11">
        <f t="shared" si="25"/>
        <v>2</v>
      </c>
      <c r="L287" s="212" t="s">
        <v>248</v>
      </c>
      <c r="M287" s="11">
        <f t="shared" si="26"/>
        <v>1</v>
      </c>
      <c r="N287" s="12" t="s">
        <v>412</v>
      </c>
      <c r="O287" s="12" t="s">
        <v>641</v>
      </c>
      <c r="P287" s="56" t="s">
        <v>53</v>
      </c>
      <c r="Q287" s="190">
        <v>2515.0652173913045</v>
      </c>
      <c r="R287" s="190">
        <v>2515.0652173913045</v>
      </c>
      <c r="S287" s="57">
        <f t="shared" si="27"/>
        <v>0</v>
      </c>
      <c r="T287" s="57"/>
      <c r="U287" s="57"/>
      <c r="V287" s="58">
        <f t="shared" si="28"/>
        <v>251.50652173913045</v>
      </c>
      <c r="W287" s="59">
        <f t="shared" si="29"/>
        <v>0</v>
      </c>
    </row>
    <row r="288" spans="1:23" hidden="1" x14ac:dyDescent="0.35">
      <c r="A288" s="60"/>
      <c r="B288" s="54">
        <v>287</v>
      </c>
      <c r="C288" s="65" t="s">
        <v>822</v>
      </c>
      <c r="D288" s="12">
        <v>136345</v>
      </c>
      <c r="E288" s="210" t="s">
        <v>945</v>
      </c>
      <c r="F288" s="12">
        <v>139525</v>
      </c>
      <c r="G288" s="212">
        <v>46245</v>
      </c>
      <c r="H288" s="212" t="s">
        <v>259</v>
      </c>
      <c r="I288" s="11">
        <f t="shared" si="24"/>
        <v>4</v>
      </c>
      <c r="J288" s="212">
        <v>46251</v>
      </c>
      <c r="K288" s="11">
        <f t="shared" si="25"/>
        <v>2</v>
      </c>
      <c r="L288" s="212" t="s">
        <v>248</v>
      </c>
      <c r="M288" s="11">
        <f t="shared" si="26"/>
        <v>1</v>
      </c>
      <c r="N288" s="12" t="s">
        <v>453</v>
      </c>
      <c r="O288" s="12" t="s">
        <v>641</v>
      </c>
      <c r="P288" s="56" t="s">
        <v>53</v>
      </c>
      <c r="Q288" s="190">
        <v>36.956521739130437</v>
      </c>
      <c r="R288" s="190">
        <v>36.956521739130437</v>
      </c>
      <c r="S288" s="57">
        <f t="shared" si="27"/>
        <v>0</v>
      </c>
      <c r="T288" s="57"/>
      <c r="U288" s="57"/>
      <c r="V288" s="58">
        <f t="shared" si="28"/>
        <v>3.6956521739130439</v>
      </c>
      <c r="W288" s="59">
        <f t="shared" si="29"/>
        <v>0</v>
      </c>
    </row>
    <row r="289" spans="1:23" hidden="1" x14ac:dyDescent="0.35">
      <c r="A289" s="60"/>
      <c r="B289" s="54">
        <v>288</v>
      </c>
      <c r="C289" s="65" t="s">
        <v>822</v>
      </c>
      <c r="D289" s="12">
        <v>136347</v>
      </c>
      <c r="E289" s="210" t="s">
        <v>945</v>
      </c>
      <c r="F289" s="12">
        <v>139547</v>
      </c>
      <c r="G289" s="212">
        <v>46245</v>
      </c>
      <c r="H289" s="212" t="s">
        <v>259</v>
      </c>
      <c r="I289" s="11">
        <f t="shared" si="24"/>
        <v>4</v>
      </c>
      <c r="J289" s="212">
        <v>46251</v>
      </c>
      <c r="K289" s="11">
        <f t="shared" si="25"/>
        <v>2</v>
      </c>
      <c r="L289" s="212" t="s">
        <v>248</v>
      </c>
      <c r="M289" s="11">
        <f t="shared" si="26"/>
        <v>1</v>
      </c>
      <c r="N289" s="12" t="s">
        <v>454</v>
      </c>
      <c r="O289" s="12" t="s">
        <v>605</v>
      </c>
      <c r="P289" s="56" t="s">
        <v>53</v>
      </c>
      <c r="Q289" s="190">
        <v>354.78260869565219</v>
      </c>
      <c r="R289" s="190">
        <v>354.78260869565219</v>
      </c>
      <c r="S289" s="57">
        <f t="shared" si="27"/>
        <v>0</v>
      </c>
      <c r="T289" s="57"/>
      <c r="U289" s="57"/>
      <c r="V289" s="58">
        <f t="shared" si="28"/>
        <v>35.478260869565219</v>
      </c>
      <c r="W289" s="59">
        <f t="shared" si="29"/>
        <v>0</v>
      </c>
    </row>
    <row r="290" spans="1:23" hidden="1" x14ac:dyDescent="0.35">
      <c r="A290" s="60"/>
      <c r="B290" s="54">
        <v>289</v>
      </c>
      <c r="C290" s="65" t="s">
        <v>822</v>
      </c>
      <c r="D290" s="12">
        <v>136349</v>
      </c>
      <c r="E290" s="210" t="s">
        <v>945</v>
      </c>
      <c r="F290" s="12">
        <v>139524</v>
      </c>
      <c r="G290" s="212">
        <v>46245</v>
      </c>
      <c r="H290" s="212" t="s">
        <v>259</v>
      </c>
      <c r="I290" s="11">
        <f t="shared" si="24"/>
        <v>4</v>
      </c>
      <c r="J290" s="212">
        <v>46251</v>
      </c>
      <c r="K290" s="11">
        <f t="shared" si="25"/>
        <v>2</v>
      </c>
      <c r="L290" s="212" t="s">
        <v>248</v>
      </c>
      <c r="M290" s="11">
        <f t="shared" si="26"/>
        <v>1</v>
      </c>
      <c r="N290" s="12" t="s">
        <v>453</v>
      </c>
      <c r="O290" s="12" t="s">
        <v>634</v>
      </c>
      <c r="P290" s="56" t="s">
        <v>53</v>
      </c>
      <c r="Q290" s="190">
        <v>307.78985434782612</v>
      </c>
      <c r="R290" s="190">
        <v>307.78985434782612</v>
      </c>
      <c r="S290" s="57">
        <f t="shared" si="27"/>
        <v>0</v>
      </c>
      <c r="T290" s="57"/>
      <c r="U290" s="57"/>
      <c r="V290" s="58">
        <f t="shared" si="28"/>
        <v>30.778985434782612</v>
      </c>
      <c r="W290" s="59">
        <f t="shared" si="29"/>
        <v>0</v>
      </c>
    </row>
    <row r="291" spans="1:23" hidden="1" x14ac:dyDescent="0.35">
      <c r="A291" s="60"/>
      <c r="B291" s="54">
        <v>290</v>
      </c>
      <c r="C291" s="65" t="s">
        <v>822</v>
      </c>
      <c r="D291" s="12">
        <v>136352</v>
      </c>
      <c r="E291" s="210" t="s">
        <v>945</v>
      </c>
      <c r="F291" s="12">
        <v>139518</v>
      </c>
      <c r="G291" s="212">
        <v>46245</v>
      </c>
      <c r="H291" s="217" t="s">
        <v>259</v>
      </c>
      <c r="I291" s="11">
        <f t="shared" si="24"/>
        <v>4</v>
      </c>
      <c r="J291" s="212">
        <v>46251</v>
      </c>
      <c r="K291" s="11">
        <f t="shared" si="25"/>
        <v>2</v>
      </c>
      <c r="L291" s="212" t="s">
        <v>248</v>
      </c>
      <c r="M291" s="11">
        <f t="shared" si="26"/>
        <v>1</v>
      </c>
      <c r="N291" s="12" t="s">
        <v>452</v>
      </c>
      <c r="O291" s="12" t="s">
        <v>641</v>
      </c>
      <c r="P291" s="56" t="s">
        <v>53</v>
      </c>
      <c r="Q291" s="190">
        <v>2515.0652173913045</v>
      </c>
      <c r="R291" s="190">
        <v>2515.0652173913045</v>
      </c>
      <c r="S291" s="57">
        <f t="shared" si="27"/>
        <v>0</v>
      </c>
      <c r="T291" s="57"/>
      <c r="U291" s="57"/>
      <c r="V291" s="58">
        <f t="shared" si="28"/>
        <v>251.50652173913045</v>
      </c>
      <c r="W291" s="59">
        <f t="shared" si="29"/>
        <v>0</v>
      </c>
    </row>
    <row r="292" spans="1:23" hidden="1" x14ac:dyDescent="0.35">
      <c r="A292" s="60"/>
      <c r="B292" s="54">
        <v>291</v>
      </c>
      <c r="C292" s="65" t="s">
        <v>822</v>
      </c>
      <c r="D292" s="12">
        <v>136353</v>
      </c>
      <c r="E292" s="210" t="s">
        <v>945</v>
      </c>
      <c r="F292" s="12">
        <v>139532</v>
      </c>
      <c r="G292" s="212">
        <v>46245</v>
      </c>
      <c r="H292" s="212" t="s">
        <v>243</v>
      </c>
      <c r="I292" s="11">
        <f t="shared" si="24"/>
        <v>3</v>
      </c>
      <c r="J292" s="212">
        <v>46251</v>
      </c>
      <c r="K292" s="11">
        <f t="shared" si="25"/>
        <v>3</v>
      </c>
      <c r="L292" s="212" t="s">
        <v>248</v>
      </c>
      <c r="M292" s="11">
        <f t="shared" si="26"/>
        <v>1</v>
      </c>
      <c r="N292" s="12" t="s">
        <v>455</v>
      </c>
      <c r="O292" s="12" t="s">
        <v>655</v>
      </c>
      <c r="P292" s="56" t="s">
        <v>53</v>
      </c>
      <c r="Q292" s="190">
        <v>1407.3911239130434</v>
      </c>
      <c r="R292" s="190">
        <v>1407.3911239130434</v>
      </c>
      <c r="S292" s="57">
        <f t="shared" si="27"/>
        <v>0</v>
      </c>
      <c r="T292" s="57"/>
      <c r="U292" s="57"/>
      <c r="V292" s="58">
        <f t="shared" si="28"/>
        <v>140.73911239130436</v>
      </c>
      <c r="W292" s="59">
        <f t="shared" si="29"/>
        <v>0</v>
      </c>
    </row>
    <row r="293" spans="1:23" hidden="1" x14ac:dyDescent="0.35">
      <c r="A293" s="60"/>
      <c r="B293" s="54">
        <v>292</v>
      </c>
      <c r="C293" s="65" t="s">
        <v>822</v>
      </c>
      <c r="D293" s="12">
        <v>136370</v>
      </c>
      <c r="E293" s="210" t="s">
        <v>945</v>
      </c>
      <c r="F293" s="12">
        <v>139526</v>
      </c>
      <c r="G293" s="212">
        <v>46245</v>
      </c>
      <c r="H293" s="212" t="s">
        <v>253</v>
      </c>
      <c r="I293" s="11">
        <f t="shared" si="24"/>
        <v>6</v>
      </c>
      <c r="J293" s="212">
        <v>46252</v>
      </c>
      <c r="K293" s="11">
        <f t="shared" si="25"/>
        <v>1</v>
      </c>
      <c r="L293" s="212" t="s">
        <v>253</v>
      </c>
      <c r="M293" s="11">
        <f t="shared" si="26"/>
        <v>1</v>
      </c>
      <c r="N293" s="12" t="s">
        <v>456</v>
      </c>
      <c r="O293" s="12" t="s">
        <v>641</v>
      </c>
      <c r="P293" s="56" t="s">
        <v>53</v>
      </c>
      <c r="Q293" s="190">
        <v>4260.869565217391</v>
      </c>
      <c r="R293" s="190">
        <v>4260.869565217391</v>
      </c>
      <c r="S293" s="57">
        <f t="shared" si="27"/>
        <v>0</v>
      </c>
      <c r="T293" s="57"/>
      <c r="U293" s="57"/>
      <c r="V293" s="58">
        <f t="shared" si="28"/>
        <v>426.08695652173913</v>
      </c>
      <c r="W293" s="59">
        <f t="shared" si="29"/>
        <v>0</v>
      </c>
    </row>
    <row r="294" spans="1:23" hidden="1" x14ac:dyDescent="0.35">
      <c r="A294" s="60"/>
      <c r="B294" s="54">
        <v>293</v>
      </c>
      <c r="C294" s="65" t="s">
        <v>822</v>
      </c>
      <c r="D294" s="12">
        <v>136371</v>
      </c>
      <c r="E294" s="210" t="s">
        <v>946</v>
      </c>
      <c r="F294" s="12">
        <v>139535</v>
      </c>
      <c r="G294" s="212">
        <v>46245</v>
      </c>
      <c r="H294" s="212" t="s">
        <v>253</v>
      </c>
      <c r="I294" s="11">
        <f t="shared" si="24"/>
        <v>6</v>
      </c>
      <c r="J294" s="212">
        <v>46252</v>
      </c>
      <c r="K294" s="11">
        <f t="shared" si="25"/>
        <v>1</v>
      </c>
      <c r="L294" s="212" t="s">
        <v>253</v>
      </c>
      <c r="M294" s="11">
        <f t="shared" si="26"/>
        <v>1</v>
      </c>
      <c r="N294" s="12" t="s">
        <v>918</v>
      </c>
      <c r="O294" s="12" t="s">
        <v>738</v>
      </c>
      <c r="P294" s="56" t="s">
        <v>53</v>
      </c>
      <c r="Q294" s="190">
        <v>90.579713043478264</v>
      </c>
      <c r="R294" s="190">
        <v>90.579713043478264</v>
      </c>
      <c r="S294" s="57">
        <f t="shared" si="27"/>
        <v>0</v>
      </c>
      <c r="T294" s="57"/>
      <c r="U294" s="57"/>
      <c r="V294" s="58">
        <f t="shared" si="28"/>
        <v>9.0579713043478272</v>
      </c>
      <c r="W294" s="59">
        <f t="shared" si="29"/>
        <v>0</v>
      </c>
    </row>
    <row r="295" spans="1:23" hidden="1" x14ac:dyDescent="0.35">
      <c r="A295" s="60"/>
      <c r="B295" s="54">
        <v>294</v>
      </c>
      <c r="C295" s="65" t="s">
        <v>822</v>
      </c>
      <c r="D295" s="12">
        <v>136422</v>
      </c>
      <c r="E295" s="210" t="s">
        <v>945</v>
      </c>
      <c r="F295" s="12">
        <v>139536</v>
      </c>
      <c r="G295" s="212">
        <v>46245</v>
      </c>
      <c r="H295" s="212" t="s">
        <v>248</v>
      </c>
      <c r="I295" s="11">
        <f t="shared" si="24"/>
        <v>5</v>
      </c>
      <c r="J295" s="212">
        <v>46254</v>
      </c>
      <c r="K295" s="11">
        <f t="shared" si="25"/>
        <v>4</v>
      </c>
      <c r="L295" s="212" t="s">
        <v>263</v>
      </c>
      <c r="M295" s="11">
        <f t="shared" si="26"/>
        <v>1</v>
      </c>
      <c r="N295" s="12" t="s">
        <v>457</v>
      </c>
      <c r="O295" s="12" t="s">
        <v>739</v>
      </c>
      <c r="P295" s="56" t="s">
        <v>53</v>
      </c>
      <c r="Q295" s="190">
        <v>1004.3478260869565</v>
      </c>
      <c r="R295" s="190">
        <v>1004.3478260869565</v>
      </c>
      <c r="S295" s="57">
        <f t="shared" si="27"/>
        <v>0</v>
      </c>
      <c r="T295" s="57"/>
      <c r="U295" s="57"/>
      <c r="V295" s="58">
        <f t="shared" si="28"/>
        <v>100.43478260869566</v>
      </c>
      <c r="W295" s="59">
        <f t="shared" si="29"/>
        <v>0</v>
      </c>
    </row>
    <row r="296" spans="1:23" hidden="1" x14ac:dyDescent="0.35">
      <c r="A296" s="60"/>
      <c r="B296" s="54">
        <v>295</v>
      </c>
      <c r="C296" s="65" t="s">
        <v>822</v>
      </c>
      <c r="D296" s="12">
        <v>136423</v>
      </c>
      <c r="E296" s="210" t="s">
        <v>945</v>
      </c>
      <c r="F296" s="12">
        <v>139539</v>
      </c>
      <c r="G296" s="212">
        <v>46245</v>
      </c>
      <c r="H296" s="212" t="s">
        <v>248</v>
      </c>
      <c r="I296" s="11">
        <f t="shared" si="24"/>
        <v>5</v>
      </c>
      <c r="J296" s="212">
        <v>46254</v>
      </c>
      <c r="K296" s="11">
        <f t="shared" si="25"/>
        <v>4</v>
      </c>
      <c r="L296" s="212" t="s">
        <v>263</v>
      </c>
      <c r="M296" s="11">
        <f t="shared" si="26"/>
        <v>1</v>
      </c>
      <c r="N296" s="12" t="s">
        <v>458</v>
      </c>
      <c r="O296" s="12" t="s">
        <v>633</v>
      </c>
      <c r="P296" s="56" t="s">
        <v>53</v>
      </c>
      <c r="Q296" s="190">
        <v>34.782608695652172</v>
      </c>
      <c r="R296" s="190">
        <v>34.782608695652172</v>
      </c>
      <c r="S296" s="57">
        <f t="shared" si="27"/>
        <v>0</v>
      </c>
      <c r="T296" s="57"/>
      <c r="U296" s="57"/>
      <c r="V296" s="58">
        <f t="shared" si="28"/>
        <v>3.4782608695652173</v>
      </c>
      <c r="W296" s="59">
        <f t="shared" si="29"/>
        <v>0</v>
      </c>
    </row>
    <row r="297" spans="1:23" hidden="1" x14ac:dyDescent="0.35">
      <c r="A297" s="60"/>
      <c r="B297" s="54">
        <v>296</v>
      </c>
      <c r="C297" s="65" t="s">
        <v>822</v>
      </c>
      <c r="D297" s="12">
        <v>136434</v>
      </c>
      <c r="E297" s="210" t="s">
        <v>945</v>
      </c>
      <c r="F297" s="12">
        <v>139520</v>
      </c>
      <c r="G297" s="212">
        <v>46245</v>
      </c>
      <c r="H297" s="212" t="s">
        <v>248</v>
      </c>
      <c r="I297" s="11">
        <f t="shared" si="24"/>
        <v>5</v>
      </c>
      <c r="J297" s="212">
        <v>46254</v>
      </c>
      <c r="K297" s="11">
        <f t="shared" si="25"/>
        <v>4</v>
      </c>
      <c r="L297" s="212" t="s">
        <v>263</v>
      </c>
      <c r="M297" s="11">
        <f t="shared" si="26"/>
        <v>1</v>
      </c>
      <c r="N297" s="12" t="s">
        <v>459</v>
      </c>
      <c r="O297" s="12" t="s">
        <v>671</v>
      </c>
      <c r="P297" s="56" t="s">
        <v>53</v>
      </c>
      <c r="Q297" s="190">
        <v>1144.2306521739131</v>
      </c>
      <c r="R297" s="190">
        <v>1144.2306521739131</v>
      </c>
      <c r="S297" s="57">
        <f t="shared" si="27"/>
        <v>0</v>
      </c>
      <c r="T297" s="57"/>
      <c r="U297" s="57"/>
      <c r="V297" s="58">
        <f t="shared" si="28"/>
        <v>114.42306521739131</v>
      </c>
      <c r="W297" s="59">
        <f t="shared" si="29"/>
        <v>0</v>
      </c>
    </row>
    <row r="298" spans="1:23" hidden="1" x14ac:dyDescent="0.35">
      <c r="A298" s="60"/>
      <c r="B298" s="54">
        <v>297</v>
      </c>
      <c r="C298" s="65" t="s">
        <v>822</v>
      </c>
      <c r="D298" s="12">
        <v>136435</v>
      </c>
      <c r="E298" s="210" t="s">
        <v>945</v>
      </c>
      <c r="F298" s="12">
        <v>139540</v>
      </c>
      <c r="G298" s="212">
        <v>46245</v>
      </c>
      <c r="H298" s="212" t="s">
        <v>248</v>
      </c>
      <c r="I298" s="11">
        <f t="shared" si="24"/>
        <v>5</v>
      </c>
      <c r="J298" s="212">
        <v>46254</v>
      </c>
      <c r="K298" s="11">
        <f t="shared" si="25"/>
        <v>4</v>
      </c>
      <c r="L298" s="212" t="s">
        <v>263</v>
      </c>
      <c r="M298" s="11">
        <f t="shared" si="26"/>
        <v>1</v>
      </c>
      <c r="N298" s="12" t="s">
        <v>460</v>
      </c>
      <c r="O298" s="12" t="s">
        <v>740</v>
      </c>
      <c r="P298" s="56" t="s">
        <v>53</v>
      </c>
      <c r="Q298" s="190">
        <v>1369.5652173913043</v>
      </c>
      <c r="R298" s="190">
        <v>1369.5652173913043</v>
      </c>
      <c r="S298" s="57">
        <f t="shared" si="27"/>
        <v>0</v>
      </c>
      <c r="T298" s="57"/>
      <c r="U298" s="57"/>
      <c r="V298" s="58">
        <f t="shared" si="28"/>
        <v>136.95652173913044</v>
      </c>
      <c r="W298" s="59">
        <f t="shared" si="29"/>
        <v>0</v>
      </c>
    </row>
    <row r="299" spans="1:23" hidden="1" x14ac:dyDescent="0.35">
      <c r="A299" s="60"/>
      <c r="B299" s="54">
        <v>298</v>
      </c>
      <c r="C299" s="65" t="s">
        <v>822</v>
      </c>
      <c r="D299" s="12">
        <v>136436</v>
      </c>
      <c r="E299" s="210" t="s">
        <v>945</v>
      </c>
      <c r="F299" s="12">
        <v>139531</v>
      </c>
      <c r="G299" s="212">
        <v>46245</v>
      </c>
      <c r="H299" s="212" t="s">
        <v>248</v>
      </c>
      <c r="I299" s="11">
        <f t="shared" si="24"/>
        <v>5</v>
      </c>
      <c r="J299" s="212">
        <v>46254</v>
      </c>
      <c r="K299" s="11">
        <f t="shared" si="25"/>
        <v>4</v>
      </c>
      <c r="L299" s="212" t="s">
        <v>263</v>
      </c>
      <c r="M299" s="11">
        <f t="shared" si="26"/>
        <v>1</v>
      </c>
      <c r="N299" s="12" t="s">
        <v>293</v>
      </c>
      <c r="O299" s="12" t="s">
        <v>741</v>
      </c>
      <c r="P299" s="56" t="s">
        <v>53</v>
      </c>
      <c r="Q299" s="190">
        <v>434.78260869565219</v>
      </c>
      <c r="R299" s="190">
        <v>434.78260869565219</v>
      </c>
      <c r="S299" s="57">
        <f t="shared" si="27"/>
        <v>0</v>
      </c>
      <c r="T299" s="57"/>
      <c r="U299" s="57"/>
      <c r="V299" s="58">
        <f t="shared" si="28"/>
        <v>43.478260869565219</v>
      </c>
      <c r="W299" s="59">
        <f t="shared" si="29"/>
        <v>0</v>
      </c>
    </row>
    <row r="300" spans="1:23" hidden="1" x14ac:dyDescent="0.35">
      <c r="A300" s="60"/>
      <c r="B300" s="54">
        <v>299</v>
      </c>
      <c r="C300" s="65" t="s">
        <v>822</v>
      </c>
      <c r="D300" s="12">
        <v>136438</v>
      </c>
      <c r="E300" s="210" t="s">
        <v>945</v>
      </c>
      <c r="F300" s="12">
        <v>139533</v>
      </c>
      <c r="G300" s="212">
        <v>46245</v>
      </c>
      <c r="H300" s="212" t="s">
        <v>248</v>
      </c>
      <c r="I300" s="11">
        <f t="shared" si="24"/>
        <v>5</v>
      </c>
      <c r="J300" s="212">
        <v>46254</v>
      </c>
      <c r="K300" s="11">
        <f t="shared" si="25"/>
        <v>4</v>
      </c>
      <c r="L300" s="212" t="s">
        <v>263</v>
      </c>
      <c r="M300" s="11">
        <f t="shared" si="26"/>
        <v>1</v>
      </c>
      <c r="N300" s="12" t="s">
        <v>293</v>
      </c>
      <c r="O300" s="12" t="s">
        <v>742</v>
      </c>
      <c r="P300" s="56" t="s">
        <v>53</v>
      </c>
      <c r="Q300" s="190">
        <v>652.17391304347825</v>
      </c>
      <c r="R300" s="190">
        <v>652.17391304347825</v>
      </c>
      <c r="S300" s="57">
        <f t="shared" si="27"/>
        <v>0</v>
      </c>
      <c r="T300" s="57"/>
      <c r="U300" s="57"/>
      <c r="V300" s="58">
        <f t="shared" si="28"/>
        <v>65.217391304347828</v>
      </c>
      <c r="W300" s="59">
        <f t="shared" si="29"/>
        <v>0</v>
      </c>
    </row>
    <row r="301" spans="1:23" hidden="1" x14ac:dyDescent="0.35">
      <c r="A301" s="60"/>
      <c r="B301" s="54">
        <v>300</v>
      </c>
      <c r="C301" s="65" t="s">
        <v>822</v>
      </c>
      <c r="D301" s="12">
        <v>136489</v>
      </c>
      <c r="E301" s="210" t="s">
        <v>945</v>
      </c>
      <c r="F301" s="12">
        <v>139515</v>
      </c>
      <c r="G301" s="212">
        <v>46248</v>
      </c>
      <c r="H301" s="212" t="s">
        <v>257</v>
      </c>
      <c r="I301" s="11">
        <f t="shared" si="24"/>
        <v>7</v>
      </c>
      <c r="J301" s="212">
        <v>46260</v>
      </c>
      <c r="K301" s="11">
        <f t="shared" si="25"/>
        <v>3</v>
      </c>
      <c r="L301" s="212" t="s">
        <v>264</v>
      </c>
      <c r="M301" s="11">
        <f t="shared" si="26"/>
        <v>1</v>
      </c>
      <c r="N301" s="12" t="s">
        <v>919</v>
      </c>
      <c r="O301" s="12" t="s">
        <v>605</v>
      </c>
      <c r="P301" s="56" t="s">
        <v>53</v>
      </c>
      <c r="Q301" s="190">
        <v>293.96086956521737</v>
      </c>
      <c r="R301" s="190">
        <v>293.96086956521737</v>
      </c>
      <c r="S301" s="57">
        <f t="shared" si="27"/>
        <v>0</v>
      </c>
      <c r="T301" s="57"/>
      <c r="U301" s="57"/>
      <c r="V301" s="58">
        <f t="shared" si="28"/>
        <v>29.396086956521739</v>
      </c>
      <c r="W301" s="59">
        <f t="shared" si="29"/>
        <v>0</v>
      </c>
    </row>
    <row r="302" spans="1:23" hidden="1" x14ac:dyDescent="0.35">
      <c r="A302" s="60"/>
      <c r="B302" s="54">
        <v>301</v>
      </c>
      <c r="C302" s="65" t="s">
        <v>822</v>
      </c>
      <c r="D302" s="12">
        <v>136490</v>
      </c>
      <c r="E302" s="210" t="s">
        <v>945</v>
      </c>
      <c r="F302" s="12">
        <v>139516</v>
      </c>
      <c r="G302" s="212">
        <v>46254</v>
      </c>
      <c r="H302" s="212" t="s">
        <v>257</v>
      </c>
      <c r="I302" s="11">
        <f t="shared" si="24"/>
        <v>3</v>
      </c>
      <c r="J302" s="212">
        <v>46260</v>
      </c>
      <c r="K302" s="11">
        <f t="shared" si="25"/>
        <v>3</v>
      </c>
      <c r="L302" s="212" t="s">
        <v>264</v>
      </c>
      <c r="M302" s="11">
        <f t="shared" si="26"/>
        <v>1</v>
      </c>
      <c r="N302" s="12" t="s">
        <v>920</v>
      </c>
      <c r="O302" s="12" t="s">
        <v>605</v>
      </c>
      <c r="P302" s="56" t="s">
        <v>53</v>
      </c>
      <c r="Q302" s="190">
        <v>85.058333332608697</v>
      </c>
      <c r="R302" s="190">
        <v>85.058333332608697</v>
      </c>
      <c r="S302" s="57">
        <f t="shared" si="27"/>
        <v>0</v>
      </c>
      <c r="T302" s="57"/>
      <c r="U302" s="57"/>
      <c r="V302" s="58">
        <f t="shared" si="28"/>
        <v>8.5058333332608704</v>
      </c>
      <c r="W302" s="59">
        <f t="shared" si="29"/>
        <v>0</v>
      </c>
    </row>
    <row r="303" spans="1:23" hidden="1" x14ac:dyDescent="0.35">
      <c r="A303" s="60"/>
      <c r="B303" s="54">
        <v>302</v>
      </c>
      <c r="C303" s="65" t="s">
        <v>822</v>
      </c>
      <c r="D303" s="12">
        <v>136491</v>
      </c>
      <c r="E303" s="210" t="s">
        <v>945</v>
      </c>
      <c r="F303" s="12">
        <v>139517</v>
      </c>
      <c r="G303" s="212">
        <v>46254</v>
      </c>
      <c r="H303" s="212" t="s">
        <v>257</v>
      </c>
      <c r="I303" s="11">
        <f t="shared" si="24"/>
        <v>3</v>
      </c>
      <c r="J303" s="212">
        <v>46260</v>
      </c>
      <c r="K303" s="11">
        <f t="shared" si="25"/>
        <v>3</v>
      </c>
      <c r="L303" s="212" t="s">
        <v>264</v>
      </c>
      <c r="M303" s="11">
        <f t="shared" si="26"/>
        <v>1</v>
      </c>
      <c r="N303" s="12" t="s">
        <v>921</v>
      </c>
      <c r="O303" s="12" t="s">
        <v>605</v>
      </c>
      <c r="P303" s="56" t="s">
        <v>53</v>
      </c>
      <c r="Q303" s="190">
        <v>407.08695652173913</v>
      </c>
      <c r="R303" s="190">
        <v>407.08695652173913</v>
      </c>
      <c r="S303" s="57">
        <f t="shared" si="27"/>
        <v>0</v>
      </c>
      <c r="T303" s="57"/>
      <c r="U303" s="57"/>
      <c r="V303" s="58">
        <f t="shared" si="28"/>
        <v>40.708695652173915</v>
      </c>
      <c r="W303" s="59">
        <f t="shared" si="29"/>
        <v>0</v>
      </c>
    </row>
    <row r="304" spans="1:23" hidden="1" x14ac:dyDescent="0.35">
      <c r="A304" s="60"/>
      <c r="B304" s="54">
        <v>303</v>
      </c>
      <c r="C304" s="65" t="s">
        <v>822</v>
      </c>
      <c r="D304" s="12">
        <v>136492</v>
      </c>
      <c r="E304" s="210" t="s">
        <v>945</v>
      </c>
      <c r="F304" s="12">
        <v>139519</v>
      </c>
      <c r="G304" s="212">
        <v>46254</v>
      </c>
      <c r="H304" s="212" t="s">
        <v>257</v>
      </c>
      <c r="I304" s="11">
        <f t="shared" si="24"/>
        <v>3</v>
      </c>
      <c r="J304" s="212">
        <v>46260</v>
      </c>
      <c r="K304" s="11">
        <f t="shared" si="25"/>
        <v>3</v>
      </c>
      <c r="L304" s="212" t="s">
        <v>264</v>
      </c>
      <c r="M304" s="11">
        <f t="shared" si="26"/>
        <v>1</v>
      </c>
      <c r="N304" s="12" t="s">
        <v>922</v>
      </c>
      <c r="O304" s="12" t="s">
        <v>612</v>
      </c>
      <c r="P304" s="56" t="s">
        <v>53</v>
      </c>
      <c r="Q304" s="190">
        <v>571.36956521739125</v>
      </c>
      <c r="R304" s="190">
        <v>571.36956521739125</v>
      </c>
      <c r="S304" s="57">
        <f t="shared" si="27"/>
        <v>0</v>
      </c>
      <c r="T304" s="57"/>
      <c r="U304" s="57"/>
      <c r="V304" s="58">
        <f t="shared" si="28"/>
        <v>57.13695652173913</v>
      </c>
      <c r="W304" s="59">
        <f t="shared" si="29"/>
        <v>0</v>
      </c>
    </row>
    <row r="305" spans="1:23" hidden="1" x14ac:dyDescent="0.35">
      <c r="A305" s="60"/>
      <c r="B305" s="54">
        <v>304</v>
      </c>
      <c r="C305" s="65" t="s">
        <v>822</v>
      </c>
      <c r="D305" s="12">
        <v>136278</v>
      </c>
      <c r="E305" s="210" t="s">
        <v>945</v>
      </c>
      <c r="F305" s="12">
        <v>139567</v>
      </c>
      <c r="G305" s="212">
        <v>46246</v>
      </c>
      <c r="H305" s="212" t="s">
        <v>252</v>
      </c>
      <c r="I305" s="11">
        <f t="shared" si="24"/>
        <v>1</v>
      </c>
      <c r="J305" s="212">
        <v>46246</v>
      </c>
      <c r="K305" s="11">
        <f t="shared" si="25"/>
        <v>1</v>
      </c>
      <c r="L305" s="212" t="s">
        <v>243</v>
      </c>
      <c r="M305" s="11">
        <f t="shared" si="26"/>
        <v>2</v>
      </c>
      <c r="N305" s="12" t="s">
        <v>461</v>
      </c>
      <c r="O305" s="12" t="s">
        <v>743</v>
      </c>
      <c r="P305" s="56" t="s">
        <v>53</v>
      </c>
      <c r="Q305" s="190">
        <v>232453.52590579781</v>
      </c>
      <c r="R305" s="190">
        <v>232453.52590579781</v>
      </c>
      <c r="S305" s="57">
        <f t="shared" si="27"/>
        <v>0</v>
      </c>
      <c r="T305" s="57"/>
      <c r="U305" s="57"/>
      <c r="V305" s="58">
        <f t="shared" si="28"/>
        <v>23245.352590579783</v>
      </c>
      <c r="W305" s="59">
        <f t="shared" si="29"/>
        <v>0</v>
      </c>
    </row>
    <row r="306" spans="1:23" hidden="1" x14ac:dyDescent="0.35">
      <c r="A306" s="60"/>
      <c r="B306" s="54">
        <v>305</v>
      </c>
      <c r="C306" s="65" t="s">
        <v>822</v>
      </c>
      <c r="D306" s="12">
        <v>136281</v>
      </c>
      <c r="E306" s="210" t="s">
        <v>945</v>
      </c>
      <c r="F306" s="12">
        <v>139568</v>
      </c>
      <c r="G306" s="212">
        <v>46246</v>
      </c>
      <c r="H306" s="212" t="s">
        <v>252</v>
      </c>
      <c r="I306" s="11">
        <f t="shared" si="24"/>
        <v>1</v>
      </c>
      <c r="J306" s="212">
        <v>46246</v>
      </c>
      <c r="K306" s="11">
        <f t="shared" si="25"/>
        <v>1</v>
      </c>
      <c r="L306" s="212" t="s">
        <v>252</v>
      </c>
      <c r="M306" s="11">
        <f t="shared" si="26"/>
        <v>1</v>
      </c>
      <c r="N306" s="12" t="s">
        <v>923</v>
      </c>
      <c r="O306" s="12" t="s">
        <v>709</v>
      </c>
      <c r="P306" s="56" t="s">
        <v>53</v>
      </c>
      <c r="Q306" s="197">
        <v>206.56521739130434</v>
      </c>
      <c r="R306" s="197">
        <v>206.56521739130434</v>
      </c>
      <c r="S306" s="57">
        <f t="shared" si="27"/>
        <v>0</v>
      </c>
      <c r="T306" s="57"/>
      <c r="U306" s="57"/>
      <c r="V306" s="58">
        <f t="shared" si="28"/>
        <v>20.656521739130437</v>
      </c>
      <c r="W306" s="59">
        <f t="shared" si="29"/>
        <v>0</v>
      </c>
    </row>
    <row r="307" spans="1:23" hidden="1" x14ac:dyDescent="0.35">
      <c r="A307" s="60"/>
      <c r="B307" s="54">
        <v>306</v>
      </c>
      <c r="C307" s="65" t="s">
        <v>822</v>
      </c>
      <c r="D307" s="12">
        <v>136282</v>
      </c>
      <c r="E307" s="210" t="s">
        <v>945</v>
      </c>
      <c r="F307" s="12">
        <v>139569</v>
      </c>
      <c r="G307" s="212">
        <v>46246</v>
      </c>
      <c r="H307" s="212" t="s">
        <v>252</v>
      </c>
      <c r="I307" s="11">
        <f t="shared" si="24"/>
        <v>1</v>
      </c>
      <c r="J307" s="212">
        <v>46246</v>
      </c>
      <c r="K307" s="11">
        <f t="shared" si="25"/>
        <v>1</v>
      </c>
      <c r="L307" s="212" t="s">
        <v>252</v>
      </c>
      <c r="M307" s="11">
        <f t="shared" si="26"/>
        <v>1</v>
      </c>
      <c r="N307" s="12" t="s">
        <v>462</v>
      </c>
      <c r="O307" s="12" t="s">
        <v>744</v>
      </c>
      <c r="P307" s="56" t="s">
        <v>53</v>
      </c>
      <c r="Q307" s="190">
        <v>489.13043478260869</v>
      </c>
      <c r="R307" s="190">
        <v>489.13043478260869</v>
      </c>
      <c r="S307" s="57">
        <f t="shared" si="27"/>
        <v>0</v>
      </c>
      <c r="T307" s="57"/>
      <c r="U307" s="57"/>
      <c r="V307" s="58">
        <f t="shared" si="28"/>
        <v>48.913043478260875</v>
      </c>
      <c r="W307" s="59">
        <f t="shared" si="29"/>
        <v>0</v>
      </c>
    </row>
    <row r="308" spans="1:23" hidden="1" x14ac:dyDescent="0.35">
      <c r="A308" s="60"/>
      <c r="B308" s="54">
        <v>307</v>
      </c>
      <c r="C308" s="65" t="s">
        <v>822</v>
      </c>
      <c r="D308" s="12">
        <v>136283</v>
      </c>
      <c r="E308" s="210" t="s">
        <v>945</v>
      </c>
      <c r="F308" s="12">
        <v>139585</v>
      </c>
      <c r="G308" s="212">
        <v>46246</v>
      </c>
      <c r="H308" s="212" t="s">
        <v>243</v>
      </c>
      <c r="I308" s="11">
        <f t="shared" si="24"/>
        <v>2</v>
      </c>
      <c r="J308" s="212">
        <v>46247</v>
      </c>
      <c r="K308" s="11">
        <f t="shared" si="25"/>
        <v>1</v>
      </c>
      <c r="L308" s="212" t="s">
        <v>243</v>
      </c>
      <c r="M308" s="11">
        <f t="shared" si="26"/>
        <v>1</v>
      </c>
      <c r="N308" s="12" t="s">
        <v>924</v>
      </c>
      <c r="O308" s="12" t="s">
        <v>709</v>
      </c>
      <c r="P308" s="56" t="s">
        <v>53</v>
      </c>
      <c r="Q308" s="190">
        <v>244.02173913043478</v>
      </c>
      <c r="R308" s="190">
        <v>244.02173913043478</v>
      </c>
      <c r="S308" s="57">
        <f t="shared" si="27"/>
        <v>0</v>
      </c>
      <c r="T308" s="57"/>
      <c r="U308" s="57"/>
      <c r="V308" s="58">
        <f t="shared" si="28"/>
        <v>24.40217391304348</v>
      </c>
      <c r="W308" s="59">
        <f t="shared" si="29"/>
        <v>0</v>
      </c>
    </row>
    <row r="309" spans="1:23" hidden="1" x14ac:dyDescent="0.35">
      <c r="A309" s="60"/>
      <c r="B309" s="54">
        <v>308</v>
      </c>
      <c r="C309" s="65" t="s">
        <v>822</v>
      </c>
      <c r="D309" s="12">
        <v>136327</v>
      </c>
      <c r="E309" s="210" t="s">
        <v>945</v>
      </c>
      <c r="F309" s="12">
        <v>139551</v>
      </c>
      <c r="G309" s="212">
        <v>46246</v>
      </c>
      <c r="H309" s="212" t="s">
        <v>243</v>
      </c>
      <c r="I309" s="11">
        <f t="shared" si="24"/>
        <v>2</v>
      </c>
      <c r="J309" s="212">
        <v>46251</v>
      </c>
      <c r="K309" s="11">
        <f t="shared" si="25"/>
        <v>3</v>
      </c>
      <c r="L309" s="212" t="s">
        <v>248</v>
      </c>
      <c r="M309" s="11">
        <f t="shared" si="26"/>
        <v>1</v>
      </c>
      <c r="N309" s="12" t="s">
        <v>463</v>
      </c>
      <c r="O309" s="12" t="s">
        <v>745</v>
      </c>
      <c r="P309" s="56" t="s">
        <v>53</v>
      </c>
      <c r="Q309" s="190">
        <v>46.956521739130437</v>
      </c>
      <c r="R309" s="190">
        <v>46.956521739130437</v>
      </c>
      <c r="S309" s="57">
        <f t="shared" si="27"/>
        <v>0</v>
      </c>
      <c r="T309" s="57"/>
      <c r="U309" s="57"/>
      <c r="V309" s="58">
        <f t="shared" si="28"/>
        <v>4.6956521739130439</v>
      </c>
      <c r="W309" s="59">
        <f t="shared" si="29"/>
        <v>0</v>
      </c>
    </row>
    <row r="310" spans="1:23" hidden="1" x14ac:dyDescent="0.35">
      <c r="A310" s="60"/>
      <c r="B310" s="54">
        <v>309</v>
      </c>
      <c r="C310" s="65" t="s">
        <v>822</v>
      </c>
      <c r="D310" s="12">
        <v>136335</v>
      </c>
      <c r="E310" s="210" t="s">
        <v>945</v>
      </c>
      <c r="F310" s="12">
        <v>139556</v>
      </c>
      <c r="G310" s="212">
        <v>46246</v>
      </c>
      <c r="H310" s="212" t="s">
        <v>243</v>
      </c>
      <c r="I310" s="11">
        <f t="shared" ref="I310:I373" si="30">IF(OR(H310="", G310=""), "", NETWORKDAYS(G310, H310))</f>
        <v>2</v>
      </c>
      <c r="J310" s="212">
        <v>46251</v>
      </c>
      <c r="K310" s="11">
        <f t="shared" ref="K310:K373" si="31">IF(OR(H310="", J310=""), "", NETWORKDAYS(H310, J310))</f>
        <v>3</v>
      </c>
      <c r="L310" s="212" t="s">
        <v>248</v>
      </c>
      <c r="M310" s="11">
        <f t="shared" ref="M310:M373" si="32">IF(OR(J310="", L310=""), "", NETWORKDAYS(J310, L310))</f>
        <v>1</v>
      </c>
      <c r="N310" s="12" t="s">
        <v>464</v>
      </c>
      <c r="O310" s="12" t="s">
        <v>622</v>
      </c>
      <c r="P310" s="56" t="s">
        <v>53</v>
      </c>
      <c r="Q310" s="190">
        <v>1303.2608695652175</v>
      </c>
      <c r="R310" s="190">
        <v>1303.2608695652175</v>
      </c>
      <c r="S310" s="57">
        <f t="shared" ref="S310:S373" si="33">Q310-R310</f>
        <v>0</v>
      </c>
      <c r="T310" s="57"/>
      <c r="U310" s="57"/>
      <c r="V310" s="58">
        <f t="shared" ref="V310:V373" si="34">IF(Q310="", "", Q310*10%)</f>
        <v>130.32608695652175</v>
      </c>
      <c r="W310" s="59">
        <f t="shared" ref="W310:W373" si="35">IF(OR(Q310="", R310=""), "", (Q310- R310)/Q310)</f>
        <v>0</v>
      </c>
    </row>
    <row r="311" spans="1:23" hidden="1" x14ac:dyDescent="0.35">
      <c r="A311" s="60"/>
      <c r="B311" s="54">
        <v>310</v>
      </c>
      <c r="C311" s="65" t="s">
        <v>822</v>
      </c>
      <c r="D311" s="12">
        <v>136336</v>
      </c>
      <c r="E311" s="210" t="s">
        <v>945</v>
      </c>
      <c r="F311" s="12">
        <v>139564</v>
      </c>
      <c r="G311" s="212">
        <v>46246</v>
      </c>
      <c r="H311" s="212" t="s">
        <v>243</v>
      </c>
      <c r="I311" s="11">
        <f t="shared" si="30"/>
        <v>2</v>
      </c>
      <c r="J311" s="212">
        <v>46251</v>
      </c>
      <c r="K311" s="11">
        <f t="shared" si="31"/>
        <v>3</v>
      </c>
      <c r="L311" s="212" t="s">
        <v>248</v>
      </c>
      <c r="M311" s="11">
        <f t="shared" si="32"/>
        <v>1</v>
      </c>
      <c r="N311" s="12" t="s">
        <v>465</v>
      </c>
      <c r="O311" s="12" t="s">
        <v>605</v>
      </c>
      <c r="P311" s="56" t="s">
        <v>53</v>
      </c>
      <c r="Q311" s="190">
        <v>1257.7771739130435</v>
      </c>
      <c r="R311" s="190">
        <v>1257.7771739130435</v>
      </c>
      <c r="S311" s="57">
        <f t="shared" si="33"/>
        <v>0</v>
      </c>
      <c r="T311" s="57"/>
      <c r="U311" s="57"/>
      <c r="V311" s="58">
        <f t="shared" si="34"/>
        <v>125.77771739130435</v>
      </c>
      <c r="W311" s="59">
        <f t="shared" si="35"/>
        <v>0</v>
      </c>
    </row>
    <row r="312" spans="1:23" hidden="1" x14ac:dyDescent="0.35">
      <c r="A312" s="60"/>
      <c r="B312" s="54">
        <v>311</v>
      </c>
      <c r="C312" s="65" t="s">
        <v>822</v>
      </c>
      <c r="D312" s="12">
        <v>136337</v>
      </c>
      <c r="E312" s="210" t="s">
        <v>946</v>
      </c>
      <c r="F312" s="12">
        <v>139563</v>
      </c>
      <c r="G312" s="212">
        <v>46246</v>
      </c>
      <c r="H312" s="212" t="s">
        <v>243</v>
      </c>
      <c r="I312" s="11">
        <f t="shared" si="30"/>
        <v>2</v>
      </c>
      <c r="J312" s="212">
        <v>46251</v>
      </c>
      <c r="K312" s="11">
        <f t="shared" si="31"/>
        <v>3</v>
      </c>
      <c r="L312" s="212" t="s">
        <v>248</v>
      </c>
      <c r="M312" s="11">
        <f t="shared" si="32"/>
        <v>1</v>
      </c>
      <c r="N312" s="12" t="s">
        <v>466</v>
      </c>
      <c r="O312" s="12" t="s">
        <v>746</v>
      </c>
      <c r="P312" s="56" t="s">
        <v>53</v>
      </c>
      <c r="Q312" s="190">
        <v>440.21739130434781</v>
      </c>
      <c r="R312" s="190">
        <v>440.21739130434781</v>
      </c>
      <c r="S312" s="57">
        <f t="shared" si="33"/>
        <v>0</v>
      </c>
      <c r="T312" s="57"/>
      <c r="U312" s="57"/>
      <c r="V312" s="58">
        <f t="shared" si="34"/>
        <v>44.021739130434781</v>
      </c>
      <c r="W312" s="59">
        <f t="shared" si="35"/>
        <v>0</v>
      </c>
    </row>
    <row r="313" spans="1:23" hidden="1" x14ac:dyDescent="0.35">
      <c r="A313" s="60"/>
      <c r="B313" s="54">
        <v>312</v>
      </c>
      <c r="C313" s="65" t="s">
        <v>822</v>
      </c>
      <c r="D313" s="12">
        <v>136339</v>
      </c>
      <c r="E313" s="210" t="s">
        <v>945</v>
      </c>
      <c r="F313" s="12">
        <v>139558</v>
      </c>
      <c r="G313" s="212">
        <v>46246</v>
      </c>
      <c r="H313" s="212" t="s">
        <v>248</v>
      </c>
      <c r="I313" s="11">
        <f t="shared" si="30"/>
        <v>4</v>
      </c>
      <c r="J313" s="212">
        <v>46251</v>
      </c>
      <c r="K313" s="11">
        <f t="shared" si="31"/>
        <v>1</v>
      </c>
      <c r="L313" s="212" t="s">
        <v>248</v>
      </c>
      <c r="M313" s="11">
        <f t="shared" si="32"/>
        <v>1</v>
      </c>
      <c r="N313" s="12" t="s">
        <v>467</v>
      </c>
      <c r="O313" s="12" t="s">
        <v>747</v>
      </c>
      <c r="P313" s="56" t="s">
        <v>53</v>
      </c>
      <c r="Q313" s="190">
        <v>6604.347826086957</v>
      </c>
      <c r="R313" s="190">
        <v>6604.347826086957</v>
      </c>
      <c r="S313" s="57">
        <f t="shared" si="33"/>
        <v>0</v>
      </c>
      <c r="T313" s="57"/>
      <c r="U313" s="57"/>
      <c r="V313" s="58">
        <f t="shared" si="34"/>
        <v>660.43478260869574</v>
      </c>
      <c r="W313" s="59">
        <f t="shared" si="35"/>
        <v>0</v>
      </c>
    </row>
    <row r="314" spans="1:23" hidden="1" x14ac:dyDescent="0.35">
      <c r="A314" s="60"/>
      <c r="B314" s="54">
        <v>313</v>
      </c>
      <c r="C314" s="65" t="s">
        <v>822</v>
      </c>
      <c r="D314" s="12">
        <v>136341</v>
      </c>
      <c r="E314" s="210" t="s">
        <v>945</v>
      </c>
      <c r="F314" s="12">
        <v>139561</v>
      </c>
      <c r="G314" s="212">
        <v>46246</v>
      </c>
      <c r="H314" s="212" t="s">
        <v>248</v>
      </c>
      <c r="I314" s="11">
        <f t="shared" si="30"/>
        <v>4</v>
      </c>
      <c r="J314" s="212">
        <v>46251</v>
      </c>
      <c r="K314" s="11">
        <f t="shared" si="31"/>
        <v>1</v>
      </c>
      <c r="L314" s="212" t="s">
        <v>248</v>
      </c>
      <c r="M314" s="11">
        <f t="shared" si="32"/>
        <v>1</v>
      </c>
      <c r="N314" s="12" t="s">
        <v>468</v>
      </c>
      <c r="O314" s="12" t="s">
        <v>643</v>
      </c>
      <c r="P314" s="56" t="s">
        <v>53</v>
      </c>
      <c r="Q314" s="190">
        <v>119644</v>
      </c>
      <c r="R314" s="190">
        <v>119644</v>
      </c>
      <c r="S314" s="57">
        <f t="shared" si="33"/>
        <v>0</v>
      </c>
      <c r="T314" s="57"/>
      <c r="U314" s="57"/>
      <c r="V314" s="58">
        <f t="shared" si="34"/>
        <v>11964.400000000001</v>
      </c>
      <c r="W314" s="59">
        <f t="shared" si="35"/>
        <v>0</v>
      </c>
    </row>
    <row r="315" spans="1:23" hidden="1" x14ac:dyDescent="0.35">
      <c r="A315" s="60"/>
      <c r="B315" s="54">
        <v>314</v>
      </c>
      <c r="C315" s="65" t="s">
        <v>822</v>
      </c>
      <c r="D315" s="12">
        <v>136351</v>
      </c>
      <c r="E315" s="210" t="s">
        <v>945</v>
      </c>
      <c r="F315" s="12">
        <v>139588</v>
      </c>
      <c r="G315" s="212">
        <v>46246</v>
      </c>
      <c r="H315" s="212" t="s">
        <v>243</v>
      </c>
      <c r="I315" s="11">
        <f t="shared" si="30"/>
        <v>2</v>
      </c>
      <c r="J315" s="212">
        <v>46251</v>
      </c>
      <c r="K315" s="11">
        <f t="shared" si="31"/>
        <v>3</v>
      </c>
      <c r="L315" s="212" t="s">
        <v>248</v>
      </c>
      <c r="M315" s="11">
        <f t="shared" si="32"/>
        <v>1</v>
      </c>
      <c r="N315" s="12" t="s">
        <v>469</v>
      </c>
      <c r="O315" s="12" t="s">
        <v>649</v>
      </c>
      <c r="P315" s="56" t="s">
        <v>53</v>
      </c>
      <c r="Q315" s="190">
        <v>1191.1304347826087</v>
      </c>
      <c r="R315" s="190">
        <v>1191.1304347826087</v>
      </c>
      <c r="S315" s="57">
        <f t="shared" si="33"/>
        <v>0</v>
      </c>
      <c r="T315" s="57"/>
      <c r="U315" s="57"/>
      <c r="V315" s="58">
        <f t="shared" si="34"/>
        <v>119.11304347826088</v>
      </c>
      <c r="W315" s="59">
        <f t="shared" si="35"/>
        <v>0</v>
      </c>
    </row>
    <row r="316" spans="1:23" hidden="1" x14ac:dyDescent="0.35">
      <c r="A316" s="60"/>
      <c r="B316" s="54">
        <v>315</v>
      </c>
      <c r="C316" s="65" t="s">
        <v>822</v>
      </c>
      <c r="D316" s="12">
        <v>136372</v>
      </c>
      <c r="E316" s="210" t="s">
        <v>945</v>
      </c>
      <c r="F316" s="12">
        <v>139552</v>
      </c>
      <c r="G316" s="212">
        <v>46246</v>
      </c>
      <c r="H316" s="212" t="s">
        <v>253</v>
      </c>
      <c r="I316" s="11">
        <f t="shared" si="30"/>
        <v>5</v>
      </c>
      <c r="J316" s="212">
        <v>46252</v>
      </c>
      <c r="K316" s="11">
        <f t="shared" si="31"/>
        <v>1</v>
      </c>
      <c r="L316" s="212" t="s">
        <v>253</v>
      </c>
      <c r="M316" s="11">
        <f t="shared" si="32"/>
        <v>1</v>
      </c>
      <c r="N316" s="12" t="s">
        <v>925</v>
      </c>
      <c r="O316" s="12" t="s">
        <v>605</v>
      </c>
      <c r="P316" s="56" t="s">
        <v>53</v>
      </c>
      <c r="Q316" s="190">
        <v>199.56521739130434</v>
      </c>
      <c r="R316" s="190">
        <v>199.56521739130434</v>
      </c>
      <c r="S316" s="57">
        <f t="shared" si="33"/>
        <v>0</v>
      </c>
      <c r="T316" s="57"/>
      <c r="U316" s="57"/>
      <c r="V316" s="58">
        <f t="shared" si="34"/>
        <v>19.956521739130437</v>
      </c>
      <c r="W316" s="59">
        <f t="shared" si="35"/>
        <v>0</v>
      </c>
    </row>
    <row r="317" spans="1:23" hidden="1" x14ac:dyDescent="0.35">
      <c r="A317" s="60"/>
      <c r="B317" s="54">
        <v>316</v>
      </c>
      <c r="C317" s="65" t="s">
        <v>822</v>
      </c>
      <c r="D317" s="12">
        <v>136373</v>
      </c>
      <c r="E317" s="210" t="s">
        <v>945</v>
      </c>
      <c r="F317" s="12">
        <v>139554</v>
      </c>
      <c r="G317" s="212">
        <v>46246</v>
      </c>
      <c r="H317" s="212" t="s">
        <v>253</v>
      </c>
      <c r="I317" s="11">
        <f t="shared" si="30"/>
        <v>5</v>
      </c>
      <c r="J317" s="212">
        <v>46252</v>
      </c>
      <c r="K317" s="11">
        <f t="shared" si="31"/>
        <v>1</v>
      </c>
      <c r="L317" s="212" t="s">
        <v>253</v>
      </c>
      <c r="M317" s="11">
        <f t="shared" si="32"/>
        <v>1</v>
      </c>
      <c r="N317" s="12" t="s">
        <v>926</v>
      </c>
      <c r="O317" s="12" t="s">
        <v>748</v>
      </c>
      <c r="P317" s="56" t="s">
        <v>53</v>
      </c>
      <c r="Q317" s="190">
        <v>429.94565217391306</v>
      </c>
      <c r="R317" s="190">
        <v>429.94565217391306</v>
      </c>
      <c r="S317" s="57">
        <f t="shared" si="33"/>
        <v>0</v>
      </c>
      <c r="T317" s="57"/>
      <c r="U317" s="57"/>
      <c r="V317" s="58">
        <f t="shared" si="34"/>
        <v>42.994565217391312</v>
      </c>
      <c r="W317" s="59">
        <f t="shared" si="35"/>
        <v>0</v>
      </c>
    </row>
    <row r="318" spans="1:23" hidden="1" x14ac:dyDescent="0.35">
      <c r="A318" s="60"/>
      <c r="B318" s="54">
        <v>317</v>
      </c>
      <c r="C318" s="65" t="s">
        <v>822</v>
      </c>
      <c r="D318" s="12">
        <v>136377</v>
      </c>
      <c r="E318" s="210" t="s">
        <v>945</v>
      </c>
      <c r="F318" s="12">
        <v>139553</v>
      </c>
      <c r="G318" s="212">
        <v>46246</v>
      </c>
      <c r="H318" s="212" t="s">
        <v>253</v>
      </c>
      <c r="I318" s="11">
        <f t="shared" si="30"/>
        <v>5</v>
      </c>
      <c r="J318" s="212">
        <v>46252</v>
      </c>
      <c r="K318" s="11">
        <f t="shared" si="31"/>
        <v>1</v>
      </c>
      <c r="L318" s="212" t="s">
        <v>253</v>
      </c>
      <c r="M318" s="11">
        <f t="shared" si="32"/>
        <v>1</v>
      </c>
      <c r="N318" s="12" t="s">
        <v>927</v>
      </c>
      <c r="O318" s="12" t="s">
        <v>622</v>
      </c>
      <c r="P318" s="56" t="s">
        <v>53</v>
      </c>
      <c r="Q318" s="190">
        <v>434.78260869565219</v>
      </c>
      <c r="R318" s="190">
        <v>434.78260869565219</v>
      </c>
      <c r="S318" s="57">
        <f t="shared" si="33"/>
        <v>0</v>
      </c>
      <c r="T318" s="57"/>
      <c r="U318" s="57"/>
      <c r="V318" s="58">
        <f t="shared" si="34"/>
        <v>43.478260869565219</v>
      </c>
      <c r="W318" s="59">
        <f t="shared" si="35"/>
        <v>0</v>
      </c>
    </row>
    <row r="319" spans="1:23" hidden="1" x14ac:dyDescent="0.35">
      <c r="A319" s="60"/>
      <c r="B319" s="54">
        <v>318</v>
      </c>
      <c r="C319" s="65" t="s">
        <v>822</v>
      </c>
      <c r="D319" s="12">
        <v>136379</v>
      </c>
      <c r="E319" s="210" t="s">
        <v>945</v>
      </c>
      <c r="F319" s="12">
        <v>139571</v>
      </c>
      <c r="G319" s="212">
        <v>46246</v>
      </c>
      <c r="H319" s="212" t="s">
        <v>248</v>
      </c>
      <c r="I319" s="11">
        <f t="shared" si="30"/>
        <v>4</v>
      </c>
      <c r="J319" s="212">
        <v>46252</v>
      </c>
      <c r="K319" s="11">
        <f t="shared" si="31"/>
        <v>2</v>
      </c>
      <c r="L319" s="212" t="s">
        <v>253</v>
      </c>
      <c r="M319" s="11">
        <f t="shared" si="32"/>
        <v>1</v>
      </c>
      <c r="N319" s="12" t="s">
        <v>470</v>
      </c>
      <c r="O319" s="12" t="s">
        <v>660</v>
      </c>
      <c r="P319" s="56" t="s">
        <v>53</v>
      </c>
      <c r="Q319" s="190">
        <v>1054.3478260869565</v>
      </c>
      <c r="R319" s="190">
        <v>1054.3478260869565</v>
      </c>
      <c r="S319" s="57">
        <f t="shared" si="33"/>
        <v>0</v>
      </c>
      <c r="T319" s="57"/>
      <c r="U319" s="57"/>
      <c r="V319" s="58">
        <f t="shared" si="34"/>
        <v>105.43478260869566</v>
      </c>
      <c r="W319" s="59">
        <f t="shared" si="35"/>
        <v>0</v>
      </c>
    </row>
    <row r="320" spans="1:23" hidden="1" x14ac:dyDescent="0.35">
      <c r="A320" s="60"/>
      <c r="B320" s="54">
        <v>319</v>
      </c>
      <c r="C320" s="65" t="s">
        <v>822</v>
      </c>
      <c r="D320" s="12">
        <v>136380</v>
      </c>
      <c r="E320" s="210" t="s">
        <v>945</v>
      </c>
      <c r="F320" s="12">
        <v>139575</v>
      </c>
      <c r="G320" s="212">
        <v>46246</v>
      </c>
      <c r="H320" s="212" t="s">
        <v>248</v>
      </c>
      <c r="I320" s="11">
        <f t="shared" si="30"/>
        <v>4</v>
      </c>
      <c r="J320" s="212">
        <v>46252</v>
      </c>
      <c r="K320" s="11">
        <f t="shared" si="31"/>
        <v>2</v>
      </c>
      <c r="L320" s="212" t="s">
        <v>253</v>
      </c>
      <c r="M320" s="11">
        <f t="shared" si="32"/>
        <v>1</v>
      </c>
      <c r="N320" s="12" t="s">
        <v>471</v>
      </c>
      <c r="O320" s="12" t="s">
        <v>749</v>
      </c>
      <c r="P320" s="56" t="s">
        <v>53</v>
      </c>
      <c r="Q320" s="190">
        <v>1108.695652173913</v>
      </c>
      <c r="R320" s="190">
        <v>1108.695652173913</v>
      </c>
      <c r="S320" s="57">
        <f t="shared" si="33"/>
        <v>0</v>
      </c>
      <c r="T320" s="57"/>
      <c r="U320" s="57"/>
      <c r="V320" s="58">
        <f t="shared" si="34"/>
        <v>110.86956521739131</v>
      </c>
      <c r="W320" s="59">
        <f t="shared" si="35"/>
        <v>0</v>
      </c>
    </row>
    <row r="321" spans="1:23" hidden="1" x14ac:dyDescent="0.35">
      <c r="A321" s="60"/>
      <c r="B321" s="54">
        <v>320</v>
      </c>
      <c r="C321" s="65" t="s">
        <v>822</v>
      </c>
      <c r="D321" s="12">
        <v>136381</v>
      </c>
      <c r="E321" s="210" t="s">
        <v>945</v>
      </c>
      <c r="F321" s="12">
        <v>139572</v>
      </c>
      <c r="G321" s="212">
        <v>46246</v>
      </c>
      <c r="H321" s="212" t="s">
        <v>248</v>
      </c>
      <c r="I321" s="11">
        <f t="shared" si="30"/>
        <v>4</v>
      </c>
      <c r="J321" s="212">
        <v>46252</v>
      </c>
      <c r="K321" s="11">
        <f t="shared" si="31"/>
        <v>2</v>
      </c>
      <c r="L321" s="212" t="s">
        <v>253</v>
      </c>
      <c r="M321" s="11">
        <f t="shared" si="32"/>
        <v>1</v>
      </c>
      <c r="N321" s="12" t="s">
        <v>472</v>
      </c>
      <c r="O321" s="12" t="s">
        <v>660</v>
      </c>
      <c r="P321" s="56" t="s">
        <v>53</v>
      </c>
      <c r="Q321" s="190">
        <v>1054.3478260869565</v>
      </c>
      <c r="R321" s="190">
        <v>1054.3478260869565</v>
      </c>
      <c r="S321" s="57">
        <f t="shared" si="33"/>
        <v>0</v>
      </c>
      <c r="T321" s="57"/>
      <c r="U321" s="57"/>
      <c r="V321" s="58">
        <f t="shared" si="34"/>
        <v>105.43478260869566</v>
      </c>
      <c r="W321" s="59">
        <f t="shared" si="35"/>
        <v>0</v>
      </c>
    </row>
    <row r="322" spans="1:23" hidden="1" x14ac:dyDescent="0.35">
      <c r="A322" s="60"/>
      <c r="B322" s="54">
        <v>321</v>
      </c>
      <c r="C322" s="65" t="s">
        <v>822</v>
      </c>
      <c r="D322" s="12">
        <v>136382</v>
      </c>
      <c r="E322" s="210" t="s">
        <v>946</v>
      </c>
      <c r="F322" s="12">
        <v>139576</v>
      </c>
      <c r="G322" s="212">
        <v>46246</v>
      </c>
      <c r="H322" s="212" t="s">
        <v>248</v>
      </c>
      <c r="I322" s="11">
        <f t="shared" si="30"/>
        <v>4</v>
      </c>
      <c r="J322" s="212">
        <v>46252</v>
      </c>
      <c r="K322" s="11">
        <f t="shared" si="31"/>
        <v>2</v>
      </c>
      <c r="L322" s="212" t="s">
        <v>253</v>
      </c>
      <c r="M322" s="11">
        <f t="shared" si="32"/>
        <v>1</v>
      </c>
      <c r="N322" s="12" t="s">
        <v>473</v>
      </c>
      <c r="O322" s="12" t="s">
        <v>609</v>
      </c>
      <c r="P322" s="56" t="s">
        <v>53</v>
      </c>
      <c r="Q322" s="190">
        <v>1069.0217391304348</v>
      </c>
      <c r="R322" s="190">
        <v>1069.0217391304348</v>
      </c>
      <c r="S322" s="57">
        <f t="shared" si="33"/>
        <v>0</v>
      </c>
      <c r="T322" s="57"/>
      <c r="U322" s="57"/>
      <c r="V322" s="58">
        <f t="shared" si="34"/>
        <v>106.90217391304348</v>
      </c>
      <c r="W322" s="59">
        <f t="shared" si="35"/>
        <v>0</v>
      </c>
    </row>
    <row r="323" spans="1:23" hidden="1" x14ac:dyDescent="0.35">
      <c r="A323" s="60"/>
      <c r="B323" s="54">
        <v>322</v>
      </c>
      <c r="C323" s="65" t="s">
        <v>822</v>
      </c>
      <c r="D323" s="12">
        <v>136383</v>
      </c>
      <c r="E323" s="210" t="s">
        <v>946</v>
      </c>
      <c r="F323" s="12">
        <v>139578</v>
      </c>
      <c r="G323" s="212">
        <v>46246</v>
      </c>
      <c r="H323" s="212" t="s">
        <v>248</v>
      </c>
      <c r="I323" s="11">
        <f t="shared" si="30"/>
        <v>4</v>
      </c>
      <c r="J323" s="212">
        <v>46252</v>
      </c>
      <c r="K323" s="11">
        <f t="shared" si="31"/>
        <v>2</v>
      </c>
      <c r="L323" s="212" t="s">
        <v>253</v>
      </c>
      <c r="M323" s="11">
        <f t="shared" si="32"/>
        <v>1</v>
      </c>
      <c r="N323" s="12" t="s">
        <v>474</v>
      </c>
      <c r="O323" s="12" t="s">
        <v>609</v>
      </c>
      <c r="P323" s="56" t="s">
        <v>53</v>
      </c>
      <c r="Q323" s="190">
        <v>1602.1739130434783</v>
      </c>
      <c r="R323" s="190">
        <v>1602.1739130434783</v>
      </c>
      <c r="S323" s="57">
        <f t="shared" si="33"/>
        <v>0</v>
      </c>
      <c r="T323" s="57"/>
      <c r="U323" s="57"/>
      <c r="V323" s="58">
        <f t="shared" si="34"/>
        <v>160.21739130434784</v>
      </c>
      <c r="W323" s="59">
        <f t="shared" si="35"/>
        <v>0</v>
      </c>
    </row>
    <row r="324" spans="1:23" hidden="1" x14ac:dyDescent="0.35">
      <c r="A324" s="60"/>
      <c r="B324" s="54">
        <v>323</v>
      </c>
      <c r="C324" s="65" t="s">
        <v>822</v>
      </c>
      <c r="D324" s="12">
        <v>136384</v>
      </c>
      <c r="E324" s="210" t="s">
        <v>946</v>
      </c>
      <c r="F324" s="12">
        <v>139580</v>
      </c>
      <c r="G324" s="212">
        <v>46246</v>
      </c>
      <c r="H324" s="212" t="s">
        <v>248</v>
      </c>
      <c r="I324" s="11">
        <f t="shared" si="30"/>
        <v>4</v>
      </c>
      <c r="J324" s="212">
        <v>46252</v>
      </c>
      <c r="K324" s="11">
        <f t="shared" si="31"/>
        <v>2</v>
      </c>
      <c r="L324" s="212" t="s">
        <v>253</v>
      </c>
      <c r="M324" s="11">
        <f t="shared" si="32"/>
        <v>1</v>
      </c>
      <c r="N324" s="12" t="s">
        <v>475</v>
      </c>
      <c r="O324" s="12" t="s">
        <v>609</v>
      </c>
      <c r="P324" s="56" t="s">
        <v>53</v>
      </c>
      <c r="Q324" s="190">
        <v>1758.695652173913</v>
      </c>
      <c r="R324" s="190">
        <v>1758.695652173913</v>
      </c>
      <c r="S324" s="57">
        <f t="shared" si="33"/>
        <v>0</v>
      </c>
      <c r="T324" s="57"/>
      <c r="U324" s="57"/>
      <c r="V324" s="58">
        <f t="shared" si="34"/>
        <v>175.86956521739131</v>
      </c>
      <c r="W324" s="59">
        <f t="shared" si="35"/>
        <v>0</v>
      </c>
    </row>
    <row r="325" spans="1:23" hidden="1" x14ac:dyDescent="0.35">
      <c r="A325" s="60"/>
      <c r="B325" s="54">
        <v>324</v>
      </c>
      <c r="C325" s="65" t="s">
        <v>822</v>
      </c>
      <c r="D325" s="12">
        <v>136385</v>
      </c>
      <c r="E325" s="210" t="s">
        <v>945</v>
      </c>
      <c r="F325" s="12">
        <v>139573</v>
      </c>
      <c r="G325" s="212">
        <v>46246</v>
      </c>
      <c r="H325" s="212" t="s">
        <v>248</v>
      </c>
      <c r="I325" s="11">
        <f t="shared" si="30"/>
        <v>4</v>
      </c>
      <c r="J325" s="212">
        <v>46252</v>
      </c>
      <c r="K325" s="11">
        <f t="shared" si="31"/>
        <v>2</v>
      </c>
      <c r="L325" s="212" t="s">
        <v>253</v>
      </c>
      <c r="M325" s="11">
        <f t="shared" si="32"/>
        <v>1</v>
      </c>
      <c r="N325" s="12" t="s">
        <v>476</v>
      </c>
      <c r="O325" s="12" t="s">
        <v>660</v>
      </c>
      <c r="P325" s="56" t="s">
        <v>53</v>
      </c>
      <c r="Q325" s="190">
        <v>1054.3478260869565</v>
      </c>
      <c r="R325" s="190">
        <v>1054.3478260869565</v>
      </c>
      <c r="S325" s="57">
        <f t="shared" si="33"/>
        <v>0</v>
      </c>
      <c r="T325" s="57"/>
      <c r="U325" s="57"/>
      <c r="V325" s="58">
        <f t="shared" si="34"/>
        <v>105.43478260869566</v>
      </c>
      <c r="W325" s="59">
        <f t="shared" si="35"/>
        <v>0</v>
      </c>
    </row>
    <row r="326" spans="1:23" hidden="1" x14ac:dyDescent="0.35">
      <c r="A326" s="60"/>
      <c r="B326" s="54">
        <v>325</v>
      </c>
      <c r="C326" s="65" t="s">
        <v>822</v>
      </c>
      <c r="D326" s="12">
        <v>136386</v>
      </c>
      <c r="E326" s="210" t="s">
        <v>945</v>
      </c>
      <c r="F326" s="12">
        <v>139570</v>
      </c>
      <c r="G326" s="212">
        <v>46246</v>
      </c>
      <c r="H326" s="212" t="s">
        <v>248</v>
      </c>
      <c r="I326" s="11">
        <f t="shared" si="30"/>
        <v>4</v>
      </c>
      <c r="J326" s="212">
        <v>46252</v>
      </c>
      <c r="K326" s="11">
        <f t="shared" si="31"/>
        <v>2</v>
      </c>
      <c r="L326" s="212" t="s">
        <v>253</v>
      </c>
      <c r="M326" s="11">
        <f t="shared" si="32"/>
        <v>1</v>
      </c>
      <c r="N326" s="12" t="s">
        <v>477</v>
      </c>
      <c r="O326" s="12" t="s">
        <v>691</v>
      </c>
      <c r="P326" s="56" t="s">
        <v>53</v>
      </c>
      <c r="Q326" s="190">
        <v>259.45652173913044</v>
      </c>
      <c r="R326" s="190">
        <v>259.45652173913044</v>
      </c>
      <c r="S326" s="57">
        <f t="shared" si="33"/>
        <v>0</v>
      </c>
      <c r="T326" s="57"/>
      <c r="U326" s="57"/>
      <c r="V326" s="58">
        <f t="shared" si="34"/>
        <v>25.945652173913047</v>
      </c>
      <c r="W326" s="59">
        <f t="shared" si="35"/>
        <v>0</v>
      </c>
    </row>
    <row r="327" spans="1:23" hidden="1" x14ac:dyDescent="0.35">
      <c r="A327" s="60"/>
      <c r="B327" s="54">
        <v>326</v>
      </c>
      <c r="C327" s="65" t="s">
        <v>822</v>
      </c>
      <c r="D327" s="12">
        <v>136416</v>
      </c>
      <c r="E327" s="210" t="s">
        <v>945</v>
      </c>
      <c r="F327" s="12">
        <v>139555</v>
      </c>
      <c r="G327" s="212">
        <v>46246</v>
      </c>
      <c r="H327" s="212" t="s">
        <v>248</v>
      </c>
      <c r="I327" s="11">
        <f t="shared" si="30"/>
        <v>4</v>
      </c>
      <c r="J327" s="212">
        <v>46254</v>
      </c>
      <c r="K327" s="11">
        <f t="shared" si="31"/>
        <v>4</v>
      </c>
      <c r="L327" s="212" t="s">
        <v>263</v>
      </c>
      <c r="M327" s="11">
        <f t="shared" si="32"/>
        <v>1</v>
      </c>
      <c r="N327" s="12" t="s">
        <v>458</v>
      </c>
      <c r="O327" s="12" t="s">
        <v>750</v>
      </c>
      <c r="P327" s="56" t="s">
        <v>53</v>
      </c>
      <c r="Q327" s="190">
        <v>88.043478260869563</v>
      </c>
      <c r="R327" s="190">
        <v>88.043478260869563</v>
      </c>
      <c r="S327" s="57">
        <f t="shared" si="33"/>
        <v>0</v>
      </c>
      <c r="T327" s="57"/>
      <c r="U327" s="57"/>
      <c r="V327" s="58">
        <f t="shared" si="34"/>
        <v>8.804347826086957</v>
      </c>
      <c r="W327" s="59">
        <f t="shared" si="35"/>
        <v>0</v>
      </c>
    </row>
    <row r="328" spans="1:23" hidden="1" x14ac:dyDescent="0.35">
      <c r="A328" s="60"/>
      <c r="B328" s="54">
        <v>327</v>
      </c>
      <c r="C328" s="65" t="s">
        <v>822</v>
      </c>
      <c r="D328" s="12">
        <v>136424</v>
      </c>
      <c r="E328" s="210" t="s">
        <v>945</v>
      </c>
      <c r="F328" s="12">
        <v>139557</v>
      </c>
      <c r="G328" s="212">
        <v>46246</v>
      </c>
      <c r="H328" s="212" t="s">
        <v>248</v>
      </c>
      <c r="I328" s="11">
        <f t="shared" si="30"/>
        <v>4</v>
      </c>
      <c r="J328" s="212">
        <v>46254</v>
      </c>
      <c r="K328" s="11">
        <f t="shared" si="31"/>
        <v>4</v>
      </c>
      <c r="L328" s="212" t="s">
        <v>265</v>
      </c>
      <c r="M328" s="11">
        <f t="shared" si="32"/>
        <v>6</v>
      </c>
      <c r="N328" s="12" t="s">
        <v>478</v>
      </c>
      <c r="O328" s="12" t="s">
        <v>751</v>
      </c>
      <c r="P328" s="56" t="s">
        <v>53</v>
      </c>
      <c r="Q328" s="190">
        <v>55293.570652173912</v>
      </c>
      <c r="R328" s="190">
        <v>55293.570652173912</v>
      </c>
      <c r="S328" s="57">
        <f t="shared" si="33"/>
        <v>0</v>
      </c>
      <c r="T328" s="57"/>
      <c r="U328" s="57"/>
      <c r="V328" s="58">
        <f t="shared" si="34"/>
        <v>5529.3570652173912</v>
      </c>
      <c r="W328" s="59">
        <f t="shared" si="35"/>
        <v>0</v>
      </c>
    </row>
    <row r="329" spans="1:23" hidden="1" x14ac:dyDescent="0.35">
      <c r="A329" s="60"/>
      <c r="B329" s="54">
        <v>328</v>
      </c>
      <c r="C329" s="65" t="s">
        <v>822</v>
      </c>
      <c r="D329" s="12">
        <v>136426</v>
      </c>
      <c r="E329" s="210" t="s">
        <v>945</v>
      </c>
      <c r="F329" s="12">
        <v>139559</v>
      </c>
      <c r="G329" s="212">
        <v>46246</v>
      </c>
      <c r="H329" s="212" t="s">
        <v>248</v>
      </c>
      <c r="I329" s="11">
        <f t="shared" si="30"/>
        <v>4</v>
      </c>
      <c r="J329" s="212">
        <v>46254</v>
      </c>
      <c r="K329" s="11">
        <f t="shared" si="31"/>
        <v>4</v>
      </c>
      <c r="L329" s="212" t="s">
        <v>263</v>
      </c>
      <c r="M329" s="11">
        <f t="shared" si="32"/>
        <v>1</v>
      </c>
      <c r="N329" s="12" t="s">
        <v>479</v>
      </c>
      <c r="O329" s="12" t="s">
        <v>701</v>
      </c>
      <c r="P329" s="56" t="s">
        <v>53</v>
      </c>
      <c r="Q329" s="190">
        <v>1739.1304347826087</v>
      </c>
      <c r="R329" s="190">
        <v>1739.1304347826087</v>
      </c>
      <c r="S329" s="57">
        <f t="shared" si="33"/>
        <v>0</v>
      </c>
      <c r="T329" s="57"/>
      <c r="U329" s="57"/>
      <c r="V329" s="58">
        <f t="shared" si="34"/>
        <v>173.91304347826087</v>
      </c>
      <c r="W329" s="59">
        <f t="shared" si="35"/>
        <v>0</v>
      </c>
    </row>
    <row r="330" spans="1:23" hidden="1" x14ac:dyDescent="0.35">
      <c r="A330" s="60"/>
      <c r="B330" s="54">
        <v>329</v>
      </c>
      <c r="C330" s="65" t="s">
        <v>822</v>
      </c>
      <c r="D330" s="12">
        <v>136427</v>
      </c>
      <c r="E330" s="210" t="s">
        <v>945</v>
      </c>
      <c r="F330" s="12">
        <v>139566</v>
      </c>
      <c r="G330" s="212">
        <v>46246</v>
      </c>
      <c r="H330" s="212" t="s">
        <v>248</v>
      </c>
      <c r="I330" s="11">
        <f t="shared" si="30"/>
        <v>4</v>
      </c>
      <c r="J330" s="212">
        <v>46254</v>
      </c>
      <c r="K330" s="11">
        <f t="shared" si="31"/>
        <v>4</v>
      </c>
      <c r="L330" s="212" t="s">
        <v>263</v>
      </c>
      <c r="M330" s="11">
        <f t="shared" si="32"/>
        <v>1</v>
      </c>
      <c r="N330" s="12" t="s">
        <v>480</v>
      </c>
      <c r="O330" s="12" t="s">
        <v>752</v>
      </c>
      <c r="P330" s="56" t="s">
        <v>53</v>
      </c>
      <c r="Q330" s="190">
        <v>57815.217391304344</v>
      </c>
      <c r="R330" s="190">
        <v>57815.217391304344</v>
      </c>
      <c r="S330" s="57">
        <f t="shared" si="33"/>
        <v>0</v>
      </c>
      <c r="T330" s="57"/>
      <c r="U330" s="57"/>
      <c r="V330" s="58">
        <f t="shared" si="34"/>
        <v>5781.521739130435</v>
      </c>
      <c r="W330" s="59">
        <f t="shared" si="35"/>
        <v>0</v>
      </c>
    </row>
    <row r="331" spans="1:23" hidden="1" x14ac:dyDescent="0.35">
      <c r="A331" s="60"/>
      <c r="B331" s="54">
        <v>330</v>
      </c>
      <c r="C331" s="65" t="s">
        <v>822</v>
      </c>
      <c r="D331" s="12">
        <v>136432</v>
      </c>
      <c r="E331" s="210" t="s">
        <v>945</v>
      </c>
      <c r="F331" s="12">
        <v>139574</v>
      </c>
      <c r="G331" s="212">
        <v>46246</v>
      </c>
      <c r="H331" s="212" t="s">
        <v>248</v>
      </c>
      <c r="I331" s="11">
        <f t="shared" si="30"/>
        <v>4</v>
      </c>
      <c r="J331" s="212">
        <v>46254</v>
      </c>
      <c r="K331" s="11">
        <f t="shared" si="31"/>
        <v>4</v>
      </c>
      <c r="L331" s="212" t="s">
        <v>263</v>
      </c>
      <c r="M331" s="11">
        <f t="shared" si="32"/>
        <v>1</v>
      </c>
      <c r="N331" s="12" t="s">
        <v>481</v>
      </c>
      <c r="O331" s="12" t="s">
        <v>753</v>
      </c>
      <c r="P331" s="56" t="s">
        <v>53</v>
      </c>
      <c r="Q331" s="190">
        <v>88.260869565217391</v>
      </c>
      <c r="R331" s="190">
        <v>88.260869565217391</v>
      </c>
      <c r="S331" s="57">
        <f t="shared" si="33"/>
        <v>0</v>
      </c>
      <c r="T331" s="57"/>
      <c r="U331" s="57"/>
      <c r="V331" s="58">
        <f t="shared" si="34"/>
        <v>8.8260869565217401</v>
      </c>
      <c r="W331" s="59">
        <f t="shared" si="35"/>
        <v>0</v>
      </c>
    </row>
    <row r="332" spans="1:23" hidden="1" x14ac:dyDescent="0.35">
      <c r="A332" s="60"/>
      <c r="B332" s="54">
        <v>331</v>
      </c>
      <c r="C332" s="65" t="s">
        <v>822</v>
      </c>
      <c r="D332" s="12">
        <v>136437</v>
      </c>
      <c r="E332" s="210" t="s">
        <v>945</v>
      </c>
      <c r="F332" s="12">
        <v>139560</v>
      </c>
      <c r="G332" s="212">
        <v>46246</v>
      </c>
      <c r="H332" s="212" t="s">
        <v>248</v>
      </c>
      <c r="I332" s="11">
        <f t="shared" si="30"/>
        <v>4</v>
      </c>
      <c r="J332" s="212">
        <v>46254</v>
      </c>
      <c r="K332" s="11">
        <f t="shared" si="31"/>
        <v>4</v>
      </c>
      <c r="L332" s="212" t="s">
        <v>263</v>
      </c>
      <c r="M332" s="11">
        <f t="shared" si="32"/>
        <v>1</v>
      </c>
      <c r="N332" s="12" t="s">
        <v>482</v>
      </c>
      <c r="O332" s="12" t="s">
        <v>712</v>
      </c>
      <c r="P332" s="56" t="s">
        <v>53</v>
      </c>
      <c r="Q332" s="190">
        <v>192.19565217391303</v>
      </c>
      <c r="R332" s="190">
        <v>192.19565217391303</v>
      </c>
      <c r="S332" s="57">
        <f t="shared" si="33"/>
        <v>0</v>
      </c>
      <c r="T332" s="57"/>
      <c r="U332" s="57"/>
      <c r="V332" s="58">
        <f t="shared" si="34"/>
        <v>19.219565217391306</v>
      </c>
      <c r="W332" s="59">
        <f t="shared" si="35"/>
        <v>0</v>
      </c>
    </row>
    <row r="333" spans="1:23" hidden="1" x14ac:dyDescent="0.35">
      <c r="A333" s="60"/>
      <c r="B333" s="54">
        <v>332</v>
      </c>
      <c r="C333" s="65" t="s">
        <v>822</v>
      </c>
      <c r="D333" s="12">
        <v>136439</v>
      </c>
      <c r="E333" s="210" t="s">
        <v>945</v>
      </c>
      <c r="F333" s="12">
        <v>139565</v>
      </c>
      <c r="G333" s="212">
        <v>46246</v>
      </c>
      <c r="H333" s="212" t="s">
        <v>248</v>
      </c>
      <c r="I333" s="11">
        <f t="shared" si="30"/>
        <v>4</v>
      </c>
      <c r="J333" s="212">
        <v>46254</v>
      </c>
      <c r="K333" s="11">
        <f t="shared" si="31"/>
        <v>4</v>
      </c>
      <c r="L333" s="212" t="s">
        <v>263</v>
      </c>
      <c r="M333" s="11">
        <f t="shared" si="32"/>
        <v>1</v>
      </c>
      <c r="N333" s="12" t="s">
        <v>293</v>
      </c>
      <c r="O333" s="12" t="s">
        <v>754</v>
      </c>
      <c r="P333" s="56" t="s">
        <v>53</v>
      </c>
      <c r="Q333" s="190">
        <v>1086.9565217391305</v>
      </c>
      <c r="R333" s="190">
        <v>1086.9565217391305</v>
      </c>
      <c r="S333" s="57">
        <f t="shared" si="33"/>
        <v>0</v>
      </c>
      <c r="T333" s="57"/>
      <c r="U333" s="57"/>
      <c r="V333" s="58">
        <f t="shared" si="34"/>
        <v>108.69565217391306</v>
      </c>
      <c r="W333" s="59">
        <f t="shared" si="35"/>
        <v>0</v>
      </c>
    </row>
    <row r="334" spans="1:23" hidden="1" x14ac:dyDescent="0.35">
      <c r="A334" s="60"/>
      <c r="B334" s="54">
        <v>333</v>
      </c>
      <c r="C334" s="65" t="s">
        <v>822</v>
      </c>
      <c r="D334" s="12">
        <v>136440</v>
      </c>
      <c r="E334" s="210" t="s">
        <v>945</v>
      </c>
      <c r="F334" s="12">
        <v>139562</v>
      </c>
      <c r="G334" s="212">
        <v>46246</v>
      </c>
      <c r="H334" s="212" t="s">
        <v>248</v>
      </c>
      <c r="I334" s="11">
        <f t="shared" si="30"/>
        <v>4</v>
      </c>
      <c r="J334" s="212">
        <v>46254</v>
      </c>
      <c r="K334" s="11">
        <f t="shared" si="31"/>
        <v>4</v>
      </c>
      <c r="L334" s="212" t="s">
        <v>263</v>
      </c>
      <c r="M334" s="11">
        <f t="shared" si="32"/>
        <v>1</v>
      </c>
      <c r="N334" s="12" t="s">
        <v>293</v>
      </c>
      <c r="O334" s="12" t="s">
        <v>755</v>
      </c>
      <c r="P334" s="56" t="s">
        <v>53</v>
      </c>
      <c r="Q334" s="190">
        <v>1739.1304347826087</v>
      </c>
      <c r="R334" s="190">
        <v>1739.1304347826087</v>
      </c>
      <c r="S334" s="57">
        <f t="shared" si="33"/>
        <v>0</v>
      </c>
      <c r="T334" s="57"/>
      <c r="U334" s="57"/>
      <c r="V334" s="58">
        <f t="shared" si="34"/>
        <v>173.91304347826087</v>
      </c>
      <c r="W334" s="59">
        <f t="shared" si="35"/>
        <v>0</v>
      </c>
    </row>
    <row r="335" spans="1:23" hidden="1" x14ac:dyDescent="0.35">
      <c r="A335" s="60"/>
      <c r="B335" s="54">
        <v>334</v>
      </c>
      <c r="C335" s="65" t="s">
        <v>822</v>
      </c>
      <c r="D335" s="12">
        <v>136441</v>
      </c>
      <c r="E335" s="210" t="s">
        <v>945</v>
      </c>
      <c r="F335" s="12">
        <v>139583</v>
      </c>
      <c r="G335" s="212">
        <v>46246</v>
      </c>
      <c r="H335" s="212" t="s">
        <v>248</v>
      </c>
      <c r="I335" s="11">
        <f t="shared" si="30"/>
        <v>4</v>
      </c>
      <c r="J335" s="212">
        <v>46254</v>
      </c>
      <c r="K335" s="11">
        <f t="shared" si="31"/>
        <v>4</v>
      </c>
      <c r="L335" s="212" t="s">
        <v>265</v>
      </c>
      <c r="M335" s="11">
        <f t="shared" si="32"/>
        <v>6</v>
      </c>
      <c r="N335" s="12" t="s">
        <v>293</v>
      </c>
      <c r="O335" s="12" t="s">
        <v>756</v>
      </c>
      <c r="P335" s="56" t="s">
        <v>53</v>
      </c>
      <c r="Q335" s="190">
        <v>1739.1304347826087</v>
      </c>
      <c r="R335" s="190">
        <v>1739.1304347826087</v>
      </c>
      <c r="S335" s="57">
        <f t="shared" si="33"/>
        <v>0</v>
      </c>
      <c r="T335" s="57"/>
      <c r="U335" s="57"/>
      <c r="V335" s="58">
        <f t="shared" si="34"/>
        <v>173.91304347826087</v>
      </c>
      <c r="W335" s="59">
        <f t="shared" si="35"/>
        <v>0</v>
      </c>
    </row>
    <row r="336" spans="1:23" hidden="1" x14ac:dyDescent="0.35">
      <c r="A336" s="60"/>
      <c r="B336" s="54">
        <v>335</v>
      </c>
      <c r="C336" s="65" t="s">
        <v>822</v>
      </c>
      <c r="D336" s="12">
        <v>136513</v>
      </c>
      <c r="E336" s="210" t="s">
        <v>945</v>
      </c>
      <c r="F336" s="12">
        <v>139577</v>
      </c>
      <c r="G336" s="212">
        <v>46246</v>
      </c>
      <c r="H336" s="212" t="s">
        <v>257</v>
      </c>
      <c r="I336" s="11">
        <f t="shared" si="30"/>
        <v>9</v>
      </c>
      <c r="J336" s="212">
        <v>46261</v>
      </c>
      <c r="K336" s="11">
        <f t="shared" si="31"/>
        <v>4</v>
      </c>
      <c r="L336" s="212" t="s">
        <v>265</v>
      </c>
      <c r="M336" s="11">
        <f t="shared" si="32"/>
        <v>1</v>
      </c>
      <c r="N336" s="12" t="s">
        <v>483</v>
      </c>
      <c r="O336" s="12" t="s">
        <v>757</v>
      </c>
      <c r="P336" s="56" t="s">
        <v>53</v>
      </c>
      <c r="Q336" s="190">
        <v>29.347826086956523</v>
      </c>
      <c r="R336" s="190">
        <v>29.347826086956523</v>
      </c>
      <c r="S336" s="57">
        <f t="shared" si="33"/>
        <v>0</v>
      </c>
      <c r="T336" s="57"/>
      <c r="U336" s="57"/>
      <c r="V336" s="58">
        <f t="shared" si="34"/>
        <v>2.9347826086956523</v>
      </c>
      <c r="W336" s="59">
        <f t="shared" si="35"/>
        <v>0</v>
      </c>
    </row>
    <row r="337" spans="1:23" hidden="1" x14ac:dyDescent="0.35">
      <c r="A337" s="60"/>
      <c r="B337" s="54">
        <v>336</v>
      </c>
      <c r="C337" s="65" t="s">
        <v>822</v>
      </c>
      <c r="D337" s="12">
        <v>136519</v>
      </c>
      <c r="E337" s="210" t="s">
        <v>945</v>
      </c>
      <c r="F337" s="12">
        <v>139586</v>
      </c>
      <c r="G337" s="212">
        <v>46246</v>
      </c>
      <c r="H337" s="212" t="s">
        <v>257</v>
      </c>
      <c r="I337" s="11">
        <f t="shared" si="30"/>
        <v>9</v>
      </c>
      <c r="J337" s="212">
        <v>46261</v>
      </c>
      <c r="K337" s="11">
        <f t="shared" si="31"/>
        <v>4</v>
      </c>
      <c r="L337" s="212" t="s">
        <v>265</v>
      </c>
      <c r="M337" s="11">
        <f t="shared" si="32"/>
        <v>1</v>
      </c>
      <c r="N337" s="12" t="s">
        <v>484</v>
      </c>
      <c r="O337" s="12" t="s">
        <v>622</v>
      </c>
      <c r="P337" s="56" t="s">
        <v>53</v>
      </c>
      <c r="Q337" s="190">
        <v>108.69565217391305</v>
      </c>
      <c r="R337" s="190">
        <v>108.69565217391305</v>
      </c>
      <c r="S337" s="57">
        <f t="shared" si="33"/>
        <v>0</v>
      </c>
      <c r="T337" s="57"/>
      <c r="U337" s="57"/>
      <c r="V337" s="58">
        <f t="shared" si="34"/>
        <v>10.869565217391305</v>
      </c>
      <c r="W337" s="59">
        <f t="shared" si="35"/>
        <v>0</v>
      </c>
    </row>
    <row r="338" spans="1:23" hidden="1" x14ac:dyDescent="0.35">
      <c r="A338" s="60"/>
      <c r="B338" s="54">
        <v>337</v>
      </c>
      <c r="C338" s="65" t="s">
        <v>822</v>
      </c>
      <c r="D338" s="12">
        <v>136538</v>
      </c>
      <c r="E338" s="210" t="s">
        <v>945</v>
      </c>
      <c r="F338" s="12">
        <v>139584</v>
      </c>
      <c r="G338" s="212">
        <v>46246</v>
      </c>
      <c r="H338" s="212" t="s">
        <v>257</v>
      </c>
      <c r="I338" s="11">
        <f t="shared" si="30"/>
        <v>9</v>
      </c>
      <c r="J338" s="212">
        <v>46262</v>
      </c>
      <c r="K338" s="11">
        <f t="shared" si="31"/>
        <v>5</v>
      </c>
      <c r="L338" s="212" t="s">
        <v>266</v>
      </c>
      <c r="M338" s="11">
        <f t="shared" si="32"/>
        <v>1</v>
      </c>
      <c r="N338" s="12" t="s">
        <v>485</v>
      </c>
      <c r="O338" s="12" t="s">
        <v>758</v>
      </c>
      <c r="P338" s="56" t="s">
        <v>53</v>
      </c>
      <c r="Q338" s="190">
        <v>100</v>
      </c>
      <c r="R338" s="190">
        <v>100</v>
      </c>
      <c r="S338" s="57">
        <f t="shared" si="33"/>
        <v>0</v>
      </c>
      <c r="T338" s="57"/>
      <c r="U338" s="57"/>
      <c r="V338" s="58">
        <f t="shared" si="34"/>
        <v>10</v>
      </c>
      <c r="W338" s="59">
        <f t="shared" si="35"/>
        <v>0</v>
      </c>
    </row>
    <row r="339" spans="1:23" hidden="1" x14ac:dyDescent="0.35">
      <c r="A339" s="60"/>
      <c r="B339" s="54">
        <v>338</v>
      </c>
      <c r="C339" s="65" t="s">
        <v>822</v>
      </c>
      <c r="D339" s="12">
        <v>136539</v>
      </c>
      <c r="E339" s="209" t="s">
        <v>946</v>
      </c>
      <c r="F339" s="12">
        <v>139582</v>
      </c>
      <c r="G339" s="212">
        <v>46246</v>
      </c>
      <c r="H339" s="212" t="s">
        <v>257</v>
      </c>
      <c r="I339" s="11">
        <f t="shared" si="30"/>
        <v>9</v>
      </c>
      <c r="J339" s="212">
        <v>46262</v>
      </c>
      <c r="K339" s="11">
        <f t="shared" si="31"/>
        <v>5</v>
      </c>
      <c r="L339" s="212" t="s">
        <v>266</v>
      </c>
      <c r="M339" s="11">
        <f t="shared" si="32"/>
        <v>1</v>
      </c>
      <c r="N339" s="12" t="s">
        <v>486</v>
      </c>
      <c r="O339" s="12" t="s">
        <v>759</v>
      </c>
      <c r="P339" s="56" t="s">
        <v>53</v>
      </c>
      <c r="Q339" s="190">
        <v>217.39130434782609</v>
      </c>
      <c r="R339" s="190">
        <v>217.39130434782609</v>
      </c>
      <c r="S339" s="57">
        <f t="shared" si="33"/>
        <v>0</v>
      </c>
      <c r="T339" s="57"/>
      <c r="U339" s="57"/>
      <c r="V339" s="58">
        <f t="shared" si="34"/>
        <v>21.739130434782609</v>
      </c>
      <c r="W339" s="59">
        <f t="shared" si="35"/>
        <v>0</v>
      </c>
    </row>
    <row r="340" spans="1:23" x14ac:dyDescent="0.35">
      <c r="A340" s="60"/>
      <c r="B340" s="54">
        <v>339</v>
      </c>
      <c r="C340" s="65" t="s">
        <v>822</v>
      </c>
      <c r="D340" s="12">
        <v>136483</v>
      </c>
      <c r="E340" s="210" t="s">
        <v>946</v>
      </c>
      <c r="F340" s="12">
        <v>139618</v>
      </c>
      <c r="G340" s="212">
        <v>46247</v>
      </c>
      <c r="H340" s="212" t="s">
        <v>260</v>
      </c>
      <c r="I340" s="11">
        <f t="shared" si="30"/>
        <v>9</v>
      </c>
      <c r="J340" s="212">
        <v>46259</v>
      </c>
      <c r="K340" s="11">
        <f t="shared" si="31"/>
        <v>1</v>
      </c>
      <c r="L340" s="212" t="s">
        <v>260</v>
      </c>
      <c r="M340" s="11">
        <f t="shared" si="32"/>
        <v>1</v>
      </c>
      <c r="N340" s="12" t="s">
        <v>487</v>
      </c>
      <c r="O340" s="12" t="s">
        <v>609</v>
      </c>
      <c r="P340" s="56" t="s">
        <v>53</v>
      </c>
      <c r="Q340" s="190">
        <v>1351.8</v>
      </c>
      <c r="R340" s="190">
        <v>1175.4782608695652</v>
      </c>
      <c r="S340" s="57">
        <f t="shared" si="33"/>
        <v>176.32173913043471</v>
      </c>
      <c r="T340" s="57"/>
      <c r="U340" s="57"/>
      <c r="V340" s="58">
        <f t="shared" si="34"/>
        <v>135.18</v>
      </c>
      <c r="W340" s="59">
        <f t="shared" si="35"/>
        <v>0.13043478260869559</v>
      </c>
    </row>
    <row r="341" spans="1:23" x14ac:dyDescent="0.35">
      <c r="A341" s="60"/>
      <c r="B341" s="54">
        <v>340</v>
      </c>
      <c r="C341" s="65" t="s">
        <v>822</v>
      </c>
      <c r="D341" s="12">
        <v>136404</v>
      </c>
      <c r="E341" s="210" t="s">
        <v>945</v>
      </c>
      <c r="F341" s="12">
        <v>139596</v>
      </c>
      <c r="G341" s="212">
        <v>46247</v>
      </c>
      <c r="H341" s="212" t="s">
        <v>248</v>
      </c>
      <c r="I341" s="11">
        <f t="shared" si="30"/>
        <v>3</v>
      </c>
      <c r="J341" s="212">
        <v>46253</v>
      </c>
      <c r="K341" s="11">
        <f t="shared" si="31"/>
        <v>3</v>
      </c>
      <c r="L341" s="212" t="s">
        <v>261</v>
      </c>
      <c r="M341" s="11">
        <f t="shared" si="32"/>
        <v>1</v>
      </c>
      <c r="N341" s="12" t="s">
        <v>488</v>
      </c>
      <c r="O341" s="12" t="s">
        <v>623</v>
      </c>
      <c r="P341" s="56" t="s">
        <v>53</v>
      </c>
      <c r="Q341" s="190">
        <v>4634.4143478260867</v>
      </c>
      <c r="R341" s="190">
        <v>3838.9463043478263</v>
      </c>
      <c r="S341" s="57">
        <f t="shared" si="33"/>
        <v>795.46804347826037</v>
      </c>
      <c r="T341" s="57"/>
      <c r="U341" s="57"/>
      <c r="V341" s="58">
        <f t="shared" si="34"/>
        <v>463.44143478260867</v>
      </c>
      <c r="W341" s="59">
        <f t="shared" si="35"/>
        <v>0.17164370377271054</v>
      </c>
    </row>
    <row r="342" spans="1:23" x14ac:dyDescent="0.35">
      <c r="A342" s="60"/>
      <c r="B342" s="54">
        <v>341</v>
      </c>
      <c r="C342" s="65" t="s">
        <v>822</v>
      </c>
      <c r="D342" s="12">
        <v>136408</v>
      </c>
      <c r="E342" s="210" t="s">
        <v>945</v>
      </c>
      <c r="F342" s="12">
        <v>139609</v>
      </c>
      <c r="G342" s="212">
        <v>46247</v>
      </c>
      <c r="H342" s="212" t="s">
        <v>248</v>
      </c>
      <c r="I342" s="11">
        <f t="shared" si="30"/>
        <v>3</v>
      </c>
      <c r="J342" s="212">
        <v>46253</v>
      </c>
      <c r="K342" s="11">
        <f t="shared" si="31"/>
        <v>3</v>
      </c>
      <c r="L342" s="212" t="s">
        <v>261</v>
      </c>
      <c r="M342" s="11">
        <f t="shared" si="32"/>
        <v>1</v>
      </c>
      <c r="N342" s="12" t="s">
        <v>489</v>
      </c>
      <c r="O342" s="12" t="s">
        <v>623</v>
      </c>
      <c r="P342" s="56" t="s">
        <v>53</v>
      </c>
      <c r="Q342" s="190">
        <v>69613.104782608701</v>
      </c>
      <c r="R342" s="190">
        <v>57632.639347826087</v>
      </c>
      <c r="S342" s="57">
        <f t="shared" si="33"/>
        <v>11980.465434782614</v>
      </c>
      <c r="T342" s="57"/>
      <c r="U342" s="57"/>
      <c r="V342" s="58">
        <f t="shared" si="34"/>
        <v>6961.3104782608707</v>
      </c>
      <c r="W342" s="59">
        <f t="shared" si="35"/>
        <v>0.17210071971643576</v>
      </c>
    </row>
    <row r="343" spans="1:23" x14ac:dyDescent="0.35">
      <c r="A343" s="60"/>
      <c r="B343" s="54">
        <v>342</v>
      </c>
      <c r="C343" s="65" t="s">
        <v>822</v>
      </c>
      <c r="D343" s="12">
        <v>136387</v>
      </c>
      <c r="E343" s="210" t="s">
        <v>945</v>
      </c>
      <c r="F343" s="12">
        <v>139601</v>
      </c>
      <c r="G343" s="212">
        <v>46247</v>
      </c>
      <c r="H343" s="212" t="s">
        <v>248</v>
      </c>
      <c r="I343" s="11">
        <f t="shared" si="30"/>
        <v>3</v>
      </c>
      <c r="J343" s="212">
        <v>46252</v>
      </c>
      <c r="K343" s="11">
        <f t="shared" si="31"/>
        <v>2</v>
      </c>
      <c r="L343" s="212" t="s">
        <v>253</v>
      </c>
      <c r="M343" s="11">
        <f t="shared" si="32"/>
        <v>1</v>
      </c>
      <c r="N343" s="12" t="s">
        <v>490</v>
      </c>
      <c r="O343" s="12" t="s">
        <v>623</v>
      </c>
      <c r="P343" s="56" t="s">
        <v>53</v>
      </c>
      <c r="Q343" s="190">
        <v>178640.18</v>
      </c>
      <c r="R343" s="190">
        <v>145189.65521739129</v>
      </c>
      <c r="S343" s="57">
        <f t="shared" si="33"/>
        <v>33450.5247826087</v>
      </c>
      <c r="T343" s="57"/>
      <c r="U343" s="57"/>
      <c r="V343" s="58">
        <f t="shared" si="34"/>
        <v>17864.018</v>
      </c>
      <c r="W343" s="59">
        <f t="shared" si="35"/>
        <v>0.18725084570900399</v>
      </c>
    </row>
    <row r="344" spans="1:23" x14ac:dyDescent="0.35">
      <c r="A344" s="60"/>
      <c r="B344" s="54">
        <v>343</v>
      </c>
      <c r="C344" s="65" t="s">
        <v>822</v>
      </c>
      <c r="D344" s="12">
        <v>136391</v>
      </c>
      <c r="E344" s="210" t="s">
        <v>945</v>
      </c>
      <c r="F344" s="12">
        <v>139597</v>
      </c>
      <c r="G344" s="212">
        <v>46247</v>
      </c>
      <c r="H344" s="212" t="s">
        <v>248</v>
      </c>
      <c r="I344" s="11">
        <f t="shared" si="30"/>
        <v>3</v>
      </c>
      <c r="J344" s="212">
        <v>46253</v>
      </c>
      <c r="K344" s="11">
        <f t="shared" si="31"/>
        <v>3</v>
      </c>
      <c r="L344" s="212" t="s">
        <v>261</v>
      </c>
      <c r="M344" s="11">
        <f t="shared" si="32"/>
        <v>1</v>
      </c>
      <c r="N344" s="12" t="s">
        <v>491</v>
      </c>
      <c r="O344" s="12" t="s">
        <v>661</v>
      </c>
      <c r="P344" s="56" t="s">
        <v>53</v>
      </c>
      <c r="Q344" s="190">
        <v>85739.877826086959</v>
      </c>
      <c r="R344" s="190">
        <v>66782.982391304351</v>
      </c>
      <c r="S344" s="57">
        <f t="shared" si="33"/>
        <v>18956.895434782607</v>
      </c>
      <c r="T344" s="57"/>
      <c r="U344" s="57"/>
      <c r="V344" s="58">
        <f t="shared" si="34"/>
        <v>8573.9877826086959</v>
      </c>
      <c r="W344" s="59">
        <f t="shared" si="35"/>
        <v>0.22109776588712188</v>
      </c>
    </row>
    <row r="345" spans="1:23" x14ac:dyDescent="0.35">
      <c r="A345" s="60"/>
      <c r="B345" s="54">
        <v>344</v>
      </c>
      <c r="C345" s="65" t="s">
        <v>822</v>
      </c>
      <c r="D345" s="12">
        <v>136390</v>
      </c>
      <c r="E345" s="210" t="s">
        <v>945</v>
      </c>
      <c r="F345" s="12">
        <v>139608</v>
      </c>
      <c r="G345" s="212">
        <v>46247</v>
      </c>
      <c r="H345" s="212" t="s">
        <v>248</v>
      </c>
      <c r="I345" s="11">
        <f t="shared" si="30"/>
        <v>3</v>
      </c>
      <c r="J345" s="212">
        <v>46253</v>
      </c>
      <c r="K345" s="11">
        <f t="shared" si="31"/>
        <v>3</v>
      </c>
      <c r="L345" s="212" t="s">
        <v>261</v>
      </c>
      <c r="M345" s="11">
        <f t="shared" si="32"/>
        <v>1</v>
      </c>
      <c r="N345" s="12" t="s">
        <v>492</v>
      </c>
      <c r="O345" s="12" t="s">
        <v>623</v>
      </c>
      <c r="P345" s="56" t="s">
        <v>53</v>
      </c>
      <c r="Q345" s="190">
        <v>44518.483043478263</v>
      </c>
      <c r="R345" s="190">
        <v>29976.632826086956</v>
      </c>
      <c r="S345" s="57">
        <f t="shared" si="33"/>
        <v>14541.850217391308</v>
      </c>
      <c r="T345" s="57"/>
      <c r="U345" s="57"/>
      <c r="V345" s="58">
        <f t="shared" si="34"/>
        <v>4451.8483043478263</v>
      </c>
      <c r="W345" s="59">
        <f t="shared" si="35"/>
        <v>0.32664747815394435</v>
      </c>
    </row>
    <row r="346" spans="1:23" hidden="1" x14ac:dyDescent="0.35">
      <c r="A346" s="60"/>
      <c r="B346" s="54">
        <v>345</v>
      </c>
      <c r="C346" s="65" t="s">
        <v>822</v>
      </c>
      <c r="D346" s="12">
        <v>136320</v>
      </c>
      <c r="E346" s="210" t="s">
        <v>945</v>
      </c>
      <c r="F346" s="12">
        <v>139593</v>
      </c>
      <c r="G346" s="212">
        <v>46247</v>
      </c>
      <c r="H346" s="212" t="s">
        <v>243</v>
      </c>
      <c r="I346" s="11">
        <f t="shared" si="30"/>
        <v>1</v>
      </c>
      <c r="J346" s="212">
        <v>46248</v>
      </c>
      <c r="K346" s="11">
        <f t="shared" si="31"/>
        <v>2</v>
      </c>
      <c r="L346" s="212" t="s">
        <v>259</v>
      </c>
      <c r="M346" s="11">
        <f t="shared" si="32"/>
        <v>1</v>
      </c>
      <c r="N346" s="12" t="s">
        <v>493</v>
      </c>
      <c r="O346" s="12" t="s">
        <v>760</v>
      </c>
      <c r="P346" s="56" t="s">
        <v>53</v>
      </c>
      <c r="Q346" s="190">
        <v>975600.00000000012</v>
      </c>
      <c r="R346" s="190">
        <v>975600.00000000012</v>
      </c>
      <c r="S346" s="57">
        <f t="shared" si="33"/>
        <v>0</v>
      </c>
      <c r="T346" s="57"/>
      <c r="U346" s="57"/>
      <c r="V346" s="58">
        <f t="shared" si="34"/>
        <v>97560.000000000015</v>
      </c>
      <c r="W346" s="59">
        <f t="shared" si="35"/>
        <v>0</v>
      </c>
    </row>
    <row r="347" spans="1:23" hidden="1" x14ac:dyDescent="0.35">
      <c r="A347" s="60"/>
      <c r="B347" s="54">
        <v>346</v>
      </c>
      <c r="C347" s="65" t="s">
        <v>822</v>
      </c>
      <c r="D347" s="12">
        <v>136321</v>
      </c>
      <c r="E347" s="210" t="s">
        <v>945</v>
      </c>
      <c r="F347" s="12">
        <v>139592</v>
      </c>
      <c r="G347" s="212">
        <v>46247</v>
      </c>
      <c r="H347" s="212" t="s">
        <v>243</v>
      </c>
      <c r="I347" s="11">
        <f t="shared" si="30"/>
        <v>1</v>
      </c>
      <c r="J347" s="212">
        <v>46248</v>
      </c>
      <c r="K347" s="11">
        <f t="shared" si="31"/>
        <v>2</v>
      </c>
      <c r="L347" s="212" t="s">
        <v>259</v>
      </c>
      <c r="M347" s="11">
        <f t="shared" si="32"/>
        <v>1</v>
      </c>
      <c r="N347" s="12" t="s">
        <v>494</v>
      </c>
      <c r="O347" s="12" t="s">
        <v>760</v>
      </c>
      <c r="P347" s="56" t="s">
        <v>53</v>
      </c>
      <c r="Q347" s="190">
        <v>709320</v>
      </c>
      <c r="R347" s="190">
        <v>709320</v>
      </c>
      <c r="S347" s="57">
        <f t="shared" si="33"/>
        <v>0</v>
      </c>
      <c r="T347" s="57"/>
      <c r="U347" s="57"/>
      <c r="V347" s="58">
        <f t="shared" si="34"/>
        <v>70932</v>
      </c>
      <c r="W347" s="59">
        <f t="shared" si="35"/>
        <v>0</v>
      </c>
    </row>
    <row r="348" spans="1:23" hidden="1" x14ac:dyDescent="0.35">
      <c r="A348" s="60"/>
      <c r="B348" s="54">
        <v>347</v>
      </c>
      <c r="C348" s="65" t="s">
        <v>822</v>
      </c>
      <c r="D348" s="12">
        <v>136328</v>
      </c>
      <c r="E348" s="210" t="s">
        <v>945</v>
      </c>
      <c r="F348" s="12">
        <v>139611</v>
      </c>
      <c r="G348" s="212">
        <v>46247</v>
      </c>
      <c r="H348" s="212" t="s">
        <v>248</v>
      </c>
      <c r="I348" s="11">
        <f t="shared" si="30"/>
        <v>3</v>
      </c>
      <c r="J348" s="212">
        <v>46251</v>
      </c>
      <c r="K348" s="11">
        <f t="shared" si="31"/>
        <v>1</v>
      </c>
      <c r="L348" s="212" t="s">
        <v>248</v>
      </c>
      <c r="M348" s="11">
        <f t="shared" si="32"/>
        <v>1</v>
      </c>
      <c r="N348" s="12" t="s">
        <v>495</v>
      </c>
      <c r="O348" s="12" t="s">
        <v>681</v>
      </c>
      <c r="P348" s="56" t="s">
        <v>53</v>
      </c>
      <c r="Q348" s="190">
        <v>2260.8695652173915</v>
      </c>
      <c r="R348" s="190">
        <v>2260.8695652173915</v>
      </c>
      <c r="S348" s="57">
        <f t="shared" si="33"/>
        <v>0</v>
      </c>
      <c r="T348" s="57"/>
      <c r="U348" s="57"/>
      <c r="V348" s="58">
        <f t="shared" si="34"/>
        <v>226.08695652173915</v>
      </c>
      <c r="W348" s="59">
        <f t="shared" si="35"/>
        <v>0</v>
      </c>
    </row>
    <row r="349" spans="1:23" hidden="1" x14ac:dyDescent="0.35">
      <c r="A349" s="60"/>
      <c r="B349" s="54">
        <v>348</v>
      </c>
      <c r="C349" s="65" t="s">
        <v>822</v>
      </c>
      <c r="D349" s="12">
        <v>136329</v>
      </c>
      <c r="E349" s="210" t="s">
        <v>945</v>
      </c>
      <c r="F349" s="12">
        <v>139590</v>
      </c>
      <c r="G349" s="212">
        <v>46247</v>
      </c>
      <c r="H349" s="212" t="s">
        <v>248</v>
      </c>
      <c r="I349" s="11">
        <f t="shared" si="30"/>
        <v>3</v>
      </c>
      <c r="J349" s="212">
        <v>46251</v>
      </c>
      <c r="K349" s="11">
        <f t="shared" si="31"/>
        <v>1</v>
      </c>
      <c r="L349" s="212" t="s">
        <v>248</v>
      </c>
      <c r="M349" s="11">
        <f t="shared" si="32"/>
        <v>1</v>
      </c>
      <c r="N349" s="12" t="s">
        <v>496</v>
      </c>
      <c r="O349" s="12" t="s">
        <v>761</v>
      </c>
      <c r="P349" s="56" t="s">
        <v>53</v>
      </c>
      <c r="Q349" s="190">
        <v>1565.2173913043478</v>
      </c>
      <c r="R349" s="190">
        <v>1565.2173913043478</v>
      </c>
      <c r="S349" s="57">
        <f t="shared" si="33"/>
        <v>0</v>
      </c>
      <c r="T349" s="57"/>
      <c r="U349" s="57"/>
      <c r="V349" s="58">
        <f t="shared" si="34"/>
        <v>156.52173913043478</v>
      </c>
      <c r="W349" s="59">
        <f t="shared" si="35"/>
        <v>0</v>
      </c>
    </row>
    <row r="350" spans="1:23" hidden="1" x14ac:dyDescent="0.35">
      <c r="A350" s="60"/>
      <c r="B350" s="54">
        <v>349</v>
      </c>
      <c r="C350" s="65" t="s">
        <v>822</v>
      </c>
      <c r="D350" s="12">
        <v>136378</v>
      </c>
      <c r="E350" s="210" t="s">
        <v>945</v>
      </c>
      <c r="F350" s="12">
        <v>139595</v>
      </c>
      <c r="G350" s="212">
        <v>46247</v>
      </c>
      <c r="H350" s="212" t="s">
        <v>253</v>
      </c>
      <c r="I350" s="11">
        <f t="shared" si="30"/>
        <v>4</v>
      </c>
      <c r="J350" s="212">
        <v>46252</v>
      </c>
      <c r="K350" s="11">
        <f t="shared" si="31"/>
        <v>1</v>
      </c>
      <c r="L350" s="212" t="s">
        <v>253</v>
      </c>
      <c r="M350" s="11">
        <f t="shared" si="32"/>
        <v>1</v>
      </c>
      <c r="N350" s="12" t="s">
        <v>497</v>
      </c>
      <c r="O350" s="12" t="s">
        <v>643</v>
      </c>
      <c r="P350" s="56" t="s">
        <v>53</v>
      </c>
      <c r="Q350" s="190">
        <v>778</v>
      </c>
      <c r="R350" s="190">
        <v>778</v>
      </c>
      <c r="S350" s="57">
        <f t="shared" si="33"/>
        <v>0</v>
      </c>
      <c r="T350" s="57"/>
      <c r="U350" s="57"/>
      <c r="V350" s="58">
        <f t="shared" si="34"/>
        <v>77.800000000000011</v>
      </c>
      <c r="W350" s="59">
        <f t="shared" si="35"/>
        <v>0</v>
      </c>
    </row>
    <row r="351" spans="1:23" hidden="1" x14ac:dyDescent="0.35">
      <c r="A351" s="60"/>
      <c r="B351" s="54">
        <v>350</v>
      </c>
      <c r="C351" s="65" t="s">
        <v>822</v>
      </c>
      <c r="D351" s="12">
        <v>136393</v>
      </c>
      <c r="E351" s="210" t="s">
        <v>945</v>
      </c>
      <c r="F351" s="12">
        <v>139613</v>
      </c>
      <c r="G351" s="212">
        <v>46247</v>
      </c>
      <c r="H351" s="212" t="s">
        <v>248</v>
      </c>
      <c r="I351" s="11">
        <f t="shared" si="30"/>
        <v>3</v>
      </c>
      <c r="J351" s="212">
        <v>46253</v>
      </c>
      <c r="K351" s="11">
        <f t="shared" si="31"/>
        <v>3</v>
      </c>
      <c r="L351" s="212" t="s">
        <v>261</v>
      </c>
      <c r="M351" s="11">
        <f t="shared" si="32"/>
        <v>1</v>
      </c>
      <c r="N351" s="12" t="s">
        <v>498</v>
      </c>
      <c r="O351" s="12" t="s">
        <v>762</v>
      </c>
      <c r="P351" s="56" t="s">
        <v>53</v>
      </c>
      <c r="Q351" s="190">
        <v>4110.8621739130431</v>
      </c>
      <c r="R351" s="190">
        <v>4110.8621739130431</v>
      </c>
      <c r="S351" s="57">
        <f t="shared" si="33"/>
        <v>0</v>
      </c>
      <c r="T351" s="57"/>
      <c r="U351" s="57"/>
      <c r="V351" s="58">
        <f t="shared" si="34"/>
        <v>411.08621739130433</v>
      </c>
      <c r="W351" s="59">
        <f t="shared" si="35"/>
        <v>0</v>
      </c>
    </row>
    <row r="352" spans="1:23" hidden="1" x14ac:dyDescent="0.35">
      <c r="A352" s="60"/>
      <c r="B352" s="54">
        <v>351</v>
      </c>
      <c r="C352" s="65" t="s">
        <v>822</v>
      </c>
      <c r="D352" s="12">
        <v>136395</v>
      </c>
      <c r="E352" s="210" t="s">
        <v>945</v>
      </c>
      <c r="F352" s="12">
        <v>139616</v>
      </c>
      <c r="G352" s="212">
        <v>46247</v>
      </c>
      <c r="H352" s="212" t="s">
        <v>248</v>
      </c>
      <c r="I352" s="11">
        <f t="shared" si="30"/>
        <v>3</v>
      </c>
      <c r="J352" s="212">
        <v>46253</v>
      </c>
      <c r="K352" s="11">
        <f t="shared" si="31"/>
        <v>3</v>
      </c>
      <c r="L352" s="212" t="s">
        <v>261</v>
      </c>
      <c r="M352" s="11">
        <f t="shared" si="32"/>
        <v>1</v>
      </c>
      <c r="N352" s="12" t="s">
        <v>499</v>
      </c>
      <c r="O352" s="12" t="s">
        <v>642</v>
      </c>
      <c r="P352" s="56" t="s">
        <v>53</v>
      </c>
      <c r="Q352" s="190">
        <v>24540.727391304346</v>
      </c>
      <c r="R352" s="190">
        <v>24540.727391304346</v>
      </c>
      <c r="S352" s="57">
        <f t="shared" si="33"/>
        <v>0</v>
      </c>
      <c r="T352" s="57"/>
      <c r="U352" s="57"/>
      <c r="V352" s="58">
        <f t="shared" si="34"/>
        <v>2454.0727391304349</v>
      </c>
      <c r="W352" s="59">
        <f t="shared" si="35"/>
        <v>0</v>
      </c>
    </row>
    <row r="353" spans="1:23" hidden="1" x14ac:dyDescent="0.35">
      <c r="A353" s="60"/>
      <c r="B353" s="54">
        <v>352</v>
      </c>
      <c r="C353" s="65" t="s">
        <v>822</v>
      </c>
      <c r="D353" s="12">
        <v>136400</v>
      </c>
      <c r="E353" s="210" t="s">
        <v>945</v>
      </c>
      <c r="F353" s="12">
        <v>139617</v>
      </c>
      <c r="G353" s="212">
        <v>46247</v>
      </c>
      <c r="H353" s="212" t="s">
        <v>248</v>
      </c>
      <c r="I353" s="11">
        <f t="shared" si="30"/>
        <v>3</v>
      </c>
      <c r="J353" s="212">
        <v>46253</v>
      </c>
      <c r="K353" s="11">
        <f t="shared" si="31"/>
        <v>3</v>
      </c>
      <c r="L353" s="212" t="s">
        <v>261</v>
      </c>
      <c r="M353" s="11">
        <f t="shared" si="32"/>
        <v>1</v>
      </c>
      <c r="N353" s="12" t="s">
        <v>500</v>
      </c>
      <c r="O353" s="12" t="s">
        <v>642</v>
      </c>
      <c r="P353" s="56" t="s">
        <v>53</v>
      </c>
      <c r="Q353" s="190">
        <v>26020.584565217392</v>
      </c>
      <c r="R353" s="190">
        <v>26020.584565217392</v>
      </c>
      <c r="S353" s="57">
        <f t="shared" si="33"/>
        <v>0</v>
      </c>
      <c r="T353" s="57"/>
      <c r="U353" s="57"/>
      <c r="V353" s="58">
        <f t="shared" si="34"/>
        <v>2602.0584565217396</v>
      </c>
      <c r="W353" s="59">
        <f t="shared" si="35"/>
        <v>0</v>
      </c>
    </row>
    <row r="354" spans="1:23" hidden="1" x14ac:dyDescent="0.35">
      <c r="A354" s="60"/>
      <c r="B354" s="54">
        <v>353</v>
      </c>
      <c r="C354" s="65" t="s">
        <v>822</v>
      </c>
      <c r="D354" s="12">
        <v>136406</v>
      </c>
      <c r="E354" s="210" t="s">
        <v>945</v>
      </c>
      <c r="F354" s="12">
        <v>139610</v>
      </c>
      <c r="G354" s="212">
        <v>46247</v>
      </c>
      <c r="H354" s="212" t="s">
        <v>248</v>
      </c>
      <c r="I354" s="11">
        <f t="shared" si="30"/>
        <v>3</v>
      </c>
      <c r="J354" s="212">
        <v>46253</v>
      </c>
      <c r="K354" s="11">
        <f t="shared" si="31"/>
        <v>3</v>
      </c>
      <c r="L354" s="212" t="s">
        <v>261</v>
      </c>
      <c r="M354" s="11">
        <f t="shared" si="32"/>
        <v>1</v>
      </c>
      <c r="N354" s="12" t="s">
        <v>501</v>
      </c>
      <c r="O354" s="12" t="s">
        <v>763</v>
      </c>
      <c r="P354" s="56" t="s">
        <v>53</v>
      </c>
      <c r="Q354" s="190">
        <v>22171.739130434784</v>
      </c>
      <c r="R354" s="190">
        <v>22171.739130434784</v>
      </c>
      <c r="S354" s="57">
        <f t="shared" si="33"/>
        <v>0</v>
      </c>
      <c r="T354" s="57"/>
      <c r="U354" s="57"/>
      <c r="V354" s="58">
        <f t="shared" si="34"/>
        <v>2217.1739130434785</v>
      </c>
      <c r="W354" s="59">
        <f t="shared" si="35"/>
        <v>0</v>
      </c>
    </row>
    <row r="355" spans="1:23" hidden="1" x14ac:dyDescent="0.35">
      <c r="A355" s="60"/>
      <c r="B355" s="54">
        <v>354</v>
      </c>
      <c r="C355" s="65" t="s">
        <v>822</v>
      </c>
      <c r="D355" s="12">
        <v>136429</v>
      </c>
      <c r="E355" s="210" t="s">
        <v>945</v>
      </c>
      <c r="F355" s="12">
        <v>139589</v>
      </c>
      <c r="G355" s="212">
        <v>46247</v>
      </c>
      <c r="H355" s="212" t="s">
        <v>248</v>
      </c>
      <c r="I355" s="11">
        <f t="shared" si="30"/>
        <v>3</v>
      </c>
      <c r="J355" s="212">
        <v>46254</v>
      </c>
      <c r="K355" s="11">
        <f t="shared" si="31"/>
        <v>4</v>
      </c>
      <c r="L355" s="212" t="s">
        <v>263</v>
      </c>
      <c r="M355" s="11">
        <f t="shared" si="32"/>
        <v>1</v>
      </c>
      <c r="N355" s="12" t="s">
        <v>502</v>
      </c>
      <c r="O355" s="12" t="s">
        <v>747</v>
      </c>
      <c r="P355" s="56" t="s">
        <v>53</v>
      </c>
      <c r="Q355" s="190">
        <v>3260.8695652173915</v>
      </c>
      <c r="R355" s="190">
        <v>3260.8695652173915</v>
      </c>
      <c r="S355" s="57">
        <f t="shared" si="33"/>
        <v>0</v>
      </c>
      <c r="T355" s="57"/>
      <c r="U355" s="57"/>
      <c r="V355" s="58">
        <f t="shared" si="34"/>
        <v>326.08695652173918</v>
      </c>
      <c r="W355" s="59">
        <f t="shared" si="35"/>
        <v>0</v>
      </c>
    </row>
    <row r="356" spans="1:23" hidden="1" x14ac:dyDescent="0.35">
      <c r="A356" s="60"/>
      <c r="B356" s="54">
        <v>355</v>
      </c>
      <c r="C356" s="65" t="s">
        <v>822</v>
      </c>
      <c r="D356" s="12">
        <v>136430</v>
      </c>
      <c r="E356" s="210" t="s">
        <v>945</v>
      </c>
      <c r="F356" s="12">
        <v>139591</v>
      </c>
      <c r="G356" s="212">
        <v>46247</v>
      </c>
      <c r="H356" s="212" t="s">
        <v>248</v>
      </c>
      <c r="I356" s="11">
        <f t="shared" si="30"/>
        <v>3</v>
      </c>
      <c r="J356" s="212">
        <v>46254</v>
      </c>
      <c r="K356" s="11">
        <f t="shared" si="31"/>
        <v>4</v>
      </c>
      <c r="L356" s="212" t="s">
        <v>263</v>
      </c>
      <c r="M356" s="11">
        <f t="shared" si="32"/>
        <v>1</v>
      </c>
      <c r="N356" s="12" t="s">
        <v>503</v>
      </c>
      <c r="O356" s="12" t="s">
        <v>764</v>
      </c>
      <c r="P356" s="56" t="s">
        <v>53</v>
      </c>
      <c r="Q356" s="190">
        <v>11739.130434782608</v>
      </c>
      <c r="R356" s="190">
        <v>11739.130434782608</v>
      </c>
      <c r="S356" s="57">
        <f t="shared" si="33"/>
        <v>0</v>
      </c>
      <c r="T356" s="57"/>
      <c r="U356" s="57"/>
      <c r="V356" s="58">
        <f t="shared" si="34"/>
        <v>1173.9130434782608</v>
      </c>
      <c r="W356" s="59">
        <f t="shared" si="35"/>
        <v>0</v>
      </c>
    </row>
    <row r="357" spans="1:23" hidden="1" x14ac:dyDescent="0.35">
      <c r="A357" s="60"/>
      <c r="B357" s="54">
        <v>356</v>
      </c>
      <c r="C357" s="65" t="s">
        <v>822</v>
      </c>
      <c r="D357" s="12">
        <v>136431</v>
      </c>
      <c r="E357" s="210" t="s">
        <v>945</v>
      </c>
      <c r="F357" s="12">
        <v>139607</v>
      </c>
      <c r="G357" s="212">
        <v>46247</v>
      </c>
      <c r="H357" s="212" t="s">
        <v>248</v>
      </c>
      <c r="I357" s="11">
        <f t="shared" si="30"/>
        <v>3</v>
      </c>
      <c r="J357" s="212">
        <v>46254</v>
      </c>
      <c r="K357" s="11">
        <f t="shared" si="31"/>
        <v>4</v>
      </c>
      <c r="L357" s="212" t="s">
        <v>263</v>
      </c>
      <c r="M357" s="11">
        <f t="shared" si="32"/>
        <v>1</v>
      </c>
      <c r="N357" s="12" t="s">
        <v>504</v>
      </c>
      <c r="O357" s="12" t="s">
        <v>765</v>
      </c>
      <c r="P357" s="56" t="s">
        <v>53</v>
      </c>
      <c r="Q357" s="190">
        <v>2173.913043478261</v>
      </c>
      <c r="R357" s="190">
        <v>2173.913043478261</v>
      </c>
      <c r="S357" s="57">
        <f t="shared" si="33"/>
        <v>0</v>
      </c>
      <c r="T357" s="57"/>
      <c r="U357" s="57"/>
      <c r="V357" s="58">
        <f t="shared" si="34"/>
        <v>217.39130434782612</v>
      </c>
      <c r="W357" s="59">
        <f t="shared" si="35"/>
        <v>0</v>
      </c>
    </row>
    <row r="358" spans="1:23" hidden="1" x14ac:dyDescent="0.35">
      <c r="A358" s="60"/>
      <c r="B358" s="54">
        <v>357</v>
      </c>
      <c r="C358" s="65" t="s">
        <v>822</v>
      </c>
      <c r="D358" s="12">
        <v>136433</v>
      </c>
      <c r="E358" s="210" t="s">
        <v>945</v>
      </c>
      <c r="F358" s="12">
        <v>139602</v>
      </c>
      <c r="G358" s="212">
        <v>46247</v>
      </c>
      <c r="H358" s="212" t="s">
        <v>248</v>
      </c>
      <c r="I358" s="11">
        <f t="shared" si="30"/>
        <v>3</v>
      </c>
      <c r="J358" s="212">
        <v>46254</v>
      </c>
      <c r="K358" s="11">
        <f t="shared" si="31"/>
        <v>4</v>
      </c>
      <c r="L358" s="212" t="s">
        <v>263</v>
      </c>
      <c r="M358" s="11">
        <f t="shared" si="32"/>
        <v>1</v>
      </c>
      <c r="N358" s="12" t="s">
        <v>505</v>
      </c>
      <c r="O358" s="12" t="s">
        <v>766</v>
      </c>
      <c r="P358" s="56" t="s">
        <v>53</v>
      </c>
      <c r="Q358" s="190">
        <v>2608.695652173913</v>
      </c>
      <c r="R358" s="190">
        <v>2608.695652173913</v>
      </c>
      <c r="S358" s="57">
        <f t="shared" si="33"/>
        <v>0</v>
      </c>
      <c r="T358" s="57"/>
      <c r="U358" s="57"/>
      <c r="V358" s="58">
        <f t="shared" si="34"/>
        <v>260.86956521739131</v>
      </c>
      <c r="W358" s="59">
        <f t="shared" si="35"/>
        <v>0</v>
      </c>
    </row>
    <row r="359" spans="1:23" hidden="1" x14ac:dyDescent="0.35">
      <c r="A359" s="60"/>
      <c r="B359" s="54">
        <v>358</v>
      </c>
      <c r="C359" s="65" t="s">
        <v>822</v>
      </c>
      <c r="D359" s="12">
        <v>136442</v>
      </c>
      <c r="E359" s="210" t="s">
        <v>945</v>
      </c>
      <c r="F359" s="12">
        <v>139612</v>
      </c>
      <c r="G359" s="212">
        <v>46247</v>
      </c>
      <c r="H359" s="212" t="s">
        <v>248</v>
      </c>
      <c r="I359" s="11">
        <f t="shared" si="30"/>
        <v>3</v>
      </c>
      <c r="J359" s="212">
        <v>46254</v>
      </c>
      <c r="K359" s="11">
        <f t="shared" si="31"/>
        <v>4</v>
      </c>
      <c r="L359" s="212" t="s">
        <v>263</v>
      </c>
      <c r="M359" s="11">
        <f t="shared" si="32"/>
        <v>1</v>
      </c>
      <c r="N359" s="12" t="s">
        <v>506</v>
      </c>
      <c r="O359" s="12" t="s">
        <v>767</v>
      </c>
      <c r="P359" s="56" t="s">
        <v>53</v>
      </c>
      <c r="Q359" s="190">
        <v>1304.3478260869565</v>
      </c>
      <c r="R359" s="190">
        <v>1304.3478260869565</v>
      </c>
      <c r="S359" s="57">
        <f t="shared" si="33"/>
        <v>0</v>
      </c>
      <c r="T359" s="57"/>
      <c r="U359" s="57"/>
      <c r="V359" s="58">
        <f t="shared" si="34"/>
        <v>130.43478260869566</v>
      </c>
      <c r="W359" s="59">
        <f t="shared" si="35"/>
        <v>0</v>
      </c>
    </row>
    <row r="360" spans="1:23" hidden="1" x14ac:dyDescent="0.35">
      <c r="A360" s="60"/>
      <c r="B360" s="54">
        <v>359</v>
      </c>
      <c r="C360" s="65" t="s">
        <v>822</v>
      </c>
      <c r="D360" s="12">
        <v>136443</v>
      </c>
      <c r="E360" s="210" t="s">
        <v>945</v>
      </c>
      <c r="F360" s="12">
        <v>139614</v>
      </c>
      <c r="G360" s="212">
        <v>46247</v>
      </c>
      <c r="H360" s="212" t="s">
        <v>248</v>
      </c>
      <c r="I360" s="11">
        <f t="shared" si="30"/>
        <v>3</v>
      </c>
      <c r="J360" s="212">
        <v>46254</v>
      </c>
      <c r="K360" s="11">
        <f t="shared" si="31"/>
        <v>4</v>
      </c>
      <c r="L360" s="212" t="s">
        <v>263</v>
      </c>
      <c r="M360" s="11">
        <f t="shared" si="32"/>
        <v>1</v>
      </c>
      <c r="N360" s="12" t="s">
        <v>507</v>
      </c>
      <c r="O360" s="12" t="s">
        <v>768</v>
      </c>
      <c r="P360" s="56" t="s">
        <v>53</v>
      </c>
      <c r="Q360" s="190">
        <v>3878.2608695652175</v>
      </c>
      <c r="R360" s="190">
        <v>3878.2608695652175</v>
      </c>
      <c r="S360" s="57">
        <f t="shared" si="33"/>
        <v>0</v>
      </c>
      <c r="T360" s="57"/>
      <c r="U360" s="57"/>
      <c r="V360" s="58">
        <f t="shared" si="34"/>
        <v>387.82608695652175</v>
      </c>
      <c r="W360" s="59">
        <f t="shared" si="35"/>
        <v>0</v>
      </c>
    </row>
    <row r="361" spans="1:23" hidden="1" x14ac:dyDescent="0.35">
      <c r="A361" s="60"/>
      <c r="B361" s="54">
        <v>360</v>
      </c>
      <c r="C361" s="65" t="s">
        <v>822</v>
      </c>
      <c r="D361" s="12">
        <v>136444</v>
      </c>
      <c r="E361" s="210" t="s">
        <v>945</v>
      </c>
      <c r="F361" s="12">
        <v>139615</v>
      </c>
      <c r="G361" s="212">
        <v>46247</v>
      </c>
      <c r="H361" s="212" t="s">
        <v>248</v>
      </c>
      <c r="I361" s="11">
        <f t="shared" si="30"/>
        <v>3</v>
      </c>
      <c r="J361" s="212">
        <v>46254</v>
      </c>
      <c r="K361" s="11">
        <f t="shared" si="31"/>
        <v>4</v>
      </c>
      <c r="L361" s="212" t="s">
        <v>263</v>
      </c>
      <c r="M361" s="11">
        <f t="shared" si="32"/>
        <v>1</v>
      </c>
      <c r="N361" s="12" t="s">
        <v>508</v>
      </c>
      <c r="O361" s="12" t="s">
        <v>667</v>
      </c>
      <c r="P361" s="56" t="s">
        <v>53</v>
      </c>
      <c r="Q361" s="190">
        <v>869.56521739130437</v>
      </c>
      <c r="R361" s="190">
        <v>869.56521739130437</v>
      </c>
      <c r="S361" s="57">
        <f t="shared" si="33"/>
        <v>0</v>
      </c>
      <c r="T361" s="57"/>
      <c r="U361" s="57"/>
      <c r="V361" s="58">
        <f t="shared" si="34"/>
        <v>86.956521739130437</v>
      </c>
      <c r="W361" s="59">
        <f t="shared" si="35"/>
        <v>0</v>
      </c>
    </row>
    <row r="362" spans="1:23" hidden="1" x14ac:dyDescent="0.35">
      <c r="A362" s="60"/>
      <c r="B362" s="54">
        <v>361</v>
      </c>
      <c r="C362" s="65" t="s">
        <v>822</v>
      </c>
      <c r="D362" s="12">
        <v>136518</v>
      </c>
      <c r="E362" s="210" t="s">
        <v>945</v>
      </c>
      <c r="F362" s="12">
        <v>139599</v>
      </c>
      <c r="G362" s="212">
        <v>46247</v>
      </c>
      <c r="H362" s="212" t="s">
        <v>257</v>
      </c>
      <c r="I362" s="11">
        <f t="shared" si="30"/>
        <v>8</v>
      </c>
      <c r="J362" s="212">
        <v>46261</v>
      </c>
      <c r="K362" s="11">
        <f t="shared" si="31"/>
        <v>4</v>
      </c>
      <c r="L362" s="212" t="s">
        <v>265</v>
      </c>
      <c r="M362" s="11">
        <f t="shared" si="32"/>
        <v>1</v>
      </c>
      <c r="N362" s="12" t="s">
        <v>509</v>
      </c>
      <c r="O362" s="12" t="s">
        <v>769</v>
      </c>
      <c r="P362" s="56" t="s">
        <v>53</v>
      </c>
      <c r="Q362" s="190">
        <v>150</v>
      </c>
      <c r="R362" s="190">
        <v>150</v>
      </c>
      <c r="S362" s="57">
        <f t="shared" si="33"/>
        <v>0</v>
      </c>
      <c r="T362" s="57"/>
      <c r="U362" s="57"/>
      <c r="V362" s="58">
        <f t="shared" si="34"/>
        <v>15</v>
      </c>
      <c r="W362" s="59">
        <f t="shared" si="35"/>
        <v>0</v>
      </c>
    </row>
    <row r="363" spans="1:23" x14ac:dyDescent="0.35">
      <c r="A363" s="60"/>
      <c r="B363" s="54">
        <v>362</v>
      </c>
      <c r="C363" s="65" t="s">
        <v>822</v>
      </c>
      <c r="D363" s="12">
        <v>136479</v>
      </c>
      <c r="E363" s="210" t="s">
        <v>945</v>
      </c>
      <c r="F363" s="12">
        <v>139635</v>
      </c>
      <c r="G363" s="212">
        <v>46248</v>
      </c>
      <c r="H363" s="212" t="s">
        <v>260</v>
      </c>
      <c r="I363" s="11">
        <f t="shared" si="30"/>
        <v>8</v>
      </c>
      <c r="J363" s="212">
        <v>46259</v>
      </c>
      <c r="K363" s="11">
        <f t="shared" si="31"/>
        <v>1</v>
      </c>
      <c r="L363" s="212" t="s">
        <v>260</v>
      </c>
      <c r="M363" s="11">
        <f t="shared" si="32"/>
        <v>1</v>
      </c>
      <c r="N363" s="12" t="s">
        <v>510</v>
      </c>
      <c r="O363" s="12" t="s">
        <v>770</v>
      </c>
      <c r="P363" s="56" t="s">
        <v>53</v>
      </c>
      <c r="Q363" s="190">
        <v>1227.1434782608696</v>
      </c>
      <c r="R363" s="190">
        <v>943.95652173913038</v>
      </c>
      <c r="S363" s="57">
        <f t="shared" si="33"/>
        <v>283.18695652173926</v>
      </c>
      <c r="T363" s="57"/>
      <c r="U363" s="57"/>
      <c r="V363" s="58">
        <f t="shared" si="34"/>
        <v>122.71434782608696</v>
      </c>
      <c r="W363" s="59">
        <f t="shared" si="35"/>
        <v>0.23076923076923087</v>
      </c>
    </row>
    <row r="364" spans="1:23" x14ac:dyDescent="0.35">
      <c r="A364" s="60"/>
      <c r="B364" s="54">
        <v>363</v>
      </c>
      <c r="C364" s="65" t="s">
        <v>822</v>
      </c>
      <c r="D364" s="12">
        <v>136481</v>
      </c>
      <c r="E364" s="210" t="s">
        <v>945</v>
      </c>
      <c r="F364" s="12">
        <v>139636</v>
      </c>
      <c r="G364" s="212">
        <v>46248</v>
      </c>
      <c r="H364" s="212" t="s">
        <v>260</v>
      </c>
      <c r="I364" s="11">
        <f t="shared" si="30"/>
        <v>8</v>
      </c>
      <c r="J364" s="212">
        <v>46259</v>
      </c>
      <c r="K364" s="11">
        <f t="shared" si="31"/>
        <v>1</v>
      </c>
      <c r="L364" s="212" t="s">
        <v>260</v>
      </c>
      <c r="M364" s="11">
        <f t="shared" si="32"/>
        <v>1</v>
      </c>
      <c r="N364" s="12" t="s">
        <v>511</v>
      </c>
      <c r="O364" s="12" t="s">
        <v>770</v>
      </c>
      <c r="P364" s="56" t="s">
        <v>53</v>
      </c>
      <c r="Q364" s="190">
        <v>1260.3782608695651</v>
      </c>
      <c r="R364" s="190">
        <v>969.52173913043475</v>
      </c>
      <c r="S364" s="57">
        <f t="shared" si="33"/>
        <v>290.85652173913036</v>
      </c>
      <c r="T364" s="57"/>
      <c r="U364" s="57"/>
      <c r="V364" s="58">
        <f t="shared" si="34"/>
        <v>126.03782608695651</v>
      </c>
      <c r="W364" s="59">
        <f t="shared" si="35"/>
        <v>0.23076923076923073</v>
      </c>
    </row>
    <row r="365" spans="1:23" x14ac:dyDescent="0.35">
      <c r="A365" s="60"/>
      <c r="B365" s="54">
        <v>364</v>
      </c>
      <c r="C365" s="65" t="s">
        <v>822</v>
      </c>
      <c r="D365" s="12">
        <v>136480</v>
      </c>
      <c r="E365" s="210" t="s">
        <v>945</v>
      </c>
      <c r="F365" s="12">
        <v>139637</v>
      </c>
      <c r="G365" s="212">
        <v>46248</v>
      </c>
      <c r="H365" s="212" t="s">
        <v>260</v>
      </c>
      <c r="I365" s="11">
        <f t="shared" si="30"/>
        <v>8</v>
      </c>
      <c r="J365" s="212">
        <v>46259</v>
      </c>
      <c r="K365" s="11">
        <f t="shared" si="31"/>
        <v>1</v>
      </c>
      <c r="L365" s="212" t="s">
        <v>260</v>
      </c>
      <c r="M365" s="11">
        <f t="shared" si="32"/>
        <v>1</v>
      </c>
      <c r="N365" s="12" t="s">
        <v>512</v>
      </c>
      <c r="O365" s="12" t="s">
        <v>770</v>
      </c>
      <c r="P365" s="56" t="s">
        <v>53</v>
      </c>
      <c r="Q365" s="190">
        <v>1160.4717391304348</v>
      </c>
      <c r="R365" s="190">
        <v>859.60869565217388</v>
      </c>
      <c r="S365" s="57">
        <f t="shared" si="33"/>
        <v>300.86304347826092</v>
      </c>
      <c r="T365" s="57"/>
      <c r="U365" s="57"/>
      <c r="V365" s="58">
        <f t="shared" si="34"/>
        <v>116.04717391304348</v>
      </c>
      <c r="W365" s="59">
        <f t="shared" si="35"/>
        <v>0.2592592592592593</v>
      </c>
    </row>
    <row r="366" spans="1:23" hidden="1" x14ac:dyDescent="0.35">
      <c r="A366" s="60"/>
      <c r="B366" s="54">
        <v>365</v>
      </c>
      <c r="C366" s="65" t="s">
        <v>822</v>
      </c>
      <c r="D366" s="12">
        <v>136354</v>
      </c>
      <c r="E366" s="210" t="s">
        <v>945</v>
      </c>
      <c r="F366" s="12">
        <v>139623</v>
      </c>
      <c r="G366" s="212">
        <v>46248</v>
      </c>
      <c r="H366" s="212" t="s">
        <v>259</v>
      </c>
      <c r="I366" s="11">
        <f t="shared" si="30"/>
        <v>1</v>
      </c>
      <c r="J366" s="212">
        <v>46251</v>
      </c>
      <c r="K366" s="11">
        <f t="shared" si="31"/>
        <v>2</v>
      </c>
      <c r="L366" s="212" t="s">
        <v>248</v>
      </c>
      <c r="M366" s="11">
        <f t="shared" si="32"/>
        <v>1</v>
      </c>
      <c r="N366" s="12" t="s">
        <v>513</v>
      </c>
      <c r="O366" s="12" t="s">
        <v>649</v>
      </c>
      <c r="P366" s="56" t="s">
        <v>53</v>
      </c>
      <c r="Q366" s="190">
        <v>331826.08695652173</v>
      </c>
      <c r="R366" s="190">
        <v>331826.08695652173</v>
      </c>
      <c r="S366" s="57">
        <f t="shared" si="33"/>
        <v>0</v>
      </c>
      <c r="T366" s="57"/>
      <c r="U366" s="57"/>
      <c r="V366" s="58">
        <f t="shared" si="34"/>
        <v>33182.608695652176</v>
      </c>
      <c r="W366" s="59">
        <f t="shared" si="35"/>
        <v>0</v>
      </c>
    </row>
    <row r="367" spans="1:23" hidden="1" x14ac:dyDescent="0.35">
      <c r="A367" s="60"/>
      <c r="B367" s="54">
        <v>366</v>
      </c>
      <c r="C367" s="65" t="s">
        <v>822</v>
      </c>
      <c r="D367" s="12">
        <v>136355</v>
      </c>
      <c r="E367" s="210" t="s">
        <v>945</v>
      </c>
      <c r="F367" s="12">
        <v>139624</v>
      </c>
      <c r="G367" s="212">
        <v>46248</v>
      </c>
      <c r="H367" s="212" t="s">
        <v>259</v>
      </c>
      <c r="I367" s="11">
        <f t="shared" si="30"/>
        <v>1</v>
      </c>
      <c r="J367" s="212">
        <v>46251</v>
      </c>
      <c r="K367" s="11">
        <f t="shared" si="31"/>
        <v>2</v>
      </c>
      <c r="L367" s="212" t="s">
        <v>248</v>
      </c>
      <c r="M367" s="11">
        <f t="shared" si="32"/>
        <v>1</v>
      </c>
      <c r="N367" s="12" t="s">
        <v>514</v>
      </c>
      <c r="O367" s="12" t="s">
        <v>649</v>
      </c>
      <c r="P367" s="56" t="s">
        <v>53</v>
      </c>
      <c r="Q367" s="190">
        <v>90260.869565217392</v>
      </c>
      <c r="R367" s="190">
        <v>90260.869565217392</v>
      </c>
      <c r="S367" s="57">
        <f t="shared" si="33"/>
        <v>0</v>
      </c>
      <c r="T367" s="57"/>
      <c r="U367" s="57"/>
      <c r="V367" s="58">
        <f t="shared" si="34"/>
        <v>9026.0869565217399</v>
      </c>
      <c r="W367" s="59">
        <f t="shared" si="35"/>
        <v>0</v>
      </c>
    </row>
    <row r="368" spans="1:23" hidden="1" x14ac:dyDescent="0.35">
      <c r="A368" s="60"/>
      <c r="B368" s="54">
        <v>367</v>
      </c>
      <c r="C368" s="65" t="s">
        <v>822</v>
      </c>
      <c r="D368" s="12">
        <v>136356</v>
      </c>
      <c r="E368" s="210" t="s">
        <v>945</v>
      </c>
      <c r="F368" s="12">
        <v>139625</v>
      </c>
      <c r="G368" s="212">
        <v>46248</v>
      </c>
      <c r="H368" s="212" t="s">
        <v>259</v>
      </c>
      <c r="I368" s="11">
        <f t="shared" si="30"/>
        <v>1</v>
      </c>
      <c r="J368" s="212">
        <v>46251</v>
      </c>
      <c r="K368" s="11">
        <f t="shared" si="31"/>
        <v>2</v>
      </c>
      <c r="L368" s="212" t="s">
        <v>248</v>
      </c>
      <c r="M368" s="11">
        <f t="shared" si="32"/>
        <v>1</v>
      </c>
      <c r="N368" s="12" t="s">
        <v>515</v>
      </c>
      <c r="O368" s="12" t="s">
        <v>771</v>
      </c>
      <c r="P368" s="56" t="s">
        <v>53</v>
      </c>
      <c r="Q368" s="190">
        <v>214539.13043478262</v>
      </c>
      <c r="R368" s="190">
        <v>214539.13043478262</v>
      </c>
      <c r="S368" s="57">
        <f t="shared" si="33"/>
        <v>0</v>
      </c>
      <c r="T368" s="57"/>
      <c r="U368" s="57"/>
      <c r="V368" s="58">
        <f t="shared" si="34"/>
        <v>21453.913043478264</v>
      </c>
      <c r="W368" s="59">
        <f t="shared" si="35"/>
        <v>0</v>
      </c>
    </row>
    <row r="369" spans="1:23" hidden="1" x14ac:dyDescent="0.35">
      <c r="A369" s="60"/>
      <c r="B369" s="54">
        <v>368</v>
      </c>
      <c r="C369" s="65" t="s">
        <v>822</v>
      </c>
      <c r="D369" s="12">
        <v>136364</v>
      </c>
      <c r="E369" s="210" t="s">
        <v>945</v>
      </c>
      <c r="F369" s="12">
        <v>139641</v>
      </c>
      <c r="G369" s="212">
        <v>46248</v>
      </c>
      <c r="H369" s="212" t="s">
        <v>253</v>
      </c>
      <c r="I369" s="11">
        <f t="shared" si="30"/>
        <v>3</v>
      </c>
      <c r="J369" s="212">
        <v>46252</v>
      </c>
      <c r="K369" s="11">
        <f t="shared" si="31"/>
        <v>1</v>
      </c>
      <c r="L369" s="212" t="s">
        <v>253</v>
      </c>
      <c r="M369" s="11">
        <f t="shared" si="32"/>
        <v>1</v>
      </c>
      <c r="N369" s="12" t="s">
        <v>516</v>
      </c>
      <c r="O369" s="12" t="s">
        <v>772</v>
      </c>
      <c r="P369" s="56" t="s">
        <v>53</v>
      </c>
      <c r="Q369" s="190">
        <v>140.03025652173915</v>
      </c>
      <c r="R369" s="190">
        <v>140.03025652173915</v>
      </c>
      <c r="S369" s="57">
        <f t="shared" si="33"/>
        <v>0</v>
      </c>
      <c r="T369" s="57"/>
      <c r="U369" s="57"/>
      <c r="V369" s="58">
        <f t="shared" si="34"/>
        <v>14.003025652173916</v>
      </c>
      <c r="W369" s="59">
        <f t="shared" si="35"/>
        <v>0</v>
      </c>
    </row>
    <row r="370" spans="1:23" hidden="1" x14ac:dyDescent="0.35">
      <c r="A370" s="60"/>
      <c r="B370" s="54">
        <v>369</v>
      </c>
      <c r="C370" s="65" t="s">
        <v>822</v>
      </c>
      <c r="D370" s="12">
        <v>136394</v>
      </c>
      <c r="E370" s="210" t="s">
        <v>945</v>
      </c>
      <c r="F370" s="12">
        <v>139631</v>
      </c>
      <c r="G370" s="212">
        <v>46248</v>
      </c>
      <c r="H370" s="212" t="s">
        <v>248</v>
      </c>
      <c r="I370" s="11">
        <f t="shared" si="30"/>
        <v>2</v>
      </c>
      <c r="J370" s="212">
        <v>46253</v>
      </c>
      <c r="K370" s="11">
        <f t="shared" si="31"/>
        <v>3</v>
      </c>
      <c r="L370" s="212" t="s">
        <v>261</v>
      </c>
      <c r="M370" s="11">
        <f t="shared" si="32"/>
        <v>1</v>
      </c>
      <c r="N370" s="12" t="s">
        <v>517</v>
      </c>
      <c r="O370" s="12" t="s">
        <v>642</v>
      </c>
      <c r="P370" s="56" t="s">
        <v>53</v>
      </c>
      <c r="Q370" s="190">
        <v>37937.945217391301</v>
      </c>
      <c r="R370" s="190">
        <v>37937.945217391301</v>
      </c>
      <c r="S370" s="57">
        <f t="shared" si="33"/>
        <v>0</v>
      </c>
      <c r="T370" s="57"/>
      <c r="U370" s="57"/>
      <c r="V370" s="58">
        <f t="shared" si="34"/>
        <v>3793.7945217391302</v>
      </c>
      <c r="W370" s="59">
        <f t="shared" si="35"/>
        <v>0</v>
      </c>
    </row>
    <row r="371" spans="1:23" hidden="1" x14ac:dyDescent="0.35">
      <c r="A371" s="60"/>
      <c r="B371" s="54">
        <v>370</v>
      </c>
      <c r="C371" s="65" t="s">
        <v>822</v>
      </c>
      <c r="D371" s="12">
        <v>136396</v>
      </c>
      <c r="E371" s="210" t="s">
        <v>945</v>
      </c>
      <c r="F371" s="12">
        <v>139633</v>
      </c>
      <c r="G371" s="212">
        <v>46248</v>
      </c>
      <c r="H371" s="212" t="s">
        <v>248</v>
      </c>
      <c r="I371" s="11">
        <f t="shared" si="30"/>
        <v>2</v>
      </c>
      <c r="J371" s="212">
        <v>46253</v>
      </c>
      <c r="K371" s="11">
        <f t="shared" si="31"/>
        <v>3</v>
      </c>
      <c r="L371" s="212" t="s">
        <v>261</v>
      </c>
      <c r="M371" s="11">
        <f t="shared" si="32"/>
        <v>1</v>
      </c>
      <c r="N371" s="12" t="s">
        <v>518</v>
      </c>
      <c r="O371" s="12" t="s">
        <v>642</v>
      </c>
      <c r="P371" s="56" t="s">
        <v>53</v>
      </c>
      <c r="Q371" s="190">
        <v>6233.1865217391305</v>
      </c>
      <c r="R371" s="190">
        <v>6233.1865217391305</v>
      </c>
      <c r="S371" s="57">
        <f t="shared" si="33"/>
        <v>0</v>
      </c>
      <c r="T371" s="57"/>
      <c r="U371" s="57"/>
      <c r="V371" s="58">
        <f t="shared" si="34"/>
        <v>623.31865217391305</v>
      </c>
      <c r="W371" s="59">
        <f t="shared" si="35"/>
        <v>0</v>
      </c>
    </row>
    <row r="372" spans="1:23" hidden="1" x14ac:dyDescent="0.35">
      <c r="A372" s="60"/>
      <c r="B372" s="54">
        <v>371</v>
      </c>
      <c r="C372" s="65" t="s">
        <v>822</v>
      </c>
      <c r="D372" s="12">
        <v>136397</v>
      </c>
      <c r="E372" s="210" t="s">
        <v>945</v>
      </c>
      <c r="F372" s="12">
        <v>139619</v>
      </c>
      <c r="G372" s="212">
        <v>46248</v>
      </c>
      <c r="H372" s="212" t="s">
        <v>248</v>
      </c>
      <c r="I372" s="11">
        <f t="shared" si="30"/>
        <v>2</v>
      </c>
      <c r="J372" s="212">
        <v>46253</v>
      </c>
      <c r="K372" s="11">
        <f t="shared" si="31"/>
        <v>3</v>
      </c>
      <c r="L372" s="212" t="s">
        <v>261</v>
      </c>
      <c r="M372" s="11">
        <f t="shared" si="32"/>
        <v>1</v>
      </c>
      <c r="N372" s="12" t="s">
        <v>519</v>
      </c>
      <c r="O372" s="12" t="s">
        <v>642</v>
      </c>
      <c r="P372" s="56" t="s">
        <v>53</v>
      </c>
      <c r="Q372" s="190">
        <v>22134.737173913043</v>
      </c>
      <c r="R372" s="190">
        <v>22134.737173913043</v>
      </c>
      <c r="S372" s="57">
        <f t="shared" si="33"/>
        <v>0</v>
      </c>
      <c r="T372" s="57"/>
      <c r="U372" s="57"/>
      <c r="V372" s="58">
        <f t="shared" si="34"/>
        <v>2213.4737173913045</v>
      </c>
      <c r="W372" s="59">
        <f t="shared" si="35"/>
        <v>0</v>
      </c>
    </row>
    <row r="373" spans="1:23" hidden="1" x14ac:dyDescent="0.35">
      <c r="A373" s="60"/>
      <c r="B373" s="54">
        <v>372</v>
      </c>
      <c r="C373" s="65" t="s">
        <v>822</v>
      </c>
      <c r="D373" s="12">
        <v>136398</v>
      </c>
      <c r="E373" s="210" t="s">
        <v>945</v>
      </c>
      <c r="F373" s="12">
        <v>139634</v>
      </c>
      <c r="G373" s="212">
        <v>46248</v>
      </c>
      <c r="H373" s="212" t="s">
        <v>248</v>
      </c>
      <c r="I373" s="11">
        <f t="shared" si="30"/>
        <v>2</v>
      </c>
      <c r="J373" s="212">
        <v>46253</v>
      </c>
      <c r="K373" s="11">
        <f t="shared" si="31"/>
        <v>3</v>
      </c>
      <c r="L373" s="212" t="s">
        <v>261</v>
      </c>
      <c r="M373" s="11">
        <f t="shared" si="32"/>
        <v>1</v>
      </c>
      <c r="N373" s="12" t="s">
        <v>520</v>
      </c>
      <c r="O373" s="12" t="s">
        <v>642</v>
      </c>
      <c r="P373" s="56" t="s">
        <v>53</v>
      </c>
      <c r="Q373" s="190">
        <v>26971.918260869566</v>
      </c>
      <c r="R373" s="190">
        <v>26971.918260869566</v>
      </c>
      <c r="S373" s="57">
        <f t="shared" si="33"/>
        <v>0</v>
      </c>
      <c r="T373" s="57"/>
      <c r="U373" s="57"/>
      <c r="V373" s="58">
        <f t="shared" si="34"/>
        <v>2697.191826086957</v>
      </c>
      <c r="W373" s="59">
        <f t="shared" si="35"/>
        <v>0</v>
      </c>
    </row>
    <row r="374" spans="1:23" hidden="1" x14ac:dyDescent="0.35">
      <c r="A374" s="60"/>
      <c r="B374" s="54">
        <v>373</v>
      </c>
      <c r="C374" s="65" t="s">
        <v>822</v>
      </c>
      <c r="D374" s="12">
        <v>136399</v>
      </c>
      <c r="E374" s="210" t="s">
        <v>945</v>
      </c>
      <c r="F374" s="12">
        <v>139621</v>
      </c>
      <c r="G374" s="212">
        <v>46248</v>
      </c>
      <c r="H374" s="212" t="s">
        <v>248</v>
      </c>
      <c r="I374" s="11">
        <f t="shared" ref="I374:I437" si="36">IF(OR(H374="", G374=""), "", NETWORKDAYS(G374, H374))</f>
        <v>2</v>
      </c>
      <c r="J374" s="212">
        <v>46253</v>
      </c>
      <c r="K374" s="11">
        <f t="shared" ref="K374:K437" si="37">IF(OR(H374="", J374=""), "", NETWORKDAYS(H374, J374))</f>
        <v>3</v>
      </c>
      <c r="L374" s="212" t="s">
        <v>261</v>
      </c>
      <c r="M374" s="11">
        <f t="shared" ref="M374:M437" si="38">IF(OR(J374="", L374=""), "", NETWORKDAYS(J374, L374))</f>
        <v>1</v>
      </c>
      <c r="N374" s="12" t="s">
        <v>521</v>
      </c>
      <c r="O374" s="12" t="s">
        <v>762</v>
      </c>
      <c r="P374" s="56" t="s">
        <v>53</v>
      </c>
      <c r="Q374" s="190">
        <v>21734.747826086958</v>
      </c>
      <c r="R374" s="190">
        <v>21734.747826086958</v>
      </c>
      <c r="S374" s="57">
        <f t="shared" ref="S374:S437" si="39">Q374-R374</f>
        <v>0</v>
      </c>
      <c r="T374" s="57"/>
      <c r="U374" s="57"/>
      <c r="V374" s="58">
        <f t="shared" ref="V374:V437" si="40">IF(Q374="", "", Q374*10%)</f>
        <v>2173.4747826086959</v>
      </c>
      <c r="W374" s="59">
        <f t="shared" ref="W374:W437" si="41">IF(OR(Q374="", R374=""), "", (Q374- R374)/Q374)</f>
        <v>0</v>
      </c>
    </row>
    <row r="375" spans="1:23" hidden="1" x14ac:dyDescent="0.35">
      <c r="A375" s="60"/>
      <c r="B375" s="54">
        <v>374</v>
      </c>
      <c r="C375" s="65" t="s">
        <v>822</v>
      </c>
      <c r="D375" s="12">
        <v>136402</v>
      </c>
      <c r="E375" s="210" t="s">
        <v>945</v>
      </c>
      <c r="F375" s="12">
        <v>139632</v>
      </c>
      <c r="G375" s="212">
        <v>46248</v>
      </c>
      <c r="H375" s="212" t="s">
        <v>248</v>
      </c>
      <c r="I375" s="11">
        <f t="shared" si="36"/>
        <v>2</v>
      </c>
      <c r="J375" s="212">
        <v>46253</v>
      </c>
      <c r="K375" s="11">
        <f t="shared" si="37"/>
        <v>3</v>
      </c>
      <c r="L375" s="212" t="s">
        <v>261</v>
      </c>
      <c r="M375" s="11">
        <f t="shared" si="38"/>
        <v>1</v>
      </c>
      <c r="N375" s="12" t="s">
        <v>522</v>
      </c>
      <c r="O375" s="12" t="s">
        <v>642</v>
      </c>
      <c r="P375" s="56" t="s">
        <v>53</v>
      </c>
      <c r="Q375" s="190">
        <v>6220.1791304347826</v>
      </c>
      <c r="R375" s="190">
        <v>6220.1791304347826</v>
      </c>
      <c r="S375" s="57">
        <f t="shared" si="39"/>
        <v>0</v>
      </c>
      <c r="T375" s="57"/>
      <c r="U375" s="57"/>
      <c r="V375" s="58">
        <f t="shared" si="40"/>
        <v>622.0179130434783</v>
      </c>
      <c r="W375" s="59">
        <f t="shared" si="41"/>
        <v>0</v>
      </c>
    </row>
    <row r="376" spans="1:23" hidden="1" x14ac:dyDescent="0.35">
      <c r="A376" s="60"/>
      <c r="B376" s="54">
        <v>375</v>
      </c>
      <c r="C376" s="65" t="s">
        <v>822</v>
      </c>
      <c r="D376" s="12">
        <v>136407</v>
      </c>
      <c r="E376" s="210" t="s">
        <v>945</v>
      </c>
      <c r="F376" s="12">
        <v>139629</v>
      </c>
      <c r="G376" s="212">
        <v>46248</v>
      </c>
      <c r="H376" s="212" t="s">
        <v>248</v>
      </c>
      <c r="I376" s="11">
        <f t="shared" si="36"/>
        <v>2</v>
      </c>
      <c r="J376" s="212">
        <v>46253</v>
      </c>
      <c r="K376" s="11">
        <f t="shared" si="37"/>
        <v>3</v>
      </c>
      <c r="L376" s="212" t="s">
        <v>261</v>
      </c>
      <c r="M376" s="11">
        <f t="shared" si="38"/>
        <v>1</v>
      </c>
      <c r="N376" s="12" t="s">
        <v>523</v>
      </c>
      <c r="O376" s="12" t="s">
        <v>642</v>
      </c>
      <c r="P376" s="56" t="s">
        <v>53</v>
      </c>
      <c r="Q376" s="190">
        <v>7777.5169565217393</v>
      </c>
      <c r="R376" s="190">
        <v>7777.5169565217393</v>
      </c>
      <c r="S376" s="57">
        <f t="shared" si="39"/>
        <v>0</v>
      </c>
      <c r="T376" s="57"/>
      <c r="U376" s="57"/>
      <c r="V376" s="58">
        <f t="shared" si="40"/>
        <v>777.75169565217402</v>
      </c>
      <c r="W376" s="59">
        <f t="shared" si="41"/>
        <v>0</v>
      </c>
    </row>
    <row r="377" spans="1:23" hidden="1" x14ac:dyDescent="0.35">
      <c r="A377" s="60"/>
      <c r="B377" s="54">
        <v>376</v>
      </c>
      <c r="C377" s="65" t="s">
        <v>822</v>
      </c>
      <c r="D377" s="12">
        <v>136409</v>
      </c>
      <c r="E377" s="210" t="s">
        <v>945</v>
      </c>
      <c r="F377" s="12">
        <v>139630</v>
      </c>
      <c r="G377" s="212">
        <v>46248</v>
      </c>
      <c r="H377" s="212" t="s">
        <v>261</v>
      </c>
      <c r="I377" s="11">
        <f t="shared" si="36"/>
        <v>4</v>
      </c>
      <c r="J377" s="212">
        <v>46253</v>
      </c>
      <c r="K377" s="11">
        <f t="shared" si="37"/>
        <v>1</v>
      </c>
      <c r="L377" s="212" t="s">
        <v>261</v>
      </c>
      <c r="M377" s="11">
        <f t="shared" si="38"/>
        <v>1</v>
      </c>
      <c r="N377" s="12" t="s">
        <v>524</v>
      </c>
      <c r="O377" s="12" t="s">
        <v>656</v>
      </c>
      <c r="P377" s="56" t="s">
        <v>53</v>
      </c>
      <c r="Q377" s="190">
        <v>3043.478260869565</v>
      </c>
      <c r="R377" s="190">
        <v>3043.478260869565</v>
      </c>
      <c r="S377" s="57">
        <f t="shared" si="39"/>
        <v>0</v>
      </c>
      <c r="T377" s="57"/>
      <c r="U377" s="57"/>
      <c r="V377" s="58">
        <f t="shared" si="40"/>
        <v>304.3478260869565</v>
      </c>
      <c r="W377" s="59">
        <f t="shared" si="41"/>
        <v>0</v>
      </c>
    </row>
    <row r="378" spans="1:23" hidden="1" x14ac:dyDescent="0.35">
      <c r="A378" s="60"/>
      <c r="B378" s="54">
        <v>377</v>
      </c>
      <c r="C378" s="65" t="s">
        <v>822</v>
      </c>
      <c r="D378" s="12">
        <v>136445</v>
      </c>
      <c r="E378" s="210" t="s">
        <v>945</v>
      </c>
      <c r="F378" s="12">
        <v>139622</v>
      </c>
      <c r="G378" s="212">
        <v>46248</v>
      </c>
      <c r="H378" s="212" t="s">
        <v>253</v>
      </c>
      <c r="I378" s="11">
        <f t="shared" si="36"/>
        <v>3</v>
      </c>
      <c r="J378" s="212">
        <v>46254</v>
      </c>
      <c r="K378" s="11">
        <f t="shared" si="37"/>
        <v>3</v>
      </c>
      <c r="L378" s="212" t="s">
        <v>263</v>
      </c>
      <c r="M378" s="11">
        <f t="shared" si="38"/>
        <v>1</v>
      </c>
      <c r="N378" s="12" t="s">
        <v>525</v>
      </c>
      <c r="O378" s="12" t="s">
        <v>641</v>
      </c>
      <c r="P378" s="56" t="s">
        <v>53</v>
      </c>
      <c r="Q378" s="190">
        <v>8478.2608695652179</v>
      </c>
      <c r="R378" s="190">
        <v>8478.2608695652179</v>
      </c>
      <c r="S378" s="57">
        <f t="shared" si="39"/>
        <v>0</v>
      </c>
      <c r="T378" s="57"/>
      <c r="U378" s="57"/>
      <c r="V378" s="58">
        <f t="shared" si="40"/>
        <v>847.82608695652186</v>
      </c>
      <c r="W378" s="59">
        <f t="shared" si="41"/>
        <v>0</v>
      </c>
    </row>
    <row r="379" spans="1:23" hidden="1" x14ac:dyDescent="0.35">
      <c r="A379" s="60"/>
      <c r="B379" s="54">
        <v>378</v>
      </c>
      <c r="C379" s="65" t="s">
        <v>822</v>
      </c>
      <c r="D379" s="12">
        <v>136446</v>
      </c>
      <c r="E379" s="210" t="s">
        <v>945</v>
      </c>
      <c r="F379" s="12">
        <v>139640</v>
      </c>
      <c r="G379" s="212">
        <v>46248</v>
      </c>
      <c r="H379" s="212" t="s">
        <v>253</v>
      </c>
      <c r="I379" s="11">
        <f t="shared" si="36"/>
        <v>3</v>
      </c>
      <c r="J379" s="212">
        <v>46254</v>
      </c>
      <c r="K379" s="11">
        <f t="shared" si="37"/>
        <v>3</v>
      </c>
      <c r="L379" s="212" t="s">
        <v>263</v>
      </c>
      <c r="M379" s="11">
        <f t="shared" si="38"/>
        <v>1</v>
      </c>
      <c r="N379" s="12" t="s">
        <v>526</v>
      </c>
      <c r="O379" s="12" t="s">
        <v>773</v>
      </c>
      <c r="P379" s="56" t="s">
        <v>53</v>
      </c>
      <c r="Q379" s="190">
        <v>4347.826086956522</v>
      </c>
      <c r="R379" s="190">
        <v>4347.826086956522</v>
      </c>
      <c r="S379" s="57">
        <f t="shared" si="39"/>
        <v>0</v>
      </c>
      <c r="T379" s="57"/>
      <c r="U379" s="57"/>
      <c r="V379" s="58">
        <f t="shared" si="40"/>
        <v>434.78260869565224</v>
      </c>
      <c r="W379" s="59">
        <f t="shared" si="41"/>
        <v>0</v>
      </c>
    </row>
    <row r="380" spans="1:23" hidden="1" x14ac:dyDescent="0.35">
      <c r="A380" s="60"/>
      <c r="B380" s="54">
        <v>379</v>
      </c>
      <c r="C380" s="65" t="s">
        <v>822</v>
      </c>
      <c r="D380" s="12">
        <v>136451</v>
      </c>
      <c r="E380" s="210" t="s">
        <v>945</v>
      </c>
      <c r="F380" s="12">
        <v>139642</v>
      </c>
      <c r="G380" s="212">
        <v>46248</v>
      </c>
      <c r="H380" s="212" t="s">
        <v>262</v>
      </c>
      <c r="I380" s="11">
        <f t="shared" si="36"/>
        <v>6</v>
      </c>
      <c r="J380" s="212">
        <v>46255</v>
      </c>
      <c r="K380" s="11">
        <f t="shared" si="37"/>
        <v>1</v>
      </c>
      <c r="L380" s="212" t="s">
        <v>262</v>
      </c>
      <c r="M380" s="11">
        <f t="shared" si="38"/>
        <v>1</v>
      </c>
      <c r="N380" s="12" t="s">
        <v>527</v>
      </c>
      <c r="O380" s="12" t="s">
        <v>774</v>
      </c>
      <c r="P380" s="56" t="s">
        <v>53</v>
      </c>
      <c r="Q380" s="190">
        <v>6956.521739130435</v>
      </c>
      <c r="R380" s="190">
        <v>6956.521739130435</v>
      </c>
      <c r="S380" s="57">
        <f t="shared" si="39"/>
        <v>0</v>
      </c>
      <c r="T380" s="57"/>
      <c r="U380" s="57"/>
      <c r="V380" s="58">
        <f t="shared" si="40"/>
        <v>695.6521739130435</v>
      </c>
      <c r="W380" s="59">
        <f t="shared" si="41"/>
        <v>0</v>
      </c>
    </row>
    <row r="381" spans="1:23" hidden="1" x14ac:dyDescent="0.35">
      <c r="A381" s="60"/>
      <c r="B381" s="54">
        <v>380</v>
      </c>
      <c r="C381" s="65" t="s">
        <v>822</v>
      </c>
      <c r="D381" s="12">
        <v>136453</v>
      </c>
      <c r="E381" s="210" t="s">
        <v>945</v>
      </c>
      <c r="F381" s="12">
        <v>139643</v>
      </c>
      <c r="G381" s="212">
        <v>46248</v>
      </c>
      <c r="H381" s="212" t="s">
        <v>262</v>
      </c>
      <c r="I381" s="11">
        <f t="shared" si="36"/>
        <v>6</v>
      </c>
      <c r="J381" s="212">
        <v>46255</v>
      </c>
      <c r="K381" s="11">
        <f t="shared" si="37"/>
        <v>1</v>
      </c>
      <c r="L381" s="212" t="s">
        <v>262</v>
      </c>
      <c r="M381" s="11">
        <f t="shared" si="38"/>
        <v>1</v>
      </c>
      <c r="N381" s="12" t="s">
        <v>528</v>
      </c>
      <c r="O381" s="12" t="s">
        <v>691</v>
      </c>
      <c r="P381" s="56" t="s">
        <v>53</v>
      </c>
      <c r="Q381" s="190">
        <v>1495.108695652174</v>
      </c>
      <c r="R381" s="190">
        <v>1495.108695652174</v>
      </c>
      <c r="S381" s="57">
        <f t="shared" si="39"/>
        <v>0</v>
      </c>
      <c r="T381" s="57"/>
      <c r="U381" s="57"/>
      <c r="V381" s="58">
        <f t="shared" si="40"/>
        <v>149.5108695652174</v>
      </c>
      <c r="W381" s="59">
        <f t="shared" si="41"/>
        <v>0</v>
      </c>
    </row>
    <row r="382" spans="1:23" hidden="1" x14ac:dyDescent="0.35">
      <c r="A382" s="60"/>
      <c r="B382" s="54">
        <v>381</v>
      </c>
      <c r="C382" s="65" t="s">
        <v>822</v>
      </c>
      <c r="D382" s="12">
        <v>136462</v>
      </c>
      <c r="E382" s="210" t="s">
        <v>945</v>
      </c>
      <c r="F382" s="12">
        <v>139628</v>
      </c>
      <c r="G382" s="212">
        <v>46248</v>
      </c>
      <c r="H382" s="212" t="s">
        <v>253</v>
      </c>
      <c r="I382" s="11">
        <f t="shared" si="36"/>
        <v>3</v>
      </c>
      <c r="J382" s="212">
        <v>46258</v>
      </c>
      <c r="K382" s="11">
        <f t="shared" si="37"/>
        <v>5</v>
      </c>
      <c r="L382" s="212" t="s">
        <v>257</v>
      </c>
      <c r="M382" s="11">
        <f t="shared" si="38"/>
        <v>1</v>
      </c>
      <c r="N382" s="12" t="s">
        <v>529</v>
      </c>
      <c r="O382" s="12" t="s">
        <v>775</v>
      </c>
      <c r="P382" s="56" t="s">
        <v>53</v>
      </c>
      <c r="Q382" s="190">
        <v>4347.826086956522</v>
      </c>
      <c r="R382" s="190">
        <v>4347.826086956522</v>
      </c>
      <c r="S382" s="57">
        <f t="shared" si="39"/>
        <v>0</v>
      </c>
      <c r="T382" s="57"/>
      <c r="U382" s="57"/>
      <c r="V382" s="58">
        <f t="shared" si="40"/>
        <v>434.78260869565224</v>
      </c>
      <c r="W382" s="59">
        <f t="shared" si="41"/>
        <v>0</v>
      </c>
    </row>
    <row r="383" spans="1:23" x14ac:dyDescent="0.35">
      <c r="A383" s="60"/>
      <c r="B383" s="54">
        <v>382</v>
      </c>
      <c r="C383" s="65" t="s">
        <v>822</v>
      </c>
      <c r="D383" s="12">
        <v>136389</v>
      </c>
      <c r="E383" s="210" t="s">
        <v>945</v>
      </c>
      <c r="F383" s="12">
        <v>139649</v>
      </c>
      <c r="G383" s="212">
        <v>46251</v>
      </c>
      <c r="H383" s="212" t="s">
        <v>253</v>
      </c>
      <c r="I383" s="11">
        <f t="shared" si="36"/>
        <v>2</v>
      </c>
      <c r="J383" s="212">
        <v>46253</v>
      </c>
      <c r="K383" s="11">
        <f t="shared" si="37"/>
        <v>2</v>
      </c>
      <c r="L383" s="212" t="s">
        <v>261</v>
      </c>
      <c r="M383" s="11">
        <f t="shared" si="38"/>
        <v>1</v>
      </c>
      <c r="N383" s="12" t="s">
        <v>530</v>
      </c>
      <c r="O383" s="12" t="s">
        <v>776</v>
      </c>
      <c r="P383" s="56" t="s">
        <v>53</v>
      </c>
      <c r="Q383" s="190">
        <v>3967603.9000000008</v>
      </c>
      <c r="R383" s="190">
        <v>3911723.8000000007</v>
      </c>
      <c r="S383" s="57">
        <f t="shared" si="39"/>
        <v>55880.100000000093</v>
      </c>
      <c r="T383" s="57"/>
      <c r="U383" s="57"/>
      <c r="V383" s="58">
        <f t="shared" si="40"/>
        <v>396760.39000000013</v>
      </c>
      <c r="W383" s="59">
        <f t="shared" si="41"/>
        <v>1.4084092416584246E-2</v>
      </c>
    </row>
    <row r="384" spans="1:23" hidden="1" x14ac:dyDescent="0.35">
      <c r="A384" s="60"/>
      <c r="B384" s="54">
        <v>383</v>
      </c>
      <c r="C384" s="65" t="s">
        <v>822</v>
      </c>
      <c r="D384" s="12">
        <v>136461</v>
      </c>
      <c r="E384" s="210" t="s">
        <v>945</v>
      </c>
      <c r="F384" s="12">
        <v>139660</v>
      </c>
      <c r="G384" s="212">
        <v>46251</v>
      </c>
      <c r="H384" s="212" t="s">
        <v>263</v>
      </c>
      <c r="I384" s="11">
        <f t="shared" si="36"/>
        <v>4</v>
      </c>
      <c r="J384" s="212">
        <v>46258</v>
      </c>
      <c r="K384" s="11">
        <f t="shared" si="37"/>
        <v>3</v>
      </c>
      <c r="L384" s="212" t="s">
        <v>257</v>
      </c>
      <c r="M384" s="11">
        <f t="shared" si="38"/>
        <v>1</v>
      </c>
      <c r="N384" s="12" t="s">
        <v>531</v>
      </c>
      <c r="O384" s="12" t="s">
        <v>629</v>
      </c>
      <c r="P384" s="56" t="s">
        <v>53</v>
      </c>
      <c r="Q384" s="190">
        <v>1216.304347826087</v>
      </c>
      <c r="R384" s="190">
        <v>1216.304347826087</v>
      </c>
      <c r="S384" s="57">
        <f t="shared" si="39"/>
        <v>0</v>
      </c>
      <c r="T384" s="57"/>
      <c r="U384" s="57"/>
      <c r="V384" s="58">
        <f t="shared" si="40"/>
        <v>121.6304347826087</v>
      </c>
      <c r="W384" s="59">
        <f t="shared" si="41"/>
        <v>0</v>
      </c>
    </row>
    <row r="385" spans="1:23" hidden="1" x14ac:dyDescent="0.35">
      <c r="A385" s="60"/>
      <c r="B385" s="54">
        <v>384</v>
      </c>
      <c r="C385" s="65" t="s">
        <v>822</v>
      </c>
      <c r="D385" s="12">
        <v>136326</v>
      </c>
      <c r="E385" s="210" t="s">
        <v>946</v>
      </c>
      <c r="F385" s="12">
        <v>139647</v>
      </c>
      <c r="G385" s="212">
        <v>46251</v>
      </c>
      <c r="H385" s="212" t="s">
        <v>248</v>
      </c>
      <c r="I385" s="11">
        <f t="shared" si="36"/>
        <v>1</v>
      </c>
      <c r="J385" s="212">
        <v>46251</v>
      </c>
      <c r="K385" s="11">
        <f t="shared" si="37"/>
        <v>1</v>
      </c>
      <c r="L385" s="212" t="s">
        <v>248</v>
      </c>
      <c r="M385" s="11">
        <f t="shared" si="38"/>
        <v>1</v>
      </c>
      <c r="N385" s="12" t="s">
        <v>532</v>
      </c>
      <c r="O385" s="12" t="s">
        <v>777</v>
      </c>
      <c r="P385" s="56" t="s">
        <v>53</v>
      </c>
      <c r="Q385" s="190">
        <v>68.913043478260875</v>
      </c>
      <c r="R385" s="190">
        <v>68.913043478260875</v>
      </c>
      <c r="S385" s="57">
        <f t="shared" si="39"/>
        <v>0</v>
      </c>
      <c r="T385" s="57"/>
      <c r="U385" s="57"/>
      <c r="V385" s="58">
        <f t="shared" si="40"/>
        <v>6.8913043478260878</v>
      </c>
      <c r="W385" s="59">
        <f t="shared" si="41"/>
        <v>0</v>
      </c>
    </row>
    <row r="386" spans="1:23" hidden="1" x14ac:dyDescent="0.35">
      <c r="A386" s="60"/>
      <c r="B386" s="54">
        <v>385</v>
      </c>
      <c r="C386" s="65" t="s">
        <v>822</v>
      </c>
      <c r="D386" s="12">
        <v>136332</v>
      </c>
      <c r="E386" s="209" t="s">
        <v>946</v>
      </c>
      <c r="F386" s="12">
        <v>139650</v>
      </c>
      <c r="G386" s="212">
        <v>46251</v>
      </c>
      <c r="H386" s="212" t="s">
        <v>248</v>
      </c>
      <c r="I386" s="11">
        <f t="shared" si="36"/>
        <v>1</v>
      </c>
      <c r="J386" s="212">
        <v>46251</v>
      </c>
      <c r="K386" s="11">
        <f t="shared" si="37"/>
        <v>1</v>
      </c>
      <c r="L386" s="212" t="s">
        <v>248</v>
      </c>
      <c r="M386" s="11">
        <f t="shared" si="38"/>
        <v>1</v>
      </c>
      <c r="N386" s="12" t="s">
        <v>928</v>
      </c>
      <c r="O386" s="12" t="s">
        <v>778</v>
      </c>
      <c r="P386" s="56" t="s">
        <v>53</v>
      </c>
      <c r="Q386" s="190">
        <v>228.04347826086956</v>
      </c>
      <c r="R386" s="190">
        <v>228.04347826086956</v>
      </c>
      <c r="S386" s="57">
        <f t="shared" si="39"/>
        <v>0</v>
      </c>
      <c r="T386" s="57"/>
      <c r="U386" s="57"/>
      <c r="V386" s="58">
        <f t="shared" si="40"/>
        <v>22.804347826086957</v>
      </c>
      <c r="W386" s="59">
        <f t="shared" si="41"/>
        <v>0</v>
      </c>
    </row>
    <row r="387" spans="1:23" hidden="1" x14ac:dyDescent="0.35">
      <c r="A387" s="60"/>
      <c r="B387" s="54">
        <v>386</v>
      </c>
      <c r="C387" s="65" t="s">
        <v>822</v>
      </c>
      <c r="D387" s="12">
        <v>136392</v>
      </c>
      <c r="E387" s="210" t="s">
        <v>945</v>
      </c>
      <c r="F387" s="12">
        <v>139651</v>
      </c>
      <c r="G387" s="212">
        <v>46251</v>
      </c>
      <c r="H387" s="212" t="s">
        <v>253</v>
      </c>
      <c r="I387" s="11">
        <f t="shared" si="36"/>
        <v>2</v>
      </c>
      <c r="J387" s="212">
        <v>46253</v>
      </c>
      <c r="K387" s="11">
        <f t="shared" si="37"/>
        <v>2</v>
      </c>
      <c r="L387" s="212" t="s">
        <v>261</v>
      </c>
      <c r="M387" s="11">
        <f t="shared" si="38"/>
        <v>1</v>
      </c>
      <c r="N387" s="12" t="s">
        <v>530</v>
      </c>
      <c r="O387" s="12" t="s">
        <v>760</v>
      </c>
      <c r="P387" s="56" t="s">
        <v>53</v>
      </c>
      <c r="Q387" s="190">
        <v>290400</v>
      </c>
      <c r="R387" s="190">
        <v>290400</v>
      </c>
      <c r="S387" s="57">
        <f t="shared" si="39"/>
        <v>0</v>
      </c>
      <c r="T387" s="57"/>
      <c r="U387" s="57"/>
      <c r="V387" s="58">
        <f t="shared" si="40"/>
        <v>29040</v>
      </c>
      <c r="W387" s="59">
        <f t="shared" si="41"/>
        <v>0</v>
      </c>
    </row>
    <row r="388" spans="1:23" hidden="1" x14ac:dyDescent="0.35">
      <c r="A388" s="60"/>
      <c r="B388" s="54">
        <v>387</v>
      </c>
      <c r="C388" s="65" t="s">
        <v>822</v>
      </c>
      <c r="D388" s="12">
        <v>136403</v>
      </c>
      <c r="E388" s="210" t="s">
        <v>945</v>
      </c>
      <c r="F388" s="12">
        <v>139656</v>
      </c>
      <c r="G388" s="212">
        <v>46251</v>
      </c>
      <c r="H388" s="212" t="s">
        <v>261</v>
      </c>
      <c r="I388" s="11">
        <f t="shared" si="36"/>
        <v>3</v>
      </c>
      <c r="J388" s="212">
        <v>46253</v>
      </c>
      <c r="K388" s="11">
        <f t="shared" si="37"/>
        <v>1</v>
      </c>
      <c r="L388" s="212" t="s">
        <v>261</v>
      </c>
      <c r="M388" s="11">
        <f t="shared" si="38"/>
        <v>1</v>
      </c>
      <c r="N388" s="12" t="s">
        <v>533</v>
      </c>
      <c r="O388" s="12" t="s">
        <v>779</v>
      </c>
      <c r="P388" s="56" t="s">
        <v>53</v>
      </c>
      <c r="Q388" s="190">
        <v>28.260869565217391</v>
      </c>
      <c r="R388" s="190">
        <v>28.260869565217391</v>
      </c>
      <c r="S388" s="57">
        <f t="shared" si="39"/>
        <v>0</v>
      </c>
      <c r="T388" s="57"/>
      <c r="U388" s="57"/>
      <c r="V388" s="58">
        <f t="shared" si="40"/>
        <v>2.8260869565217392</v>
      </c>
      <c r="W388" s="59">
        <f t="shared" si="41"/>
        <v>0</v>
      </c>
    </row>
    <row r="389" spans="1:23" hidden="1" x14ac:dyDescent="0.35">
      <c r="A389" s="60"/>
      <c r="B389" s="54">
        <v>388</v>
      </c>
      <c r="C389" s="65" t="s">
        <v>822</v>
      </c>
      <c r="D389" s="12">
        <v>136411</v>
      </c>
      <c r="E389" s="210" t="s">
        <v>945</v>
      </c>
      <c r="F389" s="12">
        <v>139657</v>
      </c>
      <c r="G389" s="212">
        <v>46251</v>
      </c>
      <c r="H389" s="212" t="s">
        <v>261</v>
      </c>
      <c r="I389" s="11">
        <f t="shared" si="36"/>
        <v>3</v>
      </c>
      <c r="J389" s="212">
        <v>46253</v>
      </c>
      <c r="K389" s="11">
        <f t="shared" si="37"/>
        <v>1</v>
      </c>
      <c r="L389" s="212" t="s">
        <v>261</v>
      </c>
      <c r="M389" s="11">
        <f t="shared" si="38"/>
        <v>1</v>
      </c>
      <c r="N389" s="12" t="s">
        <v>534</v>
      </c>
      <c r="O389" s="12" t="s">
        <v>780</v>
      </c>
      <c r="P389" s="56" t="s">
        <v>53</v>
      </c>
      <c r="Q389" s="190">
        <v>55600</v>
      </c>
      <c r="R389" s="190">
        <v>55600</v>
      </c>
      <c r="S389" s="57">
        <f t="shared" si="39"/>
        <v>0</v>
      </c>
      <c r="T389" s="57"/>
      <c r="U389" s="57"/>
      <c r="V389" s="58">
        <f t="shared" si="40"/>
        <v>5560</v>
      </c>
      <c r="W389" s="59">
        <f t="shared" si="41"/>
        <v>0</v>
      </c>
    </row>
    <row r="390" spans="1:23" hidden="1" x14ac:dyDescent="0.35">
      <c r="A390" s="60"/>
      <c r="B390" s="54">
        <v>389</v>
      </c>
      <c r="C390" s="65" t="s">
        <v>822</v>
      </c>
      <c r="D390" s="12">
        <v>136413</v>
      </c>
      <c r="E390" s="210" t="s">
        <v>945</v>
      </c>
      <c r="F390" s="12">
        <v>139662</v>
      </c>
      <c r="G390" s="212">
        <v>46251</v>
      </c>
      <c r="H390" s="212" t="s">
        <v>253</v>
      </c>
      <c r="I390" s="11">
        <f t="shared" si="36"/>
        <v>2</v>
      </c>
      <c r="J390" s="212">
        <v>46254</v>
      </c>
      <c r="K390" s="11">
        <f t="shared" si="37"/>
        <v>3</v>
      </c>
      <c r="L390" s="212" t="s">
        <v>263</v>
      </c>
      <c r="M390" s="11">
        <f t="shared" si="38"/>
        <v>1</v>
      </c>
      <c r="N390" s="12" t="s">
        <v>535</v>
      </c>
      <c r="O390" s="12" t="s">
        <v>632</v>
      </c>
      <c r="P390" s="56" t="s">
        <v>53</v>
      </c>
      <c r="Q390" s="190">
        <v>1628.6232608695652</v>
      </c>
      <c r="R390" s="190">
        <v>1628.6232608695652</v>
      </c>
      <c r="S390" s="57">
        <f t="shared" si="39"/>
        <v>0</v>
      </c>
      <c r="T390" s="57"/>
      <c r="U390" s="57"/>
      <c r="V390" s="58">
        <f t="shared" si="40"/>
        <v>162.86232608695653</v>
      </c>
      <c r="W390" s="59">
        <f t="shared" si="41"/>
        <v>0</v>
      </c>
    </row>
    <row r="391" spans="1:23" hidden="1" x14ac:dyDescent="0.35">
      <c r="A391" s="60"/>
      <c r="B391" s="54">
        <v>390</v>
      </c>
      <c r="C391" s="65" t="s">
        <v>822</v>
      </c>
      <c r="D391" s="12">
        <v>136447</v>
      </c>
      <c r="E391" s="210" t="s">
        <v>945</v>
      </c>
      <c r="F391" s="12">
        <v>139654</v>
      </c>
      <c r="G391" s="212">
        <v>46251</v>
      </c>
      <c r="H391" s="212" t="s">
        <v>253</v>
      </c>
      <c r="I391" s="11">
        <f t="shared" si="36"/>
        <v>2</v>
      </c>
      <c r="J391" s="212">
        <v>46254</v>
      </c>
      <c r="K391" s="11">
        <f t="shared" si="37"/>
        <v>3</v>
      </c>
      <c r="L391" s="212" t="s">
        <v>263</v>
      </c>
      <c r="M391" s="11">
        <f t="shared" si="38"/>
        <v>1</v>
      </c>
      <c r="N391" s="12" t="s">
        <v>536</v>
      </c>
      <c r="O391" s="12" t="s">
        <v>781</v>
      </c>
      <c r="P391" s="56" t="s">
        <v>53</v>
      </c>
      <c r="Q391" s="190">
        <v>6521.739130434783</v>
      </c>
      <c r="R391" s="190">
        <v>6521.739130434783</v>
      </c>
      <c r="S391" s="57">
        <f t="shared" si="39"/>
        <v>0</v>
      </c>
      <c r="T391" s="57"/>
      <c r="U391" s="57"/>
      <c r="V391" s="58">
        <f t="shared" si="40"/>
        <v>652.17391304347836</v>
      </c>
      <c r="W391" s="59">
        <f t="shared" si="41"/>
        <v>0</v>
      </c>
    </row>
    <row r="392" spans="1:23" hidden="1" x14ac:dyDescent="0.35">
      <c r="A392" s="60"/>
      <c r="B392" s="54">
        <v>391</v>
      </c>
      <c r="C392" s="65" t="s">
        <v>822</v>
      </c>
      <c r="D392" s="12">
        <v>136448</v>
      </c>
      <c r="E392" s="210" t="s">
        <v>945</v>
      </c>
      <c r="F392" s="12">
        <v>139652</v>
      </c>
      <c r="G392" s="212">
        <v>46251</v>
      </c>
      <c r="H392" s="212" t="s">
        <v>253</v>
      </c>
      <c r="I392" s="11">
        <f t="shared" si="36"/>
        <v>2</v>
      </c>
      <c r="J392" s="212">
        <v>46254</v>
      </c>
      <c r="K392" s="11">
        <f t="shared" si="37"/>
        <v>3</v>
      </c>
      <c r="L392" s="212" t="s">
        <v>265</v>
      </c>
      <c r="M392" s="11">
        <f t="shared" si="38"/>
        <v>6</v>
      </c>
      <c r="N392" s="12" t="s">
        <v>537</v>
      </c>
      <c r="O392" s="12" t="s">
        <v>782</v>
      </c>
      <c r="P392" s="56" t="s">
        <v>53</v>
      </c>
      <c r="Q392" s="190">
        <v>978.26086956521738</v>
      </c>
      <c r="R392" s="190">
        <v>978.26086956521738</v>
      </c>
      <c r="S392" s="57">
        <f t="shared" si="39"/>
        <v>0</v>
      </c>
      <c r="T392" s="57"/>
      <c r="U392" s="57"/>
      <c r="V392" s="58">
        <f t="shared" si="40"/>
        <v>97.826086956521749</v>
      </c>
      <c r="W392" s="59">
        <f t="shared" si="41"/>
        <v>0</v>
      </c>
    </row>
    <row r="393" spans="1:23" hidden="1" x14ac:dyDescent="0.35">
      <c r="A393" s="60"/>
      <c r="B393" s="54">
        <v>392</v>
      </c>
      <c r="C393" s="65" t="s">
        <v>822</v>
      </c>
      <c r="D393" s="12">
        <v>136460</v>
      </c>
      <c r="E393" s="210" t="s">
        <v>945</v>
      </c>
      <c r="F393" s="12">
        <v>139661</v>
      </c>
      <c r="G393" s="212">
        <v>46251</v>
      </c>
      <c r="H393" s="212" t="s">
        <v>253</v>
      </c>
      <c r="I393" s="11">
        <f t="shared" si="36"/>
        <v>2</v>
      </c>
      <c r="J393" s="212">
        <v>46258</v>
      </c>
      <c r="K393" s="11">
        <f t="shared" si="37"/>
        <v>5</v>
      </c>
      <c r="L393" s="212" t="s">
        <v>257</v>
      </c>
      <c r="M393" s="11">
        <f t="shared" si="38"/>
        <v>1</v>
      </c>
      <c r="N393" s="12" t="s">
        <v>538</v>
      </c>
      <c r="O393" s="12" t="s">
        <v>605</v>
      </c>
      <c r="P393" s="56" t="s">
        <v>53</v>
      </c>
      <c r="Q393" s="190">
        <v>4739.086956521739</v>
      </c>
      <c r="R393" s="190">
        <v>4739.086956521739</v>
      </c>
      <c r="S393" s="57">
        <f t="shared" si="39"/>
        <v>0</v>
      </c>
      <c r="T393" s="57"/>
      <c r="U393" s="57"/>
      <c r="V393" s="58">
        <f t="shared" si="40"/>
        <v>473.90869565217395</v>
      </c>
      <c r="W393" s="59">
        <f t="shared" si="41"/>
        <v>0</v>
      </c>
    </row>
    <row r="394" spans="1:23" hidden="1" x14ac:dyDescent="0.35">
      <c r="A394" s="60"/>
      <c r="B394" s="54">
        <v>393</v>
      </c>
      <c r="C394" s="65" t="s">
        <v>822</v>
      </c>
      <c r="D394" s="12">
        <v>136474</v>
      </c>
      <c r="E394" s="210" t="s">
        <v>945</v>
      </c>
      <c r="F394" s="12">
        <v>139658</v>
      </c>
      <c r="G394" s="212">
        <v>46251</v>
      </c>
      <c r="H394" s="212" t="s">
        <v>263</v>
      </c>
      <c r="I394" s="11">
        <f t="shared" si="36"/>
        <v>4</v>
      </c>
      <c r="J394" s="212">
        <v>46258</v>
      </c>
      <c r="K394" s="11">
        <f t="shared" si="37"/>
        <v>3</v>
      </c>
      <c r="L394" s="212" t="s">
        <v>257</v>
      </c>
      <c r="M394" s="11">
        <f t="shared" si="38"/>
        <v>1</v>
      </c>
      <c r="N394" s="12" t="s">
        <v>539</v>
      </c>
      <c r="O394" s="12" t="s">
        <v>616</v>
      </c>
      <c r="P394" s="56" t="s">
        <v>53</v>
      </c>
      <c r="Q394" s="190">
        <v>139.89130434782609</v>
      </c>
      <c r="R394" s="190">
        <v>139.89130434782609</v>
      </c>
      <c r="S394" s="57">
        <f t="shared" si="39"/>
        <v>0</v>
      </c>
      <c r="T394" s="57"/>
      <c r="U394" s="57"/>
      <c r="V394" s="58">
        <f t="shared" si="40"/>
        <v>13.989130434782609</v>
      </c>
      <c r="W394" s="59">
        <f t="shared" si="41"/>
        <v>0</v>
      </c>
    </row>
    <row r="395" spans="1:23" hidden="1" x14ac:dyDescent="0.35">
      <c r="A395" s="60"/>
      <c r="B395" s="54">
        <v>394</v>
      </c>
      <c r="C395" s="65" t="s">
        <v>822</v>
      </c>
      <c r="D395" s="12">
        <v>136482</v>
      </c>
      <c r="E395" s="210" t="s">
        <v>945</v>
      </c>
      <c r="F395" s="12">
        <v>139648</v>
      </c>
      <c r="G395" s="212">
        <v>46251</v>
      </c>
      <c r="H395" s="212" t="s">
        <v>260</v>
      </c>
      <c r="I395" s="11">
        <f t="shared" si="36"/>
        <v>7</v>
      </c>
      <c r="J395" s="212">
        <v>46259</v>
      </c>
      <c r="K395" s="11">
        <f t="shared" si="37"/>
        <v>1</v>
      </c>
      <c r="L395" s="212" t="s">
        <v>260</v>
      </c>
      <c r="M395" s="11">
        <f t="shared" si="38"/>
        <v>1</v>
      </c>
      <c r="N395" s="12" t="s">
        <v>540</v>
      </c>
      <c r="O395" s="12" t="s">
        <v>643</v>
      </c>
      <c r="P395" s="56" t="s">
        <v>53</v>
      </c>
      <c r="Q395" s="190">
        <v>624.42899999999997</v>
      </c>
      <c r="R395" s="190">
        <v>624.42899999999997</v>
      </c>
      <c r="S395" s="57">
        <f t="shared" si="39"/>
        <v>0</v>
      </c>
      <c r="T395" s="57"/>
      <c r="U395" s="57"/>
      <c r="V395" s="58">
        <f t="shared" si="40"/>
        <v>62.442900000000002</v>
      </c>
      <c r="W395" s="59">
        <f t="shared" si="41"/>
        <v>0</v>
      </c>
    </row>
    <row r="396" spans="1:23" hidden="1" x14ac:dyDescent="0.35">
      <c r="A396" s="60"/>
      <c r="B396" s="54">
        <v>395</v>
      </c>
      <c r="C396" s="65" t="s">
        <v>822</v>
      </c>
      <c r="D396" s="12">
        <v>136487</v>
      </c>
      <c r="E396" s="210" t="s">
        <v>945</v>
      </c>
      <c r="F396" s="12">
        <v>139655</v>
      </c>
      <c r="G396" s="212">
        <v>46251</v>
      </c>
      <c r="H396" s="212" t="s">
        <v>257</v>
      </c>
      <c r="I396" s="11">
        <f t="shared" si="36"/>
        <v>6</v>
      </c>
      <c r="J396" s="212">
        <v>46260</v>
      </c>
      <c r="K396" s="11">
        <f t="shared" si="37"/>
        <v>3</v>
      </c>
      <c r="L396" s="212" t="s">
        <v>264</v>
      </c>
      <c r="M396" s="11">
        <f t="shared" si="38"/>
        <v>1</v>
      </c>
      <c r="N396" s="12" t="s">
        <v>929</v>
      </c>
      <c r="O396" s="12" t="s">
        <v>605</v>
      </c>
      <c r="P396" s="56" t="s">
        <v>53</v>
      </c>
      <c r="Q396" s="190">
        <v>1709.7826086956522</v>
      </c>
      <c r="R396" s="190">
        <v>1709.7826086956522</v>
      </c>
      <c r="S396" s="57">
        <f t="shared" si="39"/>
        <v>0</v>
      </c>
      <c r="T396" s="57"/>
      <c r="U396" s="57"/>
      <c r="V396" s="58">
        <f t="shared" si="40"/>
        <v>170.97826086956525</v>
      </c>
      <c r="W396" s="59">
        <f t="shared" si="41"/>
        <v>0</v>
      </c>
    </row>
    <row r="397" spans="1:23" x14ac:dyDescent="0.35">
      <c r="A397" s="60"/>
      <c r="B397" s="54">
        <v>396</v>
      </c>
      <c r="C397" s="65" t="s">
        <v>822</v>
      </c>
      <c r="D397" s="12">
        <v>136410</v>
      </c>
      <c r="E397" s="210" t="s">
        <v>945</v>
      </c>
      <c r="F397" s="12">
        <v>139671</v>
      </c>
      <c r="G397" s="212">
        <v>46252</v>
      </c>
      <c r="H397" s="212" t="s">
        <v>261</v>
      </c>
      <c r="I397" s="11">
        <f t="shared" si="36"/>
        <v>2</v>
      </c>
      <c r="J397" s="212">
        <v>46253</v>
      </c>
      <c r="K397" s="11">
        <f t="shared" si="37"/>
        <v>1</v>
      </c>
      <c r="L397" s="212" t="s">
        <v>261</v>
      </c>
      <c r="M397" s="11">
        <f t="shared" si="38"/>
        <v>1</v>
      </c>
      <c r="N397" s="12" t="s">
        <v>541</v>
      </c>
      <c r="O397" s="12" t="s">
        <v>687</v>
      </c>
      <c r="P397" s="56" t="s">
        <v>53</v>
      </c>
      <c r="Q397" s="190">
        <v>944384.00732910004</v>
      </c>
      <c r="R397" s="190">
        <v>609793.81994700001</v>
      </c>
      <c r="S397" s="57">
        <f t="shared" si="39"/>
        <v>334590.18738210003</v>
      </c>
      <c r="T397" s="57"/>
      <c r="U397" s="57"/>
      <c r="V397" s="58">
        <f t="shared" si="40"/>
        <v>94438.400732910013</v>
      </c>
      <c r="W397" s="59">
        <f t="shared" si="41"/>
        <v>0.35429463521770721</v>
      </c>
    </row>
    <row r="398" spans="1:23" hidden="1" x14ac:dyDescent="0.35">
      <c r="A398" s="60"/>
      <c r="B398" s="54">
        <v>397</v>
      </c>
      <c r="C398" s="65" t="s">
        <v>822</v>
      </c>
      <c r="D398" s="12">
        <v>136374</v>
      </c>
      <c r="E398" s="210" t="s">
        <v>945</v>
      </c>
      <c r="F398" s="12">
        <v>139664</v>
      </c>
      <c r="G398" s="212">
        <v>46252</v>
      </c>
      <c r="H398" s="212" t="s">
        <v>253</v>
      </c>
      <c r="I398" s="11">
        <f t="shared" si="36"/>
        <v>1</v>
      </c>
      <c r="J398" s="212">
        <v>46252</v>
      </c>
      <c r="K398" s="11">
        <f t="shared" si="37"/>
        <v>1</v>
      </c>
      <c r="L398" s="212" t="s">
        <v>253</v>
      </c>
      <c r="M398" s="11">
        <f t="shared" si="38"/>
        <v>1</v>
      </c>
      <c r="N398" s="12" t="s">
        <v>930</v>
      </c>
      <c r="O398" s="12" t="s">
        <v>783</v>
      </c>
      <c r="P398" s="56" t="s">
        <v>53</v>
      </c>
      <c r="Q398" s="190">
        <v>4468.521739130435</v>
      </c>
      <c r="R398" s="190">
        <v>4468.521739130435</v>
      </c>
      <c r="S398" s="57">
        <f t="shared" si="39"/>
        <v>0</v>
      </c>
      <c r="T398" s="57"/>
      <c r="U398" s="57"/>
      <c r="V398" s="58">
        <f t="shared" si="40"/>
        <v>446.85217391304354</v>
      </c>
      <c r="W398" s="59">
        <f t="shared" si="41"/>
        <v>0</v>
      </c>
    </row>
    <row r="399" spans="1:23" hidden="1" x14ac:dyDescent="0.35">
      <c r="A399" s="60"/>
      <c r="B399" s="54">
        <v>398</v>
      </c>
      <c r="C399" s="65" t="s">
        <v>822</v>
      </c>
      <c r="D399" s="12">
        <v>136376</v>
      </c>
      <c r="E399" s="210" t="s">
        <v>945</v>
      </c>
      <c r="F399" s="12">
        <v>139663</v>
      </c>
      <c r="G399" s="212">
        <v>46252</v>
      </c>
      <c r="H399" s="212" t="s">
        <v>253</v>
      </c>
      <c r="I399" s="11">
        <f t="shared" si="36"/>
        <v>1</v>
      </c>
      <c r="J399" s="212">
        <v>46252</v>
      </c>
      <c r="K399" s="11">
        <f t="shared" si="37"/>
        <v>1</v>
      </c>
      <c r="L399" s="212" t="s">
        <v>253</v>
      </c>
      <c r="M399" s="11">
        <f t="shared" si="38"/>
        <v>1</v>
      </c>
      <c r="N399" s="12" t="s">
        <v>542</v>
      </c>
      <c r="O399" s="12" t="s">
        <v>784</v>
      </c>
      <c r="P399" s="56" t="s">
        <v>53</v>
      </c>
      <c r="Q399" s="190">
        <v>52173.913043478264</v>
      </c>
      <c r="R399" s="190">
        <v>52173.913043478264</v>
      </c>
      <c r="S399" s="57">
        <f t="shared" si="39"/>
        <v>0</v>
      </c>
      <c r="T399" s="57"/>
      <c r="U399" s="57"/>
      <c r="V399" s="58">
        <f t="shared" si="40"/>
        <v>5217.3913043478269</v>
      </c>
      <c r="W399" s="59">
        <f t="shared" si="41"/>
        <v>0</v>
      </c>
    </row>
    <row r="400" spans="1:23" hidden="1" x14ac:dyDescent="0.35">
      <c r="A400" s="60"/>
      <c r="B400" s="54">
        <v>399</v>
      </c>
      <c r="C400" s="65" t="s">
        <v>822</v>
      </c>
      <c r="D400" s="12">
        <v>136388</v>
      </c>
      <c r="E400" s="209" t="s">
        <v>946</v>
      </c>
      <c r="F400" s="12">
        <v>139672</v>
      </c>
      <c r="G400" s="212">
        <v>46252</v>
      </c>
      <c r="H400" s="212" t="s">
        <v>261</v>
      </c>
      <c r="I400" s="11">
        <f t="shared" si="36"/>
        <v>2</v>
      </c>
      <c r="J400" s="212">
        <v>46253</v>
      </c>
      <c r="K400" s="11">
        <f t="shared" si="37"/>
        <v>1</v>
      </c>
      <c r="L400" s="212" t="s">
        <v>261</v>
      </c>
      <c r="M400" s="11">
        <f t="shared" si="38"/>
        <v>1</v>
      </c>
      <c r="N400" s="12" t="s">
        <v>543</v>
      </c>
      <c r="O400" s="12" t="s">
        <v>672</v>
      </c>
      <c r="P400" s="56" t="s">
        <v>53</v>
      </c>
      <c r="Q400" s="190">
        <v>4.68</v>
      </c>
      <c r="R400" s="190">
        <v>4.68</v>
      </c>
      <c r="S400" s="57">
        <f t="shared" si="39"/>
        <v>0</v>
      </c>
      <c r="T400" s="57"/>
      <c r="U400" s="57"/>
      <c r="V400" s="58">
        <f t="shared" si="40"/>
        <v>0.46799999999999997</v>
      </c>
      <c r="W400" s="59">
        <f t="shared" si="41"/>
        <v>0</v>
      </c>
    </row>
    <row r="401" spans="1:23" hidden="1" x14ac:dyDescent="0.35">
      <c r="A401" s="60"/>
      <c r="B401" s="54">
        <v>400</v>
      </c>
      <c r="C401" s="65" t="s">
        <v>822</v>
      </c>
      <c r="D401" s="12">
        <v>136405</v>
      </c>
      <c r="E401" s="210" t="s">
        <v>945</v>
      </c>
      <c r="F401" s="12">
        <v>139668</v>
      </c>
      <c r="G401" s="212">
        <v>46252</v>
      </c>
      <c r="H401" s="212" t="s">
        <v>261</v>
      </c>
      <c r="I401" s="11">
        <f t="shared" si="36"/>
        <v>2</v>
      </c>
      <c r="J401" s="212">
        <v>46253</v>
      </c>
      <c r="K401" s="11">
        <f t="shared" si="37"/>
        <v>1</v>
      </c>
      <c r="L401" s="212" t="s">
        <v>261</v>
      </c>
      <c r="M401" s="11">
        <f t="shared" si="38"/>
        <v>1</v>
      </c>
      <c r="N401" s="12" t="s">
        <v>544</v>
      </c>
      <c r="O401" s="12" t="s">
        <v>643</v>
      </c>
      <c r="P401" s="56" t="s">
        <v>53</v>
      </c>
      <c r="Q401" s="190">
        <v>2034</v>
      </c>
      <c r="R401" s="190">
        <v>2034</v>
      </c>
      <c r="S401" s="57">
        <f t="shared" si="39"/>
        <v>0</v>
      </c>
      <c r="T401" s="57"/>
      <c r="U401" s="57"/>
      <c r="V401" s="58">
        <f t="shared" si="40"/>
        <v>203.4</v>
      </c>
      <c r="W401" s="59">
        <f t="shared" si="41"/>
        <v>0</v>
      </c>
    </row>
    <row r="402" spans="1:23" hidden="1" x14ac:dyDescent="0.35">
      <c r="A402" s="60"/>
      <c r="B402" s="54">
        <v>401</v>
      </c>
      <c r="C402" s="65" t="s">
        <v>822</v>
      </c>
      <c r="D402" s="12">
        <v>136458</v>
      </c>
      <c r="E402" s="210" t="s">
        <v>945</v>
      </c>
      <c r="F402" s="12">
        <v>139675</v>
      </c>
      <c r="G402" s="212">
        <v>46252</v>
      </c>
      <c r="H402" s="212" t="s">
        <v>263</v>
      </c>
      <c r="I402" s="11">
        <f t="shared" si="36"/>
        <v>3</v>
      </c>
      <c r="J402" s="212">
        <v>46258</v>
      </c>
      <c r="K402" s="11">
        <f t="shared" si="37"/>
        <v>3</v>
      </c>
      <c r="L402" s="212" t="s">
        <v>257</v>
      </c>
      <c r="M402" s="11">
        <f t="shared" si="38"/>
        <v>1</v>
      </c>
      <c r="N402" s="12" t="s">
        <v>545</v>
      </c>
      <c r="O402" s="12" t="s">
        <v>785</v>
      </c>
      <c r="P402" s="56" t="s">
        <v>53</v>
      </c>
      <c r="Q402" s="190">
        <v>434.78260869565219</v>
      </c>
      <c r="R402" s="190">
        <v>434.78260869565219</v>
      </c>
      <c r="S402" s="57">
        <f t="shared" si="39"/>
        <v>0</v>
      </c>
      <c r="T402" s="57"/>
      <c r="U402" s="57"/>
      <c r="V402" s="58">
        <f t="shared" si="40"/>
        <v>43.478260869565219</v>
      </c>
      <c r="W402" s="59">
        <f t="shared" si="41"/>
        <v>0</v>
      </c>
    </row>
    <row r="403" spans="1:23" hidden="1" x14ac:dyDescent="0.35">
      <c r="A403" s="60"/>
      <c r="B403" s="54">
        <v>402</v>
      </c>
      <c r="C403" s="65" t="s">
        <v>822</v>
      </c>
      <c r="D403" s="12">
        <v>136459</v>
      </c>
      <c r="E403" s="210" t="s">
        <v>945</v>
      </c>
      <c r="F403" s="12">
        <v>139670</v>
      </c>
      <c r="G403" s="212">
        <v>46252</v>
      </c>
      <c r="H403" s="212" t="s">
        <v>253</v>
      </c>
      <c r="I403" s="11">
        <f t="shared" si="36"/>
        <v>1</v>
      </c>
      <c r="J403" s="212">
        <v>46258</v>
      </c>
      <c r="K403" s="11">
        <f t="shared" si="37"/>
        <v>5</v>
      </c>
      <c r="L403" s="212" t="s">
        <v>257</v>
      </c>
      <c r="M403" s="11">
        <f t="shared" si="38"/>
        <v>1</v>
      </c>
      <c r="N403" s="12" t="s">
        <v>546</v>
      </c>
      <c r="O403" s="12" t="s">
        <v>645</v>
      </c>
      <c r="P403" s="56" t="s">
        <v>53</v>
      </c>
      <c r="Q403" s="190">
        <v>282.60869565217394</v>
      </c>
      <c r="R403" s="190">
        <v>282.60869565217394</v>
      </c>
      <c r="S403" s="57">
        <f t="shared" si="39"/>
        <v>0</v>
      </c>
      <c r="T403" s="57"/>
      <c r="U403" s="57"/>
      <c r="V403" s="58">
        <f t="shared" si="40"/>
        <v>28.260869565217394</v>
      </c>
      <c r="W403" s="59">
        <f t="shared" si="41"/>
        <v>0</v>
      </c>
    </row>
    <row r="404" spans="1:23" hidden="1" x14ac:dyDescent="0.35">
      <c r="A404" s="60"/>
      <c r="B404" s="54">
        <v>403</v>
      </c>
      <c r="C404" s="65" t="s">
        <v>822</v>
      </c>
      <c r="D404" s="12">
        <v>136493</v>
      </c>
      <c r="E404" s="209" t="s">
        <v>946</v>
      </c>
      <c r="F404" s="12">
        <v>139665</v>
      </c>
      <c r="G404" s="212">
        <v>46254</v>
      </c>
      <c r="H404" s="212" t="s">
        <v>257</v>
      </c>
      <c r="I404" s="11">
        <f t="shared" si="36"/>
        <v>3</v>
      </c>
      <c r="J404" s="212">
        <v>46260</v>
      </c>
      <c r="K404" s="11">
        <f t="shared" si="37"/>
        <v>3</v>
      </c>
      <c r="L404" s="212" t="s">
        <v>264</v>
      </c>
      <c r="M404" s="11">
        <f t="shared" si="38"/>
        <v>1</v>
      </c>
      <c r="N404" s="12" t="s">
        <v>931</v>
      </c>
      <c r="O404" s="12" t="s">
        <v>612</v>
      </c>
      <c r="P404" s="56" t="s">
        <v>53</v>
      </c>
      <c r="Q404" s="190">
        <v>7159.4547000000002</v>
      </c>
      <c r="R404" s="190">
        <v>7159.4547000000002</v>
      </c>
      <c r="S404" s="57">
        <f t="shared" si="39"/>
        <v>0</v>
      </c>
      <c r="T404" s="57"/>
      <c r="U404" s="57"/>
      <c r="V404" s="58">
        <f t="shared" si="40"/>
        <v>715.94547000000011</v>
      </c>
      <c r="W404" s="59">
        <f t="shared" si="41"/>
        <v>0</v>
      </c>
    </row>
    <row r="405" spans="1:23" hidden="1" x14ac:dyDescent="0.35">
      <c r="A405" s="60"/>
      <c r="B405" s="54">
        <v>404</v>
      </c>
      <c r="C405" s="65" t="s">
        <v>822</v>
      </c>
      <c r="D405" s="12">
        <v>136494</v>
      </c>
      <c r="E405" s="209" t="s">
        <v>946</v>
      </c>
      <c r="F405" s="12">
        <v>139667</v>
      </c>
      <c r="G405" s="212">
        <v>46254</v>
      </c>
      <c r="H405" s="212" t="s">
        <v>257</v>
      </c>
      <c r="I405" s="11">
        <f t="shared" si="36"/>
        <v>3</v>
      </c>
      <c r="J405" s="212">
        <v>46260</v>
      </c>
      <c r="K405" s="11">
        <f t="shared" si="37"/>
        <v>3</v>
      </c>
      <c r="L405" s="212" t="s">
        <v>264</v>
      </c>
      <c r="M405" s="11">
        <f t="shared" si="38"/>
        <v>1</v>
      </c>
      <c r="N405" s="12" t="s">
        <v>932</v>
      </c>
      <c r="O405" s="12" t="s">
        <v>605</v>
      </c>
      <c r="P405" s="56" t="s">
        <v>53</v>
      </c>
      <c r="Q405" s="190">
        <v>4143.6757246369571</v>
      </c>
      <c r="R405" s="190">
        <v>4143.6757246369571</v>
      </c>
      <c r="S405" s="57">
        <f t="shared" si="39"/>
        <v>0</v>
      </c>
      <c r="T405" s="57"/>
      <c r="U405" s="57"/>
      <c r="V405" s="58">
        <f t="shared" si="40"/>
        <v>414.36757246369575</v>
      </c>
      <c r="W405" s="59">
        <f t="shared" si="41"/>
        <v>0</v>
      </c>
    </row>
    <row r="406" spans="1:23" hidden="1" x14ac:dyDescent="0.35">
      <c r="A406" s="60"/>
      <c r="B406" s="54">
        <v>405</v>
      </c>
      <c r="C406" s="65" t="s">
        <v>822</v>
      </c>
      <c r="D406" s="12">
        <v>136495</v>
      </c>
      <c r="E406" s="209" t="s">
        <v>946</v>
      </c>
      <c r="F406" s="12">
        <v>139666</v>
      </c>
      <c r="G406" s="212">
        <v>46254</v>
      </c>
      <c r="H406" s="212" t="s">
        <v>257</v>
      </c>
      <c r="I406" s="11">
        <f t="shared" si="36"/>
        <v>3</v>
      </c>
      <c r="J406" s="212">
        <v>46260</v>
      </c>
      <c r="K406" s="11">
        <f t="shared" si="37"/>
        <v>3</v>
      </c>
      <c r="L406" s="212" t="s">
        <v>264</v>
      </c>
      <c r="M406" s="11">
        <f t="shared" si="38"/>
        <v>1</v>
      </c>
      <c r="N406" s="12" t="s">
        <v>933</v>
      </c>
      <c r="O406" s="12" t="s">
        <v>605</v>
      </c>
      <c r="P406" s="56" t="s">
        <v>53</v>
      </c>
      <c r="Q406" s="190">
        <v>29942.849637680436</v>
      </c>
      <c r="R406" s="190">
        <v>29942.849637680436</v>
      </c>
      <c r="S406" s="57">
        <f t="shared" si="39"/>
        <v>0</v>
      </c>
      <c r="T406" s="57"/>
      <c r="U406" s="57"/>
      <c r="V406" s="58">
        <f t="shared" si="40"/>
        <v>2994.2849637680438</v>
      </c>
      <c r="W406" s="59">
        <f t="shared" si="41"/>
        <v>0</v>
      </c>
    </row>
    <row r="407" spans="1:23" hidden="1" x14ac:dyDescent="0.35">
      <c r="A407" s="60"/>
      <c r="B407" s="54">
        <v>406</v>
      </c>
      <c r="C407" s="65" t="s">
        <v>822</v>
      </c>
      <c r="D407" s="12">
        <v>136496</v>
      </c>
      <c r="E407" s="210" t="s">
        <v>945</v>
      </c>
      <c r="F407" s="12">
        <v>139674</v>
      </c>
      <c r="G407" s="212">
        <v>46254</v>
      </c>
      <c r="H407" s="212" t="s">
        <v>257</v>
      </c>
      <c r="I407" s="11">
        <f t="shared" si="36"/>
        <v>3</v>
      </c>
      <c r="J407" s="212">
        <v>46260</v>
      </c>
      <c r="K407" s="11">
        <f t="shared" si="37"/>
        <v>3</v>
      </c>
      <c r="L407" s="212" t="s">
        <v>264</v>
      </c>
      <c r="M407" s="11">
        <f t="shared" si="38"/>
        <v>1</v>
      </c>
      <c r="N407" s="12" t="s">
        <v>934</v>
      </c>
      <c r="O407" s="12" t="s">
        <v>672</v>
      </c>
      <c r="P407" s="56" t="s">
        <v>53</v>
      </c>
      <c r="Q407" s="190">
        <v>4.68</v>
      </c>
      <c r="R407" s="190">
        <v>4.68</v>
      </c>
      <c r="S407" s="57">
        <f t="shared" si="39"/>
        <v>0</v>
      </c>
      <c r="T407" s="57"/>
      <c r="U407" s="57"/>
      <c r="V407" s="58">
        <f t="shared" si="40"/>
        <v>0.46799999999999997</v>
      </c>
      <c r="W407" s="59">
        <f t="shared" si="41"/>
        <v>0</v>
      </c>
    </row>
    <row r="408" spans="1:23" hidden="1" x14ac:dyDescent="0.35">
      <c r="A408" s="60"/>
      <c r="B408" s="54">
        <v>407</v>
      </c>
      <c r="C408" s="65" t="s">
        <v>822</v>
      </c>
      <c r="D408" s="12">
        <v>136415</v>
      </c>
      <c r="E408" s="210" t="s">
        <v>945</v>
      </c>
      <c r="F408" s="12">
        <v>139683</v>
      </c>
      <c r="G408" s="212">
        <v>46253</v>
      </c>
      <c r="H408" s="212" t="s">
        <v>263</v>
      </c>
      <c r="I408" s="11">
        <f t="shared" si="36"/>
        <v>2</v>
      </c>
      <c r="J408" s="212">
        <v>46254</v>
      </c>
      <c r="K408" s="11">
        <f t="shared" si="37"/>
        <v>1</v>
      </c>
      <c r="L408" s="212" t="s">
        <v>263</v>
      </c>
      <c r="M408" s="11">
        <f t="shared" si="38"/>
        <v>1</v>
      </c>
      <c r="N408" s="12" t="s">
        <v>547</v>
      </c>
      <c r="O408" s="12" t="s">
        <v>786</v>
      </c>
      <c r="P408" s="56" t="s">
        <v>53</v>
      </c>
      <c r="Q408" s="190">
        <v>69.565217391304344</v>
      </c>
      <c r="R408" s="190">
        <v>69.565217391304344</v>
      </c>
      <c r="S408" s="57">
        <f t="shared" si="39"/>
        <v>0</v>
      </c>
      <c r="T408" s="57"/>
      <c r="U408" s="57"/>
      <c r="V408" s="58">
        <f t="shared" si="40"/>
        <v>6.9565217391304346</v>
      </c>
      <c r="W408" s="59">
        <f t="shared" si="41"/>
        <v>0</v>
      </c>
    </row>
    <row r="409" spans="1:23" hidden="1" x14ac:dyDescent="0.35">
      <c r="A409" s="60"/>
      <c r="B409" s="54">
        <v>408</v>
      </c>
      <c r="C409" s="65" t="s">
        <v>822</v>
      </c>
      <c r="D409" s="12">
        <v>136417</v>
      </c>
      <c r="E409" s="210" t="s">
        <v>945</v>
      </c>
      <c r="F409" s="12">
        <v>139685</v>
      </c>
      <c r="G409" s="212">
        <v>46253</v>
      </c>
      <c r="H409" s="212" t="s">
        <v>263</v>
      </c>
      <c r="I409" s="11">
        <f t="shared" si="36"/>
        <v>2</v>
      </c>
      <c r="J409" s="212">
        <v>46254</v>
      </c>
      <c r="K409" s="11">
        <f t="shared" si="37"/>
        <v>1</v>
      </c>
      <c r="L409" s="212" t="s">
        <v>263</v>
      </c>
      <c r="M409" s="11">
        <f t="shared" si="38"/>
        <v>1</v>
      </c>
      <c r="N409" s="12" t="s">
        <v>548</v>
      </c>
      <c r="O409" s="12" t="s">
        <v>787</v>
      </c>
      <c r="P409" s="56" t="s">
        <v>53</v>
      </c>
      <c r="Q409" s="190">
        <v>2499.6739130434785</v>
      </c>
      <c r="R409" s="190">
        <v>2499.6739130434785</v>
      </c>
      <c r="S409" s="57">
        <f t="shared" si="39"/>
        <v>0</v>
      </c>
      <c r="T409" s="57"/>
      <c r="U409" s="57"/>
      <c r="V409" s="58">
        <f t="shared" si="40"/>
        <v>249.96739130434787</v>
      </c>
      <c r="W409" s="59">
        <f t="shared" si="41"/>
        <v>0</v>
      </c>
    </row>
    <row r="410" spans="1:23" hidden="1" x14ac:dyDescent="0.35">
      <c r="A410" s="60"/>
      <c r="B410" s="54">
        <v>409</v>
      </c>
      <c r="C410" s="65" t="s">
        <v>822</v>
      </c>
      <c r="D410" s="12">
        <v>136420</v>
      </c>
      <c r="E410" s="210" t="s">
        <v>945</v>
      </c>
      <c r="F410" s="12">
        <v>139682</v>
      </c>
      <c r="G410" s="212">
        <v>46253</v>
      </c>
      <c r="H410" s="212" t="s">
        <v>263</v>
      </c>
      <c r="I410" s="11">
        <f t="shared" si="36"/>
        <v>2</v>
      </c>
      <c r="J410" s="212">
        <v>46254</v>
      </c>
      <c r="K410" s="11">
        <f t="shared" si="37"/>
        <v>1</v>
      </c>
      <c r="L410" s="212" t="s">
        <v>263</v>
      </c>
      <c r="M410" s="11">
        <f t="shared" si="38"/>
        <v>1</v>
      </c>
      <c r="N410" s="12" t="s">
        <v>549</v>
      </c>
      <c r="O410" s="12" t="s">
        <v>622</v>
      </c>
      <c r="P410" s="56" t="s">
        <v>53</v>
      </c>
      <c r="Q410" s="190">
        <v>1292.391304347826</v>
      </c>
      <c r="R410" s="190">
        <v>1292.391304347826</v>
      </c>
      <c r="S410" s="57">
        <f t="shared" si="39"/>
        <v>0</v>
      </c>
      <c r="T410" s="57"/>
      <c r="U410" s="57"/>
      <c r="V410" s="58">
        <f t="shared" si="40"/>
        <v>129.2391304347826</v>
      </c>
      <c r="W410" s="59">
        <f t="shared" si="41"/>
        <v>0</v>
      </c>
    </row>
    <row r="411" spans="1:23" hidden="1" x14ac:dyDescent="0.35">
      <c r="A411" s="60"/>
      <c r="B411" s="54">
        <v>410</v>
      </c>
      <c r="C411" s="65" t="s">
        <v>822</v>
      </c>
      <c r="D411" s="12">
        <v>136421</v>
      </c>
      <c r="E411" s="210" t="s">
        <v>945</v>
      </c>
      <c r="F411" s="12">
        <v>139698</v>
      </c>
      <c r="G411" s="212">
        <v>46253</v>
      </c>
      <c r="H411" s="212" t="s">
        <v>263</v>
      </c>
      <c r="I411" s="11">
        <f t="shared" si="36"/>
        <v>2</v>
      </c>
      <c r="J411" s="212">
        <v>46254</v>
      </c>
      <c r="K411" s="11">
        <f t="shared" si="37"/>
        <v>1</v>
      </c>
      <c r="L411" s="212" t="s">
        <v>263</v>
      </c>
      <c r="M411" s="11">
        <f t="shared" si="38"/>
        <v>1</v>
      </c>
      <c r="N411" s="12" t="s">
        <v>550</v>
      </c>
      <c r="O411" s="12" t="s">
        <v>605</v>
      </c>
      <c r="P411" s="56" t="s">
        <v>53</v>
      </c>
      <c r="Q411" s="190">
        <v>113.04347826086956</v>
      </c>
      <c r="R411" s="190">
        <v>113.04347826086956</v>
      </c>
      <c r="S411" s="57">
        <f t="shared" si="39"/>
        <v>0</v>
      </c>
      <c r="T411" s="57"/>
      <c r="U411" s="57"/>
      <c r="V411" s="58">
        <f t="shared" si="40"/>
        <v>11.304347826086957</v>
      </c>
      <c r="W411" s="59">
        <f t="shared" si="41"/>
        <v>0</v>
      </c>
    </row>
    <row r="412" spans="1:23" hidden="1" x14ac:dyDescent="0.35">
      <c r="A412" s="60"/>
      <c r="B412" s="54">
        <v>411</v>
      </c>
      <c r="C412" s="65" t="s">
        <v>822</v>
      </c>
      <c r="D412" s="12">
        <v>136425</v>
      </c>
      <c r="E412" s="210" t="s">
        <v>945</v>
      </c>
      <c r="F412" s="12">
        <v>139680</v>
      </c>
      <c r="G412" s="212">
        <v>46253</v>
      </c>
      <c r="H412" s="212" t="s">
        <v>263</v>
      </c>
      <c r="I412" s="11">
        <f t="shared" si="36"/>
        <v>2</v>
      </c>
      <c r="J412" s="212">
        <v>46254</v>
      </c>
      <c r="K412" s="11">
        <f t="shared" si="37"/>
        <v>1</v>
      </c>
      <c r="L412" s="212" t="s">
        <v>263</v>
      </c>
      <c r="M412" s="11">
        <f t="shared" si="38"/>
        <v>1</v>
      </c>
      <c r="N412" s="12" t="s">
        <v>551</v>
      </c>
      <c r="O412" s="12" t="s">
        <v>788</v>
      </c>
      <c r="P412" s="56" t="s">
        <v>53</v>
      </c>
      <c r="Q412" s="190">
        <v>2217.391304347826</v>
      </c>
      <c r="R412" s="190">
        <v>2217.391304347826</v>
      </c>
      <c r="S412" s="57">
        <f t="shared" si="39"/>
        <v>0</v>
      </c>
      <c r="T412" s="57"/>
      <c r="U412" s="57"/>
      <c r="V412" s="58">
        <f t="shared" si="40"/>
        <v>221.73913043478262</v>
      </c>
      <c r="W412" s="59">
        <f t="shared" si="41"/>
        <v>0</v>
      </c>
    </row>
    <row r="413" spans="1:23" hidden="1" x14ac:dyDescent="0.35">
      <c r="A413" s="60"/>
      <c r="B413" s="54">
        <v>412</v>
      </c>
      <c r="C413" s="65" t="s">
        <v>822</v>
      </c>
      <c r="D413" s="12">
        <v>136428</v>
      </c>
      <c r="E413" s="210" t="s">
        <v>945</v>
      </c>
      <c r="F413" s="12">
        <v>139684</v>
      </c>
      <c r="G413" s="212">
        <v>46253</v>
      </c>
      <c r="H413" s="212" t="s">
        <v>263</v>
      </c>
      <c r="I413" s="11">
        <f t="shared" si="36"/>
        <v>2</v>
      </c>
      <c r="J413" s="212">
        <v>46254</v>
      </c>
      <c r="K413" s="11">
        <f t="shared" si="37"/>
        <v>1</v>
      </c>
      <c r="L413" s="212" t="s">
        <v>263</v>
      </c>
      <c r="M413" s="11">
        <f t="shared" si="38"/>
        <v>1</v>
      </c>
      <c r="N413" s="12" t="s">
        <v>935</v>
      </c>
      <c r="O413" s="12" t="s">
        <v>789</v>
      </c>
      <c r="P413" s="56" t="s">
        <v>53</v>
      </c>
      <c r="Q413" s="190">
        <v>1635.3695652173913</v>
      </c>
      <c r="R413" s="190">
        <v>1635.3695652173913</v>
      </c>
      <c r="S413" s="57">
        <f t="shared" si="39"/>
        <v>0</v>
      </c>
      <c r="T413" s="57"/>
      <c r="U413" s="57"/>
      <c r="V413" s="58">
        <f t="shared" si="40"/>
        <v>163.53695652173914</v>
      </c>
      <c r="W413" s="59">
        <f t="shared" si="41"/>
        <v>0</v>
      </c>
    </row>
    <row r="414" spans="1:23" hidden="1" x14ac:dyDescent="0.35">
      <c r="A414" s="60"/>
      <c r="B414" s="54">
        <v>413</v>
      </c>
      <c r="C414" s="65" t="s">
        <v>822</v>
      </c>
      <c r="D414" s="12">
        <v>136450</v>
      </c>
      <c r="E414" s="210" t="s">
        <v>945</v>
      </c>
      <c r="F414" s="12">
        <v>139700</v>
      </c>
      <c r="G414" s="212">
        <v>46253</v>
      </c>
      <c r="H414" s="212" t="s">
        <v>262</v>
      </c>
      <c r="I414" s="11">
        <f t="shared" si="36"/>
        <v>3</v>
      </c>
      <c r="J414" s="212">
        <v>46255</v>
      </c>
      <c r="K414" s="11">
        <f t="shared" si="37"/>
        <v>1</v>
      </c>
      <c r="L414" s="212" t="s">
        <v>262</v>
      </c>
      <c r="M414" s="11">
        <f t="shared" si="38"/>
        <v>1</v>
      </c>
      <c r="N414" s="12" t="s">
        <v>552</v>
      </c>
      <c r="O414" s="12" t="s">
        <v>691</v>
      </c>
      <c r="P414" s="56" t="s">
        <v>53</v>
      </c>
      <c r="Q414" s="190">
        <v>1518</v>
      </c>
      <c r="R414" s="190">
        <v>1518</v>
      </c>
      <c r="S414" s="57">
        <f t="shared" si="39"/>
        <v>0</v>
      </c>
      <c r="T414" s="57"/>
      <c r="U414" s="57"/>
      <c r="V414" s="58">
        <f t="shared" si="40"/>
        <v>151.80000000000001</v>
      </c>
      <c r="W414" s="59">
        <f t="shared" si="41"/>
        <v>0</v>
      </c>
    </row>
    <row r="415" spans="1:23" hidden="1" x14ac:dyDescent="0.35">
      <c r="A415" s="60"/>
      <c r="B415" s="54">
        <v>414</v>
      </c>
      <c r="C415" s="65" t="s">
        <v>822</v>
      </c>
      <c r="D415" s="12">
        <v>136452</v>
      </c>
      <c r="E415" s="210" t="s">
        <v>945</v>
      </c>
      <c r="F415" s="12">
        <v>139697</v>
      </c>
      <c r="G415" s="212">
        <v>46253</v>
      </c>
      <c r="H415" s="212" t="s">
        <v>262</v>
      </c>
      <c r="I415" s="11">
        <f t="shared" si="36"/>
        <v>3</v>
      </c>
      <c r="J415" s="212">
        <v>46255</v>
      </c>
      <c r="K415" s="11">
        <f t="shared" si="37"/>
        <v>1</v>
      </c>
      <c r="L415" s="212" t="s">
        <v>262</v>
      </c>
      <c r="M415" s="11">
        <f t="shared" si="38"/>
        <v>1</v>
      </c>
      <c r="N415" s="12" t="s">
        <v>553</v>
      </c>
      <c r="O415" s="12" t="s">
        <v>790</v>
      </c>
      <c r="P415" s="56" t="s">
        <v>53</v>
      </c>
      <c r="Q415" s="190">
        <v>367.39130434782606</v>
      </c>
      <c r="R415" s="190">
        <v>367.39130434782606</v>
      </c>
      <c r="S415" s="57">
        <f t="shared" si="39"/>
        <v>0</v>
      </c>
      <c r="T415" s="57"/>
      <c r="U415" s="57"/>
      <c r="V415" s="58">
        <f t="shared" si="40"/>
        <v>36.739130434782609</v>
      </c>
      <c r="W415" s="59">
        <f t="shared" si="41"/>
        <v>0</v>
      </c>
    </row>
    <row r="416" spans="1:23" hidden="1" x14ac:dyDescent="0.35">
      <c r="A416" s="60"/>
      <c r="B416" s="54">
        <v>415</v>
      </c>
      <c r="C416" s="65" t="s">
        <v>822</v>
      </c>
      <c r="D416" s="12">
        <v>136455</v>
      </c>
      <c r="E416" s="210" t="s">
        <v>945</v>
      </c>
      <c r="F416" s="12">
        <v>139681</v>
      </c>
      <c r="G416" s="212">
        <v>46253</v>
      </c>
      <c r="H416" s="212" t="s">
        <v>263</v>
      </c>
      <c r="I416" s="11">
        <f t="shared" si="36"/>
        <v>2</v>
      </c>
      <c r="J416" s="212">
        <v>46258</v>
      </c>
      <c r="K416" s="11">
        <f t="shared" si="37"/>
        <v>3</v>
      </c>
      <c r="L416" s="212" t="s">
        <v>257</v>
      </c>
      <c r="M416" s="11">
        <f t="shared" si="38"/>
        <v>1</v>
      </c>
      <c r="N416" s="12" t="s">
        <v>554</v>
      </c>
      <c r="O416" s="12" t="s">
        <v>622</v>
      </c>
      <c r="P416" s="56" t="s">
        <v>53</v>
      </c>
      <c r="Q416" s="190">
        <v>108.69565217391305</v>
      </c>
      <c r="R416" s="190">
        <v>108.69565217391305</v>
      </c>
      <c r="S416" s="57">
        <f t="shared" si="39"/>
        <v>0</v>
      </c>
      <c r="T416" s="57"/>
      <c r="U416" s="57"/>
      <c r="V416" s="58">
        <f t="shared" si="40"/>
        <v>10.869565217391305</v>
      </c>
      <c r="W416" s="59">
        <f t="shared" si="41"/>
        <v>0</v>
      </c>
    </row>
    <row r="417" spans="1:23" hidden="1" x14ac:dyDescent="0.35">
      <c r="A417" s="60"/>
      <c r="B417" s="54">
        <v>416</v>
      </c>
      <c r="C417" s="65" t="s">
        <v>822</v>
      </c>
      <c r="D417" s="12">
        <v>136456</v>
      </c>
      <c r="E417" s="210" t="s">
        <v>945</v>
      </c>
      <c r="F417" s="12">
        <v>139679</v>
      </c>
      <c r="G417" s="212">
        <v>46253</v>
      </c>
      <c r="H417" s="212" t="s">
        <v>263</v>
      </c>
      <c r="I417" s="11">
        <f t="shared" si="36"/>
        <v>2</v>
      </c>
      <c r="J417" s="212">
        <v>46258</v>
      </c>
      <c r="K417" s="11">
        <f t="shared" si="37"/>
        <v>3</v>
      </c>
      <c r="L417" s="212" t="s">
        <v>257</v>
      </c>
      <c r="M417" s="11">
        <f t="shared" si="38"/>
        <v>1</v>
      </c>
      <c r="N417" s="12" t="s">
        <v>555</v>
      </c>
      <c r="O417" s="12" t="s">
        <v>791</v>
      </c>
      <c r="P417" s="56" t="s">
        <v>53</v>
      </c>
      <c r="Q417" s="190">
        <v>5434.782608695652</v>
      </c>
      <c r="R417" s="190">
        <v>5434.782608695652</v>
      </c>
      <c r="S417" s="57">
        <f t="shared" si="39"/>
        <v>0</v>
      </c>
      <c r="T417" s="57"/>
      <c r="U417" s="57"/>
      <c r="V417" s="58">
        <f t="shared" si="40"/>
        <v>543.47826086956525</v>
      </c>
      <c r="W417" s="59">
        <f t="shared" si="41"/>
        <v>0</v>
      </c>
    </row>
    <row r="418" spans="1:23" hidden="1" x14ac:dyDescent="0.35">
      <c r="A418" s="60"/>
      <c r="B418" s="54">
        <v>417</v>
      </c>
      <c r="C418" s="65" t="s">
        <v>822</v>
      </c>
      <c r="D418" s="12">
        <v>136457</v>
      </c>
      <c r="E418" s="210" t="s">
        <v>945</v>
      </c>
      <c r="F418" s="12">
        <v>139678</v>
      </c>
      <c r="G418" s="212">
        <v>46253</v>
      </c>
      <c r="H418" s="212" t="s">
        <v>263</v>
      </c>
      <c r="I418" s="11">
        <f t="shared" si="36"/>
        <v>2</v>
      </c>
      <c r="J418" s="212">
        <v>46258</v>
      </c>
      <c r="K418" s="11">
        <f t="shared" si="37"/>
        <v>3</v>
      </c>
      <c r="L418" s="212" t="s">
        <v>257</v>
      </c>
      <c r="M418" s="11">
        <f t="shared" si="38"/>
        <v>1</v>
      </c>
      <c r="N418" s="12" t="s">
        <v>556</v>
      </c>
      <c r="O418" s="12" t="s">
        <v>695</v>
      </c>
      <c r="P418" s="56" t="s">
        <v>53</v>
      </c>
      <c r="Q418" s="190">
        <v>91.171739130434787</v>
      </c>
      <c r="R418" s="190">
        <v>91.171739130434787</v>
      </c>
      <c r="S418" s="57">
        <f t="shared" si="39"/>
        <v>0</v>
      </c>
      <c r="T418" s="57"/>
      <c r="U418" s="57"/>
      <c r="V418" s="58">
        <f t="shared" si="40"/>
        <v>9.1171739130434784</v>
      </c>
      <c r="W418" s="59">
        <f t="shared" si="41"/>
        <v>0</v>
      </c>
    </row>
    <row r="419" spans="1:23" hidden="1" x14ac:dyDescent="0.35">
      <c r="A419" s="60"/>
      <c r="B419" s="54">
        <v>418</v>
      </c>
      <c r="C419" s="65" t="s">
        <v>822</v>
      </c>
      <c r="D419" s="12">
        <v>136472</v>
      </c>
      <c r="E419" s="210" t="s">
        <v>945</v>
      </c>
      <c r="F419" s="12">
        <v>139693</v>
      </c>
      <c r="G419" s="212">
        <v>46253</v>
      </c>
      <c r="H419" s="212" t="s">
        <v>257</v>
      </c>
      <c r="I419" s="11">
        <f t="shared" si="36"/>
        <v>4</v>
      </c>
      <c r="J419" s="212">
        <v>46258</v>
      </c>
      <c r="K419" s="11">
        <f t="shared" si="37"/>
        <v>1</v>
      </c>
      <c r="L419" s="212" t="s">
        <v>257</v>
      </c>
      <c r="M419" s="11">
        <f t="shared" si="38"/>
        <v>1</v>
      </c>
      <c r="N419" s="12" t="s">
        <v>557</v>
      </c>
      <c r="O419" s="12" t="s">
        <v>705</v>
      </c>
      <c r="P419" s="56" t="s">
        <v>53</v>
      </c>
      <c r="Q419" s="190">
        <v>434.78260869565219</v>
      </c>
      <c r="R419" s="190">
        <v>434.78260869565219</v>
      </c>
      <c r="S419" s="57">
        <f t="shared" si="39"/>
        <v>0</v>
      </c>
      <c r="T419" s="57"/>
      <c r="U419" s="57"/>
      <c r="V419" s="58">
        <f t="shared" si="40"/>
        <v>43.478260869565219</v>
      </c>
      <c r="W419" s="59">
        <f t="shared" si="41"/>
        <v>0</v>
      </c>
    </row>
    <row r="420" spans="1:23" hidden="1" x14ac:dyDescent="0.35">
      <c r="A420" s="60"/>
      <c r="B420" s="54">
        <v>419</v>
      </c>
      <c r="C420" s="65" t="s">
        <v>822</v>
      </c>
      <c r="D420" s="12">
        <v>136473</v>
      </c>
      <c r="E420" s="210" t="s">
        <v>945</v>
      </c>
      <c r="F420" s="12">
        <v>139677</v>
      </c>
      <c r="G420" s="212">
        <v>46253</v>
      </c>
      <c r="H420" s="212" t="s">
        <v>263</v>
      </c>
      <c r="I420" s="11">
        <f t="shared" si="36"/>
        <v>2</v>
      </c>
      <c r="J420" s="212">
        <v>46258</v>
      </c>
      <c r="K420" s="11">
        <f t="shared" si="37"/>
        <v>3</v>
      </c>
      <c r="L420" s="212" t="s">
        <v>257</v>
      </c>
      <c r="M420" s="11">
        <f t="shared" si="38"/>
        <v>1</v>
      </c>
      <c r="N420" s="12" t="s">
        <v>558</v>
      </c>
      <c r="O420" s="12" t="s">
        <v>792</v>
      </c>
      <c r="P420" s="56" t="s">
        <v>53</v>
      </c>
      <c r="Q420" s="190">
        <v>139.89130434782609</v>
      </c>
      <c r="R420" s="190">
        <v>139.89130434782609</v>
      </c>
      <c r="S420" s="57">
        <f t="shared" si="39"/>
        <v>0</v>
      </c>
      <c r="T420" s="57"/>
      <c r="U420" s="57"/>
      <c r="V420" s="58">
        <f t="shared" si="40"/>
        <v>13.989130434782609</v>
      </c>
      <c r="W420" s="59">
        <f t="shared" si="41"/>
        <v>0</v>
      </c>
    </row>
    <row r="421" spans="1:23" hidden="1" x14ac:dyDescent="0.35">
      <c r="A421" s="60"/>
      <c r="B421" s="54">
        <v>420</v>
      </c>
      <c r="C421" s="65" t="s">
        <v>822</v>
      </c>
      <c r="D421" s="12">
        <v>136514</v>
      </c>
      <c r="E421" s="210" t="s">
        <v>945</v>
      </c>
      <c r="F421" s="12">
        <v>139690</v>
      </c>
      <c r="G421" s="212">
        <v>46253</v>
      </c>
      <c r="H421" s="212" t="s">
        <v>257</v>
      </c>
      <c r="I421" s="11">
        <f t="shared" si="36"/>
        <v>4</v>
      </c>
      <c r="J421" s="212">
        <v>46261</v>
      </c>
      <c r="K421" s="11">
        <f t="shared" si="37"/>
        <v>4</v>
      </c>
      <c r="L421" s="212" t="s">
        <v>265</v>
      </c>
      <c r="M421" s="11">
        <f t="shared" si="38"/>
        <v>1</v>
      </c>
      <c r="N421" s="12" t="s">
        <v>559</v>
      </c>
      <c r="O421" s="12" t="s">
        <v>793</v>
      </c>
      <c r="P421" s="56" t="s">
        <v>53</v>
      </c>
      <c r="Q421" s="190">
        <v>251.17826086956521</v>
      </c>
      <c r="R421" s="190">
        <v>251.17826086956521</v>
      </c>
      <c r="S421" s="57">
        <f t="shared" si="39"/>
        <v>0</v>
      </c>
      <c r="T421" s="57"/>
      <c r="U421" s="57"/>
      <c r="V421" s="58">
        <f t="shared" si="40"/>
        <v>25.117826086956523</v>
      </c>
      <c r="W421" s="59">
        <f t="shared" si="41"/>
        <v>0</v>
      </c>
    </row>
    <row r="422" spans="1:23" hidden="1" x14ac:dyDescent="0.35">
      <c r="A422" s="60"/>
      <c r="B422" s="54">
        <v>421</v>
      </c>
      <c r="C422" s="65" t="s">
        <v>822</v>
      </c>
      <c r="D422" s="12">
        <v>136515</v>
      </c>
      <c r="E422" s="210" t="s">
        <v>945</v>
      </c>
      <c r="F422" s="12">
        <v>139689</v>
      </c>
      <c r="G422" s="212">
        <v>46253</v>
      </c>
      <c r="H422" s="212" t="s">
        <v>257</v>
      </c>
      <c r="I422" s="11">
        <f t="shared" si="36"/>
        <v>4</v>
      </c>
      <c r="J422" s="212">
        <v>46261</v>
      </c>
      <c r="K422" s="11">
        <f t="shared" si="37"/>
        <v>4</v>
      </c>
      <c r="L422" s="212" t="s">
        <v>265</v>
      </c>
      <c r="M422" s="11">
        <f t="shared" si="38"/>
        <v>1</v>
      </c>
      <c r="N422" s="12" t="s">
        <v>560</v>
      </c>
      <c r="O422" s="12" t="s">
        <v>794</v>
      </c>
      <c r="P422" s="56" t="s">
        <v>53</v>
      </c>
      <c r="Q422" s="190">
        <v>130.43478260869566</v>
      </c>
      <c r="R422" s="190">
        <v>130.43478260869566</v>
      </c>
      <c r="S422" s="57">
        <f t="shared" si="39"/>
        <v>0</v>
      </c>
      <c r="T422" s="57"/>
      <c r="U422" s="57"/>
      <c r="V422" s="58">
        <f t="shared" si="40"/>
        <v>13.043478260869566</v>
      </c>
      <c r="W422" s="59">
        <f t="shared" si="41"/>
        <v>0</v>
      </c>
    </row>
    <row r="423" spans="1:23" hidden="1" x14ac:dyDescent="0.35">
      <c r="A423" s="60"/>
      <c r="B423" s="54">
        <v>422</v>
      </c>
      <c r="C423" s="65" t="s">
        <v>822</v>
      </c>
      <c r="D423" s="12">
        <v>136516</v>
      </c>
      <c r="E423" s="210" t="s">
        <v>945</v>
      </c>
      <c r="F423" s="12">
        <v>139687</v>
      </c>
      <c r="G423" s="212">
        <v>46253</v>
      </c>
      <c r="H423" s="212" t="s">
        <v>257</v>
      </c>
      <c r="I423" s="11">
        <f t="shared" si="36"/>
        <v>4</v>
      </c>
      <c r="J423" s="212">
        <v>46261</v>
      </c>
      <c r="K423" s="11">
        <f t="shared" si="37"/>
        <v>4</v>
      </c>
      <c r="L423" s="212" t="s">
        <v>265</v>
      </c>
      <c r="M423" s="11">
        <f t="shared" si="38"/>
        <v>1</v>
      </c>
      <c r="N423" s="12" t="s">
        <v>561</v>
      </c>
      <c r="O423" s="12" t="s">
        <v>795</v>
      </c>
      <c r="P423" s="56" t="s">
        <v>53</v>
      </c>
      <c r="Q423" s="190">
        <v>173.91304347826087</v>
      </c>
      <c r="R423" s="190">
        <v>173.91304347826087</v>
      </c>
      <c r="S423" s="57">
        <f t="shared" si="39"/>
        <v>0</v>
      </c>
      <c r="T423" s="57"/>
      <c r="U423" s="57"/>
      <c r="V423" s="58">
        <f t="shared" si="40"/>
        <v>17.39130434782609</v>
      </c>
      <c r="W423" s="59">
        <f t="shared" si="41"/>
        <v>0</v>
      </c>
    </row>
    <row r="424" spans="1:23" hidden="1" x14ac:dyDescent="0.35">
      <c r="A424" s="60"/>
      <c r="B424" s="54">
        <v>423</v>
      </c>
      <c r="C424" s="65" t="s">
        <v>822</v>
      </c>
      <c r="D424" s="12">
        <v>136517</v>
      </c>
      <c r="E424" s="210" t="s">
        <v>945</v>
      </c>
      <c r="F424" s="12">
        <v>139686</v>
      </c>
      <c r="G424" s="212">
        <v>46253</v>
      </c>
      <c r="H424" s="212" t="s">
        <v>257</v>
      </c>
      <c r="I424" s="11">
        <f t="shared" si="36"/>
        <v>4</v>
      </c>
      <c r="J424" s="212">
        <v>46261</v>
      </c>
      <c r="K424" s="11">
        <f t="shared" si="37"/>
        <v>4</v>
      </c>
      <c r="L424" s="212" t="s">
        <v>265</v>
      </c>
      <c r="M424" s="11">
        <f t="shared" si="38"/>
        <v>1</v>
      </c>
      <c r="N424" s="12" t="s">
        <v>562</v>
      </c>
      <c r="O424" s="12" t="s">
        <v>796</v>
      </c>
      <c r="P424" s="56" t="s">
        <v>53</v>
      </c>
      <c r="Q424" s="190">
        <v>277.17391304347825</v>
      </c>
      <c r="R424" s="190">
        <v>277.17391304347825</v>
      </c>
      <c r="S424" s="57">
        <f t="shared" si="39"/>
        <v>0</v>
      </c>
      <c r="T424" s="57"/>
      <c r="U424" s="57"/>
      <c r="V424" s="58">
        <f t="shared" si="40"/>
        <v>27.717391304347828</v>
      </c>
      <c r="W424" s="59">
        <f t="shared" si="41"/>
        <v>0</v>
      </c>
    </row>
    <row r="425" spans="1:23" hidden="1" x14ac:dyDescent="0.35">
      <c r="A425" s="60"/>
      <c r="B425" s="54">
        <v>424</v>
      </c>
      <c r="C425" s="65" t="s">
        <v>822</v>
      </c>
      <c r="D425" s="12">
        <v>136522</v>
      </c>
      <c r="E425" s="210" t="s">
        <v>945</v>
      </c>
      <c r="F425" s="12">
        <v>139676</v>
      </c>
      <c r="G425" s="212">
        <v>46254</v>
      </c>
      <c r="H425" s="212" t="s">
        <v>264</v>
      </c>
      <c r="I425" s="11">
        <f t="shared" si="36"/>
        <v>5</v>
      </c>
      <c r="J425" s="212">
        <v>46261</v>
      </c>
      <c r="K425" s="11">
        <f t="shared" si="37"/>
        <v>2</v>
      </c>
      <c r="L425" s="212" t="s">
        <v>265</v>
      </c>
      <c r="M425" s="11">
        <f t="shared" si="38"/>
        <v>1</v>
      </c>
      <c r="N425" s="12" t="s">
        <v>563</v>
      </c>
      <c r="O425" s="12" t="s">
        <v>762</v>
      </c>
      <c r="P425" s="56" t="s">
        <v>53</v>
      </c>
      <c r="Q425" s="190">
        <v>1120</v>
      </c>
      <c r="R425" s="190">
        <v>1120</v>
      </c>
      <c r="S425" s="57">
        <f t="shared" si="39"/>
        <v>0</v>
      </c>
      <c r="T425" s="57"/>
      <c r="U425" s="57"/>
      <c r="V425" s="58">
        <f t="shared" si="40"/>
        <v>112</v>
      </c>
      <c r="W425" s="59">
        <f t="shared" si="41"/>
        <v>0</v>
      </c>
    </row>
    <row r="426" spans="1:23" hidden="1" x14ac:dyDescent="0.35">
      <c r="A426" s="60"/>
      <c r="B426" s="54">
        <v>425</v>
      </c>
      <c r="C426" s="65" t="s">
        <v>822</v>
      </c>
      <c r="D426" s="12">
        <v>136528</v>
      </c>
      <c r="E426" s="210" t="s">
        <v>945</v>
      </c>
      <c r="F426" s="12">
        <v>139691</v>
      </c>
      <c r="G426" s="212">
        <v>46253</v>
      </c>
      <c r="H426" s="212" t="s">
        <v>257</v>
      </c>
      <c r="I426" s="11">
        <f t="shared" si="36"/>
        <v>4</v>
      </c>
      <c r="J426" s="212">
        <v>46261</v>
      </c>
      <c r="K426" s="11">
        <f t="shared" si="37"/>
        <v>4</v>
      </c>
      <c r="L426" s="212" t="s">
        <v>265</v>
      </c>
      <c r="M426" s="11">
        <f t="shared" si="38"/>
        <v>1</v>
      </c>
      <c r="N426" s="12" t="s">
        <v>564</v>
      </c>
      <c r="O426" s="12" t="s">
        <v>797</v>
      </c>
      <c r="P426" s="56" t="s">
        <v>53</v>
      </c>
      <c r="Q426" s="190">
        <v>173.91304347826087</v>
      </c>
      <c r="R426" s="190">
        <v>173.91304347826087</v>
      </c>
      <c r="S426" s="57">
        <f t="shared" si="39"/>
        <v>0</v>
      </c>
      <c r="T426" s="57"/>
      <c r="U426" s="57"/>
      <c r="V426" s="58">
        <f t="shared" si="40"/>
        <v>17.39130434782609</v>
      </c>
      <c r="W426" s="59">
        <f t="shared" si="41"/>
        <v>0</v>
      </c>
    </row>
    <row r="427" spans="1:23" hidden="1" x14ac:dyDescent="0.35">
      <c r="A427" s="60"/>
      <c r="B427" s="54">
        <v>426</v>
      </c>
      <c r="C427" s="65" t="s">
        <v>822</v>
      </c>
      <c r="D427" s="12">
        <v>136529</v>
      </c>
      <c r="E427" s="210" t="s">
        <v>945</v>
      </c>
      <c r="F427" s="12">
        <v>139692</v>
      </c>
      <c r="G427" s="212">
        <v>46253</v>
      </c>
      <c r="H427" s="212" t="s">
        <v>257</v>
      </c>
      <c r="I427" s="11">
        <f t="shared" si="36"/>
        <v>4</v>
      </c>
      <c r="J427" s="212">
        <v>46261</v>
      </c>
      <c r="K427" s="11">
        <f t="shared" si="37"/>
        <v>4</v>
      </c>
      <c r="L427" s="212" t="s">
        <v>265</v>
      </c>
      <c r="M427" s="11">
        <f t="shared" si="38"/>
        <v>1</v>
      </c>
      <c r="N427" s="12" t="s">
        <v>565</v>
      </c>
      <c r="O427" s="12" t="s">
        <v>628</v>
      </c>
      <c r="P427" s="56" t="s">
        <v>53</v>
      </c>
      <c r="Q427" s="190">
        <v>79.713043478260872</v>
      </c>
      <c r="R427" s="190">
        <v>79.713043478260872</v>
      </c>
      <c r="S427" s="57">
        <f t="shared" si="39"/>
        <v>0</v>
      </c>
      <c r="T427" s="57"/>
      <c r="U427" s="57"/>
      <c r="V427" s="58">
        <f t="shared" si="40"/>
        <v>7.9713043478260879</v>
      </c>
      <c r="W427" s="59">
        <f t="shared" si="41"/>
        <v>0</v>
      </c>
    </row>
    <row r="428" spans="1:23" hidden="1" x14ac:dyDescent="0.35">
      <c r="A428" s="60"/>
      <c r="B428" s="54">
        <v>427</v>
      </c>
      <c r="C428" s="65" t="s">
        <v>822</v>
      </c>
      <c r="D428" s="12">
        <v>136530</v>
      </c>
      <c r="E428" s="210" t="s">
        <v>945</v>
      </c>
      <c r="F428" s="12">
        <v>139694</v>
      </c>
      <c r="G428" s="212">
        <v>46253</v>
      </c>
      <c r="H428" s="212" t="s">
        <v>257</v>
      </c>
      <c r="I428" s="11">
        <f t="shared" si="36"/>
        <v>4</v>
      </c>
      <c r="J428" s="212">
        <v>46261</v>
      </c>
      <c r="K428" s="11">
        <f t="shared" si="37"/>
        <v>4</v>
      </c>
      <c r="L428" s="212" t="s">
        <v>265</v>
      </c>
      <c r="M428" s="11">
        <f t="shared" si="38"/>
        <v>1</v>
      </c>
      <c r="N428" s="12" t="s">
        <v>566</v>
      </c>
      <c r="O428" s="12" t="s">
        <v>633</v>
      </c>
      <c r="P428" s="56" t="s">
        <v>53</v>
      </c>
      <c r="Q428" s="190">
        <v>1004.9855652173912</v>
      </c>
      <c r="R428" s="190">
        <v>1004.9855652173912</v>
      </c>
      <c r="S428" s="57">
        <f t="shared" si="39"/>
        <v>0</v>
      </c>
      <c r="T428" s="57"/>
      <c r="U428" s="57"/>
      <c r="V428" s="58">
        <f t="shared" si="40"/>
        <v>100.49855652173913</v>
      </c>
      <c r="W428" s="59">
        <f t="shared" si="41"/>
        <v>0</v>
      </c>
    </row>
    <row r="429" spans="1:23" hidden="1" x14ac:dyDescent="0.35">
      <c r="A429" s="60"/>
      <c r="B429" s="54">
        <v>428</v>
      </c>
      <c r="C429" s="65" t="s">
        <v>822</v>
      </c>
      <c r="D429" s="12">
        <v>136531</v>
      </c>
      <c r="E429" s="210" t="s">
        <v>945</v>
      </c>
      <c r="F429" s="12">
        <v>139695</v>
      </c>
      <c r="G429" s="212">
        <v>46253</v>
      </c>
      <c r="H429" s="212" t="s">
        <v>257</v>
      </c>
      <c r="I429" s="11">
        <f t="shared" si="36"/>
        <v>4</v>
      </c>
      <c r="J429" s="212">
        <v>46261</v>
      </c>
      <c r="K429" s="11">
        <f t="shared" si="37"/>
        <v>4</v>
      </c>
      <c r="L429" s="212" t="s">
        <v>265</v>
      </c>
      <c r="M429" s="11">
        <f t="shared" si="38"/>
        <v>1</v>
      </c>
      <c r="N429" s="12" t="s">
        <v>567</v>
      </c>
      <c r="O429" s="12" t="s">
        <v>798</v>
      </c>
      <c r="P429" s="56" t="s">
        <v>53</v>
      </c>
      <c r="Q429" s="190">
        <v>422.60869565217394</v>
      </c>
      <c r="R429" s="190">
        <v>422.60869565217394</v>
      </c>
      <c r="S429" s="57">
        <f t="shared" si="39"/>
        <v>0</v>
      </c>
      <c r="T429" s="57"/>
      <c r="U429" s="57"/>
      <c r="V429" s="58">
        <f t="shared" si="40"/>
        <v>42.260869565217398</v>
      </c>
      <c r="W429" s="59">
        <f t="shared" si="41"/>
        <v>0</v>
      </c>
    </row>
    <row r="430" spans="1:23" hidden="1" x14ac:dyDescent="0.35">
      <c r="A430" s="60"/>
      <c r="B430" s="54">
        <v>429</v>
      </c>
      <c r="C430" s="65" t="s">
        <v>822</v>
      </c>
      <c r="D430" s="12">
        <v>136532</v>
      </c>
      <c r="E430" s="210" t="s">
        <v>945</v>
      </c>
      <c r="F430" s="12">
        <v>139696</v>
      </c>
      <c r="G430" s="212">
        <v>46253</v>
      </c>
      <c r="H430" s="212" t="s">
        <v>257</v>
      </c>
      <c r="I430" s="11">
        <f t="shared" si="36"/>
        <v>4</v>
      </c>
      <c r="J430" s="212">
        <v>46261</v>
      </c>
      <c r="K430" s="11">
        <f t="shared" si="37"/>
        <v>4</v>
      </c>
      <c r="L430" s="212" t="s">
        <v>265</v>
      </c>
      <c r="M430" s="11">
        <f t="shared" si="38"/>
        <v>1</v>
      </c>
      <c r="N430" s="12" t="s">
        <v>568</v>
      </c>
      <c r="O430" s="12" t="s">
        <v>739</v>
      </c>
      <c r="P430" s="56" t="s">
        <v>53</v>
      </c>
      <c r="Q430" s="190">
        <v>1707.8804347826087</v>
      </c>
      <c r="R430" s="190">
        <v>1707.8804347826087</v>
      </c>
      <c r="S430" s="57">
        <f t="shared" si="39"/>
        <v>0</v>
      </c>
      <c r="T430" s="57"/>
      <c r="U430" s="57"/>
      <c r="V430" s="58">
        <f t="shared" si="40"/>
        <v>170.78804347826087</v>
      </c>
      <c r="W430" s="59">
        <f t="shared" si="41"/>
        <v>0</v>
      </c>
    </row>
    <row r="431" spans="1:23" hidden="1" x14ac:dyDescent="0.35">
      <c r="A431" s="60"/>
      <c r="B431" s="54">
        <v>430</v>
      </c>
      <c r="C431" s="65" t="s">
        <v>822</v>
      </c>
      <c r="D431" s="12">
        <v>136537</v>
      </c>
      <c r="E431" s="210" t="s">
        <v>945</v>
      </c>
      <c r="F431" s="12">
        <v>139699</v>
      </c>
      <c r="G431" s="212">
        <v>46253</v>
      </c>
      <c r="H431" s="212" t="s">
        <v>257</v>
      </c>
      <c r="I431" s="11">
        <f t="shared" si="36"/>
        <v>4</v>
      </c>
      <c r="J431" s="212">
        <v>46262</v>
      </c>
      <c r="K431" s="11">
        <f t="shared" si="37"/>
        <v>5</v>
      </c>
      <c r="L431" s="212" t="s">
        <v>266</v>
      </c>
      <c r="M431" s="11">
        <f t="shared" si="38"/>
        <v>1</v>
      </c>
      <c r="N431" s="12" t="s">
        <v>569</v>
      </c>
      <c r="O431" s="12" t="s">
        <v>799</v>
      </c>
      <c r="P431" s="56" t="s">
        <v>53</v>
      </c>
      <c r="Q431" s="190">
        <v>883.04347826086962</v>
      </c>
      <c r="R431" s="190">
        <v>883.04347826086962</v>
      </c>
      <c r="S431" s="57">
        <f t="shared" si="39"/>
        <v>0</v>
      </c>
      <c r="T431" s="57"/>
      <c r="U431" s="57"/>
      <c r="V431" s="58">
        <f t="shared" si="40"/>
        <v>88.304347826086968</v>
      </c>
      <c r="W431" s="59">
        <f t="shared" si="41"/>
        <v>0</v>
      </c>
    </row>
    <row r="432" spans="1:23" hidden="1" x14ac:dyDescent="0.35">
      <c r="A432" s="60"/>
      <c r="B432" s="54">
        <v>431</v>
      </c>
      <c r="C432" s="65" t="s">
        <v>822</v>
      </c>
      <c r="D432" s="12">
        <v>136477</v>
      </c>
      <c r="E432" s="210" t="s">
        <v>945</v>
      </c>
      <c r="F432" s="12">
        <v>139712</v>
      </c>
      <c r="G432" s="212">
        <v>46254</v>
      </c>
      <c r="H432" s="212" t="s">
        <v>257</v>
      </c>
      <c r="I432" s="11">
        <f t="shared" si="36"/>
        <v>3</v>
      </c>
      <c r="J432" s="212">
        <v>46259</v>
      </c>
      <c r="K432" s="11">
        <f t="shared" si="37"/>
        <v>2</v>
      </c>
      <c r="L432" s="212" t="s">
        <v>260</v>
      </c>
      <c r="M432" s="11">
        <f t="shared" si="38"/>
        <v>1</v>
      </c>
      <c r="N432" s="12" t="s">
        <v>570</v>
      </c>
      <c r="O432" s="12" t="s">
        <v>629</v>
      </c>
      <c r="P432" s="56" t="s">
        <v>53</v>
      </c>
      <c r="Q432" s="190">
        <v>65.217391304347828</v>
      </c>
      <c r="R432" s="190">
        <v>65.217391304347828</v>
      </c>
      <c r="S432" s="57">
        <f t="shared" si="39"/>
        <v>0</v>
      </c>
      <c r="T432" s="57"/>
      <c r="U432" s="57"/>
      <c r="V432" s="58">
        <f t="shared" si="40"/>
        <v>6.5217391304347831</v>
      </c>
      <c r="W432" s="59">
        <f t="shared" si="41"/>
        <v>0</v>
      </c>
    </row>
    <row r="433" spans="1:23" hidden="1" x14ac:dyDescent="0.35">
      <c r="A433" s="60"/>
      <c r="B433" s="54">
        <v>432</v>
      </c>
      <c r="C433" s="65" t="s">
        <v>822</v>
      </c>
      <c r="D433" s="12">
        <v>136418</v>
      </c>
      <c r="E433" s="210" t="s">
        <v>945</v>
      </c>
      <c r="F433" s="12">
        <v>139704</v>
      </c>
      <c r="G433" s="212">
        <v>46254</v>
      </c>
      <c r="H433" s="212" t="s">
        <v>263</v>
      </c>
      <c r="I433" s="11">
        <f t="shared" si="36"/>
        <v>1</v>
      </c>
      <c r="J433" s="212">
        <v>46254</v>
      </c>
      <c r="K433" s="11">
        <f t="shared" si="37"/>
        <v>1</v>
      </c>
      <c r="L433" s="212" t="s">
        <v>263</v>
      </c>
      <c r="M433" s="11">
        <f t="shared" si="38"/>
        <v>1</v>
      </c>
      <c r="N433" s="12" t="s">
        <v>571</v>
      </c>
      <c r="O433" s="12" t="s">
        <v>800</v>
      </c>
      <c r="P433" s="56" t="s">
        <v>53</v>
      </c>
      <c r="Q433" s="190">
        <v>3619.5652173913045</v>
      </c>
      <c r="R433" s="190">
        <v>3619.5652173913045</v>
      </c>
      <c r="S433" s="57">
        <f t="shared" si="39"/>
        <v>0</v>
      </c>
      <c r="T433" s="57"/>
      <c r="U433" s="57"/>
      <c r="V433" s="58">
        <f t="shared" si="40"/>
        <v>361.95652173913049</v>
      </c>
      <c r="W433" s="59">
        <f t="shared" si="41"/>
        <v>0</v>
      </c>
    </row>
    <row r="434" spans="1:23" hidden="1" x14ac:dyDescent="0.35">
      <c r="A434" s="60"/>
      <c r="B434" s="54">
        <v>433</v>
      </c>
      <c r="C434" s="65" t="s">
        <v>822</v>
      </c>
      <c r="D434" s="12">
        <v>136419</v>
      </c>
      <c r="E434" s="210" t="s">
        <v>945</v>
      </c>
      <c r="F434" s="12">
        <v>139706</v>
      </c>
      <c r="G434" s="212">
        <v>46254</v>
      </c>
      <c r="H434" s="212" t="s">
        <v>263</v>
      </c>
      <c r="I434" s="11">
        <f t="shared" si="36"/>
        <v>1</v>
      </c>
      <c r="J434" s="212">
        <v>46254</v>
      </c>
      <c r="K434" s="11">
        <f t="shared" si="37"/>
        <v>1</v>
      </c>
      <c r="L434" s="212" t="s">
        <v>263</v>
      </c>
      <c r="M434" s="11">
        <f t="shared" si="38"/>
        <v>1</v>
      </c>
      <c r="N434" s="12" t="s">
        <v>572</v>
      </c>
      <c r="O434" s="12" t="s">
        <v>801</v>
      </c>
      <c r="P434" s="56" t="s">
        <v>53</v>
      </c>
      <c r="Q434" s="190">
        <v>3260.8695652173915</v>
      </c>
      <c r="R434" s="190">
        <v>3260.8695652173915</v>
      </c>
      <c r="S434" s="57">
        <f t="shared" si="39"/>
        <v>0</v>
      </c>
      <c r="T434" s="57"/>
      <c r="U434" s="57"/>
      <c r="V434" s="58">
        <f t="shared" si="40"/>
        <v>326.08695652173918</v>
      </c>
      <c r="W434" s="59">
        <f t="shared" si="41"/>
        <v>0</v>
      </c>
    </row>
    <row r="435" spans="1:23" hidden="1" x14ac:dyDescent="0.35">
      <c r="A435" s="60"/>
      <c r="B435" s="54">
        <v>434</v>
      </c>
      <c r="C435" s="65" t="s">
        <v>822</v>
      </c>
      <c r="D435" s="12">
        <v>136449</v>
      </c>
      <c r="E435" s="210" t="s">
        <v>945</v>
      </c>
      <c r="F435" s="12">
        <v>139719</v>
      </c>
      <c r="G435" s="212">
        <v>46254</v>
      </c>
      <c r="H435" s="212" t="s">
        <v>262</v>
      </c>
      <c r="I435" s="11">
        <f t="shared" si="36"/>
        <v>2</v>
      </c>
      <c r="J435" s="212">
        <v>46255</v>
      </c>
      <c r="K435" s="11">
        <f t="shared" si="37"/>
        <v>1</v>
      </c>
      <c r="L435" s="212" t="s">
        <v>262</v>
      </c>
      <c r="M435" s="11">
        <f t="shared" si="38"/>
        <v>1</v>
      </c>
      <c r="N435" s="12" t="s">
        <v>573</v>
      </c>
      <c r="O435" s="12" t="s">
        <v>802</v>
      </c>
      <c r="P435" s="56" t="s">
        <v>53</v>
      </c>
      <c r="Q435" s="190">
        <v>130.43478260869566</v>
      </c>
      <c r="R435" s="190">
        <v>130.43478260869566</v>
      </c>
      <c r="S435" s="57">
        <f t="shared" si="39"/>
        <v>0</v>
      </c>
      <c r="T435" s="57"/>
      <c r="U435" s="57"/>
      <c r="V435" s="58">
        <f t="shared" si="40"/>
        <v>13.043478260869566</v>
      </c>
      <c r="W435" s="59">
        <f t="shared" si="41"/>
        <v>0</v>
      </c>
    </row>
    <row r="436" spans="1:23" hidden="1" x14ac:dyDescent="0.35">
      <c r="A436" s="60"/>
      <c r="B436" s="54">
        <v>435</v>
      </c>
      <c r="C436" s="65" t="s">
        <v>822</v>
      </c>
      <c r="D436" s="12">
        <v>136454</v>
      </c>
      <c r="E436" s="210" t="s">
        <v>945</v>
      </c>
      <c r="F436" s="12">
        <v>139673</v>
      </c>
      <c r="G436" s="212">
        <v>46254</v>
      </c>
      <c r="H436" s="212" t="s">
        <v>262</v>
      </c>
      <c r="I436" s="11">
        <f t="shared" si="36"/>
        <v>2</v>
      </c>
      <c r="J436" s="212">
        <v>46255</v>
      </c>
      <c r="K436" s="11">
        <f t="shared" si="37"/>
        <v>1</v>
      </c>
      <c r="L436" s="212" t="s">
        <v>262</v>
      </c>
      <c r="M436" s="11">
        <f t="shared" si="38"/>
        <v>1</v>
      </c>
      <c r="N436" s="12" t="s">
        <v>574</v>
      </c>
      <c r="O436" s="12" t="s">
        <v>762</v>
      </c>
      <c r="P436" s="56" t="s">
        <v>53</v>
      </c>
      <c r="Q436" s="190">
        <v>804.3478260869565</v>
      </c>
      <c r="R436" s="190">
        <v>804.3478260869565</v>
      </c>
      <c r="S436" s="57">
        <f t="shared" si="39"/>
        <v>0</v>
      </c>
      <c r="T436" s="57"/>
      <c r="U436" s="57"/>
      <c r="V436" s="58">
        <f t="shared" si="40"/>
        <v>80.434782608695656</v>
      </c>
      <c r="W436" s="59">
        <f t="shared" si="41"/>
        <v>0</v>
      </c>
    </row>
    <row r="437" spans="1:23" hidden="1" x14ac:dyDescent="0.35">
      <c r="A437" s="60"/>
      <c r="B437" s="54">
        <v>436</v>
      </c>
      <c r="C437" s="65" t="s">
        <v>822</v>
      </c>
      <c r="D437" s="12">
        <v>136464</v>
      </c>
      <c r="E437" s="210" t="s">
        <v>945</v>
      </c>
      <c r="F437" s="12">
        <v>139715</v>
      </c>
      <c r="G437" s="212">
        <v>46254</v>
      </c>
      <c r="H437" s="212" t="s">
        <v>262</v>
      </c>
      <c r="I437" s="11">
        <f t="shared" si="36"/>
        <v>2</v>
      </c>
      <c r="J437" s="212">
        <v>46258</v>
      </c>
      <c r="K437" s="11">
        <f t="shared" si="37"/>
        <v>2</v>
      </c>
      <c r="L437" s="212" t="s">
        <v>257</v>
      </c>
      <c r="M437" s="11">
        <f t="shared" si="38"/>
        <v>1</v>
      </c>
      <c r="N437" s="12" t="s">
        <v>575</v>
      </c>
      <c r="O437" s="12" t="s">
        <v>653</v>
      </c>
      <c r="P437" s="56" t="s">
        <v>53</v>
      </c>
      <c r="Q437" s="190">
        <v>2318.8405797086957</v>
      </c>
      <c r="R437" s="190">
        <v>2318.8405797086957</v>
      </c>
      <c r="S437" s="57">
        <f t="shared" si="39"/>
        <v>0</v>
      </c>
      <c r="T437" s="57"/>
      <c r="U437" s="57"/>
      <c r="V437" s="58">
        <f t="shared" si="40"/>
        <v>231.88405797086958</v>
      </c>
      <c r="W437" s="59">
        <f t="shared" si="41"/>
        <v>0</v>
      </c>
    </row>
    <row r="438" spans="1:23" hidden="1" x14ac:dyDescent="0.35">
      <c r="A438" s="60"/>
      <c r="B438" s="54">
        <v>437</v>
      </c>
      <c r="C438" s="65" t="s">
        <v>822</v>
      </c>
      <c r="D438" s="12">
        <v>136466</v>
      </c>
      <c r="E438" s="210" t="s">
        <v>945</v>
      </c>
      <c r="F438" s="12">
        <v>139714</v>
      </c>
      <c r="G438" s="212">
        <v>46254</v>
      </c>
      <c r="H438" s="212" t="s">
        <v>262</v>
      </c>
      <c r="I438" s="11">
        <f t="shared" ref="I438:I477" si="42">IF(OR(H438="", G438=""), "", NETWORKDAYS(G438, H438))</f>
        <v>2</v>
      </c>
      <c r="J438" s="212">
        <v>46258</v>
      </c>
      <c r="K438" s="11">
        <f t="shared" ref="K438:K477" si="43">IF(OR(H438="", J438=""), "", NETWORKDAYS(H438, J438))</f>
        <v>2</v>
      </c>
      <c r="L438" s="212" t="s">
        <v>257</v>
      </c>
      <c r="M438" s="11">
        <f t="shared" ref="M438:M477" si="44">IF(OR(J438="", L438=""), "", NETWORKDAYS(J438, L438))</f>
        <v>1</v>
      </c>
      <c r="N438" s="12" t="s">
        <v>575</v>
      </c>
      <c r="O438" s="12" t="s">
        <v>632</v>
      </c>
      <c r="P438" s="56" t="s">
        <v>53</v>
      </c>
      <c r="Q438" s="190">
        <v>1974.6378260869565</v>
      </c>
      <c r="R438" s="190">
        <v>1974.6378260869565</v>
      </c>
      <c r="S438" s="57">
        <f t="shared" ref="S438:S477" si="45">Q438-R438</f>
        <v>0</v>
      </c>
      <c r="T438" s="57"/>
      <c r="U438" s="57"/>
      <c r="V438" s="58">
        <f t="shared" ref="V438:V477" si="46">IF(Q438="", "", Q438*10%)</f>
        <v>197.46378260869565</v>
      </c>
      <c r="W438" s="59">
        <f t="shared" ref="W438:W477" si="47">IF(OR(Q438="", R438=""), "", (Q438- R438)/Q438)</f>
        <v>0</v>
      </c>
    </row>
    <row r="439" spans="1:23" hidden="1" x14ac:dyDescent="0.35">
      <c r="A439" s="60"/>
      <c r="B439" s="54">
        <v>438</v>
      </c>
      <c r="C439" s="65" t="s">
        <v>822</v>
      </c>
      <c r="D439" s="12">
        <v>136467</v>
      </c>
      <c r="E439" s="210" t="s">
        <v>945</v>
      </c>
      <c r="F439" s="12">
        <v>139710</v>
      </c>
      <c r="G439" s="212">
        <v>46254</v>
      </c>
      <c r="H439" s="212" t="s">
        <v>257</v>
      </c>
      <c r="I439" s="11">
        <f t="shared" si="42"/>
        <v>3</v>
      </c>
      <c r="J439" s="212">
        <v>46258</v>
      </c>
      <c r="K439" s="11">
        <f t="shared" si="43"/>
        <v>1</v>
      </c>
      <c r="L439" s="212" t="s">
        <v>257</v>
      </c>
      <c r="M439" s="11">
        <f t="shared" si="44"/>
        <v>1</v>
      </c>
      <c r="N439" s="12" t="s">
        <v>576</v>
      </c>
      <c r="O439" s="12" t="s">
        <v>709</v>
      </c>
      <c r="P439" s="56" t="s">
        <v>53</v>
      </c>
      <c r="Q439" s="190">
        <v>1304.2826086956522</v>
      </c>
      <c r="R439" s="190">
        <v>1304.2826086956522</v>
      </c>
      <c r="S439" s="57">
        <f t="shared" si="45"/>
        <v>0</v>
      </c>
      <c r="T439" s="57"/>
      <c r="U439" s="57"/>
      <c r="V439" s="58">
        <f t="shared" si="46"/>
        <v>130.42826086956524</v>
      </c>
      <c r="W439" s="59">
        <f t="shared" si="47"/>
        <v>0</v>
      </c>
    </row>
    <row r="440" spans="1:23" hidden="1" x14ac:dyDescent="0.35">
      <c r="A440" s="60"/>
      <c r="B440" s="54">
        <v>439</v>
      </c>
      <c r="C440" s="65" t="s">
        <v>822</v>
      </c>
      <c r="D440" s="12">
        <v>136468</v>
      </c>
      <c r="E440" s="210" t="s">
        <v>945</v>
      </c>
      <c r="F440" s="12">
        <v>139713</v>
      </c>
      <c r="G440" s="212">
        <v>46254</v>
      </c>
      <c r="H440" s="212" t="s">
        <v>263</v>
      </c>
      <c r="I440" s="11">
        <f t="shared" si="42"/>
        <v>1</v>
      </c>
      <c r="J440" s="212">
        <v>46258</v>
      </c>
      <c r="K440" s="11">
        <f t="shared" si="43"/>
        <v>3</v>
      </c>
      <c r="L440" s="212" t="s">
        <v>257</v>
      </c>
      <c r="M440" s="11">
        <f t="shared" si="44"/>
        <v>1</v>
      </c>
      <c r="N440" s="12" t="s">
        <v>577</v>
      </c>
      <c r="O440" s="12" t="s">
        <v>632</v>
      </c>
      <c r="P440" s="56" t="s">
        <v>53</v>
      </c>
      <c r="Q440" s="190">
        <v>220.2608695652174</v>
      </c>
      <c r="R440" s="190">
        <v>220.2608695652174</v>
      </c>
      <c r="S440" s="57">
        <f t="shared" si="45"/>
        <v>0</v>
      </c>
      <c r="T440" s="57"/>
      <c r="U440" s="57"/>
      <c r="V440" s="58">
        <f t="shared" si="46"/>
        <v>22.026086956521741</v>
      </c>
      <c r="W440" s="59">
        <f t="shared" si="47"/>
        <v>0</v>
      </c>
    </row>
    <row r="441" spans="1:23" hidden="1" x14ac:dyDescent="0.35">
      <c r="A441" s="60"/>
      <c r="B441" s="54">
        <v>440</v>
      </c>
      <c r="C441" s="65" t="s">
        <v>822</v>
      </c>
      <c r="D441" s="12">
        <v>136469</v>
      </c>
      <c r="E441" s="210" t="s">
        <v>945</v>
      </c>
      <c r="F441" s="12">
        <v>139703</v>
      </c>
      <c r="G441" s="212">
        <v>46254</v>
      </c>
      <c r="H441" s="212" t="s">
        <v>263</v>
      </c>
      <c r="I441" s="11">
        <f t="shared" si="42"/>
        <v>1</v>
      </c>
      <c r="J441" s="212">
        <v>46258</v>
      </c>
      <c r="K441" s="11">
        <f t="shared" si="43"/>
        <v>3</v>
      </c>
      <c r="L441" s="212" t="s">
        <v>257</v>
      </c>
      <c r="M441" s="11">
        <f t="shared" si="44"/>
        <v>1</v>
      </c>
      <c r="N441" s="12" t="s">
        <v>577</v>
      </c>
      <c r="O441" s="12" t="s">
        <v>632</v>
      </c>
      <c r="P441" s="56" t="s">
        <v>53</v>
      </c>
      <c r="Q441" s="190">
        <v>290.96239130434782</v>
      </c>
      <c r="R441" s="190">
        <v>290.96239130434782</v>
      </c>
      <c r="S441" s="57">
        <f t="shared" si="45"/>
        <v>0</v>
      </c>
      <c r="T441" s="57"/>
      <c r="U441" s="57"/>
      <c r="V441" s="58">
        <f t="shared" si="46"/>
        <v>29.096239130434782</v>
      </c>
      <c r="W441" s="59">
        <f t="shared" si="47"/>
        <v>0</v>
      </c>
    </row>
    <row r="442" spans="1:23" hidden="1" x14ac:dyDescent="0.35">
      <c r="A442" s="60"/>
      <c r="B442" s="54">
        <v>441</v>
      </c>
      <c r="C442" s="65" t="s">
        <v>822</v>
      </c>
      <c r="D442" s="12">
        <v>136470</v>
      </c>
      <c r="E442" s="210" t="s">
        <v>945</v>
      </c>
      <c r="F442" s="12">
        <v>139717</v>
      </c>
      <c r="G442" s="212">
        <v>46254</v>
      </c>
      <c r="H442" s="212" t="s">
        <v>257</v>
      </c>
      <c r="I442" s="11">
        <f t="shared" si="42"/>
        <v>3</v>
      </c>
      <c r="J442" s="212">
        <v>46258</v>
      </c>
      <c r="K442" s="11">
        <f t="shared" si="43"/>
        <v>1</v>
      </c>
      <c r="L442" s="212" t="s">
        <v>257</v>
      </c>
      <c r="M442" s="11">
        <f t="shared" si="44"/>
        <v>1</v>
      </c>
      <c r="N442" s="12" t="s">
        <v>578</v>
      </c>
      <c r="O442" s="12" t="s">
        <v>803</v>
      </c>
      <c r="P442" s="56" t="s">
        <v>53</v>
      </c>
      <c r="Q442" s="190">
        <v>652.17391304347825</v>
      </c>
      <c r="R442" s="190">
        <v>652.17391304347825</v>
      </c>
      <c r="S442" s="57">
        <f t="shared" si="45"/>
        <v>0</v>
      </c>
      <c r="T442" s="57"/>
      <c r="U442" s="57"/>
      <c r="V442" s="58">
        <f t="shared" si="46"/>
        <v>65.217391304347828</v>
      </c>
      <c r="W442" s="59">
        <f t="shared" si="47"/>
        <v>0</v>
      </c>
    </row>
    <row r="443" spans="1:23" hidden="1" x14ac:dyDescent="0.35">
      <c r="A443" s="60"/>
      <c r="B443" s="54">
        <v>442</v>
      </c>
      <c r="C443" s="65" t="s">
        <v>822</v>
      </c>
      <c r="D443" s="12">
        <v>136471</v>
      </c>
      <c r="E443" s="210" t="s">
        <v>945</v>
      </c>
      <c r="F443" s="12">
        <v>139707</v>
      </c>
      <c r="G443" s="212">
        <v>46254</v>
      </c>
      <c r="H443" s="212" t="s">
        <v>257</v>
      </c>
      <c r="I443" s="11">
        <f t="shared" si="42"/>
        <v>3</v>
      </c>
      <c r="J443" s="212">
        <v>46258</v>
      </c>
      <c r="K443" s="11">
        <f t="shared" si="43"/>
        <v>1</v>
      </c>
      <c r="L443" s="212" t="s">
        <v>257</v>
      </c>
      <c r="M443" s="11">
        <f t="shared" si="44"/>
        <v>1</v>
      </c>
      <c r="N443" s="12" t="s">
        <v>579</v>
      </c>
      <c r="O443" s="12" t="s">
        <v>804</v>
      </c>
      <c r="P443" s="56" t="s">
        <v>53</v>
      </c>
      <c r="Q443" s="190">
        <v>273.91304347826087</v>
      </c>
      <c r="R443" s="190">
        <v>273.91304347826087</v>
      </c>
      <c r="S443" s="57">
        <f t="shared" si="45"/>
        <v>0</v>
      </c>
      <c r="T443" s="57"/>
      <c r="U443" s="57"/>
      <c r="V443" s="58">
        <f t="shared" si="46"/>
        <v>27.39130434782609</v>
      </c>
      <c r="W443" s="59">
        <f t="shared" si="47"/>
        <v>0</v>
      </c>
    </row>
    <row r="444" spans="1:23" hidden="1" x14ac:dyDescent="0.35">
      <c r="A444" s="60"/>
      <c r="B444" s="54">
        <v>443</v>
      </c>
      <c r="C444" s="65" t="s">
        <v>822</v>
      </c>
      <c r="D444" s="12">
        <v>136510</v>
      </c>
      <c r="E444" s="210" t="s">
        <v>945</v>
      </c>
      <c r="F444" s="12">
        <v>139708</v>
      </c>
      <c r="G444" s="212">
        <v>46254</v>
      </c>
      <c r="H444" s="212" t="s">
        <v>257</v>
      </c>
      <c r="I444" s="11">
        <f t="shared" si="42"/>
        <v>3</v>
      </c>
      <c r="J444" s="212">
        <v>46261</v>
      </c>
      <c r="K444" s="11">
        <f t="shared" si="43"/>
        <v>4</v>
      </c>
      <c r="L444" s="212" t="s">
        <v>265</v>
      </c>
      <c r="M444" s="11">
        <f t="shared" si="44"/>
        <v>1</v>
      </c>
      <c r="N444" s="12" t="s">
        <v>293</v>
      </c>
      <c r="O444" s="12" t="s">
        <v>805</v>
      </c>
      <c r="P444" s="56" t="s">
        <v>53</v>
      </c>
      <c r="Q444" s="190">
        <v>4347.826086956522</v>
      </c>
      <c r="R444" s="190">
        <v>4347.826086956522</v>
      </c>
      <c r="S444" s="57">
        <f t="shared" si="45"/>
        <v>0</v>
      </c>
      <c r="T444" s="57"/>
      <c r="U444" s="57"/>
      <c r="V444" s="58">
        <f t="shared" si="46"/>
        <v>434.78260869565224</v>
      </c>
      <c r="W444" s="59">
        <f t="shared" si="47"/>
        <v>0</v>
      </c>
    </row>
    <row r="445" spans="1:23" hidden="1" x14ac:dyDescent="0.35">
      <c r="A445" s="60"/>
      <c r="B445" s="54">
        <v>444</v>
      </c>
      <c r="C445" s="65" t="s">
        <v>822</v>
      </c>
      <c r="D445" s="12">
        <v>136512</v>
      </c>
      <c r="E445" s="209" t="s">
        <v>946</v>
      </c>
      <c r="F445" s="12">
        <v>139702</v>
      </c>
      <c r="G445" s="212">
        <v>46254</v>
      </c>
      <c r="H445" s="212" t="s">
        <v>257</v>
      </c>
      <c r="I445" s="11">
        <f t="shared" si="42"/>
        <v>3</v>
      </c>
      <c r="J445" s="212">
        <v>46261</v>
      </c>
      <c r="K445" s="11">
        <f t="shared" si="43"/>
        <v>4</v>
      </c>
      <c r="L445" s="212" t="s">
        <v>265</v>
      </c>
      <c r="M445" s="11">
        <f t="shared" si="44"/>
        <v>1</v>
      </c>
      <c r="N445" s="12" t="s">
        <v>580</v>
      </c>
      <c r="O445" s="12" t="s">
        <v>605</v>
      </c>
      <c r="P445" s="56" t="s">
        <v>53</v>
      </c>
      <c r="Q445" s="190">
        <v>32177.325652173913</v>
      </c>
      <c r="R445" s="190">
        <v>32177.325652173913</v>
      </c>
      <c r="S445" s="57">
        <f t="shared" si="45"/>
        <v>0</v>
      </c>
      <c r="T445" s="57"/>
      <c r="U445" s="57"/>
      <c r="V445" s="58">
        <f t="shared" si="46"/>
        <v>3217.7325652173913</v>
      </c>
      <c r="W445" s="59">
        <f t="shared" si="47"/>
        <v>0</v>
      </c>
    </row>
    <row r="446" spans="1:23" hidden="1" x14ac:dyDescent="0.35">
      <c r="A446" s="60"/>
      <c r="B446" s="54">
        <v>445</v>
      </c>
      <c r="C446" s="65" t="s">
        <v>822</v>
      </c>
      <c r="D446" s="12">
        <v>136542</v>
      </c>
      <c r="E446" s="210" t="s">
        <v>945</v>
      </c>
      <c r="F446" s="12">
        <v>139718</v>
      </c>
      <c r="G446" s="212">
        <v>46254</v>
      </c>
      <c r="H446" s="212" t="s">
        <v>263</v>
      </c>
      <c r="I446" s="11">
        <f t="shared" si="42"/>
        <v>1</v>
      </c>
      <c r="J446" s="212">
        <v>46262</v>
      </c>
      <c r="K446" s="11">
        <f t="shared" si="43"/>
        <v>7</v>
      </c>
      <c r="L446" s="212" t="s">
        <v>266</v>
      </c>
      <c r="M446" s="11">
        <f t="shared" si="44"/>
        <v>1</v>
      </c>
      <c r="N446" s="12" t="s">
        <v>581</v>
      </c>
      <c r="O446" s="12" t="s">
        <v>806</v>
      </c>
      <c r="P446" s="56" t="s">
        <v>53</v>
      </c>
      <c r="Q446" s="190">
        <v>14573.91304347826</v>
      </c>
      <c r="R446" s="190">
        <v>14573.91304347826</v>
      </c>
      <c r="S446" s="57">
        <f t="shared" si="45"/>
        <v>0</v>
      </c>
      <c r="T446" s="57"/>
      <c r="U446" s="57"/>
      <c r="V446" s="58">
        <f t="shared" si="46"/>
        <v>1457.391304347826</v>
      </c>
      <c r="W446" s="59">
        <f t="shared" si="47"/>
        <v>0</v>
      </c>
    </row>
    <row r="447" spans="1:23" hidden="1" x14ac:dyDescent="0.35">
      <c r="A447" s="60"/>
      <c r="B447" s="54">
        <v>446</v>
      </c>
      <c r="C447" s="65" t="s">
        <v>822</v>
      </c>
      <c r="D447" s="12">
        <v>136465</v>
      </c>
      <c r="E447" s="210" t="s">
        <v>945</v>
      </c>
      <c r="F447" s="12">
        <v>139724</v>
      </c>
      <c r="G447" s="212">
        <v>46255</v>
      </c>
      <c r="H447" s="212" t="s">
        <v>262</v>
      </c>
      <c r="I447" s="11">
        <f t="shared" si="42"/>
        <v>1</v>
      </c>
      <c r="J447" s="212">
        <v>46258</v>
      </c>
      <c r="K447" s="11">
        <f t="shared" si="43"/>
        <v>2</v>
      </c>
      <c r="L447" s="212" t="s">
        <v>257</v>
      </c>
      <c r="M447" s="11">
        <f t="shared" si="44"/>
        <v>1</v>
      </c>
      <c r="N447" s="12" t="s">
        <v>582</v>
      </c>
      <c r="O447" s="12" t="s">
        <v>807</v>
      </c>
      <c r="P447" s="56" t="s">
        <v>53</v>
      </c>
      <c r="Q447" s="190">
        <v>2754.4913043478259</v>
      </c>
      <c r="R447" s="190">
        <v>2754.4913043478259</v>
      </c>
      <c r="S447" s="57">
        <f t="shared" si="45"/>
        <v>0</v>
      </c>
      <c r="T447" s="57"/>
      <c r="U447" s="57"/>
      <c r="V447" s="58">
        <f t="shared" si="46"/>
        <v>275.4491304347826</v>
      </c>
      <c r="W447" s="59">
        <f t="shared" si="47"/>
        <v>0</v>
      </c>
    </row>
    <row r="448" spans="1:23" hidden="1" x14ac:dyDescent="0.35">
      <c r="A448" s="60"/>
      <c r="B448" s="54">
        <v>447</v>
      </c>
      <c r="C448" s="65" t="s">
        <v>822</v>
      </c>
      <c r="D448" s="12">
        <v>136475</v>
      </c>
      <c r="E448" s="210" t="s">
        <v>945</v>
      </c>
      <c r="F448" s="12">
        <v>139721</v>
      </c>
      <c r="G448" s="212">
        <v>46255</v>
      </c>
      <c r="H448" s="212" t="s">
        <v>262</v>
      </c>
      <c r="I448" s="11">
        <f t="shared" si="42"/>
        <v>1</v>
      </c>
      <c r="J448" s="212">
        <v>46258</v>
      </c>
      <c r="K448" s="11">
        <f t="shared" si="43"/>
        <v>2</v>
      </c>
      <c r="L448" s="212" t="s">
        <v>257</v>
      </c>
      <c r="M448" s="11">
        <f t="shared" si="44"/>
        <v>1</v>
      </c>
      <c r="N448" s="12" t="s">
        <v>583</v>
      </c>
      <c r="O448" s="12" t="s">
        <v>808</v>
      </c>
      <c r="P448" s="56" t="s">
        <v>53</v>
      </c>
      <c r="Q448" s="190">
        <v>732608.69565217395</v>
      </c>
      <c r="R448" s="190">
        <v>732608.69565217395</v>
      </c>
      <c r="S448" s="57">
        <f t="shared" si="45"/>
        <v>0</v>
      </c>
      <c r="T448" s="57"/>
      <c r="U448" s="57"/>
      <c r="V448" s="58">
        <f t="shared" si="46"/>
        <v>73260.869565217392</v>
      </c>
      <c r="W448" s="59">
        <f t="shared" si="47"/>
        <v>0</v>
      </c>
    </row>
    <row r="449" spans="1:23" hidden="1" x14ac:dyDescent="0.35">
      <c r="A449" s="60"/>
      <c r="B449" s="54">
        <v>448</v>
      </c>
      <c r="C449" s="65" t="s">
        <v>822</v>
      </c>
      <c r="D449" s="12">
        <v>136485</v>
      </c>
      <c r="E449" s="209" t="s">
        <v>946</v>
      </c>
      <c r="F449" s="12">
        <v>139723</v>
      </c>
      <c r="G449" s="212">
        <v>46255</v>
      </c>
      <c r="H449" s="212" t="s">
        <v>264</v>
      </c>
      <c r="I449" s="11">
        <f t="shared" si="42"/>
        <v>4</v>
      </c>
      <c r="J449" s="212">
        <v>46260</v>
      </c>
      <c r="K449" s="11">
        <f t="shared" si="43"/>
        <v>1</v>
      </c>
      <c r="L449" s="212" t="s">
        <v>264</v>
      </c>
      <c r="M449" s="11">
        <f t="shared" si="44"/>
        <v>1</v>
      </c>
      <c r="N449" s="12" t="s">
        <v>584</v>
      </c>
      <c r="O449" s="12" t="s">
        <v>643</v>
      </c>
      <c r="P449" s="56" t="s">
        <v>53</v>
      </c>
      <c r="Q449" s="190">
        <v>6859.125</v>
      </c>
      <c r="R449" s="190">
        <v>6859.125</v>
      </c>
      <c r="S449" s="57">
        <f t="shared" si="45"/>
        <v>0</v>
      </c>
      <c r="T449" s="57"/>
      <c r="U449" s="57"/>
      <c r="V449" s="58">
        <f t="shared" si="46"/>
        <v>685.91250000000002</v>
      </c>
      <c r="W449" s="59">
        <f t="shared" si="47"/>
        <v>0</v>
      </c>
    </row>
    <row r="450" spans="1:23" x14ac:dyDescent="0.35">
      <c r="A450" s="60"/>
      <c r="B450" s="54">
        <v>449</v>
      </c>
      <c r="C450" s="65" t="s">
        <v>822</v>
      </c>
      <c r="D450" s="12">
        <v>136523</v>
      </c>
      <c r="E450" s="210" t="s">
        <v>945</v>
      </c>
      <c r="F450" s="12">
        <v>139741</v>
      </c>
      <c r="G450" s="212">
        <v>46258</v>
      </c>
      <c r="H450" s="212" t="s">
        <v>264</v>
      </c>
      <c r="I450" s="11">
        <f t="shared" si="42"/>
        <v>3</v>
      </c>
      <c r="J450" s="212">
        <v>46261</v>
      </c>
      <c r="K450" s="11">
        <f t="shared" si="43"/>
        <v>2</v>
      </c>
      <c r="L450" s="212" t="s">
        <v>265</v>
      </c>
      <c r="M450" s="11">
        <f t="shared" si="44"/>
        <v>1</v>
      </c>
      <c r="N450" s="12" t="s">
        <v>585</v>
      </c>
      <c r="O450" s="12" t="s">
        <v>657</v>
      </c>
      <c r="P450" s="56" t="s">
        <v>53</v>
      </c>
      <c r="Q450" s="190">
        <v>1057.7217391304348</v>
      </c>
      <c r="R450" s="190">
        <v>961.56521739130437</v>
      </c>
      <c r="S450" s="57">
        <f t="shared" si="45"/>
        <v>96.156521739130426</v>
      </c>
      <c r="T450" s="57"/>
      <c r="U450" s="57"/>
      <c r="V450" s="58">
        <f t="shared" si="46"/>
        <v>105.77217391304349</v>
      </c>
      <c r="W450" s="59">
        <f t="shared" si="47"/>
        <v>9.0909090909090898E-2</v>
      </c>
    </row>
    <row r="451" spans="1:23" hidden="1" x14ac:dyDescent="0.35">
      <c r="A451" s="60"/>
      <c r="B451" s="54">
        <v>450</v>
      </c>
      <c r="C451" s="65" t="s">
        <v>822</v>
      </c>
      <c r="D451" s="12">
        <v>136476</v>
      </c>
      <c r="E451" s="209" t="s">
        <v>946</v>
      </c>
      <c r="F451" s="12">
        <v>139735</v>
      </c>
      <c r="G451" s="212">
        <v>46258</v>
      </c>
      <c r="H451" s="212" t="s">
        <v>257</v>
      </c>
      <c r="I451" s="11">
        <f t="shared" si="42"/>
        <v>1</v>
      </c>
      <c r="J451" s="212">
        <v>46258</v>
      </c>
      <c r="K451" s="11">
        <f t="shared" si="43"/>
        <v>1</v>
      </c>
      <c r="L451" s="212" t="s">
        <v>257</v>
      </c>
      <c r="M451" s="11">
        <f t="shared" si="44"/>
        <v>1</v>
      </c>
      <c r="N451" s="12" t="s">
        <v>586</v>
      </c>
      <c r="O451" s="12" t="s">
        <v>709</v>
      </c>
      <c r="P451" s="56" t="s">
        <v>53</v>
      </c>
      <c r="Q451" s="190">
        <v>486.02173913043481</v>
      </c>
      <c r="R451" s="190">
        <v>486.02173913043481</v>
      </c>
      <c r="S451" s="57">
        <f t="shared" si="45"/>
        <v>0</v>
      </c>
      <c r="T451" s="57"/>
      <c r="U451" s="57"/>
      <c r="V451" s="58">
        <f t="shared" si="46"/>
        <v>48.602173913043487</v>
      </c>
      <c r="W451" s="59">
        <f t="shared" si="47"/>
        <v>0</v>
      </c>
    </row>
    <row r="452" spans="1:23" hidden="1" x14ac:dyDescent="0.35">
      <c r="A452" s="60"/>
      <c r="B452" s="54">
        <v>451</v>
      </c>
      <c r="C452" s="65" t="s">
        <v>822</v>
      </c>
      <c r="D452" s="12">
        <v>136478</v>
      </c>
      <c r="E452" s="210" t="s">
        <v>945</v>
      </c>
      <c r="F452" s="12">
        <v>139739</v>
      </c>
      <c r="G452" s="212">
        <v>46258</v>
      </c>
      <c r="H452" s="212" t="s">
        <v>257</v>
      </c>
      <c r="I452" s="11">
        <f t="shared" si="42"/>
        <v>1</v>
      </c>
      <c r="J452" s="212">
        <v>46259</v>
      </c>
      <c r="K452" s="11">
        <f t="shared" si="43"/>
        <v>2</v>
      </c>
      <c r="L452" s="212" t="s">
        <v>264</v>
      </c>
      <c r="M452" s="11">
        <f t="shared" si="44"/>
        <v>2</v>
      </c>
      <c r="N452" s="12" t="s">
        <v>587</v>
      </c>
      <c r="O452" s="12" t="s">
        <v>809</v>
      </c>
      <c r="P452" s="56" t="s">
        <v>53</v>
      </c>
      <c r="Q452" s="190">
        <v>133625</v>
      </c>
      <c r="R452" s="190">
        <v>133625</v>
      </c>
      <c r="S452" s="57">
        <f t="shared" si="45"/>
        <v>0</v>
      </c>
      <c r="T452" s="57"/>
      <c r="U452" s="57"/>
      <c r="V452" s="58">
        <f t="shared" si="46"/>
        <v>13362.5</v>
      </c>
      <c r="W452" s="59">
        <f t="shared" si="47"/>
        <v>0</v>
      </c>
    </row>
    <row r="453" spans="1:23" hidden="1" x14ac:dyDescent="0.35">
      <c r="A453" s="60"/>
      <c r="B453" s="54">
        <v>452</v>
      </c>
      <c r="C453" s="65" t="s">
        <v>822</v>
      </c>
      <c r="D453" s="12">
        <v>136511</v>
      </c>
      <c r="E453" s="210" t="s">
        <v>945</v>
      </c>
      <c r="F453" s="12">
        <v>139736</v>
      </c>
      <c r="G453" s="212">
        <v>46258</v>
      </c>
      <c r="H453" s="212" t="s">
        <v>264</v>
      </c>
      <c r="I453" s="11">
        <f t="shared" si="42"/>
        <v>3</v>
      </c>
      <c r="J453" s="212">
        <v>46261</v>
      </c>
      <c r="K453" s="11">
        <f t="shared" si="43"/>
        <v>2</v>
      </c>
      <c r="L453" s="212" t="s">
        <v>265</v>
      </c>
      <c r="M453" s="11">
        <f t="shared" si="44"/>
        <v>1</v>
      </c>
      <c r="N453" s="12" t="s">
        <v>588</v>
      </c>
      <c r="O453" s="12" t="s">
        <v>664</v>
      </c>
      <c r="P453" s="56" t="s">
        <v>53</v>
      </c>
      <c r="Q453" s="190">
        <v>62.065217391304351</v>
      </c>
      <c r="R453" s="190">
        <v>62.065217391304351</v>
      </c>
      <c r="S453" s="57">
        <f t="shared" si="45"/>
        <v>0</v>
      </c>
      <c r="T453" s="57"/>
      <c r="U453" s="57"/>
      <c r="V453" s="58">
        <f t="shared" si="46"/>
        <v>6.2065217391304355</v>
      </c>
      <c r="W453" s="59">
        <f t="shared" si="47"/>
        <v>0</v>
      </c>
    </row>
    <row r="454" spans="1:23" hidden="1" x14ac:dyDescent="0.35">
      <c r="A454" s="60"/>
      <c r="B454" s="54">
        <v>453</v>
      </c>
      <c r="C454" s="65" t="s">
        <v>822</v>
      </c>
      <c r="D454" s="12">
        <v>136524</v>
      </c>
      <c r="E454" s="210" t="s">
        <v>945</v>
      </c>
      <c r="F454" s="12">
        <v>139738</v>
      </c>
      <c r="G454" s="212">
        <v>46258</v>
      </c>
      <c r="H454" s="212" t="s">
        <v>264</v>
      </c>
      <c r="I454" s="11">
        <f t="shared" si="42"/>
        <v>3</v>
      </c>
      <c r="J454" s="212">
        <v>46261</v>
      </c>
      <c r="K454" s="11">
        <f t="shared" si="43"/>
        <v>2</v>
      </c>
      <c r="L454" s="212" t="s">
        <v>265</v>
      </c>
      <c r="M454" s="11">
        <f t="shared" si="44"/>
        <v>1</v>
      </c>
      <c r="N454" s="12" t="s">
        <v>589</v>
      </c>
      <c r="O454" s="12" t="s">
        <v>810</v>
      </c>
      <c r="P454" s="56" t="s">
        <v>53</v>
      </c>
      <c r="Q454" s="190">
        <v>986.88695652173908</v>
      </c>
      <c r="R454" s="190">
        <v>986.88695652173908</v>
      </c>
      <c r="S454" s="57">
        <f t="shared" si="45"/>
        <v>0</v>
      </c>
      <c r="T454" s="57"/>
      <c r="U454" s="57"/>
      <c r="V454" s="58">
        <f t="shared" si="46"/>
        <v>98.688695652173919</v>
      </c>
      <c r="W454" s="59">
        <f t="shared" si="47"/>
        <v>0</v>
      </c>
    </row>
    <row r="455" spans="1:23" hidden="1" x14ac:dyDescent="0.35">
      <c r="A455" s="60"/>
      <c r="B455" s="54">
        <v>454</v>
      </c>
      <c r="C455" s="65" t="s">
        <v>822</v>
      </c>
      <c r="D455" s="12">
        <v>136525</v>
      </c>
      <c r="E455" s="210" t="s">
        <v>945</v>
      </c>
      <c r="F455" s="12">
        <v>139733</v>
      </c>
      <c r="G455" s="212">
        <v>46258</v>
      </c>
      <c r="H455" s="212" t="s">
        <v>264</v>
      </c>
      <c r="I455" s="11">
        <f t="shared" si="42"/>
        <v>3</v>
      </c>
      <c r="J455" s="212">
        <v>46261</v>
      </c>
      <c r="K455" s="11">
        <f t="shared" si="43"/>
        <v>2</v>
      </c>
      <c r="L455" s="212" t="s">
        <v>265</v>
      </c>
      <c r="M455" s="11">
        <f t="shared" si="44"/>
        <v>1</v>
      </c>
      <c r="N455" s="12" t="s">
        <v>590</v>
      </c>
      <c r="O455" s="12" t="s">
        <v>664</v>
      </c>
      <c r="P455" s="56" t="s">
        <v>53</v>
      </c>
      <c r="Q455" s="190">
        <v>24.021739130434781</v>
      </c>
      <c r="R455" s="190">
        <v>24.021739130434781</v>
      </c>
      <c r="S455" s="57">
        <f t="shared" si="45"/>
        <v>0</v>
      </c>
      <c r="T455" s="57"/>
      <c r="U455" s="57"/>
      <c r="V455" s="58">
        <f t="shared" si="46"/>
        <v>2.4021739130434785</v>
      </c>
      <c r="W455" s="59">
        <f t="shared" si="47"/>
        <v>0</v>
      </c>
    </row>
    <row r="456" spans="1:23" hidden="1" x14ac:dyDescent="0.35">
      <c r="A456" s="60"/>
      <c r="B456" s="54">
        <v>455</v>
      </c>
      <c r="C456" s="65" t="s">
        <v>822</v>
      </c>
      <c r="D456" s="12">
        <v>136526</v>
      </c>
      <c r="E456" s="210" t="s">
        <v>945</v>
      </c>
      <c r="F456" s="12">
        <v>139737</v>
      </c>
      <c r="G456" s="212">
        <v>46258</v>
      </c>
      <c r="H456" s="212" t="s">
        <v>265</v>
      </c>
      <c r="I456" s="11">
        <f t="shared" si="42"/>
        <v>4</v>
      </c>
      <c r="J456" s="212">
        <v>46261</v>
      </c>
      <c r="K456" s="11">
        <f t="shared" si="43"/>
        <v>1</v>
      </c>
      <c r="L456" s="212" t="s">
        <v>265</v>
      </c>
      <c r="M456" s="11">
        <f t="shared" si="44"/>
        <v>1</v>
      </c>
      <c r="N456" s="12" t="s">
        <v>591</v>
      </c>
      <c r="O456" s="12" t="s">
        <v>771</v>
      </c>
      <c r="P456" s="56" t="s">
        <v>53</v>
      </c>
      <c r="Q456" s="190">
        <v>53634.782608695656</v>
      </c>
      <c r="R456" s="190">
        <v>53634.782608695656</v>
      </c>
      <c r="S456" s="57">
        <f t="shared" si="45"/>
        <v>0</v>
      </c>
      <c r="T456" s="57"/>
      <c r="U456" s="57"/>
      <c r="V456" s="58">
        <f t="shared" si="46"/>
        <v>5363.4782608695659</v>
      </c>
      <c r="W456" s="59">
        <f t="shared" si="47"/>
        <v>0</v>
      </c>
    </row>
    <row r="457" spans="1:23" hidden="1" x14ac:dyDescent="0.35">
      <c r="A457" s="60"/>
      <c r="B457" s="54">
        <v>456</v>
      </c>
      <c r="C457" s="65" t="s">
        <v>822</v>
      </c>
      <c r="D457" s="12">
        <v>136536</v>
      </c>
      <c r="E457" s="210" t="s">
        <v>945</v>
      </c>
      <c r="F457" s="12">
        <v>139726</v>
      </c>
      <c r="G457" s="212">
        <v>46258</v>
      </c>
      <c r="H457" s="212" t="s">
        <v>265</v>
      </c>
      <c r="I457" s="11">
        <f t="shared" si="42"/>
        <v>4</v>
      </c>
      <c r="J457" s="212">
        <v>46262</v>
      </c>
      <c r="K457" s="11">
        <f t="shared" si="43"/>
        <v>2</v>
      </c>
      <c r="L457" s="212" t="s">
        <v>266</v>
      </c>
      <c r="M457" s="11">
        <f t="shared" si="44"/>
        <v>1</v>
      </c>
      <c r="N457" s="12" t="s">
        <v>592</v>
      </c>
      <c r="O457" s="12" t="s">
        <v>799</v>
      </c>
      <c r="P457" s="56" t="s">
        <v>53</v>
      </c>
      <c r="Q457" s="190">
        <v>1665.2173913043478</v>
      </c>
      <c r="R457" s="190">
        <v>1665.2173913043478</v>
      </c>
      <c r="S457" s="57">
        <f t="shared" si="45"/>
        <v>0</v>
      </c>
      <c r="T457" s="57"/>
      <c r="U457" s="57"/>
      <c r="V457" s="58">
        <f t="shared" si="46"/>
        <v>166.52173913043478</v>
      </c>
      <c r="W457" s="59">
        <f t="shared" si="47"/>
        <v>0</v>
      </c>
    </row>
    <row r="458" spans="1:23" hidden="1" x14ac:dyDescent="0.35">
      <c r="A458" s="60"/>
      <c r="B458" s="54">
        <v>457</v>
      </c>
      <c r="C458" s="65" t="s">
        <v>822</v>
      </c>
      <c r="D458" s="12">
        <v>136540</v>
      </c>
      <c r="E458" s="210" t="s">
        <v>945</v>
      </c>
      <c r="F458" s="12">
        <v>139727</v>
      </c>
      <c r="G458" s="212">
        <v>46258</v>
      </c>
      <c r="H458" s="212" t="s">
        <v>265</v>
      </c>
      <c r="I458" s="11">
        <f t="shared" si="42"/>
        <v>4</v>
      </c>
      <c r="J458" s="212">
        <v>46262</v>
      </c>
      <c r="K458" s="11">
        <f t="shared" si="43"/>
        <v>2</v>
      </c>
      <c r="L458" s="212" t="s">
        <v>266</v>
      </c>
      <c r="M458" s="11">
        <f t="shared" si="44"/>
        <v>1</v>
      </c>
      <c r="N458" s="12" t="s">
        <v>593</v>
      </c>
      <c r="O458" s="12" t="s">
        <v>731</v>
      </c>
      <c r="P458" s="56" t="s">
        <v>53</v>
      </c>
      <c r="Q458" s="190">
        <v>347.82608695652175</v>
      </c>
      <c r="R458" s="190">
        <v>347.82608695652175</v>
      </c>
      <c r="S458" s="57">
        <f t="shared" si="45"/>
        <v>0</v>
      </c>
      <c r="T458" s="57"/>
      <c r="U458" s="57"/>
      <c r="V458" s="58">
        <f t="shared" si="46"/>
        <v>34.782608695652179</v>
      </c>
      <c r="W458" s="59">
        <f t="shared" si="47"/>
        <v>0</v>
      </c>
    </row>
    <row r="459" spans="1:23" hidden="1" x14ac:dyDescent="0.35">
      <c r="A459" s="60"/>
      <c r="B459" s="54">
        <v>458</v>
      </c>
      <c r="C459" s="65" t="s">
        <v>822</v>
      </c>
      <c r="D459" s="12">
        <v>136484</v>
      </c>
      <c r="E459" s="210" t="s">
        <v>945</v>
      </c>
      <c r="F459" s="12">
        <v>139760</v>
      </c>
      <c r="G459" s="212">
        <v>46259</v>
      </c>
      <c r="H459" s="212" t="s">
        <v>264</v>
      </c>
      <c r="I459" s="11">
        <f t="shared" si="42"/>
        <v>2</v>
      </c>
      <c r="J459" s="212">
        <v>46260</v>
      </c>
      <c r="K459" s="11">
        <f t="shared" si="43"/>
        <v>1</v>
      </c>
      <c r="L459" s="212" t="s">
        <v>264</v>
      </c>
      <c r="M459" s="11">
        <f t="shared" si="44"/>
        <v>1</v>
      </c>
      <c r="N459" s="12" t="s">
        <v>594</v>
      </c>
      <c r="O459" s="12" t="s">
        <v>673</v>
      </c>
      <c r="P459" s="56" t="s">
        <v>53</v>
      </c>
      <c r="Q459" s="190">
        <v>38912</v>
      </c>
      <c r="R459" s="190">
        <v>38912</v>
      </c>
      <c r="S459" s="57">
        <f t="shared" si="45"/>
        <v>0</v>
      </c>
      <c r="T459" s="57"/>
      <c r="U459" s="57"/>
      <c r="V459" s="58">
        <f t="shared" si="46"/>
        <v>3891.2000000000003</v>
      </c>
      <c r="W459" s="59">
        <f t="shared" si="47"/>
        <v>0</v>
      </c>
    </row>
    <row r="460" spans="1:23" hidden="1" x14ac:dyDescent="0.35">
      <c r="A460" s="60"/>
      <c r="B460" s="54">
        <v>459</v>
      </c>
      <c r="C460" s="65" t="s">
        <v>822</v>
      </c>
      <c r="D460" s="12">
        <v>136498</v>
      </c>
      <c r="E460" s="210" t="s">
        <v>945</v>
      </c>
      <c r="F460" s="12">
        <v>139770</v>
      </c>
      <c r="G460" s="212">
        <v>46259</v>
      </c>
      <c r="H460" s="212" t="s">
        <v>264</v>
      </c>
      <c r="I460" s="11">
        <f t="shared" si="42"/>
        <v>2</v>
      </c>
      <c r="J460" s="212">
        <v>46260</v>
      </c>
      <c r="K460" s="11">
        <f t="shared" si="43"/>
        <v>1</v>
      </c>
      <c r="L460" s="212" t="s">
        <v>264</v>
      </c>
      <c r="M460" s="11">
        <f t="shared" si="44"/>
        <v>1</v>
      </c>
      <c r="N460" s="12" t="s">
        <v>936</v>
      </c>
      <c r="O460" s="12" t="s">
        <v>811</v>
      </c>
      <c r="P460" s="56" t="s">
        <v>53</v>
      </c>
      <c r="Q460" s="190">
        <v>13021.739130434782</v>
      </c>
      <c r="R460" s="190">
        <v>13021.739130434782</v>
      </c>
      <c r="S460" s="57">
        <f t="shared" si="45"/>
        <v>0</v>
      </c>
      <c r="T460" s="57"/>
      <c r="U460" s="57"/>
      <c r="V460" s="58">
        <f t="shared" si="46"/>
        <v>1302.1739130434783</v>
      </c>
      <c r="W460" s="59">
        <f t="shared" si="47"/>
        <v>0</v>
      </c>
    </row>
    <row r="461" spans="1:23" hidden="1" x14ac:dyDescent="0.35">
      <c r="A461" s="60"/>
      <c r="B461" s="54">
        <v>460</v>
      </c>
      <c r="C461" s="65" t="s">
        <v>822</v>
      </c>
      <c r="D461" s="12">
        <v>136499</v>
      </c>
      <c r="E461" s="210" t="s">
        <v>945</v>
      </c>
      <c r="F461" s="12">
        <v>139769</v>
      </c>
      <c r="G461" s="212">
        <v>46259</v>
      </c>
      <c r="H461" s="212" t="s">
        <v>264</v>
      </c>
      <c r="I461" s="11">
        <f t="shared" si="42"/>
        <v>2</v>
      </c>
      <c r="J461" s="212">
        <v>46260</v>
      </c>
      <c r="K461" s="11">
        <f t="shared" si="43"/>
        <v>1</v>
      </c>
      <c r="L461" s="212" t="s">
        <v>264</v>
      </c>
      <c r="M461" s="11">
        <f t="shared" si="44"/>
        <v>1</v>
      </c>
      <c r="N461" s="12" t="s">
        <v>937</v>
      </c>
      <c r="O461" s="12" t="s">
        <v>812</v>
      </c>
      <c r="P461" s="56" t="s">
        <v>53</v>
      </c>
      <c r="Q461" s="190">
        <v>11739.130434782608</v>
      </c>
      <c r="R461" s="190">
        <v>11739.130434782608</v>
      </c>
      <c r="S461" s="57">
        <f t="shared" si="45"/>
        <v>0</v>
      </c>
      <c r="T461" s="57"/>
      <c r="U461" s="57"/>
      <c r="V461" s="58">
        <f t="shared" si="46"/>
        <v>1173.9130434782608</v>
      </c>
      <c r="W461" s="59">
        <f t="shared" si="47"/>
        <v>0</v>
      </c>
    </row>
    <row r="462" spans="1:23" hidden="1" x14ac:dyDescent="0.35">
      <c r="A462" s="60"/>
      <c r="B462" s="54">
        <v>461</v>
      </c>
      <c r="C462" s="65" t="s">
        <v>822</v>
      </c>
      <c r="D462" s="12">
        <v>136500</v>
      </c>
      <c r="E462" s="210" t="s">
        <v>946</v>
      </c>
      <c r="F462" s="12">
        <v>139753</v>
      </c>
      <c r="G462" s="212">
        <v>46259</v>
      </c>
      <c r="H462" s="212" t="s">
        <v>264</v>
      </c>
      <c r="I462" s="11">
        <f t="shared" si="42"/>
        <v>2</v>
      </c>
      <c r="J462" s="212">
        <v>46260</v>
      </c>
      <c r="K462" s="11">
        <f t="shared" si="43"/>
        <v>1</v>
      </c>
      <c r="L462" s="212" t="s">
        <v>264</v>
      </c>
      <c r="M462" s="11">
        <f t="shared" si="44"/>
        <v>1</v>
      </c>
      <c r="N462" s="12" t="s">
        <v>938</v>
      </c>
      <c r="O462" s="12" t="s">
        <v>813</v>
      </c>
      <c r="P462" s="56" t="s">
        <v>53</v>
      </c>
      <c r="Q462" s="190">
        <v>1760.8695652173913</v>
      </c>
      <c r="R462" s="190">
        <v>1760.8695652173913</v>
      </c>
      <c r="S462" s="57">
        <f t="shared" si="45"/>
        <v>0</v>
      </c>
      <c r="T462" s="57"/>
      <c r="U462" s="57"/>
      <c r="V462" s="58">
        <f t="shared" si="46"/>
        <v>176.08695652173913</v>
      </c>
      <c r="W462" s="59">
        <f t="shared" si="47"/>
        <v>0</v>
      </c>
    </row>
    <row r="463" spans="1:23" hidden="1" x14ac:dyDescent="0.35">
      <c r="A463" s="60"/>
      <c r="B463" s="54">
        <v>462</v>
      </c>
      <c r="C463" s="65" t="s">
        <v>822</v>
      </c>
      <c r="D463" s="12">
        <v>136501</v>
      </c>
      <c r="E463" s="210" t="s">
        <v>946</v>
      </c>
      <c r="F463" s="12">
        <v>139750</v>
      </c>
      <c r="G463" s="212">
        <v>46259</v>
      </c>
      <c r="H463" s="212" t="s">
        <v>264</v>
      </c>
      <c r="I463" s="11">
        <f t="shared" si="42"/>
        <v>2</v>
      </c>
      <c r="J463" s="212">
        <v>46260</v>
      </c>
      <c r="K463" s="11">
        <f t="shared" si="43"/>
        <v>1</v>
      </c>
      <c r="L463" s="212" t="s">
        <v>264</v>
      </c>
      <c r="M463" s="11">
        <f t="shared" si="44"/>
        <v>1</v>
      </c>
      <c r="N463" s="12" t="s">
        <v>939</v>
      </c>
      <c r="O463" s="12" t="s">
        <v>814</v>
      </c>
      <c r="P463" s="56" t="s">
        <v>53</v>
      </c>
      <c r="Q463" s="190">
        <v>2457</v>
      </c>
      <c r="R463" s="190">
        <v>2457</v>
      </c>
      <c r="S463" s="57">
        <f t="shared" si="45"/>
        <v>0</v>
      </c>
      <c r="T463" s="57"/>
      <c r="U463" s="57"/>
      <c r="V463" s="58">
        <f t="shared" si="46"/>
        <v>245.70000000000002</v>
      </c>
      <c r="W463" s="59">
        <f t="shared" si="47"/>
        <v>0</v>
      </c>
    </row>
    <row r="464" spans="1:23" hidden="1" x14ac:dyDescent="0.35">
      <c r="A464" s="60"/>
      <c r="B464" s="54">
        <v>463</v>
      </c>
      <c r="C464" s="65" t="s">
        <v>822</v>
      </c>
      <c r="D464" s="12">
        <v>136502</v>
      </c>
      <c r="E464" s="210" t="s">
        <v>945</v>
      </c>
      <c r="F464" s="12">
        <v>139749</v>
      </c>
      <c r="G464" s="212">
        <v>46259</v>
      </c>
      <c r="H464" s="212" t="s">
        <v>264</v>
      </c>
      <c r="I464" s="11">
        <f t="shared" si="42"/>
        <v>2</v>
      </c>
      <c r="J464" s="212">
        <v>46260</v>
      </c>
      <c r="K464" s="11">
        <f t="shared" si="43"/>
        <v>1</v>
      </c>
      <c r="L464" s="212" t="s">
        <v>264</v>
      </c>
      <c r="M464" s="11">
        <f t="shared" si="44"/>
        <v>1</v>
      </c>
      <c r="N464" s="12" t="s">
        <v>940</v>
      </c>
      <c r="O464" s="12" t="s">
        <v>815</v>
      </c>
      <c r="P464" s="56" t="s">
        <v>53</v>
      </c>
      <c r="Q464" s="190">
        <v>695.6521739130435</v>
      </c>
      <c r="R464" s="190">
        <v>695.6521739130435</v>
      </c>
      <c r="S464" s="57">
        <f t="shared" si="45"/>
        <v>0</v>
      </c>
      <c r="T464" s="57"/>
      <c r="U464" s="57"/>
      <c r="V464" s="58">
        <f t="shared" si="46"/>
        <v>69.565217391304358</v>
      </c>
      <c r="W464" s="59">
        <f t="shared" si="47"/>
        <v>0</v>
      </c>
    </row>
    <row r="465" spans="1:23" hidden="1" x14ac:dyDescent="0.35">
      <c r="A465" s="60"/>
      <c r="B465" s="54">
        <v>464</v>
      </c>
      <c r="C465" s="65" t="s">
        <v>822</v>
      </c>
      <c r="D465" s="12">
        <v>136503</v>
      </c>
      <c r="E465" s="209" t="s">
        <v>946</v>
      </c>
      <c r="F465" s="12">
        <v>139751</v>
      </c>
      <c r="G465" s="212">
        <v>46259</v>
      </c>
      <c r="H465" s="212" t="s">
        <v>264</v>
      </c>
      <c r="I465" s="11">
        <f t="shared" si="42"/>
        <v>2</v>
      </c>
      <c r="J465" s="212">
        <v>46260</v>
      </c>
      <c r="K465" s="11">
        <f t="shared" si="43"/>
        <v>1</v>
      </c>
      <c r="L465" s="212" t="s">
        <v>264</v>
      </c>
      <c r="M465" s="11">
        <f t="shared" si="44"/>
        <v>1</v>
      </c>
      <c r="N465" s="12" t="s">
        <v>941</v>
      </c>
      <c r="O465" s="12" t="s">
        <v>816</v>
      </c>
      <c r="P465" s="56" t="s">
        <v>53</v>
      </c>
      <c r="Q465" s="190">
        <v>1699.8739130434783</v>
      </c>
      <c r="R465" s="190">
        <v>1699.8739130434783</v>
      </c>
      <c r="S465" s="57">
        <f t="shared" si="45"/>
        <v>0</v>
      </c>
      <c r="T465" s="57"/>
      <c r="U465" s="57"/>
      <c r="V465" s="58">
        <f t="shared" si="46"/>
        <v>169.98739130434785</v>
      </c>
      <c r="W465" s="59">
        <f t="shared" si="47"/>
        <v>0</v>
      </c>
    </row>
    <row r="466" spans="1:23" hidden="1" x14ac:dyDescent="0.35">
      <c r="A466" s="60"/>
      <c r="B466" s="54">
        <v>465</v>
      </c>
      <c r="C466" s="65" t="s">
        <v>822</v>
      </c>
      <c r="D466" s="12">
        <v>136504</v>
      </c>
      <c r="E466" s="210" t="s">
        <v>945</v>
      </c>
      <c r="F466" s="12">
        <v>139768</v>
      </c>
      <c r="G466" s="212">
        <v>46259</v>
      </c>
      <c r="H466" s="212" t="s">
        <v>264</v>
      </c>
      <c r="I466" s="11">
        <f t="shared" si="42"/>
        <v>2</v>
      </c>
      <c r="J466" s="212">
        <v>46260</v>
      </c>
      <c r="K466" s="11">
        <f t="shared" si="43"/>
        <v>1</v>
      </c>
      <c r="L466" s="212" t="s">
        <v>264</v>
      </c>
      <c r="M466" s="11">
        <f t="shared" si="44"/>
        <v>1</v>
      </c>
      <c r="N466" s="12" t="s">
        <v>942</v>
      </c>
      <c r="O466" s="12" t="s">
        <v>709</v>
      </c>
      <c r="P466" s="56" t="s">
        <v>53</v>
      </c>
      <c r="Q466" s="190">
        <v>308.32608695652175</v>
      </c>
      <c r="R466" s="190">
        <v>308.32608695652175</v>
      </c>
      <c r="S466" s="57">
        <f t="shared" si="45"/>
        <v>0</v>
      </c>
      <c r="T466" s="57"/>
      <c r="U466" s="57"/>
      <c r="V466" s="58">
        <f t="shared" si="46"/>
        <v>30.832608695652176</v>
      </c>
      <c r="W466" s="59">
        <f t="shared" si="47"/>
        <v>0</v>
      </c>
    </row>
    <row r="467" spans="1:23" hidden="1" x14ac:dyDescent="0.35">
      <c r="A467" s="60"/>
      <c r="B467" s="54">
        <v>466</v>
      </c>
      <c r="C467" s="65" t="s">
        <v>822</v>
      </c>
      <c r="D467" s="12">
        <v>136505</v>
      </c>
      <c r="E467" s="210" t="s">
        <v>945</v>
      </c>
      <c r="F467" s="12">
        <v>139759</v>
      </c>
      <c r="G467" s="212">
        <v>46259</v>
      </c>
      <c r="H467" s="212" t="s">
        <v>264</v>
      </c>
      <c r="I467" s="11">
        <f t="shared" si="42"/>
        <v>2</v>
      </c>
      <c r="J467" s="212">
        <v>46260</v>
      </c>
      <c r="K467" s="11">
        <f t="shared" si="43"/>
        <v>1</v>
      </c>
      <c r="L467" s="212" t="s">
        <v>264</v>
      </c>
      <c r="M467" s="11">
        <f t="shared" si="44"/>
        <v>1</v>
      </c>
      <c r="N467" s="12" t="s">
        <v>943</v>
      </c>
      <c r="O467" s="12" t="s">
        <v>817</v>
      </c>
      <c r="P467" s="56" t="s">
        <v>53</v>
      </c>
      <c r="Q467" s="190">
        <v>228.2608695652174</v>
      </c>
      <c r="R467" s="190">
        <v>228.2608695652174</v>
      </c>
      <c r="S467" s="57">
        <f t="shared" si="45"/>
        <v>0</v>
      </c>
      <c r="T467" s="57"/>
      <c r="U467" s="57"/>
      <c r="V467" s="58">
        <f t="shared" si="46"/>
        <v>22.826086956521742</v>
      </c>
      <c r="W467" s="59">
        <f t="shared" si="47"/>
        <v>0</v>
      </c>
    </row>
    <row r="468" spans="1:23" hidden="1" x14ac:dyDescent="0.35">
      <c r="A468" s="60"/>
      <c r="B468" s="54">
        <v>467</v>
      </c>
      <c r="C468" s="65" t="s">
        <v>822</v>
      </c>
      <c r="D468" s="12">
        <v>136509</v>
      </c>
      <c r="E468" s="210" t="s">
        <v>945</v>
      </c>
      <c r="F468" s="12">
        <v>139758</v>
      </c>
      <c r="G468" s="212">
        <v>46259</v>
      </c>
      <c r="H468" s="212" t="s">
        <v>264</v>
      </c>
      <c r="I468" s="11">
        <f t="shared" si="42"/>
        <v>2</v>
      </c>
      <c r="J468" s="212">
        <v>46261</v>
      </c>
      <c r="K468" s="11">
        <f t="shared" si="43"/>
        <v>2</v>
      </c>
      <c r="L468" s="212" t="s">
        <v>265</v>
      </c>
      <c r="M468" s="11">
        <f t="shared" si="44"/>
        <v>1</v>
      </c>
      <c r="N468" s="12" t="s">
        <v>595</v>
      </c>
      <c r="O468" s="12" t="s">
        <v>712</v>
      </c>
      <c r="P468" s="56" t="s">
        <v>53</v>
      </c>
      <c r="Q468" s="190">
        <v>61.728260869565219</v>
      </c>
      <c r="R468" s="190">
        <v>61.728260869565219</v>
      </c>
      <c r="S468" s="57">
        <f t="shared" si="45"/>
        <v>0</v>
      </c>
      <c r="T468" s="57"/>
      <c r="U468" s="57"/>
      <c r="V468" s="58">
        <f t="shared" si="46"/>
        <v>6.1728260869565226</v>
      </c>
      <c r="W468" s="59">
        <f t="shared" si="47"/>
        <v>0</v>
      </c>
    </row>
    <row r="469" spans="1:23" hidden="1" x14ac:dyDescent="0.35">
      <c r="A469" s="60"/>
      <c r="B469" s="54">
        <v>468</v>
      </c>
      <c r="C469" s="65" t="s">
        <v>822</v>
      </c>
      <c r="D469" s="12">
        <v>136527</v>
      </c>
      <c r="E469" s="210" t="s">
        <v>945</v>
      </c>
      <c r="F469" s="12">
        <v>139746</v>
      </c>
      <c r="G469" s="212">
        <v>46259</v>
      </c>
      <c r="H469" s="212" t="s">
        <v>264</v>
      </c>
      <c r="I469" s="11">
        <f t="shared" si="42"/>
        <v>2</v>
      </c>
      <c r="J469" s="212">
        <v>46261</v>
      </c>
      <c r="K469" s="11">
        <f t="shared" si="43"/>
        <v>2</v>
      </c>
      <c r="L469" s="212" t="s">
        <v>267</v>
      </c>
      <c r="M469" s="11">
        <f t="shared" si="44"/>
        <v>3</v>
      </c>
      <c r="N469" s="12" t="s">
        <v>596</v>
      </c>
      <c r="O469" s="12" t="s">
        <v>818</v>
      </c>
      <c r="P469" s="56" t="s">
        <v>53</v>
      </c>
      <c r="Q469" s="190">
        <v>2772</v>
      </c>
      <c r="R469" s="190">
        <v>2772</v>
      </c>
      <c r="S469" s="57">
        <f t="shared" si="45"/>
        <v>0</v>
      </c>
      <c r="T469" s="57"/>
      <c r="U469" s="57"/>
      <c r="V469" s="58">
        <f t="shared" si="46"/>
        <v>277.2</v>
      </c>
      <c r="W469" s="59">
        <f t="shared" si="47"/>
        <v>0</v>
      </c>
    </row>
    <row r="470" spans="1:23" hidden="1" x14ac:dyDescent="0.35">
      <c r="A470" s="60"/>
      <c r="B470" s="54">
        <v>469</v>
      </c>
      <c r="C470" s="65" t="s">
        <v>822</v>
      </c>
      <c r="D470" s="12">
        <v>136533</v>
      </c>
      <c r="E470" s="210" t="s">
        <v>945</v>
      </c>
      <c r="F470" s="12">
        <v>139776</v>
      </c>
      <c r="G470" s="212">
        <v>46260</v>
      </c>
      <c r="H470" s="212" t="s">
        <v>265</v>
      </c>
      <c r="I470" s="11">
        <f t="shared" si="42"/>
        <v>2</v>
      </c>
      <c r="J470" s="212">
        <v>46261</v>
      </c>
      <c r="K470" s="11">
        <f t="shared" si="43"/>
        <v>1</v>
      </c>
      <c r="L470" s="212" t="s">
        <v>265</v>
      </c>
      <c r="M470" s="11">
        <f t="shared" si="44"/>
        <v>1</v>
      </c>
      <c r="N470" s="12" t="s">
        <v>597</v>
      </c>
      <c r="O470" s="12" t="s">
        <v>709</v>
      </c>
      <c r="P470" s="56" t="s">
        <v>53</v>
      </c>
      <c r="Q470" s="190">
        <v>2753.1304347826085</v>
      </c>
      <c r="R470" s="190">
        <v>2753.1304347826085</v>
      </c>
      <c r="S470" s="57">
        <f t="shared" si="45"/>
        <v>0</v>
      </c>
      <c r="T470" s="57"/>
      <c r="U470" s="57"/>
      <c r="V470" s="58">
        <f t="shared" si="46"/>
        <v>275.31304347826085</v>
      </c>
      <c r="W470" s="59">
        <f t="shared" si="47"/>
        <v>0</v>
      </c>
    </row>
    <row r="471" spans="1:23" hidden="1" x14ac:dyDescent="0.35">
      <c r="A471" s="60"/>
      <c r="B471" s="54">
        <v>470</v>
      </c>
      <c r="C471" s="65" t="s">
        <v>822</v>
      </c>
      <c r="D471" s="12">
        <v>136534</v>
      </c>
      <c r="E471" s="210" t="s">
        <v>945</v>
      </c>
      <c r="F471" s="12">
        <v>139780</v>
      </c>
      <c r="G471" s="212">
        <v>46260</v>
      </c>
      <c r="H471" s="212" t="s">
        <v>265</v>
      </c>
      <c r="I471" s="11">
        <f t="shared" si="42"/>
        <v>2</v>
      </c>
      <c r="J471" s="212">
        <v>46261</v>
      </c>
      <c r="K471" s="11">
        <f t="shared" si="43"/>
        <v>1</v>
      </c>
      <c r="L471" s="212" t="s">
        <v>265</v>
      </c>
      <c r="M471" s="11">
        <f t="shared" si="44"/>
        <v>1</v>
      </c>
      <c r="N471" s="12" t="s">
        <v>598</v>
      </c>
      <c r="O471" s="12" t="s">
        <v>819</v>
      </c>
      <c r="P471" s="56" t="s">
        <v>53</v>
      </c>
      <c r="Q471" s="190">
        <v>230.5</v>
      </c>
      <c r="R471" s="190">
        <v>230.5</v>
      </c>
      <c r="S471" s="57">
        <f t="shared" si="45"/>
        <v>0</v>
      </c>
      <c r="T471" s="57"/>
      <c r="U471" s="57"/>
      <c r="V471" s="58">
        <f t="shared" si="46"/>
        <v>23.05</v>
      </c>
      <c r="W471" s="59">
        <f t="shared" si="47"/>
        <v>0</v>
      </c>
    </row>
    <row r="472" spans="1:23" hidden="1" x14ac:dyDescent="0.35">
      <c r="A472" s="60"/>
      <c r="B472" s="54">
        <v>471</v>
      </c>
      <c r="C472" s="65" t="s">
        <v>822</v>
      </c>
      <c r="D472" s="12">
        <v>136535</v>
      </c>
      <c r="E472" s="210" t="s">
        <v>945</v>
      </c>
      <c r="F472" s="12">
        <v>139775</v>
      </c>
      <c r="G472" s="212">
        <v>46260</v>
      </c>
      <c r="H472" s="212" t="s">
        <v>266</v>
      </c>
      <c r="I472" s="11">
        <f t="shared" si="42"/>
        <v>3</v>
      </c>
      <c r="J472" s="212">
        <v>46262</v>
      </c>
      <c r="K472" s="11">
        <f t="shared" si="43"/>
        <v>1</v>
      </c>
      <c r="L472" s="212" t="s">
        <v>266</v>
      </c>
      <c r="M472" s="11">
        <f t="shared" si="44"/>
        <v>1</v>
      </c>
      <c r="N472" s="12" t="s">
        <v>599</v>
      </c>
      <c r="O472" s="12" t="s">
        <v>820</v>
      </c>
      <c r="P472" s="56" t="s">
        <v>53</v>
      </c>
      <c r="Q472" s="190">
        <v>60000</v>
      </c>
      <c r="R472" s="190">
        <v>60000</v>
      </c>
      <c r="S472" s="57">
        <f t="shared" si="45"/>
        <v>0</v>
      </c>
      <c r="T472" s="57"/>
      <c r="U472" s="57"/>
      <c r="V472" s="58">
        <f t="shared" si="46"/>
        <v>6000</v>
      </c>
      <c r="W472" s="59">
        <f t="shared" si="47"/>
        <v>0</v>
      </c>
    </row>
    <row r="473" spans="1:23" hidden="1" x14ac:dyDescent="0.35">
      <c r="A473" s="60"/>
      <c r="B473" s="54">
        <v>472</v>
      </c>
      <c r="C473" s="65" t="s">
        <v>822</v>
      </c>
      <c r="D473" s="12">
        <v>136520</v>
      </c>
      <c r="E473" s="210" t="s">
        <v>945</v>
      </c>
      <c r="F473" s="12">
        <v>139786</v>
      </c>
      <c r="G473" s="212">
        <v>46261</v>
      </c>
      <c r="H473" s="212" t="s">
        <v>265</v>
      </c>
      <c r="I473" s="11">
        <f t="shared" si="42"/>
        <v>1</v>
      </c>
      <c r="J473" s="212">
        <v>46261</v>
      </c>
      <c r="K473" s="11">
        <f t="shared" si="43"/>
        <v>1</v>
      </c>
      <c r="L473" s="212" t="s">
        <v>265</v>
      </c>
      <c r="M473" s="11">
        <f t="shared" si="44"/>
        <v>1</v>
      </c>
      <c r="N473" s="12" t="s">
        <v>944</v>
      </c>
      <c r="O473" s="12" t="s">
        <v>821</v>
      </c>
      <c r="P473" s="56" t="s">
        <v>53</v>
      </c>
      <c r="Q473" s="190">
        <v>6182.608695652174</v>
      </c>
      <c r="R473" s="190">
        <v>6182.608695652174</v>
      </c>
      <c r="S473" s="57">
        <f t="shared" si="45"/>
        <v>0</v>
      </c>
      <c r="T473" s="57"/>
      <c r="U473" s="57"/>
      <c r="V473" s="58">
        <f t="shared" si="46"/>
        <v>618.26086956521749</v>
      </c>
      <c r="W473" s="59">
        <f t="shared" si="47"/>
        <v>0</v>
      </c>
    </row>
    <row r="474" spans="1:23" hidden="1" x14ac:dyDescent="0.35">
      <c r="A474" s="60"/>
      <c r="B474" s="54">
        <v>473</v>
      </c>
      <c r="C474" s="65" t="s">
        <v>822</v>
      </c>
      <c r="D474" s="12">
        <v>136521</v>
      </c>
      <c r="E474" s="210" t="s">
        <v>945</v>
      </c>
      <c r="F474" s="12">
        <v>139791</v>
      </c>
      <c r="G474" s="212">
        <v>46261</v>
      </c>
      <c r="H474" s="212" t="s">
        <v>265</v>
      </c>
      <c r="I474" s="11">
        <f t="shared" si="42"/>
        <v>1</v>
      </c>
      <c r="J474" s="212">
        <v>46261</v>
      </c>
      <c r="K474" s="11">
        <f t="shared" si="43"/>
        <v>1</v>
      </c>
      <c r="L474" s="212" t="s">
        <v>265</v>
      </c>
      <c r="M474" s="11">
        <f t="shared" si="44"/>
        <v>1</v>
      </c>
      <c r="N474" s="12" t="s">
        <v>600</v>
      </c>
      <c r="O474" s="12" t="s">
        <v>709</v>
      </c>
      <c r="P474" s="56" t="s">
        <v>53</v>
      </c>
      <c r="Q474" s="190">
        <v>475.1521739130435</v>
      </c>
      <c r="R474" s="190">
        <v>475.1521739130435</v>
      </c>
      <c r="S474" s="57">
        <f t="shared" si="45"/>
        <v>0</v>
      </c>
      <c r="T474" s="57"/>
      <c r="U474" s="57"/>
      <c r="V474" s="58">
        <f t="shared" si="46"/>
        <v>47.515217391304354</v>
      </c>
      <c r="W474" s="59">
        <f t="shared" si="47"/>
        <v>0</v>
      </c>
    </row>
    <row r="475" spans="1:23" hidden="1" x14ac:dyDescent="0.35">
      <c r="A475" s="60"/>
      <c r="B475" s="54">
        <v>474</v>
      </c>
      <c r="C475" s="65" t="s">
        <v>822</v>
      </c>
      <c r="D475" s="12">
        <v>136541</v>
      </c>
      <c r="E475" s="210" t="s">
        <v>945</v>
      </c>
      <c r="F475" s="12">
        <v>139799</v>
      </c>
      <c r="G475" s="212">
        <v>46261</v>
      </c>
      <c r="H475" s="212" t="s">
        <v>266</v>
      </c>
      <c r="I475" s="11">
        <f t="shared" si="42"/>
        <v>2</v>
      </c>
      <c r="J475" s="212">
        <v>46262</v>
      </c>
      <c r="K475" s="11">
        <f t="shared" si="43"/>
        <v>1</v>
      </c>
      <c r="L475" s="212" t="s">
        <v>266</v>
      </c>
      <c r="M475" s="11">
        <f t="shared" si="44"/>
        <v>1</v>
      </c>
      <c r="N475" s="12" t="s">
        <v>601</v>
      </c>
      <c r="O475" s="12" t="s">
        <v>641</v>
      </c>
      <c r="P475" s="56" t="s">
        <v>53</v>
      </c>
      <c r="Q475" s="190">
        <v>86.956521739130437</v>
      </c>
      <c r="R475" s="190">
        <v>86.956521739130437</v>
      </c>
      <c r="S475" s="57">
        <f t="shared" si="45"/>
        <v>0</v>
      </c>
      <c r="T475" s="57"/>
      <c r="U475" s="57"/>
      <c r="V475" s="58">
        <f t="shared" si="46"/>
        <v>8.6956521739130448</v>
      </c>
      <c r="W475" s="59">
        <f t="shared" si="47"/>
        <v>0</v>
      </c>
    </row>
    <row r="476" spans="1:23" hidden="1" x14ac:dyDescent="0.35">
      <c r="A476" s="60"/>
      <c r="B476" s="54">
        <v>475</v>
      </c>
      <c r="C476" s="65" t="s">
        <v>822</v>
      </c>
      <c r="D476" s="12">
        <v>136543</v>
      </c>
      <c r="E476" s="210" t="s">
        <v>945</v>
      </c>
      <c r="F476" s="12">
        <v>139801</v>
      </c>
      <c r="G476" s="212">
        <v>46261</v>
      </c>
      <c r="H476" s="212" t="s">
        <v>266</v>
      </c>
      <c r="I476" s="11">
        <f t="shared" si="42"/>
        <v>2</v>
      </c>
      <c r="J476" s="212">
        <v>46262</v>
      </c>
      <c r="K476" s="11">
        <f t="shared" si="43"/>
        <v>1</v>
      </c>
      <c r="L476" s="212" t="s">
        <v>266</v>
      </c>
      <c r="M476" s="11">
        <f t="shared" si="44"/>
        <v>1</v>
      </c>
      <c r="N476" s="12" t="s">
        <v>602</v>
      </c>
      <c r="O476" s="12" t="s">
        <v>610</v>
      </c>
      <c r="P476" s="56" t="s">
        <v>53</v>
      </c>
      <c r="Q476" s="190">
        <v>42.210152173913045</v>
      </c>
      <c r="R476" s="190">
        <v>42.210152173913045</v>
      </c>
      <c r="S476" s="57">
        <f t="shared" si="45"/>
        <v>0</v>
      </c>
      <c r="T476" s="57"/>
      <c r="U476" s="57"/>
      <c r="V476" s="58">
        <f t="shared" si="46"/>
        <v>4.2210152173913045</v>
      </c>
      <c r="W476" s="59">
        <f t="shared" si="47"/>
        <v>0</v>
      </c>
    </row>
    <row r="477" spans="1:23" hidden="1" x14ac:dyDescent="0.35">
      <c r="A477" s="60"/>
      <c r="B477" s="54">
        <v>476</v>
      </c>
      <c r="C477" s="65" t="s">
        <v>822</v>
      </c>
      <c r="D477" s="12">
        <v>136544</v>
      </c>
      <c r="E477" s="210" t="s">
        <v>945</v>
      </c>
      <c r="F477" s="12">
        <v>139835</v>
      </c>
      <c r="G477" s="212">
        <v>46262</v>
      </c>
      <c r="H477" s="212" t="s">
        <v>266</v>
      </c>
      <c r="I477" s="11">
        <f t="shared" si="42"/>
        <v>1</v>
      </c>
      <c r="J477" s="212">
        <v>46262</v>
      </c>
      <c r="K477" s="11">
        <f t="shared" si="43"/>
        <v>1</v>
      </c>
      <c r="L477" s="212" t="s">
        <v>266</v>
      </c>
      <c r="M477" s="11">
        <f t="shared" si="44"/>
        <v>1</v>
      </c>
      <c r="N477" s="12" t="s">
        <v>603</v>
      </c>
      <c r="O477" s="12" t="s">
        <v>701</v>
      </c>
      <c r="P477" s="56" t="s">
        <v>53</v>
      </c>
      <c r="Q477" s="190">
        <v>247.28260869565219</v>
      </c>
      <c r="R477" s="190">
        <v>247.28260869565219</v>
      </c>
      <c r="S477" s="57">
        <f t="shared" si="45"/>
        <v>0</v>
      </c>
      <c r="T477" s="57"/>
      <c r="U477" s="57"/>
      <c r="V477" s="58">
        <f t="shared" si="46"/>
        <v>24.728260869565219</v>
      </c>
      <c r="W477" s="59">
        <f t="shared" si="47"/>
        <v>0</v>
      </c>
    </row>
  </sheetData>
  <autoFilter ref="B4:W477" xr:uid="{00000000-0009-0000-0000-000002000000}">
    <filterColumn colId="17">
      <filters>
        <filter val="1 054 193"/>
        <filter val="109"/>
        <filter val="11 980"/>
        <filter val="14 527"/>
        <filter val="14 542"/>
        <filter val="144"/>
        <filter val="15"/>
        <filter val="154"/>
        <filter val="156 859"/>
        <filter val="176"/>
        <filter val="18 957"/>
        <filter val="2 494"/>
        <filter val="20"/>
        <filter val="22"/>
        <filter val="25 654"/>
        <filter val="282"/>
        <filter val="283"/>
        <filter val="291"/>
        <filter val="294"/>
        <filter val="301"/>
        <filter val="33 451"/>
        <filter val="334 590"/>
        <filter val="39"/>
        <filter val="427"/>
        <filter val="452 020"/>
        <filter val="55 880"/>
        <filter val="66"/>
        <filter val="752"/>
        <filter val="795"/>
        <filter val="96"/>
      </filters>
    </filterColumn>
  </autoFilter>
  <mergeCells count="14">
    <mergeCell ref="B1:W1"/>
    <mergeCell ref="C2:C3"/>
    <mergeCell ref="G2:G3"/>
    <mergeCell ref="H2:H3"/>
    <mergeCell ref="J2:J3"/>
    <mergeCell ref="L2:L3"/>
    <mergeCell ref="I2:I3"/>
    <mergeCell ref="K2:K3"/>
    <mergeCell ref="M2:M3"/>
    <mergeCell ref="P2:P3"/>
    <mergeCell ref="S2:S3"/>
    <mergeCell ref="W2:W3"/>
    <mergeCell ref="T2:T3"/>
    <mergeCell ref="U2:U3"/>
  </mergeCells>
  <conditionalFormatting sqref="S5:U477">
    <cfRule type="cellIs" dxfId="23" priority="70" stopIfTrue="1" operator="lessThan">
      <formula>#REF!</formula>
    </cfRule>
    <cfRule type="cellIs" dxfId="22" priority="71" stopIfTrue="1" operator="greaterThanOrEqual">
      <formula>#REF!</formula>
    </cfRule>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702"/>
  <sheetViews>
    <sheetView zoomScale="80" zoomScaleNormal="80" workbookViewId="0">
      <pane xSplit="4" ySplit="4" topLeftCell="E5" activePane="bottomRight" state="frozen"/>
      <selection pane="topRight" activeCell="E1" sqref="E1"/>
      <selection pane="bottomLeft" activeCell="A5" sqref="A5"/>
      <selection pane="bottomRight" activeCell="J21" sqref="J21"/>
    </sheetView>
  </sheetViews>
  <sheetFormatPr baseColWidth="10" defaultColWidth="11.453125" defaultRowHeight="14.5" x14ac:dyDescent="0.35"/>
  <cols>
    <col min="1" max="1" width="5.08984375" customWidth="1"/>
    <col min="2" max="2" width="5.453125" bestFit="1" customWidth="1"/>
    <col min="3" max="3" width="15.08984375" bestFit="1" customWidth="1"/>
    <col min="4" max="4" width="21.90625" customWidth="1"/>
    <col min="5" max="5" width="59.90625" customWidth="1"/>
    <col min="6" max="6" width="31.08984375" customWidth="1"/>
    <col min="7" max="7" width="17.08984375" customWidth="1"/>
    <col min="8" max="8" width="31.08984375" customWidth="1"/>
    <col min="9" max="9" width="11.36328125" customWidth="1"/>
    <col min="10" max="10" width="20.36328125" style="215" customWidth="1"/>
    <col min="11" max="11" width="15.08984375" style="215" customWidth="1"/>
    <col min="12" max="12" width="21.26953125" customWidth="1"/>
    <col min="13" max="13" width="13.90625" customWidth="1"/>
  </cols>
  <sheetData>
    <row r="1" spans="2:15" ht="23.5" customHeight="1" x14ac:dyDescent="0.35">
      <c r="B1" s="247" t="s">
        <v>54</v>
      </c>
      <c r="C1" s="244"/>
      <c r="D1" s="244"/>
      <c r="E1" s="244"/>
      <c r="F1" s="244"/>
      <c r="G1" s="244"/>
      <c r="H1" s="244"/>
      <c r="I1" s="244"/>
      <c r="J1" s="244"/>
      <c r="K1" s="244"/>
      <c r="L1" s="244"/>
      <c r="M1" s="244"/>
    </row>
    <row r="2" spans="2:15" ht="14.5" customHeight="1" x14ac:dyDescent="0.35">
      <c r="C2" s="254" t="s">
        <v>74</v>
      </c>
      <c r="I2" s="260" t="s">
        <v>73</v>
      </c>
      <c r="J2" s="256" t="s">
        <v>72</v>
      </c>
      <c r="K2" s="256" t="s">
        <v>72</v>
      </c>
      <c r="L2" s="258" t="s">
        <v>76</v>
      </c>
    </row>
    <row r="3" spans="2:15" x14ac:dyDescent="0.35">
      <c r="C3" s="255"/>
      <c r="I3" s="261"/>
      <c r="J3" s="257"/>
      <c r="K3" s="257"/>
      <c r="L3" s="259"/>
    </row>
    <row r="4" spans="2:15" ht="43.5" customHeight="1" x14ac:dyDescent="0.35">
      <c r="B4" s="5" t="s">
        <v>33</v>
      </c>
      <c r="C4" s="5" t="s">
        <v>34</v>
      </c>
      <c r="D4" s="5" t="s">
        <v>35</v>
      </c>
      <c r="E4" s="5" t="s">
        <v>45</v>
      </c>
      <c r="F4" s="5" t="s">
        <v>228</v>
      </c>
      <c r="G4" s="5" t="s">
        <v>234</v>
      </c>
      <c r="H4" s="5" t="s">
        <v>227</v>
      </c>
      <c r="I4" s="5" t="s">
        <v>55</v>
      </c>
      <c r="J4" s="221" t="s">
        <v>56</v>
      </c>
      <c r="K4" s="221" t="s">
        <v>57</v>
      </c>
      <c r="L4" s="5" t="s">
        <v>58</v>
      </c>
      <c r="M4" s="5" t="s">
        <v>59</v>
      </c>
    </row>
    <row r="5" spans="2:15" ht="25" customHeight="1" x14ac:dyDescent="0.35">
      <c r="B5" s="10">
        <v>1</v>
      </c>
      <c r="C5" s="198" t="s">
        <v>822</v>
      </c>
      <c r="D5" s="208">
        <v>134118</v>
      </c>
      <c r="E5" s="208" t="s">
        <v>823</v>
      </c>
      <c r="F5" s="208" t="s">
        <v>835</v>
      </c>
      <c r="G5" s="208"/>
      <c r="H5" s="208"/>
      <c r="I5" s="208" t="s">
        <v>844</v>
      </c>
      <c r="J5" s="222">
        <v>46241</v>
      </c>
      <c r="K5" s="222">
        <v>46254</v>
      </c>
      <c r="L5" s="33">
        <f t="shared" ref="L5" si="0">IF(OR(J5="", K5=""), "", NETWORKDAYS(J5,K5))</f>
        <v>10</v>
      </c>
      <c r="M5" s="13">
        <f t="shared" ref="M5" si="1">IF(I5="SEA", 10, IF(I5="AIR", 5, ""))</f>
        <v>10</v>
      </c>
    </row>
    <row r="6" spans="2:15" ht="25" customHeight="1" x14ac:dyDescent="0.35">
      <c r="B6" s="10">
        <v>2</v>
      </c>
      <c r="C6" s="198" t="s">
        <v>822</v>
      </c>
      <c r="D6" s="208">
        <v>134287</v>
      </c>
      <c r="E6" s="208" t="s">
        <v>824</v>
      </c>
      <c r="F6" s="208" t="s">
        <v>836</v>
      </c>
      <c r="G6" s="208"/>
      <c r="H6" s="208"/>
      <c r="I6" s="208" t="s">
        <v>843</v>
      </c>
      <c r="J6" s="222">
        <v>46233</v>
      </c>
      <c r="K6" s="222">
        <v>46238</v>
      </c>
      <c r="L6" s="33">
        <f t="shared" ref="L6:L64" si="2">IF(OR(J6="", K6=""), "", NETWORKDAYS(J6,K6))</f>
        <v>4</v>
      </c>
      <c r="M6" s="13">
        <f t="shared" ref="M6:M64" si="3">IF(I6="SEA", 10, IF(I6="AIR", 5, ""))</f>
        <v>5</v>
      </c>
    </row>
    <row r="7" spans="2:15" ht="25" customHeight="1" x14ac:dyDescent="0.35">
      <c r="B7" s="10">
        <v>3</v>
      </c>
      <c r="C7" s="198" t="s">
        <v>822</v>
      </c>
      <c r="D7" s="208">
        <v>1333222</v>
      </c>
      <c r="E7" s="208" t="s">
        <v>825</v>
      </c>
      <c r="F7" s="208" t="s">
        <v>837</v>
      </c>
      <c r="G7" s="208"/>
      <c r="H7" s="208"/>
      <c r="I7" s="208" t="s">
        <v>844</v>
      </c>
      <c r="J7" s="222">
        <v>46248</v>
      </c>
      <c r="K7" s="222">
        <v>46260</v>
      </c>
      <c r="L7" s="33">
        <f t="shared" si="2"/>
        <v>9</v>
      </c>
      <c r="M7" s="13">
        <f t="shared" si="3"/>
        <v>10</v>
      </c>
    </row>
    <row r="8" spans="2:15" x14ac:dyDescent="0.35">
      <c r="B8" s="10">
        <v>4</v>
      </c>
      <c r="C8" s="198" t="s">
        <v>822</v>
      </c>
      <c r="D8" s="208">
        <v>134142</v>
      </c>
      <c r="E8" s="208" t="s">
        <v>826</v>
      </c>
      <c r="F8" s="208" t="s">
        <v>838</v>
      </c>
      <c r="G8" s="208"/>
      <c r="H8" s="208"/>
      <c r="I8" s="208" t="s">
        <v>843</v>
      </c>
      <c r="J8" s="222">
        <v>46245</v>
      </c>
      <c r="K8" s="222">
        <v>46251</v>
      </c>
      <c r="L8" s="33">
        <f t="shared" si="2"/>
        <v>5</v>
      </c>
      <c r="M8" s="13">
        <f t="shared" si="3"/>
        <v>5</v>
      </c>
      <c r="O8" s="6"/>
    </row>
    <row r="9" spans="2:15" ht="25" customHeight="1" x14ac:dyDescent="0.35">
      <c r="B9" s="10">
        <v>5</v>
      </c>
      <c r="C9" s="198" t="s">
        <v>822</v>
      </c>
      <c r="D9" s="208">
        <v>134610</v>
      </c>
      <c r="E9" s="208" t="s">
        <v>827</v>
      </c>
      <c r="F9" s="208" t="s">
        <v>839</v>
      </c>
      <c r="G9" s="208"/>
      <c r="H9" s="208"/>
      <c r="I9" s="208" t="s">
        <v>843</v>
      </c>
      <c r="J9" s="222">
        <v>46245</v>
      </c>
      <c r="K9" s="222">
        <v>46248</v>
      </c>
      <c r="L9" s="33">
        <f t="shared" si="2"/>
        <v>4</v>
      </c>
      <c r="M9" s="13">
        <f t="shared" si="3"/>
        <v>5</v>
      </c>
    </row>
    <row r="10" spans="2:15" ht="25" customHeight="1" x14ac:dyDescent="0.35">
      <c r="B10" s="10">
        <v>7</v>
      </c>
      <c r="C10" s="198" t="s">
        <v>822</v>
      </c>
      <c r="D10" s="208">
        <v>134379</v>
      </c>
      <c r="E10" s="208" t="s">
        <v>828</v>
      </c>
      <c r="F10" s="208" t="s">
        <v>840</v>
      </c>
      <c r="G10" s="208"/>
      <c r="H10" s="208"/>
      <c r="I10" s="208" t="s">
        <v>843</v>
      </c>
      <c r="J10" s="222">
        <v>46245</v>
      </c>
      <c r="K10" s="222">
        <v>46248</v>
      </c>
      <c r="L10" s="33">
        <f t="shared" si="2"/>
        <v>4</v>
      </c>
      <c r="M10" s="13">
        <f t="shared" si="3"/>
        <v>5</v>
      </c>
    </row>
    <row r="11" spans="2:15" x14ac:dyDescent="0.35">
      <c r="B11" s="10">
        <v>8</v>
      </c>
      <c r="C11" s="198" t="s">
        <v>822</v>
      </c>
      <c r="D11" s="208">
        <v>135045</v>
      </c>
      <c r="E11" s="208" t="s">
        <v>829</v>
      </c>
      <c r="F11" s="208" t="s">
        <v>841</v>
      </c>
      <c r="G11" s="208"/>
      <c r="H11" s="208"/>
      <c r="I11" s="208" t="s">
        <v>843</v>
      </c>
      <c r="J11" s="222">
        <v>46248</v>
      </c>
      <c r="K11" s="222">
        <v>46252</v>
      </c>
      <c r="L11" s="33">
        <f>IF(OR(J11="", K11=""), "", NETWORKDAYS(J11,K11))</f>
        <v>3</v>
      </c>
      <c r="M11" s="13">
        <f t="shared" si="3"/>
        <v>5</v>
      </c>
    </row>
    <row r="12" spans="2:15" x14ac:dyDescent="0.35">
      <c r="B12" s="10">
        <v>9</v>
      </c>
      <c r="C12" s="198" t="s">
        <v>822</v>
      </c>
      <c r="D12" s="208">
        <v>136002</v>
      </c>
      <c r="E12" s="208" t="s">
        <v>830</v>
      </c>
      <c r="F12" s="208" t="s">
        <v>840</v>
      </c>
      <c r="G12" s="208"/>
      <c r="H12" s="208"/>
      <c r="I12" s="208" t="s">
        <v>843</v>
      </c>
      <c r="J12" s="222">
        <v>46248</v>
      </c>
      <c r="K12" s="222">
        <v>46254</v>
      </c>
      <c r="L12" s="33">
        <f t="shared" si="2"/>
        <v>5</v>
      </c>
      <c r="M12" s="13">
        <f t="shared" si="3"/>
        <v>5</v>
      </c>
    </row>
    <row r="13" spans="2:15" ht="25" customHeight="1" x14ac:dyDescent="0.35">
      <c r="B13" s="10">
        <v>12</v>
      </c>
      <c r="C13" s="198" t="s">
        <v>822</v>
      </c>
      <c r="D13" s="208">
        <v>135080</v>
      </c>
      <c r="E13" s="208" t="s">
        <v>831</v>
      </c>
      <c r="F13" s="208" t="s">
        <v>839</v>
      </c>
      <c r="G13" s="208"/>
      <c r="H13" s="208"/>
      <c r="I13" s="208" t="s">
        <v>843</v>
      </c>
      <c r="J13" s="222">
        <v>46258</v>
      </c>
      <c r="K13" s="222">
        <v>46262</v>
      </c>
      <c r="L13" s="33">
        <f t="shared" si="2"/>
        <v>5</v>
      </c>
      <c r="M13" s="13">
        <f t="shared" si="3"/>
        <v>5</v>
      </c>
    </row>
    <row r="14" spans="2:15" x14ac:dyDescent="0.35">
      <c r="B14" s="10">
        <v>13</v>
      </c>
      <c r="C14" s="198" t="s">
        <v>822</v>
      </c>
      <c r="D14" s="208">
        <v>135180</v>
      </c>
      <c r="E14" s="208" t="s">
        <v>832</v>
      </c>
      <c r="F14" s="208" t="s">
        <v>842</v>
      </c>
      <c r="G14" s="208"/>
      <c r="H14" s="208"/>
      <c r="I14" s="208" t="s">
        <v>844</v>
      </c>
      <c r="J14" s="222">
        <v>46258</v>
      </c>
      <c r="K14" s="222">
        <v>46270</v>
      </c>
      <c r="L14" s="33">
        <f t="shared" si="2"/>
        <v>10</v>
      </c>
      <c r="M14" s="13">
        <f t="shared" si="3"/>
        <v>10</v>
      </c>
    </row>
    <row r="15" spans="2:15" x14ac:dyDescent="0.35">
      <c r="B15" s="10">
        <v>14</v>
      </c>
      <c r="C15" s="198" t="s">
        <v>822</v>
      </c>
      <c r="D15" s="208">
        <v>134378</v>
      </c>
      <c r="E15" s="208" t="s">
        <v>833</v>
      </c>
      <c r="F15" s="208" t="s">
        <v>840</v>
      </c>
      <c r="G15" s="208"/>
      <c r="H15" s="208"/>
      <c r="I15" s="208" t="s">
        <v>843</v>
      </c>
      <c r="J15" s="222">
        <v>46256</v>
      </c>
      <c r="K15" s="222">
        <v>46259</v>
      </c>
      <c r="L15" s="33">
        <f t="shared" si="2"/>
        <v>2</v>
      </c>
      <c r="M15" s="13">
        <f t="shared" si="3"/>
        <v>5</v>
      </c>
    </row>
    <row r="16" spans="2:15" x14ac:dyDescent="0.35">
      <c r="B16" s="10">
        <v>15</v>
      </c>
      <c r="C16" s="198" t="s">
        <v>822</v>
      </c>
      <c r="D16" s="208">
        <v>136318</v>
      </c>
      <c r="E16" s="208" t="s">
        <v>834</v>
      </c>
      <c r="F16" s="208" t="s">
        <v>840</v>
      </c>
      <c r="G16" s="208"/>
      <c r="H16" s="208"/>
      <c r="I16" s="208" t="s">
        <v>843</v>
      </c>
      <c r="J16" s="222">
        <v>46259</v>
      </c>
      <c r="K16" s="222">
        <v>46265</v>
      </c>
      <c r="L16" s="33">
        <f t="shared" si="2"/>
        <v>5</v>
      </c>
      <c r="M16" s="13">
        <f t="shared" si="3"/>
        <v>5</v>
      </c>
    </row>
    <row r="17" spans="2:13" x14ac:dyDescent="0.35">
      <c r="B17" s="10">
        <v>17</v>
      </c>
      <c r="C17" s="10"/>
      <c r="D17" s="104"/>
      <c r="E17" s="34"/>
      <c r="F17" s="43"/>
      <c r="G17" s="43"/>
      <c r="H17" s="12"/>
      <c r="I17" s="43"/>
      <c r="J17" s="222"/>
      <c r="K17" s="223"/>
      <c r="L17" s="33" t="str">
        <f t="shared" si="2"/>
        <v/>
      </c>
      <c r="M17" s="13" t="str">
        <f t="shared" si="3"/>
        <v/>
      </c>
    </row>
    <row r="18" spans="2:13" x14ac:dyDescent="0.35">
      <c r="B18" s="10">
        <v>18</v>
      </c>
      <c r="C18" s="10"/>
      <c r="D18" s="104"/>
      <c r="E18" s="34"/>
      <c r="F18" s="43"/>
      <c r="G18" s="43"/>
      <c r="H18" s="12"/>
      <c r="I18" s="43"/>
      <c r="J18" s="223"/>
      <c r="K18" s="223"/>
      <c r="L18" s="33" t="str">
        <f t="shared" si="2"/>
        <v/>
      </c>
      <c r="M18" s="13" t="str">
        <f t="shared" si="3"/>
        <v/>
      </c>
    </row>
    <row r="19" spans="2:13" ht="24.65" customHeight="1" x14ac:dyDescent="0.35">
      <c r="B19" s="10">
        <v>19</v>
      </c>
      <c r="C19" s="10"/>
      <c r="D19" s="199"/>
      <c r="E19" s="200"/>
      <c r="F19" s="201"/>
      <c r="G19" s="201"/>
      <c r="H19" s="12"/>
      <c r="I19" s="43"/>
      <c r="J19" s="223"/>
      <c r="K19" s="223"/>
      <c r="L19" s="33" t="str">
        <f t="shared" si="2"/>
        <v/>
      </c>
      <c r="M19" s="13" t="str">
        <f t="shared" si="3"/>
        <v/>
      </c>
    </row>
    <row r="20" spans="2:13" ht="24.65" customHeight="1" x14ac:dyDescent="0.35">
      <c r="B20" s="10">
        <v>20</v>
      </c>
      <c r="C20" s="10"/>
      <c r="D20" s="104"/>
      <c r="E20" s="34"/>
      <c r="F20" s="201"/>
      <c r="G20" s="201"/>
      <c r="H20" s="12"/>
      <c r="I20" s="43"/>
      <c r="J20" s="223"/>
      <c r="K20" s="223"/>
      <c r="L20" s="33" t="str">
        <f t="shared" si="2"/>
        <v/>
      </c>
      <c r="M20" s="13" t="str">
        <f t="shared" si="3"/>
        <v/>
      </c>
    </row>
    <row r="21" spans="2:13" x14ac:dyDescent="0.35">
      <c r="B21" s="10">
        <v>21</v>
      </c>
      <c r="C21" s="10"/>
      <c r="D21" s="199"/>
      <c r="E21" s="200"/>
      <c r="F21" s="34"/>
      <c r="G21" s="34"/>
      <c r="H21" s="12"/>
      <c r="I21" s="43"/>
      <c r="J21" s="223"/>
      <c r="K21" s="223"/>
      <c r="L21" s="33" t="str">
        <f t="shared" si="2"/>
        <v/>
      </c>
      <c r="M21" s="13" t="str">
        <f t="shared" si="3"/>
        <v/>
      </c>
    </row>
    <row r="22" spans="2:13" x14ac:dyDescent="0.35">
      <c r="B22" s="10">
        <v>22</v>
      </c>
      <c r="C22" s="10"/>
      <c r="D22" s="199"/>
      <c r="E22" s="200"/>
      <c r="F22" s="34"/>
      <c r="G22" s="34"/>
      <c r="H22" s="12"/>
      <c r="I22" s="43"/>
      <c r="J22" s="223"/>
      <c r="K22" s="223"/>
      <c r="L22" s="33" t="str">
        <f t="shared" si="2"/>
        <v/>
      </c>
      <c r="M22" s="13" t="str">
        <f t="shared" si="3"/>
        <v/>
      </c>
    </row>
    <row r="23" spans="2:13" s="49" customFormat="1" ht="24" customHeight="1" x14ac:dyDescent="0.35">
      <c r="B23" s="10">
        <v>23</v>
      </c>
      <c r="C23" s="10"/>
      <c r="D23" s="202"/>
      <c r="E23" s="203"/>
      <c r="F23" s="204"/>
      <c r="G23" s="204"/>
      <c r="H23" s="12"/>
      <c r="I23" s="205"/>
      <c r="J23" s="224"/>
      <c r="K23" s="224"/>
      <c r="L23" s="33" t="str">
        <f t="shared" si="2"/>
        <v/>
      </c>
      <c r="M23" s="46" t="str">
        <f t="shared" si="3"/>
        <v/>
      </c>
    </row>
    <row r="24" spans="2:13" x14ac:dyDescent="0.35">
      <c r="B24" s="10">
        <v>24</v>
      </c>
      <c r="C24" s="10"/>
      <c r="D24" s="104"/>
      <c r="E24" s="206"/>
      <c r="F24" s="34"/>
      <c r="G24" s="34"/>
      <c r="H24" s="12"/>
      <c r="I24" s="43"/>
      <c r="J24" s="223"/>
      <c r="K24" s="223"/>
      <c r="L24" s="33" t="str">
        <f t="shared" si="2"/>
        <v/>
      </c>
      <c r="M24" s="13" t="str">
        <f t="shared" si="3"/>
        <v/>
      </c>
    </row>
    <row r="25" spans="2:13" x14ac:dyDescent="0.35">
      <c r="B25" s="10">
        <v>25</v>
      </c>
      <c r="C25" s="10"/>
      <c r="D25" s="199"/>
      <c r="E25" s="200"/>
      <c r="F25" s="34"/>
      <c r="G25" s="34"/>
      <c r="H25" s="12"/>
      <c r="I25" s="43"/>
      <c r="J25" s="223"/>
      <c r="K25" s="223"/>
      <c r="L25" s="33" t="str">
        <f t="shared" si="2"/>
        <v/>
      </c>
      <c r="M25" s="13" t="str">
        <f t="shared" si="3"/>
        <v/>
      </c>
    </row>
    <row r="26" spans="2:13" ht="26.5" customHeight="1" x14ac:dyDescent="0.35">
      <c r="B26" s="10">
        <v>26</v>
      </c>
      <c r="C26" s="10"/>
      <c r="D26" s="104"/>
      <c r="E26" s="207"/>
      <c r="F26" s="34"/>
      <c r="G26" s="34"/>
      <c r="H26" s="12"/>
      <c r="I26" s="43"/>
      <c r="J26" s="223"/>
      <c r="K26" s="223"/>
      <c r="L26" s="33" t="str">
        <f t="shared" si="2"/>
        <v/>
      </c>
      <c r="M26" s="13" t="str">
        <f t="shared" si="3"/>
        <v/>
      </c>
    </row>
    <row r="27" spans="2:13" x14ac:dyDescent="0.35">
      <c r="B27" s="10">
        <v>27</v>
      </c>
      <c r="C27" s="10"/>
      <c r="D27" s="104"/>
      <c r="E27" s="34"/>
      <c r="F27" s="43"/>
      <c r="G27" s="43"/>
      <c r="H27" s="12"/>
      <c r="I27" s="43"/>
      <c r="J27" s="223"/>
      <c r="K27" s="223"/>
      <c r="L27" s="33" t="str">
        <f t="shared" si="2"/>
        <v/>
      </c>
      <c r="M27" s="13" t="str">
        <f t="shared" si="3"/>
        <v/>
      </c>
    </row>
    <row r="28" spans="2:13" x14ac:dyDescent="0.35">
      <c r="B28" s="10">
        <v>28</v>
      </c>
      <c r="C28" s="10"/>
      <c r="D28" s="199"/>
      <c r="E28" s="200"/>
      <c r="F28" s="34"/>
      <c r="G28" s="34"/>
      <c r="H28" s="12"/>
      <c r="I28" s="43"/>
      <c r="J28" s="223"/>
      <c r="K28" s="223"/>
      <c r="L28" s="33" t="str">
        <f t="shared" si="2"/>
        <v/>
      </c>
      <c r="M28" s="13" t="str">
        <f t="shared" si="3"/>
        <v/>
      </c>
    </row>
    <row r="29" spans="2:13" x14ac:dyDescent="0.35">
      <c r="B29" s="10">
        <v>29</v>
      </c>
      <c r="C29" s="10"/>
      <c r="D29" s="199"/>
      <c r="E29" s="206"/>
      <c r="F29" s="43"/>
      <c r="G29" s="43"/>
      <c r="H29" s="12"/>
      <c r="I29" s="43"/>
      <c r="J29" s="223"/>
      <c r="K29" s="223"/>
      <c r="L29" s="33" t="str">
        <f t="shared" si="2"/>
        <v/>
      </c>
      <c r="M29" s="13" t="str">
        <f t="shared" si="3"/>
        <v/>
      </c>
    </row>
    <row r="30" spans="2:13" x14ac:dyDescent="0.35">
      <c r="B30" s="10">
        <v>30</v>
      </c>
      <c r="C30" s="10"/>
      <c r="D30" s="104"/>
      <c r="E30" s="206"/>
      <c r="F30" s="43"/>
      <c r="G30" s="43"/>
      <c r="H30" s="12"/>
      <c r="I30" s="43"/>
      <c r="J30" s="223"/>
      <c r="K30" s="223"/>
      <c r="L30" s="33" t="str">
        <f t="shared" si="2"/>
        <v/>
      </c>
      <c r="M30" s="13" t="str">
        <f t="shared" si="3"/>
        <v/>
      </c>
    </row>
    <row r="31" spans="2:13" s="47" customFormat="1" ht="24" customHeight="1" x14ac:dyDescent="0.35">
      <c r="B31" s="45">
        <v>31</v>
      </c>
      <c r="C31" s="10"/>
      <c r="D31" s="107"/>
      <c r="E31" s="108"/>
      <c r="F31" s="48"/>
      <c r="G31" s="48"/>
      <c r="H31" s="12"/>
      <c r="I31" s="103"/>
      <c r="J31" s="225"/>
      <c r="K31" s="225"/>
      <c r="L31" s="33" t="str">
        <f t="shared" si="2"/>
        <v/>
      </c>
      <c r="M31" s="46" t="str">
        <f t="shared" si="3"/>
        <v/>
      </c>
    </row>
    <row r="32" spans="2:13" x14ac:dyDescent="0.35">
      <c r="B32" s="10">
        <v>32</v>
      </c>
      <c r="C32" s="10"/>
      <c r="D32" s="106"/>
      <c r="E32" s="41"/>
      <c r="F32" s="36"/>
      <c r="G32" s="36"/>
      <c r="H32" s="12"/>
      <c r="I32" s="36"/>
      <c r="J32" s="226"/>
      <c r="K32" s="226"/>
      <c r="L32" s="33" t="str">
        <f t="shared" si="2"/>
        <v/>
      </c>
      <c r="M32" s="13" t="str">
        <f t="shared" si="3"/>
        <v/>
      </c>
    </row>
    <row r="33" spans="2:13" x14ac:dyDescent="0.35">
      <c r="B33" s="10">
        <v>33</v>
      </c>
      <c r="C33" s="10"/>
      <c r="D33" s="105"/>
      <c r="E33" s="109"/>
      <c r="F33" s="36"/>
      <c r="G33" s="36"/>
      <c r="H33" s="12"/>
      <c r="I33" s="36"/>
      <c r="J33" s="226"/>
      <c r="K33" s="226"/>
      <c r="L33" s="33" t="str">
        <f t="shared" si="2"/>
        <v/>
      </c>
      <c r="M33" s="13" t="str">
        <f t="shared" si="3"/>
        <v/>
      </c>
    </row>
    <row r="34" spans="2:13" x14ac:dyDescent="0.35">
      <c r="B34" s="10">
        <v>34</v>
      </c>
      <c r="C34" s="10"/>
      <c r="D34" s="105"/>
      <c r="E34" s="105"/>
      <c r="F34" s="39"/>
      <c r="G34" s="196"/>
      <c r="H34" s="12"/>
      <c r="I34" s="103"/>
      <c r="J34" s="227"/>
      <c r="K34" s="226"/>
      <c r="L34" s="33" t="str">
        <f t="shared" si="2"/>
        <v/>
      </c>
      <c r="M34" s="13" t="str">
        <f t="shared" si="3"/>
        <v/>
      </c>
    </row>
    <row r="35" spans="2:13" x14ac:dyDescent="0.35">
      <c r="B35" s="10">
        <v>35</v>
      </c>
      <c r="C35" s="10"/>
      <c r="D35" s="105"/>
      <c r="E35" s="105"/>
      <c r="F35" s="39"/>
      <c r="G35" s="196"/>
      <c r="H35" s="12"/>
      <c r="I35" s="103"/>
      <c r="J35" s="227"/>
      <c r="K35" s="226"/>
      <c r="L35" s="33" t="str">
        <f t="shared" si="2"/>
        <v/>
      </c>
      <c r="M35" s="13" t="str">
        <f t="shared" si="3"/>
        <v/>
      </c>
    </row>
    <row r="36" spans="2:13" ht="25" customHeight="1" x14ac:dyDescent="0.35">
      <c r="B36" s="10">
        <v>36</v>
      </c>
      <c r="C36" s="10"/>
      <c r="D36" s="105"/>
      <c r="E36" s="39"/>
      <c r="F36" s="39"/>
      <c r="G36" s="196"/>
      <c r="H36" s="12"/>
      <c r="I36" s="103"/>
      <c r="J36" s="227"/>
      <c r="K36" s="226"/>
      <c r="L36" s="33" t="str">
        <f t="shared" si="2"/>
        <v/>
      </c>
      <c r="M36" s="13" t="str">
        <f t="shared" si="3"/>
        <v/>
      </c>
    </row>
    <row r="37" spans="2:13" x14ac:dyDescent="0.35">
      <c r="B37" s="10">
        <v>39</v>
      </c>
      <c r="C37" s="105"/>
      <c r="D37" s="105"/>
      <c r="E37" s="105"/>
      <c r="F37" s="105"/>
      <c r="G37" s="105"/>
      <c r="H37" s="12"/>
      <c r="I37" s="105"/>
      <c r="J37" s="228"/>
      <c r="K37" s="228"/>
      <c r="L37" s="33" t="str">
        <f t="shared" si="2"/>
        <v/>
      </c>
      <c r="M37" s="13" t="str">
        <f t="shared" si="3"/>
        <v/>
      </c>
    </row>
    <row r="38" spans="2:13" x14ac:dyDescent="0.35">
      <c r="B38" s="10">
        <v>40</v>
      </c>
      <c r="C38" s="105"/>
      <c r="D38" s="105"/>
      <c r="E38" s="105"/>
      <c r="F38" s="105"/>
      <c r="G38" s="105"/>
      <c r="H38" s="12"/>
      <c r="I38" s="105"/>
      <c r="J38" s="228"/>
      <c r="K38" s="228"/>
      <c r="L38" s="33" t="str">
        <f t="shared" si="2"/>
        <v/>
      </c>
      <c r="M38" s="13" t="str">
        <f t="shared" si="3"/>
        <v/>
      </c>
    </row>
    <row r="39" spans="2:13" x14ac:dyDescent="0.35">
      <c r="B39" s="10">
        <v>41</v>
      </c>
      <c r="C39" s="105"/>
      <c r="D39" s="105"/>
      <c r="E39" s="105"/>
      <c r="F39" s="105"/>
      <c r="G39" s="105"/>
      <c r="H39" s="12"/>
      <c r="I39" s="105"/>
      <c r="J39" s="228"/>
      <c r="K39" s="228"/>
      <c r="L39" s="33" t="str">
        <f t="shared" si="2"/>
        <v/>
      </c>
      <c r="M39" s="13" t="str">
        <f t="shared" si="3"/>
        <v/>
      </c>
    </row>
    <row r="40" spans="2:13" x14ac:dyDescent="0.35">
      <c r="B40" s="10">
        <v>42</v>
      </c>
      <c r="C40" s="105"/>
      <c r="D40" s="105"/>
      <c r="E40" s="105"/>
      <c r="F40" s="105"/>
      <c r="G40" s="105"/>
      <c r="H40" s="12"/>
      <c r="I40" s="105"/>
      <c r="J40" s="228"/>
      <c r="K40" s="228"/>
      <c r="L40" s="33" t="str">
        <f t="shared" si="2"/>
        <v/>
      </c>
      <c r="M40" s="13" t="str">
        <f t="shared" si="3"/>
        <v/>
      </c>
    </row>
    <row r="41" spans="2:13" x14ac:dyDescent="0.35">
      <c r="B41" s="10">
        <v>43</v>
      </c>
      <c r="C41" s="105"/>
      <c r="D41" s="105"/>
      <c r="E41" s="105"/>
      <c r="F41" s="105"/>
      <c r="G41" s="105"/>
      <c r="H41" s="12"/>
      <c r="I41" s="105"/>
      <c r="J41" s="228"/>
      <c r="K41" s="228"/>
      <c r="L41" s="33" t="str">
        <f t="shared" si="2"/>
        <v/>
      </c>
      <c r="M41" s="13" t="str">
        <f t="shared" si="3"/>
        <v/>
      </c>
    </row>
    <row r="42" spans="2:13" x14ac:dyDescent="0.35">
      <c r="B42" s="10">
        <v>44</v>
      </c>
      <c r="C42" s="105"/>
      <c r="D42" s="105"/>
      <c r="E42" s="105"/>
      <c r="F42" s="105"/>
      <c r="G42" s="105"/>
      <c r="H42" s="12"/>
      <c r="I42" s="105"/>
      <c r="J42" s="228"/>
      <c r="K42" s="228"/>
      <c r="L42" s="33" t="str">
        <f t="shared" si="2"/>
        <v/>
      </c>
      <c r="M42" s="13" t="str">
        <f t="shared" si="3"/>
        <v/>
      </c>
    </row>
    <row r="43" spans="2:13" x14ac:dyDescent="0.35">
      <c r="B43" s="10">
        <v>45</v>
      </c>
      <c r="C43" s="105"/>
      <c r="D43" s="105"/>
      <c r="E43" s="105"/>
      <c r="F43" s="105"/>
      <c r="G43" s="105"/>
      <c r="H43" s="12"/>
      <c r="I43" s="105"/>
      <c r="J43" s="228"/>
      <c r="K43" s="228"/>
      <c r="L43" s="33" t="str">
        <f t="shared" si="2"/>
        <v/>
      </c>
      <c r="M43" s="13" t="str">
        <f t="shared" si="3"/>
        <v/>
      </c>
    </row>
    <row r="44" spans="2:13" x14ac:dyDescent="0.35">
      <c r="B44" s="10">
        <v>46</v>
      </c>
      <c r="C44" s="105"/>
      <c r="D44" s="105"/>
      <c r="E44" s="105"/>
      <c r="F44" s="105"/>
      <c r="G44" s="105"/>
      <c r="H44" s="12"/>
      <c r="I44" s="105"/>
      <c r="J44" s="228"/>
      <c r="K44" s="228"/>
      <c r="L44" s="33" t="str">
        <f t="shared" si="2"/>
        <v/>
      </c>
      <c r="M44" s="13" t="str">
        <f t="shared" si="3"/>
        <v/>
      </c>
    </row>
    <row r="45" spans="2:13" x14ac:dyDescent="0.35">
      <c r="B45" s="10">
        <v>47</v>
      </c>
      <c r="C45" s="105"/>
      <c r="D45" s="105"/>
      <c r="E45" s="105"/>
      <c r="F45" s="105"/>
      <c r="G45" s="105"/>
      <c r="H45" s="12"/>
      <c r="I45" s="105"/>
      <c r="J45" s="228"/>
      <c r="K45" s="228"/>
      <c r="L45" s="33" t="str">
        <f t="shared" si="2"/>
        <v/>
      </c>
      <c r="M45" s="13" t="str">
        <f t="shared" si="3"/>
        <v/>
      </c>
    </row>
    <row r="46" spans="2:13" x14ac:dyDescent="0.35">
      <c r="B46" s="10">
        <v>48</v>
      </c>
      <c r="C46" s="105"/>
      <c r="D46" s="105"/>
      <c r="E46" s="105"/>
      <c r="F46" s="105"/>
      <c r="G46" s="105"/>
      <c r="H46" s="12"/>
      <c r="I46" s="105"/>
      <c r="J46" s="228"/>
      <c r="K46" s="228"/>
      <c r="L46" s="33" t="str">
        <f t="shared" si="2"/>
        <v/>
      </c>
      <c r="M46" s="13" t="str">
        <f t="shared" si="3"/>
        <v/>
      </c>
    </row>
    <row r="47" spans="2:13" x14ac:dyDescent="0.35">
      <c r="B47" s="10">
        <v>49</v>
      </c>
      <c r="C47" s="105"/>
      <c r="D47" s="105"/>
      <c r="E47" s="105"/>
      <c r="F47" s="105"/>
      <c r="G47" s="105"/>
      <c r="H47" s="12"/>
      <c r="I47" s="105"/>
      <c r="J47" s="228"/>
      <c r="K47" s="228"/>
      <c r="L47" s="33" t="str">
        <f t="shared" si="2"/>
        <v/>
      </c>
      <c r="M47" s="13" t="str">
        <f t="shared" si="3"/>
        <v/>
      </c>
    </row>
    <row r="48" spans="2:13" x14ac:dyDescent="0.35">
      <c r="B48" s="10">
        <v>50</v>
      </c>
      <c r="C48" s="105"/>
      <c r="D48" s="105"/>
      <c r="E48" s="105"/>
      <c r="F48" s="105"/>
      <c r="G48" s="105"/>
      <c r="H48" s="12"/>
      <c r="I48" s="105"/>
      <c r="J48" s="228"/>
      <c r="K48" s="228"/>
      <c r="L48" s="33" t="str">
        <f t="shared" si="2"/>
        <v/>
      </c>
      <c r="M48" s="13" t="str">
        <f t="shared" si="3"/>
        <v/>
      </c>
    </row>
    <row r="49" spans="2:13" x14ac:dyDescent="0.35">
      <c r="B49" s="10">
        <v>51</v>
      </c>
      <c r="C49" s="105"/>
      <c r="D49" s="105"/>
      <c r="E49" s="105"/>
      <c r="F49" s="105"/>
      <c r="G49" s="105"/>
      <c r="H49" s="12"/>
      <c r="I49" s="105"/>
      <c r="J49" s="228"/>
      <c r="K49" s="228"/>
      <c r="L49" s="33" t="str">
        <f t="shared" si="2"/>
        <v/>
      </c>
      <c r="M49" s="13" t="str">
        <f t="shared" si="3"/>
        <v/>
      </c>
    </row>
    <row r="50" spans="2:13" x14ac:dyDescent="0.35">
      <c r="B50" s="10">
        <v>52</v>
      </c>
      <c r="C50" s="105"/>
      <c r="D50" s="105"/>
      <c r="E50" s="105"/>
      <c r="F50" s="105"/>
      <c r="G50" s="105"/>
      <c r="H50" s="12"/>
      <c r="I50" s="105"/>
      <c r="J50" s="228"/>
      <c r="K50" s="228"/>
      <c r="L50" s="33" t="str">
        <f t="shared" si="2"/>
        <v/>
      </c>
      <c r="M50" s="13" t="str">
        <f t="shared" si="3"/>
        <v/>
      </c>
    </row>
    <row r="51" spans="2:13" x14ac:dyDescent="0.35">
      <c r="B51" s="10">
        <v>53</v>
      </c>
      <c r="C51" s="105"/>
      <c r="D51" s="105"/>
      <c r="E51" s="105"/>
      <c r="F51" s="105"/>
      <c r="G51" s="105"/>
      <c r="H51" s="12"/>
      <c r="I51" s="105"/>
      <c r="J51" s="228"/>
      <c r="K51" s="228"/>
      <c r="L51" s="33" t="str">
        <f t="shared" si="2"/>
        <v/>
      </c>
      <c r="M51" s="13" t="str">
        <f t="shared" si="3"/>
        <v/>
      </c>
    </row>
    <row r="52" spans="2:13" x14ac:dyDescent="0.35">
      <c r="B52" s="10">
        <v>54</v>
      </c>
      <c r="C52" s="105"/>
      <c r="D52" s="105"/>
      <c r="E52" s="105"/>
      <c r="F52" s="105"/>
      <c r="G52" s="105"/>
      <c r="H52" s="12"/>
      <c r="I52" s="105"/>
      <c r="J52" s="228"/>
      <c r="K52" s="228"/>
      <c r="L52" s="33" t="str">
        <f t="shared" si="2"/>
        <v/>
      </c>
      <c r="M52" s="13" t="str">
        <f t="shared" si="3"/>
        <v/>
      </c>
    </row>
    <row r="53" spans="2:13" x14ac:dyDescent="0.35">
      <c r="B53" s="10">
        <v>55</v>
      </c>
      <c r="C53" s="105"/>
      <c r="D53" s="105"/>
      <c r="E53" s="105"/>
      <c r="F53" s="105"/>
      <c r="G53" s="105"/>
      <c r="H53" s="12"/>
      <c r="I53" s="105"/>
      <c r="J53" s="228"/>
      <c r="K53" s="228"/>
      <c r="L53" s="33" t="str">
        <f t="shared" si="2"/>
        <v/>
      </c>
      <c r="M53" s="13" t="str">
        <f t="shared" si="3"/>
        <v/>
      </c>
    </row>
    <row r="54" spans="2:13" x14ac:dyDescent="0.35">
      <c r="B54" s="10">
        <v>56</v>
      </c>
      <c r="C54" s="105"/>
      <c r="D54" s="105"/>
      <c r="E54" s="105"/>
      <c r="F54" s="105"/>
      <c r="G54" s="105"/>
      <c r="H54" s="12"/>
      <c r="I54" s="105"/>
      <c r="J54" s="228"/>
      <c r="K54" s="228"/>
      <c r="L54" s="33" t="str">
        <f t="shared" si="2"/>
        <v/>
      </c>
      <c r="M54" s="13" t="str">
        <f t="shared" si="3"/>
        <v/>
      </c>
    </row>
    <row r="55" spans="2:13" x14ac:dyDescent="0.35">
      <c r="B55" s="10">
        <v>57</v>
      </c>
      <c r="C55" s="105"/>
      <c r="D55" s="105"/>
      <c r="E55" s="105"/>
      <c r="F55" s="105"/>
      <c r="G55" s="105"/>
      <c r="H55" s="12"/>
      <c r="I55" s="105"/>
      <c r="J55" s="228"/>
      <c r="K55" s="228"/>
      <c r="L55" s="33" t="str">
        <f t="shared" si="2"/>
        <v/>
      </c>
      <c r="M55" s="13" t="str">
        <f t="shared" si="3"/>
        <v/>
      </c>
    </row>
    <row r="56" spans="2:13" x14ac:dyDescent="0.35">
      <c r="B56" s="10">
        <v>58</v>
      </c>
      <c r="C56" s="105"/>
      <c r="D56" s="105"/>
      <c r="E56" s="105"/>
      <c r="F56" s="105"/>
      <c r="G56" s="105"/>
      <c r="H56" s="12"/>
      <c r="I56" s="105"/>
      <c r="J56" s="228"/>
      <c r="K56" s="228"/>
      <c r="L56" s="33" t="str">
        <f t="shared" si="2"/>
        <v/>
      </c>
      <c r="M56" s="13" t="str">
        <f t="shared" si="3"/>
        <v/>
      </c>
    </row>
    <row r="57" spans="2:13" x14ac:dyDescent="0.35">
      <c r="B57" s="10">
        <v>59</v>
      </c>
      <c r="C57" s="105"/>
      <c r="D57" s="105"/>
      <c r="E57" s="105"/>
      <c r="F57" s="105"/>
      <c r="G57" s="105"/>
      <c r="H57" s="12"/>
      <c r="I57" s="105"/>
      <c r="J57" s="228"/>
      <c r="K57" s="228"/>
      <c r="L57" s="33" t="str">
        <f t="shared" si="2"/>
        <v/>
      </c>
      <c r="M57" s="13" t="str">
        <f t="shared" si="3"/>
        <v/>
      </c>
    </row>
    <row r="58" spans="2:13" x14ac:dyDescent="0.35">
      <c r="B58" s="10">
        <v>60</v>
      </c>
      <c r="C58" s="105"/>
      <c r="D58" s="105"/>
      <c r="E58" s="105"/>
      <c r="F58" s="105"/>
      <c r="G58" s="105"/>
      <c r="H58" s="12"/>
      <c r="I58" s="105"/>
      <c r="J58" s="228"/>
      <c r="K58" s="228"/>
      <c r="L58" s="33" t="str">
        <f t="shared" si="2"/>
        <v/>
      </c>
      <c r="M58" s="13" t="str">
        <f t="shared" si="3"/>
        <v/>
      </c>
    </row>
    <row r="59" spans="2:13" x14ac:dyDescent="0.35">
      <c r="B59" s="10">
        <v>61</v>
      </c>
      <c r="C59" s="105"/>
      <c r="D59" s="105"/>
      <c r="E59" s="105"/>
      <c r="F59" s="105"/>
      <c r="G59" s="105"/>
      <c r="H59" s="12"/>
      <c r="I59" s="105"/>
      <c r="J59" s="228"/>
      <c r="K59" s="228"/>
      <c r="L59" s="33" t="str">
        <f t="shared" si="2"/>
        <v/>
      </c>
      <c r="M59" s="13" t="str">
        <f t="shared" si="3"/>
        <v/>
      </c>
    </row>
    <row r="60" spans="2:13" x14ac:dyDescent="0.35">
      <c r="B60" s="10">
        <v>62</v>
      </c>
      <c r="C60" s="105"/>
      <c r="D60" s="105"/>
      <c r="E60" s="105"/>
      <c r="F60" s="105"/>
      <c r="G60" s="105"/>
      <c r="H60" s="12"/>
      <c r="I60" s="105"/>
      <c r="J60" s="228"/>
      <c r="K60" s="228"/>
      <c r="L60" s="33" t="str">
        <f t="shared" si="2"/>
        <v/>
      </c>
      <c r="M60" s="13" t="str">
        <f t="shared" si="3"/>
        <v/>
      </c>
    </row>
    <row r="61" spans="2:13" x14ac:dyDescent="0.35">
      <c r="B61" s="10">
        <v>63</v>
      </c>
      <c r="C61" s="105"/>
      <c r="D61" s="105"/>
      <c r="E61" s="105"/>
      <c r="F61" s="105"/>
      <c r="G61" s="105"/>
      <c r="H61" s="12"/>
      <c r="I61" s="105"/>
      <c r="J61" s="228"/>
      <c r="K61" s="228"/>
      <c r="L61" s="33" t="str">
        <f t="shared" si="2"/>
        <v/>
      </c>
      <c r="M61" s="13" t="str">
        <f t="shared" si="3"/>
        <v/>
      </c>
    </row>
    <row r="62" spans="2:13" x14ac:dyDescent="0.35">
      <c r="B62" s="10">
        <v>64</v>
      </c>
      <c r="C62" s="105"/>
      <c r="D62" s="105"/>
      <c r="E62" s="105"/>
      <c r="F62" s="105"/>
      <c r="G62" s="105"/>
      <c r="H62" s="12"/>
      <c r="I62" s="105"/>
      <c r="J62" s="228"/>
      <c r="K62" s="228"/>
      <c r="L62" s="33" t="str">
        <f t="shared" si="2"/>
        <v/>
      </c>
      <c r="M62" s="13" t="str">
        <f t="shared" si="3"/>
        <v/>
      </c>
    </row>
    <row r="63" spans="2:13" x14ac:dyDescent="0.35">
      <c r="B63" s="10">
        <v>65</v>
      </c>
      <c r="C63" s="105"/>
      <c r="D63" s="105"/>
      <c r="E63" s="105"/>
      <c r="F63" s="105"/>
      <c r="G63" s="105"/>
      <c r="H63" s="12"/>
      <c r="I63" s="105"/>
      <c r="J63" s="228"/>
      <c r="K63" s="228"/>
      <c r="L63" s="33" t="str">
        <f t="shared" si="2"/>
        <v/>
      </c>
      <c r="M63" s="13" t="str">
        <f t="shared" si="3"/>
        <v/>
      </c>
    </row>
    <row r="64" spans="2:13" x14ac:dyDescent="0.35">
      <c r="B64" s="10">
        <v>66</v>
      </c>
      <c r="C64" s="105"/>
      <c r="D64" s="105"/>
      <c r="E64" s="105"/>
      <c r="F64" s="105"/>
      <c r="G64" s="105"/>
      <c r="H64" s="12"/>
      <c r="I64" s="105"/>
      <c r="J64" s="228"/>
      <c r="K64" s="228"/>
      <c r="L64" s="33" t="str">
        <f t="shared" si="2"/>
        <v/>
      </c>
      <c r="M64" s="13" t="str">
        <f t="shared" si="3"/>
        <v/>
      </c>
    </row>
    <row r="65" spans="2:13" ht="14.5" customHeight="1" x14ac:dyDescent="0.35">
      <c r="B65" s="10">
        <v>67</v>
      </c>
      <c r="C65" s="105"/>
      <c r="D65" s="105"/>
      <c r="E65" s="105"/>
      <c r="F65" s="105"/>
      <c r="G65" s="105"/>
      <c r="H65" s="12"/>
      <c r="I65" s="105"/>
      <c r="J65" s="228"/>
      <c r="K65" s="228"/>
      <c r="L65" s="33" t="str">
        <f t="shared" ref="L65:L128" si="4">IF(OR(J65="", K65=""), "", NETWORKDAYS(J65,K65))</f>
        <v/>
      </c>
      <c r="M65" s="13" t="str">
        <f t="shared" ref="M65:M128" si="5">IF(I65="SEA", 10, IF(I65="AIR", 5, ""))</f>
        <v/>
      </c>
    </row>
    <row r="66" spans="2:13" ht="15.65" customHeight="1" x14ac:dyDescent="0.35">
      <c r="B66" s="10">
        <v>68</v>
      </c>
      <c r="C66" s="105"/>
      <c r="D66" s="105"/>
      <c r="E66" s="105"/>
      <c r="F66" s="105"/>
      <c r="G66" s="105"/>
      <c r="H66" s="12"/>
      <c r="I66" s="105"/>
      <c r="J66" s="228"/>
      <c r="K66" s="228"/>
      <c r="L66" s="33" t="str">
        <f t="shared" si="4"/>
        <v/>
      </c>
      <c r="M66" s="13" t="str">
        <f t="shared" si="5"/>
        <v/>
      </c>
    </row>
    <row r="67" spans="2:13" x14ac:dyDescent="0.35">
      <c r="B67" s="10">
        <v>69</v>
      </c>
      <c r="C67" s="105"/>
      <c r="D67" s="105"/>
      <c r="E67" s="105"/>
      <c r="F67" s="105"/>
      <c r="G67" s="105"/>
      <c r="H67" s="12"/>
      <c r="I67" s="105"/>
      <c r="J67" s="228"/>
      <c r="K67" s="228"/>
      <c r="L67" s="33" t="str">
        <f t="shared" si="4"/>
        <v/>
      </c>
      <c r="M67" s="13" t="str">
        <f t="shared" si="5"/>
        <v/>
      </c>
    </row>
    <row r="68" spans="2:13" x14ac:dyDescent="0.35">
      <c r="B68" s="10">
        <v>70</v>
      </c>
      <c r="C68" s="105"/>
      <c r="D68" s="105"/>
      <c r="E68" s="105"/>
      <c r="F68" s="105"/>
      <c r="G68" s="105"/>
      <c r="H68" s="12"/>
      <c r="I68" s="105"/>
      <c r="J68" s="228"/>
      <c r="K68" s="228"/>
      <c r="L68" s="33" t="str">
        <f t="shared" si="4"/>
        <v/>
      </c>
      <c r="M68" s="13" t="str">
        <f t="shared" si="5"/>
        <v/>
      </c>
    </row>
    <row r="69" spans="2:13" x14ac:dyDescent="0.35">
      <c r="B69" s="10">
        <v>71</v>
      </c>
      <c r="C69" s="105"/>
      <c r="D69" s="105"/>
      <c r="E69" s="105"/>
      <c r="F69" s="105"/>
      <c r="G69" s="105"/>
      <c r="H69" s="12"/>
      <c r="I69" s="105"/>
      <c r="J69" s="228"/>
      <c r="K69" s="228"/>
      <c r="L69" s="33" t="str">
        <f t="shared" si="4"/>
        <v/>
      </c>
      <c r="M69" s="13" t="str">
        <f t="shared" si="5"/>
        <v/>
      </c>
    </row>
    <row r="70" spans="2:13" x14ac:dyDescent="0.35">
      <c r="B70" s="10">
        <v>72</v>
      </c>
      <c r="C70" s="105"/>
      <c r="D70" s="105"/>
      <c r="E70" s="105"/>
      <c r="F70" s="105"/>
      <c r="G70" s="105"/>
      <c r="H70" s="12"/>
      <c r="I70" s="105"/>
      <c r="J70" s="228"/>
      <c r="K70" s="228"/>
      <c r="L70" s="33" t="str">
        <f t="shared" si="4"/>
        <v/>
      </c>
      <c r="M70" s="13" t="str">
        <f t="shared" si="5"/>
        <v/>
      </c>
    </row>
    <row r="71" spans="2:13" x14ac:dyDescent="0.35">
      <c r="B71" s="10">
        <v>73</v>
      </c>
      <c r="C71" s="105"/>
      <c r="D71" s="105"/>
      <c r="E71" s="105"/>
      <c r="F71" s="105"/>
      <c r="G71" s="105"/>
      <c r="H71" s="12"/>
      <c r="I71" s="105"/>
      <c r="J71" s="228"/>
      <c r="K71" s="228"/>
      <c r="L71" s="33" t="str">
        <f t="shared" si="4"/>
        <v/>
      </c>
      <c r="M71" s="13" t="str">
        <f t="shared" si="5"/>
        <v/>
      </c>
    </row>
    <row r="72" spans="2:13" x14ac:dyDescent="0.35">
      <c r="B72" s="10">
        <v>74</v>
      </c>
      <c r="C72" s="105"/>
      <c r="D72" s="105"/>
      <c r="E72" s="105"/>
      <c r="F72" s="105"/>
      <c r="G72" s="105"/>
      <c r="H72" s="12"/>
      <c r="I72" s="105"/>
      <c r="J72" s="228"/>
      <c r="K72" s="228"/>
      <c r="L72" s="33" t="str">
        <f t="shared" si="4"/>
        <v/>
      </c>
      <c r="M72" s="13" t="str">
        <f t="shared" si="5"/>
        <v/>
      </c>
    </row>
    <row r="73" spans="2:13" x14ac:dyDescent="0.35">
      <c r="B73" s="10">
        <v>75</v>
      </c>
      <c r="C73" s="105"/>
      <c r="D73" s="105"/>
      <c r="E73" s="105"/>
      <c r="F73" s="105"/>
      <c r="G73" s="105"/>
      <c r="H73" s="12"/>
      <c r="I73" s="105"/>
      <c r="J73" s="228"/>
      <c r="K73" s="228"/>
      <c r="L73" s="33" t="str">
        <f t="shared" si="4"/>
        <v/>
      </c>
      <c r="M73" s="13" t="str">
        <f t="shared" si="5"/>
        <v/>
      </c>
    </row>
    <row r="74" spans="2:13" x14ac:dyDescent="0.35">
      <c r="B74" s="10">
        <v>76</v>
      </c>
      <c r="C74" s="34"/>
      <c r="D74" s="34"/>
      <c r="E74" s="34"/>
      <c r="F74" s="34"/>
      <c r="G74" s="34"/>
      <c r="H74" s="12"/>
      <c r="I74" s="43"/>
      <c r="J74" s="223"/>
      <c r="K74" s="223"/>
      <c r="L74" s="33" t="str">
        <f t="shared" si="4"/>
        <v/>
      </c>
      <c r="M74" s="13" t="str">
        <f t="shared" si="5"/>
        <v/>
      </c>
    </row>
    <row r="75" spans="2:13" x14ac:dyDescent="0.35">
      <c r="B75" s="10">
        <v>77</v>
      </c>
      <c r="C75" s="35"/>
      <c r="D75" s="35"/>
      <c r="E75" s="35"/>
      <c r="F75" s="35"/>
      <c r="G75" s="35"/>
      <c r="H75" s="12"/>
      <c r="I75" s="103"/>
      <c r="J75" s="227"/>
      <c r="K75" s="227"/>
      <c r="L75" s="33" t="str">
        <f t="shared" si="4"/>
        <v/>
      </c>
      <c r="M75" s="13" t="str">
        <f t="shared" si="5"/>
        <v/>
      </c>
    </row>
    <row r="76" spans="2:13" x14ac:dyDescent="0.35">
      <c r="B76" s="10">
        <v>78</v>
      </c>
      <c r="C76" s="35"/>
      <c r="D76" s="35"/>
      <c r="E76" s="35"/>
      <c r="F76" s="35"/>
      <c r="G76" s="35"/>
      <c r="H76" s="12"/>
      <c r="I76" s="103"/>
      <c r="J76" s="227"/>
      <c r="K76" s="227"/>
      <c r="L76" s="33" t="str">
        <f t="shared" si="4"/>
        <v/>
      </c>
      <c r="M76" s="13" t="str">
        <f t="shared" si="5"/>
        <v/>
      </c>
    </row>
    <row r="77" spans="2:13" x14ac:dyDescent="0.35">
      <c r="B77" s="10">
        <v>79</v>
      </c>
      <c r="C77" s="35"/>
      <c r="D77" s="35"/>
      <c r="E77" s="35"/>
      <c r="F77" s="35"/>
      <c r="G77" s="35"/>
      <c r="H77" s="12"/>
      <c r="I77" s="103"/>
      <c r="J77" s="227"/>
      <c r="K77" s="227"/>
      <c r="L77" s="33" t="str">
        <f t="shared" si="4"/>
        <v/>
      </c>
      <c r="M77" s="13" t="str">
        <f t="shared" si="5"/>
        <v/>
      </c>
    </row>
    <row r="78" spans="2:13" x14ac:dyDescent="0.35">
      <c r="B78" s="10">
        <v>80</v>
      </c>
      <c r="C78" s="35"/>
      <c r="D78" s="35"/>
      <c r="E78" s="35"/>
      <c r="F78" s="35"/>
      <c r="G78" s="35"/>
      <c r="H78" s="12"/>
      <c r="I78" s="103"/>
      <c r="J78" s="227"/>
      <c r="K78" s="227"/>
      <c r="L78" s="33" t="str">
        <f t="shared" si="4"/>
        <v/>
      </c>
      <c r="M78" s="13" t="str">
        <f t="shared" si="5"/>
        <v/>
      </c>
    </row>
    <row r="79" spans="2:13" x14ac:dyDescent="0.35">
      <c r="B79" s="10">
        <v>81</v>
      </c>
      <c r="C79" s="35"/>
      <c r="D79" s="103"/>
      <c r="E79" s="113"/>
      <c r="F79" s="35"/>
      <c r="G79" s="35"/>
      <c r="H79" s="12"/>
      <c r="I79" s="103"/>
      <c r="J79" s="227"/>
      <c r="K79" s="227"/>
      <c r="L79" s="33" t="str">
        <f t="shared" si="4"/>
        <v/>
      </c>
      <c r="M79" s="13" t="str">
        <f t="shared" si="5"/>
        <v/>
      </c>
    </row>
    <row r="80" spans="2:13" x14ac:dyDescent="0.35">
      <c r="B80" s="10">
        <v>82</v>
      </c>
      <c r="C80" s="35"/>
      <c r="D80" s="103"/>
      <c r="E80" s="114"/>
      <c r="F80" s="35"/>
      <c r="G80" s="35"/>
      <c r="H80" s="12"/>
      <c r="I80" s="103"/>
      <c r="J80" s="227"/>
      <c r="K80" s="227"/>
      <c r="L80" s="33" t="str">
        <f t="shared" si="4"/>
        <v/>
      </c>
      <c r="M80" s="13" t="str">
        <f t="shared" si="5"/>
        <v/>
      </c>
    </row>
    <row r="81" spans="2:13" x14ac:dyDescent="0.35">
      <c r="B81" s="10">
        <v>83</v>
      </c>
      <c r="C81" s="35"/>
      <c r="D81" s="103"/>
      <c r="E81" s="113"/>
      <c r="F81" s="35"/>
      <c r="G81" s="35"/>
      <c r="H81" s="12"/>
      <c r="I81" s="103"/>
      <c r="J81" s="227"/>
      <c r="K81" s="227"/>
      <c r="L81" s="33" t="str">
        <f t="shared" si="4"/>
        <v/>
      </c>
      <c r="M81" s="13" t="str">
        <f t="shared" si="5"/>
        <v/>
      </c>
    </row>
    <row r="82" spans="2:13" x14ac:dyDescent="0.35">
      <c r="B82" s="10">
        <v>84</v>
      </c>
      <c r="C82" s="35"/>
      <c r="D82" s="103"/>
      <c r="E82" s="113"/>
      <c r="F82" s="35"/>
      <c r="G82" s="35"/>
      <c r="H82" s="12"/>
      <c r="I82" s="103"/>
      <c r="J82" s="227"/>
      <c r="K82" s="227"/>
      <c r="L82" s="33" t="str">
        <f t="shared" si="4"/>
        <v/>
      </c>
      <c r="M82" s="13" t="str">
        <f t="shared" si="5"/>
        <v/>
      </c>
    </row>
    <row r="83" spans="2:13" x14ac:dyDescent="0.35">
      <c r="B83" s="10">
        <v>85</v>
      </c>
      <c r="C83" s="35"/>
      <c r="D83" s="35"/>
      <c r="E83" s="113"/>
      <c r="F83" s="35"/>
      <c r="G83" s="35"/>
      <c r="H83" s="12"/>
      <c r="I83" s="103"/>
      <c r="J83" s="227"/>
      <c r="K83" s="227"/>
      <c r="L83" s="33" t="str">
        <f t="shared" si="4"/>
        <v/>
      </c>
      <c r="M83" s="13" t="str">
        <f t="shared" si="5"/>
        <v/>
      </c>
    </row>
    <row r="84" spans="2:13" x14ac:dyDescent="0.35">
      <c r="B84" s="10">
        <v>86</v>
      </c>
      <c r="C84" s="35"/>
      <c r="D84" s="35"/>
      <c r="E84" s="113"/>
      <c r="F84" s="35"/>
      <c r="G84" s="35"/>
      <c r="H84" s="12"/>
      <c r="I84" s="103"/>
      <c r="J84" s="227"/>
      <c r="K84" s="227"/>
      <c r="L84" s="33" t="str">
        <f t="shared" si="4"/>
        <v/>
      </c>
      <c r="M84" s="13" t="str">
        <f t="shared" si="5"/>
        <v/>
      </c>
    </row>
    <row r="85" spans="2:13" x14ac:dyDescent="0.35">
      <c r="B85" s="10">
        <v>87</v>
      </c>
      <c r="C85" s="35"/>
      <c r="D85" s="35"/>
      <c r="E85" s="113"/>
      <c r="F85" s="35"/>
      <c r="G85" s="35"/>
      <c r="H85" s="12"/>
      <c r="I85" s="103"/>
      <c r="J85" s="227"/>
      <c r="K85" s="227"/>
      <c r="L85" s="33" t="str">
        <f t="shared" si="4"/>
        <v/>
      </c>
      <c r="M85" s="13" t="str">
        <f t="shared" si="5"/>
        <v/>
      </c>
    </row>
    <row r="86" spans="2:13" x14ac:dyDescent="0.35">
      <c r="B86" s="10">
        <v>88</v>
      </c>
      <c r="C86" s="35"/>
      <c r="D86" s="35"/>
      <c r="E86" s="115"/>
      <c r="F86" s="35"/>
      <c r="G86" s="35"/>
      <c r="H86" s="12"/>
      <c r="I86" s="103"/>
      <c r="J86" s="227"/>
      <c r="K86" s="227"/>
      <c r="L86" s="33" t="str">
        <f t="shared" si="4"/>
        <v/>
      </c>
      <c r="M86" s="13" t="str">
        <f t="shared" si="5"/>
        <v/>
      </c>
    </row>
    <row r="87" spans="2:13" x14ac:dyDescent="0.35">
      <c r="B87" s="10">
        <v>89</v>
      </c>
      <c r="C87" s="35"/>
      <c r="D87" s="35"/>
      <c r="E87" s="115"/>
      <c r="F87" s="35"/>
      <c r="G87" s="35"/>
      <c r="H87" s="12"/>
      <c r="I87" s="103"/>
      <c r="J87" s="227"/>
      <c r="K87" s="227"/>
      <c r="L87" s="33" t="str">
        <f t="shared" si="4"/>
        <v/>
      </c>
      <c r="M87" s="13" t="str">
        <f t="shared" si="5"/>
        <v/>
      </c>
    </row>
    <row r="88" spans="2:13" x14ac:dyDescent="0.35">
      <c r="B88" s="10">
        <v>90</v>
      </c>
      <c r="C88" s="35"/>
      <c r="D88" s="35"/>
      <c r="E88" s="113"/>
      <c r="F88" s="35"/>
      <c r="G88" s="35"/>
      <c r="H88" s="12"/>
      <c r="I88" s="103"/>
      <c r="J88" s="227"/>
      <c r="K88" s="227"/>
      <c r="L88" s="33" t="str">
        <f t="shared" si="4"/>
        <v/>
      </c>
      <c r="M88" s="13" t="str">
        <f t="shared" si="5"/>
        <v/>
      </c>
    </row>
    <row r="89" spans="2:13" x14ac:dyDescent="0.35">
      <c r="B89" s="10">
        <v>91</v>
      </c>
      <c r="C89" s="10"/>
      <c r="D89" s="38"/>
      <c r="E89" s="38"/>
      <c r="F89" s="39"/>
      <c r="G89" s="196"/>
      <c r="H89" s="12"/>
      <c r="I89" s="103"/>
      <c r="J89" s="227"/>
      <c r="K89" s="226"/>
      <c r="L89" s="33" t="str">
        <f t="shared" si="4"/>
        <v/>
      </c>
      <c r="M89" s="13" t="str">
        <f t="shared" si="5"/>
        <v/>
      </c>
    </row>
    <row r="90" spans="2:13" x14ac:dyDescent="0.35">
      <c r="B90" s="10">
        <v>92</v>
      </c>
      <c r="C90" s="10"/>
      <c r="D90" s="38"/>
      <c r="E90" s="38"/>
      <c r="F90" s="39"/>
      <c r="G90" s="196"/>
      <c r="H90" s="12"/>
      <c r="I90" s="103"/>
      <c r="J90" s="227"/>
      <c r="K90" s="226"/>
      <c r="L90" s="33" t="str">
        <f t="shared" si="4"/>
        <v/>
      </c>
      <c r="M90" s="13" t="str">
        <f t="shared" si="5"/>
        <v/>
      </c>
    </row>
    <row r="91" spans="2:13" x14ac:dyDescent="0.35">
      <c r="B91" s="10">
        <v>93</v>
      </c>
      <c r="C91" s="10"/>
      <c r="D91" s="38"/>
      <c r="E91" s="38"/>
      <c r="F91" s="39"/>
      <c r="G91" s="196"/>
      <c r="H91" s="12"/>
      <c r="I91" s="103"/>
      <c r="J91" s="227"/>
      <c r="K91" s="226"/>
      <c r="L91" s="33" t="str">
        <f t="shared" si="4"/>
        <v/>
      </c>
      <c r="M91" s="13" t="str">
        <f t="shared" si="5"/>
        <v/>
      </c>
    </row>
    <row r="92" spans="2:13" x14ac:dyDescent="0.35">
      <c r="B92" s="10">
        <v>94</v>
      </c>
      <c r="C92" s="10"/>
      <c r="D92" s="38"/>
      <c r="E92" s="38"/>
      <c r="F92" s="39"/>
      <c r="G92" s="196"/>
      <c r="H92" s="12"/>
      <c r="I92" s="103"/>
      <c r="J92" s="227"/>
      <c r="K92" s="226"/>
      <c r="L92" s="33" t="str">
        <f t="shared" si="4"/>
        <v/>
      </c>
      <c r="M92" s="13" t="str">
        <f t="shared" si="5"/>
        <v/>
      </c>
    </row>
    <row r="93" spans="2:13" x14ac:dyDescent="0.35">
      <c r="B93" s="10">
        <v>95</v>
      </c>
      <c r="C93" s="10"/>
      <c r="D93" s="38"/>
      <c r="E93" s="38"/>
      <c r="F93" s="39"/>
      <c r="G93" s="196"/>
      <c r="H93" s="12"/>
      <c r="I93" s="103"/>
      <c r="J93" s="227"/>
      <c r="K93" s="226"/>
      <c r="L93" s="33" t="str">
        <f t="shared" si="4"/>
        <v/>
      </c>
      <c r="M93" s="13" t="str">
        <f t="shared" si="5"/>
        <v/>
      </c>
    </row>
    <row r="94" spans="2:13" x14ac:dyDescent="0.35">
      <c r="B94" s="10">
        <v>96</v>
      </c>
      <c r="C94" s="10"/>
      <c r="D94" s="38"/>
      <c r="E94" s="38"/>
      <c r="F94" s="39"/>
      <c r="G94" s="196"/>
      <c r="H94" s="12"/>
      <c r="I94" s="103"/>
      <c r="J94" s="227"/>
      <c r="K94" s="226"/>
      <c r="L94" s="33" t="str">
        <f t="shared" si="4"/>
        <v/>
      </c>
      <c r="M94" s="13" t="str">
        <f t="shared" si="5"/>
        <v/>
      </c>
    </row>
    <row r="95" spans="2:13" x14ac:dyDescent="0.35">
      <c r="B95" s="10">
        <v>97</v>
      </c>
      <c r="C95" s="10"/>
      <c r="D95" s="38"/>
      <c r="E95" s="38"/>
      <c r="F95" s="39"/>
      <c r="G95" s="196"/>
      <c r="H95" s="12"/>
      <c r="I95" s="103"/>
      <c r="J95" s="227"/>
      <c r="K95" s="226"/>
      <c r="L95" s="33" t="str">
        <f t="shared" si="4"/>
        <v/>
      </c>
      <c r="M95" s="13" t="str">
        <f t="shared" si="5"/>
        <v/>
      </c>
    </row>
    <row r="96" spans="2:13" x14ac:dyDescent="0.35">
      <c r="B96" s="10">
        <v>98</v>
      </c>
      <c r="C96" s="10"/>
      <c r="D96" s="38"/>
      <c r="E96" s="38"/>
      <c r="F96" s="39"/>
      <c r="G96" s="196"/>
      <c r="H96" s="12"/>
      <c r="I96" s="103"/>
      <c r="J96" s="227"/>
      <c r="K96" s="226"/>
      <c r="L96" s="33" t="str">
        <f t="shared" si="4"/>
        <v/>
      </c>
      <c r="M96" s="13" t="str">
        <f t="shared" si="5"/>
        <v/>
      </c>
    </row>
    <row r="97" spans="2:13" x14ac:dyDescent="0.35">
      <c r="B97" s="10">
        <v>99</v>
      </c>
      <c r="C97" s="10"/>
      <c r="D97" s="38"/>
      <c r="E97" s="38"/>
      <c r="F97" s="39"/>
      <c r="G97" s="196"/>
      <c r="H97" s="12"/>
      <c r="I97" s="103"/>
      <c r="J97" s="227"/>
      <c r="K97" s="226"/>
      <c r="L97" s="33" t="str">
        <f t="shared" si="4"/>
        <v/>
      </c>
      <c r="M97" s="13" t="str">
        <f t="shared" si="5"/>
        <v/>
      </c>
    </row>
    <row r="98" spans="2:13" x14ac:dyDescent="0.35">
      <c r="B98" s="10">
        <v>100</v>
      </c>
      <c r="C98" s="10"/>
      <c r="D98" s="38"/>
      <c r="E98" s="38"/>
      <c r="F98" s="39"/>
      <c r="G98" s="196"/>
      <c r="H98" s="12"/>
      <c r="I98" s="103"/>
      <c r="J98" s="227"/>
      <c r="K98" s="226"/>
      <c r="L98" s="33" t="str">
        <f t="shared" si="4"/>
        <v/>
      </c>
      <c r="M98" s="13" t="str">
        <f t="shared" si="5"/>
        <v/>
      </c>
    </row>
    <row r="99" spans="2:13" x14ac:dyDescent="0.35">
      <c r="B99" s="10">
        <v>101</v>
      </c>
      <c r="C99" s="10"/>
      <c r="D99" s="38"/>
      <c r="E99" s="38"/>
      <c r="F99" s="39"/>
      <c r="G99" s="196"/>
      <c r="H99" s="12"/>
      <c r="I99" s="103"/>
      <c r="J99" s="227"/>
      <c r="K99" s="226"/>
      <c r="L99" s="33" t="str">
        <f t="shared" si="4"/>
        <v/>
      </c>
      <c r="M99" s="13" t="str">
        <f t="shared" si="5"/>
        <v/>
      </c>
    </row>
    <row r="100" spans="2:13" x14ac:dyDescent="0.35">
      <c r="B100" s="10">
        <v>102</v>
      </c>
      <c r="C100" s="10"/>
      <c r="D100" s="38"/>
      <c r="E100" s="38"/>
      <c r="F100" s="39"/>
      <c r="G100" s="196"/>
      <c r="H100" s="12"/>
      <c r="I100" s="103"/>
      <c r="J100" s="227"/>
      <c r="K100" s="226"/>
      <c r="L100" s="33" t="str">
        <f t="shared" si="4"/>
        <v/>
      </c>
      <c r="M100" s="13" t="str">
        <f t="shared" si="5"/>
        <v/>
      </c>
    </row>
    <row r="101" spans="2:13" x14ac:dyDescent="0.35">
      <c r="B101" s="10">
        <v>103</v>
      </c>
      <c r="C101" s="10"/>
      <c r="D101" s="38"/>
      <c r="E101" s="38"/>
      <c r="F101" s="39"/>
      <c r="G101" s="196"/>
      <c r="H101" s="12"/>
      <c r="I101" s="103"/>
      <c r="J101" s="227"/>
      <c r="K101" s="226"/>
      <c r="L101" s="33" t="str">
        <f t="shared" si="4"/>
        <v/>
      </c>
      <c r="M101" s="13" t="str">
        <f t="shared" si="5"/>
        <v/>
      </c>
    </row>
    <row r="102" spans="2:13" x14ac:dyDescent="0.35">
      <c r="B102" s="10">
        <v>104</v>
      </c>
      <c r="C102" s="10"/>
      <c r="D102" s="38"/>
      <c r="E102" s="38"/>
      <c r="F102" s="39"/>
      <c r="G102" s="196"/>
      <c r="H102" s="12"/>
      <c r="I102" s="103"/>
      <c r="J102" s="227"/>
      <c r="K102" s="226"/>
      <c r="L102" s="33" t="str">
        <f t="shared" si="4"/>
        <v/>
      </c>
      <c r="M102" s="13" t="str">
        <f t="shared" si="5"/>
        <v/>
      </c>
    </row>
    <row r="103" spans="2:13" x14ac:dyDescent="0.35">
      <c r="B103" s="10">
        <v>105</v>
      </c>
      <c r="C103" s="10"/>
      <c r="D103" s="38"/>
      <c r="E103" s="38"/>
      <c r="F103" s="39"/>
      <c r="G103" s="196"/>
      <c r="H103" s="12"/>
      <c r="I103" s="103"/>
      <c r="J103" s="227"/>
      <c r="K103" s="226"/>
      <c r="L103" s="33" t="str">
        <f t="shared" si="4"/>
        <v/>
      </c>
      <c r="M103" s="13" t="str">
        <f t="shared" si="5"/>
        <v/>
      </c>
    </row>
    <row r="104" spans="2:13" x14ac:dyDescent="0.35">
      <c r="B104" s="10">
        <v>106</v>
      </c>
      <c r="C104" s="10"/>
      <c r="D104" s="38"/>
      <c r="E104" s="38"/>
      <c r="F104" s="39"/>
      <c r="G104" s="196"/>
      <c r="H104" s="12"/>
      <c r="I104" s="103"/>
      <c r="J104" s="227"/>
      <c r="K104" s="226"/>
      <c r="L104" s="33" t="str">
        <f t="shared" si="4"/>
        <v/>
      </c>
      <c r="M104" s="13" t="str">
        <f t="shared" si="5"/>
        <v/>
      </c>
    </row>
    <row r="105" spans="2:13" x14ac:dyDescent="0.35">
      <c r="B105" s="10">
        <v>107</v>
      </c>
      <c r="C105" s="10"/>
      <c r="D105" s="38"/>
      <c r="E105" s="38"/>
      <c r="F105" s="39"/>
      <c r="G105" s="196"/>
      <c r="H105" s="12"/>
      <c r="I105" s="103"/>
      <c r="J105" s="227"/>
      <c r="K105" s="226"/>
      <c r="L105" s="33" t="str">
        <f t="shared" si="4"/>
        <v/>
      </c>
      <c r="M105" s="13" t="str">
        <f t="shared" si="5"/>
        <v/>
      </c>
    </row>
    <row r="106" spans="2:13" x14ac:dyDescent="0.35">
      <c r="B106" s="10">
        <v>108</v>
      </c>
      <c r="C106" s="10"/>
      <c r="D106" s="38"/>
      <c r="E106" s="38"/>
      <c r="F106" s="39"/>
      <c r="G106" s="196"/>
      <c r="H106" s="12"/>
      <c r="I106" s="103"/>
      <c r="J106" s="227"/>
      <c r="K106" s="226"/>
      <c r="L106" s="33" t="str">
        <f t="shared" si="4"/>
        <v/>
      </c>
      <c r="M106" s="13" t="str">
        <f t="shared" si="5"/>
        <v/>
      </c>
    </row>
    <row r="107" spans="2:13" x14ac:dyDescent="0.35">
      <c r="B107" s="10">
        <v>109</v>
      </c>
      <c r="C107" s="10"/>
      <c r="D107" s="38"/>
      <c r="E107" s="38"/>
      <c r="F107" s="39"/>
      <c r="G107" s="196"/>
      <c r="H107" s="12"/>
      <c r="I107" s="103"/>
      <c r="J107" s="227"/>
      <c r="K107" s="226"/>
      <c r="L107" s="33" t="str">
        <f t="shared" si="4"/>
        <v/>
      </c>
      <c r="M107" s="13" t="str">
        <f t="shared" si="5"/>
        <v/>
      </c>
    </row>
    <row r="108" spans="2:13" x14ac:dyDescent="0.35">
      <c r="B108" s="10">
        <v>110</v>
      </c>
      <c r="C108" s="10"/>
      <c r="D108" s="38"/>
      <c r="E108" s="38"/>
      <c r="F108" s="39"/>
      <c r="G108" s="196"/>
      <c r="H108" s="12"/>
      <c r="I108" s="103"/>
      <c r="J108" s="227"/>
      <c r="K108" s="226"/>
      <c r="L108" s="33" t="str">
        <f t="shared" si="4"/>
        <v/>
      </c>
      <c r="M108" s="13" t="str">
        <f t="shared" si="5"/>
        <v/>
      </c>
    </row>
    <row r="109" spans="2:13" x14ac:dyDescent="0.35">
      <c r="B109" s="10">
        <v>111</v>
      </c>
      <c r="C109" s="10"/>
      <c r="D109" s="38"/>
      <c r="E109" s="38"/>
      <c r="F109" s="39"/>
      <c r="G109" s="196"/>
      <c r="H109" s="12"/>
      <c r="I109" s="103"/>
      <c r="J109" s="227"/>
      <c r="K109" s="226"/>
      <c r="L109" s="33" t="str">
        <f t="shared" si="4"/>
        <v/>
      </c>
      <c r="M109" s="13" t="str">
        <f t="shared" si="5"/>
        <v/>
      </c>
    </row>
    <row r="110" spans="2:13" x14ac:dyDescent="0.35">
      <c r="B110" s="10">
        <v>112</v>
      </c>
      <c r="C110" s="10"/>
      <c r="D110" s="38"/>
      <c r="E110" s="38"/>
      <c r="F110" s="39"/>
      <c r="G110" s="196"/>
      <c r="H110" s="12"/>
      <c r="I110" s="103"/>
      <c r="J110" s="227"/>
      <c r="K110" s="226"/>
      <c r="L110" s="33" t="str">
        <f t="shared" si="4"/>
        <v/>
      </c>
      <c r="M110" s="13" t="str">
        <f t="shared" si="5"/>
        <v/>
      </c>
    </row>
    <row r="111" spans="2:13" x14ac:dyDescent="0.35">
      <c r="B111" s="10">
        <v>113</v>
      </c>
      <c r="C111" s="10"/>
      <c r="D111" s="38"/>
      <c r="E111" s="38"/>
      <c r="F111" s="39"/>
      <c r="G111" s="196"/>
      <c r="H111" s="12"/>
      <c r="I111" s="103"/>
      <c r="J111" s="227"/>
      <c r="K111" s="226"/>
      <c r="L111" s="33" t="str">
        <f t="shared" si="4"/>
        <v/>
      </c>
      <c r="M111" s="13" t="str">
        <f t="shared" si="5"/>
        <v/>
      </c>
    </row>
    <row r="112" spans="2:13" x14ac:dyDescent="0.35">
      <c r="B112" s="10">
        <v>114</v>
      </c>
      <c r="C112" s="10"/>
      <c r="D112" s="38"/>
      <c r="E112" s="38"/>
      <c r="F112" s="39"/>
      <c r="G112" s="196"/>
      <c r="H112" s="12"/>
      <c r="I112" s="103"/>
      <c r="J112" s="227"/>
      <c r="K112" s="226"/>
      <c r="L112" s="33" t="str">
        <f t="shared" si="4"/>
        <v/>
      </c>
      <c r="M112" s="13" t="str">
        <f t="shared" si="5"/>
        <v/>
      </c>
    </row>
    <row r="113" spans="2:13" x14ac:dyDescent="0.35">
      <c r="B113" s="10">
        <v>115</v>
      </c>
      <c r="C113" s="10"/>
      <c r="D113" s="38"/>
      <c r="E113" s="38"/>
      <c r="F113" s="39"/>
      <c r="G113" s="196"/>
      <c r="H113" s="12"/>
      <c r="I113" s="103"/>
      <c r="J113" s="227"/>
      <c r="K113" s="226"/>
      <c r="L113" s="33" t="str">
        <f t="shared" si="4"/>
        <v/>
      </c>
      <c r="M113" s="13" t="str">
        <f t="shared" si="5"/>
        <v/>
      </c>
    </row>
    <row r="114" spans="2:13" x14ac:dyDescent="0.35">
      <c r="B114" s="10">
        <v>116</v>
      </c>
      <c r="C114" s="10"/>
      <c r="D114" s="38"/>
      <c r="E114" s="38"/>
      <c r="F114" s="39"/>
      <c r="G114" s="196"/>
      <c r="H114" s="12"/>
      <c r="I114" s="103"/>
      <c r="J114" s="227"/>
      <c r="K114" s="226"/>
      <c r="L114" s="33" t="str">
        <f t="shared" si="4"/>
        <v/>
      </c>
      <c r="M114" s="13" t="str">
        <f t="shared" si="5"/>
        <v/>
      </c>
    </row>
    <row r="115" spans="2:13" x14ac:dyDescent="0.35">
      <c r="B115" s="10">
        <v>117</v>
      </c>
      <c r="C115" s="10"/>
      <c r="D115" s="38"/>
      <c r="E115" s="38"/>
      <c r="F115" s="39"/>
      <c r="G115" s="196"/>
      <c r="H115" s="12"/>
      <c r="I115" s="103"/>
      <c r="J115" s="227"/>
      <c r="K115" s="226"/>
      <c r="L115" s="33" t="str">
        <f t="shared" si="4"/>
        <v/>
      </c>
      <c r="M115" s="13" t="str">
        <f t="shared" si="5"/>
        <v/>
      </c>
    </row>
    <row r="116" spans="2:13" x14ac:dyDescent="0.35">
      <c r="B116" s="10">
        <v>118</v>
      </c>
      <c r="C116" s="10"/>
      <c r="D116" s="38"/>
      <c r="E116" s="38"/>
      <c r="F116" s="39"/>
      <c r="G116" s="196"/>
      <c r="H116" s="12"/>
      <c r="I116" s="103"/>
      <c r="J116" s="227"/>
      <c r="K116" s="226"/>
      <c r="L116" s="33" t="str">
        <f t="shared" si="4"/>
        <v/>
      </c>
      <c r="M116" s="13" t="str">
        <f t="shared" si="5"/>
        <v/>
      </c>
    </row>
    <row r="117" spans="2:13" x14ac:dyDescent="0.35">
      <c r="B117" s="10">
        <v>119</v>
      </c>
      <c r="C117" s="10"/>
      <c r="D117" s="38"/>
      <c r="E117" s="38"/>
      <c r="F117" s="39"/>
      <c r="G117" s="196"/>
      <c r="H117" s="12"/>
      <c r="I117" s="103"/>
      <c r="J117" s="227"/>
      <c r="K117" s="226"/>
      <c r="L117" s="33" t="str">
        <f t="shared" si="4"/>
        <v/>
      </c>
      <c r="M117" s="13" t="str">
        <f t="shared" si="5"/>
        <v/>
      </c>
    </row>
    <row r="118" spans="2:13" x14ac:dyDescent="0.35">
      <c r="B118" s="10">
        <v>120</v>
      </c>
      <c r="C118" s="10"/>
      <c r="D118" s="38"/>
      <c r="E118" s="38"/>
      <c r="F118" s="39"/>
      <c r="G118" s="196"/>
      <c r="H118" s="12"/>
      <c r="I118" s="103"/>
      <c r="J118" s="227"/>
      <c r="K118" s="226"/>
      <c r="L118" s="33" t="str">
        <f t="shared" si="4"/>
        <v/>
      </c>
      <c r="M118" s="13" t="str">
        <f t="shared" si="5"/>
        <v/>
      </c>
    </row>
    <row r="119" spans="2:13" x14ac:dyDescent="0.35">
      <c r="B119" s="10">
        <v>121</v>
      </c>
      <c r="C119" s="10"/>
      <c r="D119" s="38"/>
      <c r="E119" s="38"/>
      <c r="F119" s="39"/>
      <c r="G119" s="196"/>
      <c r="H119" s="12"/>
      <c r="I119" s="103"/>
      <c r="J119" s="227"/>
      <c r="K119" s="226"/>
      <c r="L119" s="33" t="str">
        <f t="shared" si="4"/>
        <v/>
      </c>
      <c r="M119" s="13" t="str">
        <f t="shared" si="5"/>
        <v/>
      </c>
    </row>
    <row r="120" spans="2:13" x14ac:dyDescent="0.35">
      <c r="B120" s="10">
        <v>122</v>
      </c>
      <c r="C120" s="10"/>
      <c r="D120" s="38"/>
      <c r="E120" s="38"/>
      <c r="F120" s="39"/>
      <c r="G120" s="196"/>
      <c r="H120" s="12"/>
      <c r="I120" s="103"/>
      <c r="J120" s="227"/>
      <c r="K120" s="226"/>
      <c r="L120" s="33" t="str">
        <f t="shared" si="4"/>
        <v/>
      </c>
      <c r="M120" s="13" t="str">
        <f t="shared" si="5"/>
        <v/>
      </c>
    </row>
    <row r="121" spans="2:13" x14ac:dyDescent="0.35">
      <c r="B121" s="10">
        <v>123</v>
      </c>
      <c r="C121" s="10"/>
      <c r="D121" s="38"/>
      <c r="E121" s="38"/>
      <c r="F121" s="39"/>
      <c r="G121" s="196"/>
      <c r="H121" s="12"/>
      <c r="I121" s="103"/>
      <c r="J121" s="227"/>
      <c r="K121" s="226"/>
      <c r="L121" s="33" t="str">
        <f t="shared" si="4"/>
        <v/>
      </c>
      <c r="M121" s="13" t="str">
        <f t="shared" si="5"/>
        <v/>
      </c>
    </row>
    <row r="122" spans="2:13" x14ac:dyDescent="0.35">
      <c r="B122" s="10">
        <v>124</v>
      </c>
      <c r="C122" s="10"/>
      <c r="D122" s="38"/>
      <c r="E122" s="38"/>
      <c r="F122" s="39"/>
      <c r="G122" s="196"/>
      <c r="H122" s="12"/>
      <c r="I122" s="103"/>
      <c r="J122" s="227"/>
      <c r="K122" s="226"/>
      <c r="L122" s="33" t="str">
        <f t="shared" si="4"/>
        <v/>
      </c>
      <c r="M122" s="13" t="str">
        <f t="shared" si="5"/>
        <v/>
      </c>
    </row>
    <row r="123" spans="2:13" x14ac:dyDescent="0.35">
      <c r="B123" s="10">
        <v>125</v>
      </c>
      <c r="C123" s="10"/>
      <c r="D123" s="38"/>
      <c r="E123" s="38"/>
      <c r="F123" s="39"/>
      <c r="G123" s="196"/>
      <c r="H123" s="12"/>
      <c r="I123" s="103"/>
      <c r="J123" s="227"/>
      <c r="K123" s="226"/>
      <c r="L123" s="33" t="str">
        <f t="shared" si="4"/>
        <v/>
      </c>
      <c r="M123" s="13" t="str">
        <f t="shared" si="5"/>
        <v/>
      </c>
    </row>
    <row r="124" spans="2:13" x14ac:dyDescent="0.35">
      <c r="B124" s="10">
        <v>126</v>
      </c>
      <c r="C124" s="10"/>
      <c r="D124" s="38"/>
      <c r="E124" s="38"/>
      <c r="F124" s="39"/>
      <c r="G124" s="196"/>
      <c r="H124" s="12"/>
      <c r="I124" s="103"/>
      <c r="J124" s="227"/>
      <c r="K124" s="226"/>
      <c r="L124" s="33" t="str">
        <f t="shared" si="4"/>
        <v/>
      </c>
      <c r="M124" s="13" t="str">
        <f t="shared" si="5"/>
        <v/>
      </c>
    </row>
    <row r="125" spans="2:13" x14ac:dyDescent="0.35">
      <c r="B125" s="10">
        <v>127</v>
      </c>
      <c r="C125" s="10"/>
      <c r="D125" s="38"/>
      <c r="E125" s="38"/>
      <c r="F125" s="39"/>
      <c r="G125" s="196"/>
      <c r="H125" s="12"/>
      <c r="I125" s="103"/>
      <c r="J125" s="227"/>
      <c r="K125" s="226"/>
      <c r="L125" s="33" t="str">
        <f t="shared" si="4"/>
        <v/>
      </c>
      <c r="M125" s="13" t="str">
        <f t="shared" si="5"/>
        <v/>
      </c>
    </row>
    <row r="126" spans="2:13" x14ac:dyDescent="0.35">
      <c r="B126" s="10">
        <v>128</v>
      </c>
      <c r="C126" s="10"/>
      <c r="D126" s="38"/>
      <c r="E126" s="38"/>
      <c r="F126" s="39"/>
      <c r="G126" s="196"/>
      <c r="H126" s="12"/>
      <c r="I126" s="103"/>
      <c r="J126" s="227"/>
      <c r="K126" s="226"/>
      <c r="L126" s="33" t="str">
        <f t="shared" si="4"/>
        <v/>
      </c>
      <c r="M126" s="13" t="str">
        <f t="shared" si="5"/>
        <v/>
      </c>
    </row>
    <row r="127" spans="2:13" x14ac:dyDescent="0.35">
      <c r="B127" s="10">
        <v>129</v>
      </c>
      <c r="C127" s="10"/>
      <c r="D127" s="38"/>
      <c r="E127" s="38"/>
      <c r="F127" s="39"/>
      <c r="G127" s="196"/>
      <c r="H127" s="12"/>
      <c r="I127" s="103"/>
      <c r="J127" s="227"/>
      <c r="K127" s="226"/>
      <c r="L127" s="33" t="str">
        <f t="shared" si="4"/>
        <v/>
      </c>
      <c r="M127" s="13" t="str">
        <f t="shared" si="5"/>
        <v/>
      </c>
    </row>
    <row r="128" spans="2:13" x14ac:dyDescent="0.35">
      <c r="B128" s="10">
        <v>130</v>
      </c>
      <c r="C128" s="10"/>
      <c r="D128" s="38"/>
      <c r="E128" s="38"/>
      <c r="F128" s="39"/>
      <c r="G128" s="196"/>
      <c r="H128" s="12"/>
      <c r="I128" s="103"/>
      <c r="J128" s="227"/>
      <c r="K128" s="226"/>
      <c r="L128" s="33" t="str">
        <f t="shared" si="4"/>
        <v/>
      </c>
      <c r="M128" s="13" t="str">
        <f t="shared" si="5"/>
        <v/>
      </c>
    </row>
    <row r="129" spans="2:13" x14ac:dyDescent="0.35">
      <c r="B129" s="10">
        <v>131</v>
      </c>
      <c r="C129" s="10"/>
      <c r="D129" s="38"/>
      <c r="E129" s="38"/>
      <c r="F129" s="39"/>
      <c r="G129" s="196"/>
      <c r="H129" s="12"/>
      <c r="I129" s="103"/>
      <c r="J129" s="227"/>
      <c r="K129" s="226"/>
      <c r="L129" s="33" t="str">
        <f t="shared" ref="L129:L192" si="6">IF(OR(J129="", K129=""), "", NETWORKDAYS(J129,K129))</f>
        <v/>
      </c>
      <c r="M129" s="13" t="str">
        <f t="shared" ref="M129:M192" si="7">IF(I129="SEA", 10, IF(I129="AIR", 5, ""))</f>
        <v/>
      </c>
    </row>
    <row r="130" spans="2:13" x14ac:dyDescent="0.35">
      <c r="B130" s="10">
        <v>132</v>
      </c>
      <c r="C130" s="10"/>
      <c r="D130" s="38"/>
      <c r="E130" s="38"/>
      <c r="F130" s="39"/>
      <c r="G130" s="196"/>
      <c r="H130" s="12"/>
      <c r="I130" s="103"/>
      <c r="J130" s="227"/>
      <c r="K130" s="226"/>
      <c r="L130" s="33" t="str">
        <f t="shared" si="6"/>
        <v/>
      </c>
      <c r="M130" s="13" t="str">
        <f t="shared" si="7"/>
        <v/>
      </c>
    </row>
    <row r="131" spans="2:13" x14ac:dyDescent="0.35">
      <c r="B131" s="10">
        <v>133</v>
      </c>
      <c r="C131" s="10"/>
      <c r="D131" s="38"/>
      <c r="E131" s="38"/>
      <c r="F131" s="39"/>
      <c r="G131" s="196"/>
      <c r="H131" s="12"/>
      <c r="I131" s="103"/>
      <c r="J131" s="227"/>
      <c r="K131" s="226"/>
      <c r="L131" s="33" t="str">
        <f t="shared" si="6"/>
        <v/>
      </c>
      <c r="M131" s="13" t="str">
        <f t="shared" si="7"/>
        <v/>
      </c>
    </row>
    <row r="132" spans="2:13" x14ac:dyDescent="0.35">
      <c r="B132" s="10">
        <v>134</v>
      </c>
      <c r="C132" s="10"/>
      <c r="D132" s="38"/>
      <c r="E132" s="38"/>
      <c r="F132" s="39"/>
      <c r="G132" s="196"/>
      <c r="H132" s="12"/>
      <c r="I132" s="103"/>
      <c r="J132" s="227"/>
      <c r="K132" s="226"/>
      <c r="L132" s="33" t="str">
        <f t="shared" si="6"/>
        <v/>
      </c>
      <c r="M132" s="13" t="str">
        <f t="shared" si="7"/>
        <v/>
      </c>
    </row>
    <row r="133" spans="2:13" x14ac:dyDescent="0.35">
      <c r="B133" s="10">
        <v>135</v>
      </c>
      <c r="C133" s="10"/>
      <c r="D133" s="38"/>
      <c r="E133" s="38"/>
      <c r="F133" s="39"/>
      <c r="G133" s="196"/>
      <c r="H133" s="12"/>
      <c r="I133" s="103"/>
      <c r="J133" s="227"/>
      <c r="K133" s="226"/>
      <c r="L133" s="33" t="str">
        <f t="shared" si="6"/>
        <v/>
      </c>
      <c r="M133" s="13" t="str">
        <f t="shared" si="7"/>
        <v/>
      </c>
    </row>
    <row r="134" spans="2:13" x14ac:dyDescent="0.35">
      <c r="B134" s="10">
        <v>136</v>
      </c>
      <c r="C134" s="10"/>
      <c r="D134" s="38"/>
      <c r="E134" s="38"/>
      <c r="F134" s="39"/>
      <c r="G134" s="196"/>
      <c r="H134" s="12"/>
      <c r="I134" s="103"/>
      <c r="J134" s="227"/>
      <c r="K134" s="226"/>
      <c r="L134" s="33" t="str">
        <f t="shared" si="6"/>
        <v/>
      </c>
      <c r="M134" s="13" t="str">
        <f t="shared" si="7"/>
        <v/>
      </c>
    </row>
    <row r="135" spans="2:13" x14ac:dyDescent="0.35">
      <c r="B135" s="10">
        <v>137</v>
      </c>
      <c r="C135" s="10"/>
      <c r="D135" s="38"/>
      <c r="E135" s="38"/>
      <c r="F135" s="39"/>
      <c r="G135" s="196"/>
      <c r="H135" s="12"/>
      <c r="I135" s="103"/>
      <c r="J135" s="227"/>
      <c r="K135" s="226"/>
      <c r="L135" s="33" t="str">
        <f t="shared" si="6"/>
        <v/>
      </c>
      <c r="M135" s="13" t="str">
        <f t="shared" si="7"/>
        <v/>
      </c>
    </row>
    <row r="136" spans="2:13" x14ac:dyDescent="0.35">
      <c r="B136" s="10">
        <v>138</v>
      </c>
      <c r="C136" s="10"/>
      <c r="D136" s="38"/>
      <c r="E136" s="38"/>
      <c r="F136" s="39"/>
      <c r="G136" s="196"/>
      <c r="H136" s="12"/>
      <c r="I136" s="103"/>
      <c r="J136" s="227"/>
      <c r="K136" s="226"/>
      <c r="L136" s="33" t="str">
        <f t="shared" si="6"/>
        <v/>
      </c>
      <c r="M136" s="13" t="str">
        <f t="shared" si="7"/>
        <v/>
      </c>
    </row>
    <row r="137" spans="2:13" x14ac:dyDescent="0.35">
      <c r="B137" s="10">
        <v>139</v>
      </c>
      <c r="C137" s="10"/>
      <c r="D137" s="38"/>
      <c r="E137" s="38"/>
      <c r="F137" s="39"/>
      <c r="G137" s="196"/>
      <c r="H137" s="12"/>
      <c r="I137" s="103"/>
      <c r="J137" s="227"/>
      <c r="K137" s="226"/>
      <c r="L137" s="33" t="str">
        <f t="shared" si="6"/>
        <v/>
      </c>
      <c r="M137" s="13" t="str">
        <f t="shared" si="7"/>
        <v/>
      </c>
    </row>
    <row r="138" spans="2:13" x14ac:dyDescent="0.35">
      <c r="B138" s="10">
        <v>140</v>
      </c>
      <c r="C138" s="10"/>
      <c r="D138" s="38"/>
      <c r="E138" s="38"/>
      <c r="F138" s="39"/>
      <c r="G138" s="196"/>
      <c r="H138" s="12"/>
      <c r="I138" s="103"/>
      <c r="J138" s="227"/>
      <c r="K138" s="226"/>
      <c r="L138" s="33" t="str">
        <f t="shared" si="6"/>
        <v/>
      </c>
      <c r="M138" s="13" t="str">
        <f t="shared" si="7"/>
        <v/>
      </c>
    </row>
    <row r="139" spans="2:13" x14ac:dyDescent="0.35">
      <c r="B139" s="10">
        <v>141</v>
      </c>
      <c r="C139" s="10"/>
      <c r="D139" s="38"/>
      <c r="E139" s="38"/>
      <c r="F139" s="39"/>
      <c r="G139" s="196"/>
      <c r="H139" s="12"/>
      <c r="I139" s="103"/>
      <c r="J139" s="227"/>
      <c r="K139" s="226"/>
      <c r="L139" s="33" t="str">
        <f t="shared" si="6"/>
        <v/>
      </c>
      <c r="M139" s="13" t="str">
        <f t="shared" si="7"/>
        <v/>
      </c>
    </row>
    <row r="140" spans="2:13" x14ac:dyDescent="0.35">
      <c r="B140" s="10">
        <v>142</v>
      </c>
      <c r="C140" s="10"/>
      <c r="D140" s="38"/>
      <c r="E140" s="38"/>
      <c r="F140" s="39"/>
      <c r="G140" s="196"/>
      <c r="H140" s="12"/>
      <c r="I140" s="103"/>
      <c r="J140" s="227"/>
      <c r="K140" s="226"/>
      <c r="L140" s="33" t="str">
        <f t="shared" si="6"/>
        <v/>
      </c>
      <c r="M140" s="13" t="str">
        <f t="shared" si="7"/>
        <v/>
      </c>
    </row>
    <row r="141" spans="2:13" x14ac:dyDescent="0.35">
      <c r="B141" s="10">
        <v>143</v>
      </c>
      <c r="C141" s="10"/>
      <c r="D141" s="38"/>
      <c r="E141" s="38"/>
      <c r="F141" s="39"/>
      <c r="G141" s="196"/>
      <c r="H141" s="12"/>
      <c r="I141" s="103"/>
      <c r="J141" s="227"/>
      <c r="K141" s="226"/>
      <c r="L141" s="33" t="str">
        <f t="shared" si="6"/>
        <v/>
      </c>
      <c r="M141" s="13" t="str">
        <f t="shared" si="7"/>
        <v/>
      </c>
    </row>
    <row r="142" spans="2:13" x14ac:dyDescent="0.35">
      <c r="B142" s="10">
        <v>144</v>
      </c>
      <c r="C142" s="10"/>
      <c r="D142" s="38"/>
      <c r="E142" s="38"/>
      <c r="F142" s="39"/>
      <c r="G142" s="196"/>
      <c r="H142" s="12"/>
      <c r="I142" s="103"/>
      <c r="J142" s="227"/>
      <c r="K142" s="226"/>
      <c r="L142" s="33" t="str">
        <f t="shared" si="6"/>
        <v/>
      </c>
      <c r="M142" s="13" t="str">
        <f t="shared" si="7"/>
        <v/>
      </c>
    </row>
    <row r="143" spans="2:13" x14ac:dyDescent="0.35">
      <c r="B143" s="10">
        <v>145</v>
      </c>
      <c r="C143" s="10"/>
      <c r="D143" s="38"/>
      <c r="E143" s="38"/>
      <c r="F143" s="39"/>
      <c r="G143" s="196"/>
      <c r="H143" s="12"/>
      <c r="I143" s="103"/>
      <c r="J143" s="227"/>
      <c r="K143" s="226"/>
      <c r="L143" s="33" t="str">
        <f t="shared" si="6"/>
        <v/>
      </c>
      <c r="M143" s="13" t="str">
        <f t="shared" si="7"/>
        <v/>
      </c>
    </row>
    <row r="144" spans="2:13" x14ac:dyDescent="0.35">
      <c r="B144" s="10">
        <v>146</v>
      </c>
      <c r="C144" s="10"/>
      <c r="D144" s="38"/>
      <c r="E144" s="38"/>
      <c r="F144" s="39"/>
      <c r="G144" s="196"/>
      <c r="H144" s="12"/>
      <c r="I144" s="103"/>
      <c r="J144" s="227"/>
      <c r="K144" s="226"/>
      <c r="L144" s="33" t="str">
        <f t="shared" si="6"/>
        <v/>
      </c>
      <c r="M144" s="13" t="str">
        <f t="shared" si="7"/>
        <v/>
      </c>
    </row>
    <row r="145" spans="2:13" x14ac:dyDescent="0.35">
      <c r="B145" s="10">
        <v>147</v>
      </c>
      <c r="C145" s="10"/>
      <c r="D145" s="38"/>
      <c r="E145" s="38"/>
      <c r="F145" s="39"/>
      <c r="G145" s="196"/>
      <c r="H145" s="12"/>
      <c r="I145" s="103"/>
      <c r="J145" s="227"/>
      <c r="K145" s="226"/>
      <c r="L145" s="33" t="str">
        <f t="shared" si="6"/>
        <v/>
      </c>
      <c r="M145" s="13" t="str">
        <f t="shared" si="7"/>
        <v/>
      </c>
    </row>
    <row r="146" spans="2:13" x14ac:dyDescent="0.35">
      <c r="B146" s="10">
        <v>148</v>
      </c>
      <c r="C146" s="10"/>
      <c r="D146" s="38"/>
      <c r="E146" s="38"/>
      <c r="F146" s="39"/>
      <c r="G146" s="196"/>
      <c r="H146" s="12"/>
      <c r="I146" s="103"/>
      <c r="J146" s="227"/>
      <c r="K146" s="226"/>
      <c r="L146" s="33" t="str">
        <f t="shared" si="6"/>
        <v/>
      </c>
      <c r="M146" s="13" t="str">
        <f t="shared" si="7"/>
        <v/>
      </c>
    </row>
    <row r="147" spans="2:13" x14ac:dyDescent="0.35">
      <c r="B147" s="10">
        <v>149</v>
      </c>
      <c r="C147" s="10"/>
      <c r="D147" s="38"/>
      <c r="E147" s="38"/>
      <c r="F147" s="39"/>
      <c r="G147" s="196"/>
      <c r="H147" s="12"/>
      <c r="I147" s="103"/>
      <c r="J147" s="227"/>
      <c r="K147" s="226"/>
      <c r="L147" s="33" t="str">
        <f t="shared" si="6"/>
        <v/>
      </c>
      <c r="M147" s="13" t="str">
        <f t="shared" si="7"/>
        <v/>
      </c>
    </row>
    <row r="148" spans="2:13" x14ac:dyDescent="0.35">
      <c r="B148" s="10">
        <v>150</v>
      </c>
      <c r="C148" s="10"/>
      <c r="D148" s="38"/>
      <c r="E148" s="38"/>
      <c r="F148" s="39"/>
      <c r="G148" s="196"/>
      <c r="H148" s="12"/>
      <c r="I148" s="103"/>
      <c r="J148" s="227"/>
      <c r="K148" s="226"/>
      <c r="L148" s="33" t="str">
        <f t="shared" si="6"/>
        <v/>
      </c>
      <c r="M148" s="13" t="str">
        <f t="shared" si="7"/>
        <v/>
      </c>
    </row>
    <row r="149" spans="2:13" x14ac:dyDescent="0.35">
      <c r="B149" s="10">
        <v>151</v>
      </c>
      <c r="C149" s="10"/>
      <c r="D149" s="38"/>
      <c r="E149" s="38"/>
      <c r="F149" s="39"/>
      <c r="G149" s="196"/>
      <c r="H149" s="12"/>
      <c r="I149" s="103"/>
      <c r="J149" s="227"/>
      <c r="K149" s="226"/>
      <c r="L149" s="33" t="str">
        <f t="shared" si="6"/>
        <v/>
      </c>
      <c r="M149" s="13" t="str">
        <f t="shared" si="7"/>
        <v/>
      </c>
    </row>
    <row r="150" spans="2:13" x14ac:dyDescent="0.35">
      <c r="B150" s="10">
        <v>152</v>
      </c>
      <c r="C150" s="10"/>
      <c r="D150" s="38"/>
      <c r="E150" s="38"/>
      <c r="F150" s="39"/>
      <c r="G150" s="196"/>
      <c r="H150" s="12"/>
      <c r="I150" s="103"/>
      <c r="J150" s="227"/>
      <c r="K150" s="226"/>
      <c r="L150" s="33" t="str">
        <f t="shared" si="6"/>
        <v/>
      </c>
      <c r="M150" s="13" t="str">
        <f t="shared" si="7"/>
        <v/>
      </c>
    </row>
    <row r="151" spans="2:13" x14ac:dyDescent="0.35">
      <c r="B151" s="10">
        <v>153</v>
      </c>
      <c r="C151" s="10"/>
      <c r="D151" s="38"/>
      <c r="E151" s="38"/>
      <c r="F151" s="39"/>
      <c r="G151" s="196"/>
      <c r="H151" s="12"/>
      <c r="I151" s="103"/>
      <c r="J151" s="227"/>
      <c r="K151" s="226"/>
      <c r="L151" s="33" t="str">
        <f t="shared" si="6"/>
        <v/>
      </c>
      <c r="M151" s="13" t="str">
        <f t="shared" si="7"/>
        <v/>
      </c>
    </row>
    <row r="152" spans="2:13" x14ac:dyDescent="0.35">
      <c r="B152" s="10">
        <v>154</v>
      </c>
      <c r="C152" s="10"/>
      <c r="D152" s="38"/>
      <c r="E152" s="38"/>
      <c r="F152" s="39"/>
      <c r="G152" s="196"/>
      <c r="H152" s="12"/>
      <c r="I152" s="103"/>
      <c r="J152" s="227"/>
      <c r="K152" s="226"/>
      <c r="L152" s="33" t="str">
        <f t="shared" si="6"/>
        <v/>
      </c>
      <c r="M152" s="13" t="str">
        <f t="shared" si="7"/>
        <v/>
      </c>
    </row>
    <row r="153" spans="2:13" x14ac:dyDescent="0.35">
      <c r="B153" s="10">
        <v>155</v>
      </c>
      <c r="C153" s="10"/>
      <c r="D153" s="38"/>
      <c r="E153" s="38"/>
      <c r="F153" s="39"/>
      <c r="G153" s="196"/>
      <c r="H153" s="12"/>
      <c r="I153" s="103"/>
      <c r="J153" s="227"/>
      <c r="K153" s="226"/>
      <c r="L153" s="33" t="str">
        <f t="shared" si="6"/>
        <v/>
      </c>
      <c r="M153" s="13" t="str">
        <f t="shared" si="7"/>
        <v/>
      </c>
    </row>
    <row r="154" spans="2:13" x14ac:dyDescent="0.35">
      <c r="B154" s="10">
        <v>156</v>
      </c>
      <c r="C154" s="10"/>
      <c r="D154" s="38"/>
      <c r="E154" s="38"/>
      <c r="F154" s="39"/>
      <c r="G154" s="196"/>
      <c r="H154" s="12"/>
      <c r="I154" s="103"/>
      <c r="J154" s="227"/>
      <c r="K154" s="226"/>
      <c r="L154" s="33" t="str">
        <f t="shared" si="6"/>
        <v/>
      </c>
      <c r="M154" s="13" t="str">
        <f t="shared" si="7"/>
        <v/>
      </c>
    </row>
    <row r="155" spans="2:13" x14ac:dyDescent="0.35">
      <c r="B155" s="10">
        <v>157</v>
      </c>
      <c r="C155" s="10"/>
      <c r="D155" s="38"/>
      <c r="E155" s="38"/>
      <c r="F155" s="39"/>
      <c r="G155" s="196"/>
      <c r="H155" s="12"/>
      <c r="I155" s="103"/>
      <c r="J155" s="227"/>
      <c r="K155" s="226"/>
      <c r="L155" s="33" t="str">
        <f t="shared" si="6"/>
        <v/>
      </c>
      <c r="M155" s="13" t="str">
        <f t="shared" si="7"/>
        <v/>
      </c>
    </row>
    <row r="156" spans="2:13" x14ac:dyDescent="0.35">
      <c r="B156" s="10">
        <v>158</v>
      </c>
      <c r="C156" s="10"/>
      <c r="D156" s="38"/>
      <c r="E156" s="38"/>
      <c r="F156" s="39"/>
      <c r="G156" s="196"/>
      <c r="H156" s="12"/>
      <c r="I156" s="103"/>
      <c r="J156" s="227"/>
      <c r="K156" s="226"/>
      <c r="L156" s="33" t="str">
        <f t="shared" si="6"/>
        <v/>
      </c>
      <c r="M156" s="13" t="str">
        <f t="shared" si="7"/>
        <v/>
      </c>
    </row>
    <row r="157" spans="2:13" x14ac:dyDescent="0.35">
      <c r="B157" s="10">
        <v>159</v>
      </c>
      <c r="C157" s="10"/>
      <c r="D157" s="38"/>
      <c r="E157" s="38"/>
      <c r="F157" s="39"/>
      <c r="G157" s="196"/>
      <c r="H157" s="12"/>
      <c r="I157" s="103"/>
      <c r="J157" s="227"/>
      <c r="K157" s="226"/>
      <c r="L157" s="33" t="str">
        <f t="shared" si="6"/>
        <v/>
      </c>
      <c r="M157" s="13" t="str">
        <f t="shared" si="7"/>
        <v/>
      </c>
    </row>
    <row r="158" spans="2:13" x14ac:dyDescent="0.35">
      <c r="B158" s="10">
        <v>160</v>
      </c>
      <c r="C158" s="10"/>
      <c r="D158" s="38"/>
      <c r="E158" s="38"/>
      <c r="F158" s="39"/>
      <c r="G158" s="196"/>
      <c r="H158" s="12"/>
      <c r="I158" s="103"/>
      <c r="J158" s="227"/>
      <c r="K158" s="226"/>
      <c r="L158" s="33" t="str">
        <f t="shared" si="6"/>
        <v/>
      </c>
      <c r="M158" s="13" t="str">
        <f t="shared" si="7"/>
        <v/>
      </c>
    </row>
    <row r="159" spans="2:13" x14ac:dyDescent="0.35">
      <c r="B159" s="10">
        <v>161</v>
      </c>
      <c r="C159" s="10"/>
      <c r="D159" s="38"/>
      <c r="E159" s="38"/>
      <c r="F159" s="39"/>
      <c r="G159" s="196"/>
      <c r="H159" s="12"/>
      <c r="I159" s="103"/>
      <c r="J159" s="227"/>
      <c r="K159" s="226"/>
      <c r="L159" s="33" t="str">
        <f t="shared" si="6"/>
        <v/>
      </c>
      <c r="M159" s="13" t="str">
        <f t="shared" si="7"/>
        <v/>
      </c>
    </row>
    <row r="160" spans="2:13" x14ac:dyDescent="0.35">
      <c r="B160" s="10">
        <v>162</v>
      </c>
      <c r="C160" s="10"/>
      <c r="D160" s="38"/>
      <c r="E160" s="38"/>
      <c r="F160" s="39"/>
      <c r="G160" s="196"/>
      <c r="H160" s="12"/>
      <c r="I160" s="103"/>
      <c r="J160" s="227"/>
      <c r="K160" s="226"/>
      <c r="L160" s="33" t="str">
        <f t="shared" si="6"/>
        <v/>
      </c>
      <c r="M160" s="13" t="str">
        <f t="shared" si="7"/>
        <v/>
      </c>
    </row>
    <row r="161" spans="2:13" x14ac:dyDescent="0.35">
      <c r="B161" s="10">
        <v>163</v>
      </c>
      <c r="C161" s="10"/>
      <c r="D161" s="38"/>
      <c r="E161" s="38"/>
      <c r="F161" s="39"/>
      <c r="G161" s="196"/>
      <c r="H161" s="12"/>
      <c r="I161" s="103"/>
      <c r="J161" s="227"/>
      <c r="K161" s="226"/>
      <c r="L161" s="33" t="str">
        <f t="shared" si="6"/>
        <v/>
      </c>
      <c r="M161" s="13" t="str">
        <f t="shared" si="7"/>
        <v/>
      </c>
    </row>
    <row r="162" spans="2:13" x14ac:dyDescent="0.35">
      <c r="B162" s="10">
        <v>164</v>
      </c>
      <c r="C162" s="10"/>
      <c r="D162" s="38"/>
      <c r="E162" s="38"/>
      <c r="F162" s="39"/>
      <c r="G162" s="196"/>
      <c r="H162" s="12"/>
      <c r="I162" s="103"/>
      <c r="J162" s="227"/>
      <c r="K162" s="226"/>
      <c r="L162" s="33" t="str">
        <f t="shared" si="6"/>
        <v/>
      </c>
      <c r="M162" s="13" t="str">
        <f t="shared" si="7"/>
        <v/>
      </c>
    </row>
    <row r="163" spans="2:13" x14ac:dyDescent="0.35">
      <c r="B163" s="10">
        <v>165</v>
      </c>
      <c r="C163" s="10"/>
      <c r="D163" s="38"/>
      <c r="E163" s="38"/>
      <c r="F163" s="39"/>
      <c r="G163" s="196"/>
      <c r="H163" s="12"/>
      <c r="I163" s="103"/>
      <c r="J163" s="227"/>
      <c r="K163" s="226"/>
      <c r="L163" s="33" t="str">
        <f t="shared" si="6"/>
        <v/>
      </c>
      <c r="M163" s="13" t="str">
        <f t="shared" si="7"/>
        <v/>
      </c>
    </row>
    <row r="164" spans="2:13" x14ac:dyDescent="0.35">
      <c r="B164" s="10">
        <v>166</v>
      </c>
      <c r="C164" s="10"/>
      <c r="D164" s="38"/>
      <c r="E164" s="38"/>
      <c r="F164" s="39"/>
      <c r="G164" s="196"/>
      <c r="H164" s="12"/>
      <c r="I164" s="103"/>
      <c r="J164" s="227"/>
      <c r="K164" s="226"/>
      <c r="L164" s="33" t="str">
        <f t="shared" si="6"/>
        <v/>
      </c>
      <c r="M164" s="13" t="str">
        <f t="shared" si="7"/>
        <v/>
      </c>
    </row>
    <row r="165" spans="2:13" x14ac:dyDescent="0.35">
      <c r="B165" s="10">
        <v>167</v>
      </c>
      <c r="C165" s="10"/>
      <c r="D165" s="38"/>
      <c r="E165" s="38"/>
      <c r="F165" s="39"/>
      <c r="G165" s="196"/>
      <c r="H165" s="12"/>
      <c r="I165" s="103"/>
      <c r="J165" s="227"/>
      <c r="K165" s="226"/>
      <c r="L165" s="33" t="str">
        <f t="shared" si="6"/>
        <v/>
      </c>
      <c r="M165" s="13" t="str">
        <f t="shared" si="7"/>
        <v/>
      </c>
    </row>
    <row r="166" spans="2:13" x14ac:dyDescent="0.35">
      <c r="B166" s="10">
        <v>168</v>
      </c>
      <c r="C166" s="10"/>
      <c r="D166" s="38"/>
      <c r="E166" s="38"/>
      <c r="F166" s="39"/>
      <c r="G166" s="196"/>
      <c r="H166" s="12"/>
      <c r="I166" s="103"/>
      <c r="J166" s="227"/>
      <c r="K166" s="226"/>
      <c r="L166" s="33" t="str">
        <f t="shared" si="6"/>
        <v/>
      </c>
      <c r="M166" s="13" t="str">
        <f t="shared" si="7"/>
        <v/>
      </c>
    </row>
    <row r="167" spans="2:13" x14ac:dyDescent="0.35">
      <c r="B167" s="10">
        <v>169</v>
      </c>
      <c r="C167" s="10"/>
      <c r="D167" s="38"/>
      <c r="E167" s="38"/>
      <c r="F167" s="39"/>
      <c r="G167" s="196"/>
      <c r="H167" s="12"/>
      <c r="I167" s="103"/>
      <c r="J167" s="227"/>
      <c r="K167" s="226"/>
      <c r="L167" s="33" t="str">
        <f t="shared" si="6"/>
        <v/>
      </c>
      <c r="M167" s="13" t="str">
        <f t="shared" si="7"/>
        <v/>
      </c>
    </row>
    <row r="168" spans="2:13" x14ac:dyDescent="0.35">
      <c r="B168" s="10">
        <v>170</v>
      </c>
      <c r="C168" s="10"/>
      <c r="D168" s="38"/>
      <c r="E168" s="38"/>
      <c r="F168" s="39"/>
      <c r="G168" s="196"/>
      <c r="H168" s="12"/>
      <c r="I168" s="103"/>
      <c r="J168" s="227"/>
      <c r="K168" s="226"/>
      <c r="L168" s="33" t="str">
        <f t="shared" si="6"/>
        <v/>
      </c>
      <c r="M168" s="13" t="str">
        <f t="shared" si="7"/>
        <v/>
      </c>
    </row>
    <row r="169" spans="2:13" x14ac:dyDescent="0.35">
      <c r="B169" s="10">
        <v>171</v>
      </c>
      <c r="C169" s="10"/>
      <c r="D169" s="38"/>
      <c r="E169" s="38"/>
      <c r="F169" s="39"/>
      <c r="G169" s="196"/>
      <c r="H169" s="12"/>
      <c r="I169" s="103"/>
      <c r="J169" s="227"/>
      <c r="K169" s="226"/>
      <c r="L169" s="33" t="str">
        <f t="shared" si="6"/>
        <v/>
      </c>
      <c r="M169" s="13" t="str">
        <f t="shared" si="7"/>
        <v/>
      </c>
    </row>
    <row r="170" spans="2:13" x14ac:dyDescent="0.35">
      <c r="B170" s="10">
        <v>172</v>
      </c>
      <c r="C170" s="10"/>
      <c r="D170" s="38"/>
      <c r="E170" s="38"/>
      <c r="F170" s="39"/>
      <c r="G170" s="196"/>
      <c r="H170" s="12"/>
      <c r="I170" s="103"/>
      <c r="J170" s="227"/>
      <c r="K170" s="226"/>
      <c r="L170" s="33" t="str">
        <f t="shared" si="6"/>
        <v/>
      </c>
      <c r="M170" s="13" t="str">
        <f t="shared" si="7"/>
        <v/>
      </c>
    </row>
    <row r="171" spans="2:13" x14ac:dyDescent="0.35">
      <c r="B171" s="10">
        <v>173</v>
      </c>
      <c r="C171" s="10"/>
      <c r="D171" s="38"/>
      <c r="E171" s="38"/>
      <c r="F171" s="39"/>
      <c r="G171" s="196"/>
      <c r="H171" s="12"/>
      <c r="I171" s="103"/>
      <c r="J171" s="227"/>
      <c r="K171" s="226"/>
      <c r="L171" s="33" t="str">
        <f t="shared" si="6"/>
        <v/>
      </c>
      <c r="M171" s="13" t="str">
        <f t="shared" si="7"/>
        <v/>
      </c>
    </row>
    <row r="172" spans="2:13" x14ac:dyDescent="0.35">
      <c r="B172" s="10">
        <v>174</v>
      </c>
      <c r="C172" s="10"/>
      <c r="D172" s="38"/>
      <c r="E172" s="38"/>
      <c r="F172" s="39"/>
      <c r="G172" s="196"/>
      <c r="H172" s="12"/>
      <c r="I172" s="103"/>
      <c r="J172" s="227"/>
      <c r="K172" s="226"/>
      <c r="L172" s="33" t="str">
        <f t="shared" si="6"/>
        <v/>
      </c>
      <c r="M172" s="13" t="str">
        <f t="shared" si="7"/>
        <v/>
      </c>
    </row>
    <row r="173" spans="2:13" x14ac:dyDescent="0.35">
      <c r="B173" s="10">
        <v>175</v>
      </c>
      <c r="C173" s="10"/>
      <c r="D173" s="38"/>
      <c r="E173" s="38"/>
      <c r="F173" s="39"/>
      <c r="G173" s="196"/>
      <c r="H173" s="12"/>
      <c r="I173" s="103"/>
      <c r="J173" s="227"/>
      <c r="K173" s="226"/>
      <c r="L173" s="33" t="str">
        <f t="shared" si="6"/>
        <v/>
      </c>
      <c r="M173" s="13" t="str">
        <f t="shared" si="7"/>
        <v/>
      </c>
    </row>
    <row r="174" spans="2:13" x14ac:dyDescent="0.35">
      <c r="B174" s="10">
        <v>176</v>
      </c>
      <c r="C174" s="10"/>
      <c r="D174" s="38"/>
      <c r="E174" s="38"/>
      <c r="F174" s="39"/>
      <c r="G174" s="196"/>
      <c r="H174" s="12"/>
      <c r="I174" s="103"/>
      <c r="J174" s="227"/>
      <c r="K174" s="226"/>
      <c r="L174" s="33" t="str">
        <f t="shared" si="6"/>
        <v/>
      </c>
      <c r="M174" s="13" t="str">
        <f t="shared" si="7"/>
        <v/>
      </c>
    </row>
    <row r="175" spans="2:13" x14ac:dyDescent="0.35">
      <c r="B175" s="10">
        <v>177</v>
      </c>
      <c r="C175" s="10"/>
      <c r="D175" s="38"/>
      <c r="E175" s="38"/>
      <c r="F175" s="39"/>
      <c r="G175" s="196"/>
      <c r="H175" s="12"/>
      <c r="I175" s="103"/>
      <c r="J175" s="227"/>
      <c r="K175" s="226"/>
      <c r="L175" s="33" t="str">
        <f t="shared" si="6"/>
        <v/>
      </c>
      <c r="M175" s="13" t="str">
        <f t="shared" si="7"/>
        <v/>
      </c>
    </row>
    <row r="176" spans="2:13" x14ac:dyDescent="0.35">
      <c r="B176" s="10">
        <v>178</v>
      </c>
      <c r="C176" s="10"/>
      <c r="D176" s="38"/>
      <c r="E176" s="38"/>
      <c r="F176" s="39"/>
      <c r="G176" s="196"/>
      <c r="H176" s="12"/>
      <c r="I176" s="103"/>
      <c r="J176" s="227"/>
      <c r="K176" s="226"/>
      <c r="L176" s="33" t="str">
        <f t="shared" si="6"/>
        <v/>
      </c>
      <c r="M176" s="13" t="str">
        <f t="shared" si="7"/>
        <v/>
      </c>
    </row>
    <row r="177" spans="2:13" x14ac:dyDescent="0.35">
      <c r="B177" s="10">
        <v>179</v>
      </c>
      <c r="C177" s="10"/>
      <c r="D177" s="38"/>
      <c r="E177" s="38"/>
      <c r="F177" s="39"/>
      <c r="G177" s="196"/>
      <c r="H177" s="12"/>
      <c r="I177" s="103"/>
      <c r="J177" s="227"/>
      <c r="K177" s="226"/>
      <c r="L177" s="33" t="str">
        <f t="shared" si="6"/>
        <v/>
      </c>
      <c r="M177" s="13" t="str">
        <f t="shared" si="7"/>
        <v/>
      </c>
    </row>
    <row r="178" spans="2:13" x14ac:dyDescent="0.35">
      <c r="B178" s="10">
        <v>180</v>
      </c>
      <c r="C178" s="10"/>
      <c r="D178" s="38"/>
      <c r="E178" s="38"/>
      <c r="F178" s="39"/>
      <c r="G178" s="196"/>
      <c r="H178" s="12"/>
      <c r="I178" s="103"/>
      <c r="J178" s="227"/>
      <c r="K178" s="226"/>
      <c r="L178" s="33" t="str">
        <f t="shared" si="6"/>
        <v/>
      </c>
      <c r="M178" s="13" t="str">
        <f t="shared" si="7"/>
        <v/>
      </c>
    </row>
    <row r="179" spans="2:13" x14ac:dyDescent="0.35">
      <c r="B179" s="10">
        <v>181</v>
      </c>
      <c r="C179" s="10"/>
      <c r="D179" s="38"/>
      <c r="E179" s="38"/>
      <c r="F179" s="39"/>
      <c r="G179" s="196"/>
      <c r="H179" s="12"/>
      <c r="I179" s="103"/>
      <c r="J179" s="227"/>
      <c r="K179" s="226"/>
      <c r="L179" s="33" t="str">
        <f t="shared" si="6"/>
        <v/>
      </c>
      <c r="M179" s="13" t="str">
        <f t="shared" si="7"/>
        <v/>
      </c>
    </row>
    <row r="180" spans="2:13" x14ac:dyDescent="0.35">
      <c r="B180" s="10">
        <v>182</v>
      </c>
      <c r="C180" s="10"/>
      <c r="D180" s="38"/>
      <c r="E180" s="38"/>
      <c r="F180" s="39"/>
      <c r="G180" s="196"/>
      <c r="H180" s="12"/>
      <c r="I180" s="103"/>
      <c r="J180" s="227"/>
      <c r="K180" s="226"/>
      <c r="L180" s="33" t="str">
        <f t="shared" si="6"/>
        <v/>
      </c>
      <c r="M180" s="13" t="str">
        <f t="shared" si="7"/>
        <v/>
      </c>
    </row>
    <row r="181" spans="2:13" x14ac:dyDescent="0.35">
      <c r="B181" s="10">
        <v>183</v>
      </c>
      <c r="C181" s="10"/>
      <c r="D181" s="38"/>
      <c r="E181" s="38"/>
      <c r="F181" s="39"/>
      <c r="G181" s="196"/>
      <c r="H181" s="12"/>
      <c r="I181" s="103"/>
      <c r="J181" s="227"/>
      <c r="K181" s="226"/>
      <c r="L181" s="33" t="str">
        <f t="shared" si="6"/>
        <v/>
      </c>
      <c r="M181" s="13" t="str">
        <f t="shared" si="7"/>
        <v/>
      </c>
    </row>
    <row r="182" spans="2:13" x14ac:dyDescent="0.35">
      <c r="B182" s="10">
        <v>184</v>
      </c>
      <c r="C182" s="10"/>
      <c r="D182" s="38"/>
      <c r="E182" s="38"/>
      <c r="F182" s="39"/>
      <c r="G182" s="196"/>
      <c r="H182" s="12"/>
      <c r="I182" s="103"/>
      <c r="J182" s="227"/>
      <c r="K182" s="226"/>
      <c r="L182" s="33" t="str">
        <f t="shared" si="6"/>
        <v/>
      </c>
      <c r="M182" s="13" t="str">
        <f t="shared" si="7"/>
        <v/>
      </c>
    </row>
    <row r="183" spans="2:13" x14ac:dyDescent="0.35">
      <c r="B183" s="10">
        <v>185</v>
      </c>
      <c r="C183" s="10"/>
      <c r="D183" s="38"/>
      <c r="E183" s="38"/>
      <c r="F183" s="39"/>
      <c r="G183" s="196"/>
      <c r="H183" s="12"/>
      <c r="I183" s="103"/>
      <c r="J183" s="227"/>
      <c r="K183" s="226"/>
      <c r="L183" s="33" t="str">
        <f t="shared" si="6"/>
        <v/>
      </c>
      <c r="M183" s="13" t="str">
        <f t="shared" si="7"/>
        <v/>
      </c>
    </row>
    <row r="184" spans="2:13" x14ac:dyDescent="0.35">
      <c r="B184" s="10">
        <v>186</v>
      </c>
      <c r="C184" s="10"/>
      <c r="D184" s="38"/>
      <c r="E184" s="38"/>
      <c r="F184" s="39"/>
      <c r="G184" s="196"/>
      <c r="H184" s="12"/>
      <c r="I184" s="103"/>
      <c r="J184" s="227"/>
      <c r="K184" s="226"/>
      <c r="L184" s="33" t="str">
        <f t="shared" si="6"/>
        <v/>
      </c>
      <c r="M184" s="13" t="str">
        <f t="shared" si="7"/>
        <v/>
      </c>
    </row>
    <row r="185" spans="2:13" x14ac:dyDescent="0.35">
      <c r="B185" s="10">
        <v>187</v>
      </c>
      <c r="C185" s="10"/>
      <c r="D185" s="38"/>
      <c r="E185" s="38"/>
      <c r="F185" s="39"/>
      <c r="G185" s="196"/>
      <c r="H185" s="12"/>
      <c r="I185" s="103"/>
      <c r="J185" s="227"/>
      <c r="K185" s="226"/>
      <c r="L185" s="33" t="str">
        <f t="shared" si="6"/>
        <v/>
      </c>
      <c r="M185" s="13" t="str">
        <f t="shared" si="7"/>
        <v/>
      </c>
    </row>
    <row r="186" spans="2:13" x14ac:dyDescent="0.35">
      <c r="B186" s="10">
        <v>188</v>
      </c>
      <c r="C186" s="10"/>
      <c r="D186" s="38"/>
      <c r="E186" s="38"/>
      <c r="F186" s="39"/>
      <c r="G186" s="196"/>
      <c r="H186" s="12"/>
      <c r="I186" s="103"/>
      <c r="J186" s="227"/>
      <c r="K186" s="226"/>
      <c r="L186" s="33" t="str">
        <f t="shared" si="6"/>
        <v/>
      </c>
      <c r="M186" s="13" t="str">
        <f t="shared" si="7"/>
        <v/>
      </c>
    </row>
    <row r="187" spans="2:13" x14ac:dyDescent="0.35">
      <c r="B187" s="10">
        <v>189</v>
      </c>
      <c r="C187" s="10"/>
      <c r="D187" s="38"/>
      <c r="E187" s="38"/>
      <c r="F187" s="39"/>
      <c r="G187" s="196"/>
      <c r="H187" s="12"/>
      <c r="I187" s="103"/>
      <c r="J187" s="227"/>
      <c r="K187" s="226"/>
      <c r="L187" s="33" t="str">
        <f t="shared" si="6"/>
        <v/>
      </c>
      <c r="M187" s="13" t="str">
        <f t="shared" si="7"/>
        <v/>
      </c>
    </row>
    <row r="188" spans="2:13" x14ac:dyDescent="0.35">
      <c r="B188" s="10">
        <v>190</v>
      </c>
      <c r="C188" s="10"/>
      <c r="D188" s="38"/>
      <c r="E188" s="38"/>
      <c r="F188" s="39"/>
      <c r="G188" s="196"/>
      <c r="H188" s="12"/>
      <c r="I188" s="103"/>
      <c r="J188" s="227"/>
      <c r="K188" s="226"/>
      <c r="L188" s="33" t="str">
        <f t="shared" si="6"/>
        <v/>
      </c>
      <c r="M188" s="13" t="str">
        <f t="shared" si="7"/>
        <v/>
      </c>
    </row>
    <row r="189" spans="2:13" x14ac:dyDescent="0.35">
      <c r="B189" s="10">
        <v>191</v>
      </c>
      <c r="C189" s="10"/>
      <c r="D189" s="38"/>
      <c r="E189" s="38"/>
      <c r="F189" s="39"/>
      <c r="G189" s="196"/>
      <c r="H189" s="12"/>
      <c r="I189" s="103"/>
      <c r="J189" s="227"/>
      <c r="K189" s="226"/>
      <c r="L189" s="33" t="str">
        <f t="shared" si="6"/>
        <v/>
      </c>
      <c r="M189" s="13" t="str">
        <f t="shared" si="7"/>
        <v/>
      </c>
    </row>
    <row r="190" spans="2:13" x14ac:dyDescent="0.35">
      <c r="B190" s="10">
        <v>192</v>
      </c>
      <c r="C190" s="10"/>
      <c r="D190" s="38"/>
      <c r="E190" s="38"/>
      <c r="F190" s="39"/>
      <c r="G190" s="196"/>
      <c r="H190" s="12"/>
      <c r="I190" s="103"/>
      <c r="J190" s="227"/>
      <c r="K190" s="226"/>
      <c r="L190" s="33" t="str">
        <f t="shared" si="6"/>
        <v/>
      </c>
      <c r="M190" s="13" t="str">
        <f t="shared" si="7"/>
        <v/>
      </c>
    </row>
    <row r="191" spans="2:13" x14ac:dyDescent="0.35">
      <c r="B191" s="10">
        <v>193</v>
      </c>
      <c r="C191" s="10"/>
      <c r="D191" s="38"/>
      <c r="E191" s="38"/>
      <c r="F191" s="39"/>
      <c r="G191" s="196"/>
      <c r="H191" s="12"/>
      <c r="I191" s="103"/>
      <c r="J191" s="227"/>
      <c r="K191" s="226"/>
      <c r="L191" s="33" t="str">
        <f t="shared" si="6"/>
        <v/>
      </c>
      <c r="M191" s="13" t="str">
        <f t="shared" si="7"/>
        <v/>
      </c>
    </row>
    <row r="192" spans="2:13" x14ac:dyDescent="0.35">
      <c r="B192" s="10">
        <v>194</v>
      </c>
      <c r="C192" s="10"/>
      <c r="D192" s="38"/>
      <c r="E192" s="38"/>
      <c r="F192" s="39"/>
      <c r="G192" s="196"/>
      <c r="H192" s="12"/>
      <c r="I192" s="103"/>
      <c r="J192" s="227"/>
      <c r="K192" s="226"/>
      <c r="L192" s="33" t="str">
        <f t="shared" si="6"/>
        <v/>
      </c>
      <c r="M192" s="13" t="str">
        <f t="shared" si="7"/>
        <v/>
      </c>
    </row>
    <row r="193" spans="2:13" x14ac:dyDescent="0.35">
      <c r="B193" s="10">
        <v>195</v>
      </c>
      <c r="C193" s="10"/>
      <c r="D193" s="38"/>
      <c r="E193" s="38"/>
      <c r="F193" s="39"/>
      <c r="G193" s="196"/>
      <c r="H193" s="12"/>
      <c r="I193" s="103"/>
      <c r="J193" s="227"/>
      <c r="K193" s="226"/>
      <c r="L193" s="33" t="str">
        <f t="shared" ref="L193:L256" si="8">IF(OR(J193="", K193=""), "", NETWORKDAYS(J193,K193))</f>
        <v/>
      </c>
      <c r="M193" s="13" t="str">
        <f t="shared" ref="M193:M256" si="9">IF(I193="SEA", 10, IF(I193="AIR", 5, ""))</f>
        <v/>
      </c>
    </row>
    <row r="194" spans="2:13" x14ac:dyDescent="0.35">
      <c r="B194" s="10">
        <v>196</v>
      </c>
      <c r="C194" s="10"/>
      <c r="D194" s="38"/>
      <c r="E194" s="38"/>
      <c r="F194" s="39"/>
      <c r="G194" s="196"/>
      <c r="H194" s="12"/>
      <c r="I194" s="103"/>
      <c r="J194" s="227"/>
      <c r="K194" s="226"/>
      <c r="L194" s="33" t="str">
        <f t="shared" si="8"/>
        <v/>
      </c>
      <c r="M194" s="13" t="str">
        <f t="shared" si="9"/>
        <v/>
      </c>
    </row>
    <row r="195" spans="2:13" x14ac:dyDescent="0.35">
      <c r="B195" s="10">
        <v>197</v>
      </c>
      <c r="C195" s="10"/>
      <c r="D195" s="38"/>
      <c r="E195" s="38"/>
      <c r="F195" s="39"/>
      <c r="G195" s="196"/>
      <c r="H195" s="12"/>
      <c r="I195" s="103"/>
      <c r="J195" s="227"/>
      <c r="K195" s="226"/>
      <c r="L195" s="33" t="str">
        <f t="shared" si="8"/>
        <v/>
      </c>
      <c r="M195" s="13" t="str">
        <f t="shared" si="9"/>
        <v/>
      </c>
    </row>
    <row r="196" spans="2:13" x14ac:dyDescent="0.35">
      <c r="B196" s="10">
        <v>198</v>
      </c>
      <c r="C196" s="10"/>
      <c r="D196" s="38"/>
      <c r="E196" s="38"/>
      <c r="F196" s="39"/>
      <c r="G196" s="196"/>
      <c r="H196" s="12"/>
      <c r="I196" s="103"/>
      <c r="J196" s="227"/>
      <c r="K196" s="226"/>
      <c r="L196" s="33" t="str">
        <f t="shared" si="8"/>
        <v/>
      </c>
      <c r="M196" s="13" t="str">
        <f t="shared" si="9"/>
        <v/>
      </c>
    </row>
    <row r="197" spans="2:13" x14ac:dyDescent="0.35">
      <c r="B197" s="10">
        <v>199</v>
      </c>
      <c r="C197" s="10"/>
      <c r="D197" s="38"/>
      <c r="E197" s="38"/>
      <c r="F197" s="39"/>
      <c r="G197" s="196"/>
      <c r="H197" s="12"/>
      <c r="I197" s="103"/>
      <c r="J197" s="227"/>
      <c r="K197" s="226"/>
      <c r="L197" s="33" t="str">
        <f t="shared" si="8"/>
        <v/>
      </c>
      <c r="M197" s="13" t="str">
        <f t="shared" si="9"/>
        <v/>
      </c>
    </row>
    <row r="198" spans="2:13" x14ac:dyDescent="0.35">
      <c r="B198" s="10">
        <v>200</v>
      </c>
      <c r="C198" s="10"/>
      <c r="D198" s="38"/>
      <c r="E198" s="38"/>
      <c r="F198" s="39"/>
      <c r="G198" s="196"/>
      <c r="H198" s="12"/>
      <c r="I198" s="103"/>
      <c r="J198" s="227"/>
      <c r="K198" s="226"/>
      <c r="L198" s="33" t="str">
        <f t="shared" si="8"/>
        <v/>
      </c>
      <c r="M198" s="13" t="str">
        <f t="shared" si="9"/>
        <v/>
      </c>
    </row>
    <row r="199" spans="2:13" x14ac:dyDescent="0.35">
      <c r="B199" s="10">
        <v>201</v>
      </c>
      <c r="C199" s="10"/>
      <c r="D199" s="38"/>
      <c r="E199" s="38"/>
      <c r="F199" s="39"/>
      <c r="G199" s="196"/>
      <c r="H199" s="12"/>
      <c r="I199" s="103"/>
      <c r="J199" s="227"/>
      <c r="K199" s="226"/>
      <c r="L199" s="33" t="str">
        <f t="shared" si="8"/>
        <v/>
      </c>
      <c r="M199" s="13" t="str">
        <f t="shared" si="9"/>
        <v/>
      </c>
    </row>
    <row r="200" spans="2:13" x14ac:dyDescent="0.35">
      <c r="B200" s="10">
        <v>202</v>
      </c>
      <c r="C200" s="10"/>
      <c r="D200" s="38"/>
      <c r="E200" s="38"/>
      <c r="F200" s="39"/>
      <c r="G200" s="196"/>
      <c r="H200" s="12"/>
      <c r="I200" s="103"/>
      <c r="J200" s="227"/>
      <c r="K200" s="226"/>
      <c r="L200" s="33" t="str">
        <f t="shared" si="8"/>
        <v/>
      </c>
      <c r="M200" s="13" t="str">
        <f t="shared" si="9"/>
        <v/>
      </c>
    </row>
    <row r="201" spans="2:13" x14ac:dyDescent="0.35">
      <c r="B201" s="10">
        <v>203</v>
      </c>
      <c r="C201" s="10"/>
      <c r="D201" s="38"/>
      <c r="E201" s="38"/>
      <c r="F201" s="39"/>
      <c r="G201" s="196"/>
      <c r="H201" s="12"/>
      <c r="I201" s="103"/>
      <c r="J201" s="227"/>
      <c r="K201" s="226"/>
      <c r="L201" s="33" t="str">
        <f t="shared" si="8"/>
        <v/>
      </c>
      <c r="M201" s="13" t="str">
        <f t="shared" si="9"/>
        <v/>
      </c>
    </row>
    <row r="202" spans="2:13" x14ac:dyDescent="0.35">
      <c r="B202" s="10">
        <v>204</v>
      </c>
      <c r="C202" s="10"/>
      <c r="D202" s="38"/>
      <c r="E202" s="38"/>
      <c r="F202" s="39"/>
      <c r="G202" s="196"/>
      <c r="H202" s="12"/>
      <c r="I202" s="103"/>
      <c r="J202" s="227"/>
      <c r="K202" s="226"/>
      <c r="L202" s="33" t="str">
        <f t="shared" si="8"/>
        <v/>
      </c>
      <c r="M202" s="13" t="str">
        <f t="shared" si="9"/>
        <v/>
      </c>
    </row>
    <row r="203" spans="2:13" x14ac:dyDescent="0.35">
      <c r="B203" s="10">
        <v>205</v>
      </c>
      <c r="C203" s="10"/>
      <c r="D203" s="38"/>
      <c r="E203" s="38"/>
      <c r="F203" s="39"/>
      <c r="G203" s="196"/>
      <c r="H203" s="12"/>
      <c r="I203" s="103"/>
      <c r="J203" s="227"/>
      <c r="K203" s="226"/>
      <c r="L203" s="33" t="str">
        <f t="shared" si="8"/>
        <v/>
      </c>
      <c r="M203" s="13" t="str">
        <f t="shared" si="9"/>
        <v/>
      </c>
    </row>
    <row r="204" spans="2:13" x14ac:dyDescent="0.35">
      <c r="B204" s="10">
        <v>206</v>
      </c>
      <c r="C204" s="10"/>
      <c r="D204" s="38"/>
      <c r="E204" s="38"/>
      <c r="F204" s="39"/>
      <c r="G204" s="196"/>
      <c r="H204" s="12"/>
      <c r="I204" s="103"/>
      <c r="J204" s="227"/>
      <c r="K204" s="226"/>
      <c r="L204" s="33" t="str">
        <f t="shared" si="8"/>
        <v/>
      </c>
      <c r="M204" s="13" t="str">
        <f t="shared" si="9"/>
        <v/>
      </c>
    </row>
    <row r="205" spans="2:13" x14ac:dyDescent="0.35">
      <c r="B205" s="10">
        <v>207</v>
      </c>
      <c r="C205" s="10"/>
      <c r="D205" s="38"/>
      <c r="E205" s="38"/>
      <c r="F205" s="39"/>
      <c r="G205" s="196"/>
      <c r="H205" s="12"/>
      <c r="I205" s="103"/>
      <c r="J205" s="227"/>
      <c r="K205" s="226"/>
      <c r="L205" s="33" t="str">
        <f t="shared" si="8"/>
        <v/>
      </c>
      <c r="M205" s="13" t="str">
        <f t="shared" si="9"/>
        <v/>
      </c>
    </row>
    <row r="206" spans="2:13" x14ac:dyDescent="0.35">
      <c r="B206" s="10">
        <v>208</v>
      </c>
      <c r="C206" s="10"/>
      <c r="D206" s="38"/>
      <c r="E206" s="38"/>
      <c r="F206" s="39"/>
      <c r="G206" s="196"/>
      <c r="H206" s="12"/>
      <c r="I206" s="103"/>
      <c r="J206" s="227"/>
      <c r="K206" s="226"/>
      <c r="L206" s="33" t="str">
        <f t="shared" si="8"/>
        <v/>
      </c>
      <c r="M206" s="13" t="str">
        <f t="shared" si="9"/>
        <v/>
      </c>
    </row>
    <row r="207" spans="2:13" x14ac:dyDescent="0.35">
      <c r="B207" s="10">
        <v>209</v>
      </c>
      <c r="C207" s="10"/>
      <c r="D207" s="38"/>
      <c r="E207" s="38"/>
      <c r="F207" s="39"/>
      <c r="G207" s="196"/>
      <c r="H207" s="12"/>
      <c r="I207" s="103"/>
      <c r="J207" s="227"/>
      <c r="K207" s="226"/>
      <c r="L207" s="33" t="str">
        <f t="shared" si="8"/>
        <v/>
      </c>
      <c r="M207" s="13" t="str">
        <f t="shared" si="9"/>
        <v/>
      </c>
    </row>
    <row r="208" spans="2:13" x14ac:dyDescent="0.35">
      <c r="B208" s="10">
        <v>210</v>
      </c>
      <c r="C208" s="10"/>
      <c r="D208" s="38"/>
      <c r="E208" s="38"/>
      <c r="F208" s="39"/>
      <c r="G208" s="196"/>
      <c r="H208" s="12"/>
      <c r="I208" s="103"/>
      <c r="J208" s="227"/>
      <c r="K208" s="226"/>
      <c r="L208" s="33" t="str">
        <f t="shared" si="8"/>
        <v/>
      </c>
      <c r="M208" s="13" t="str">
        <f t="shared" si="9"/>
        <v/>
      </c>
    </row>
    <row r="209" spans="2:13" x14ac:dyDescent="0.35">
      <c r="B209" s="10">
        <v>211</v>
      </c>
      <c r="C209" s="10"/>
      <c r="D209" s="38"/>
      <c r="E209" s="38"/>
      <c r="F209" s="39"/>
      <c r="G209" s="196"/>
      <c r="H209" s="12"/>
      <c r="I209" s="103"/>
      <c r="J209" s="227"/>
      <c r="K209" s="226"/>
      <c r="L209" s="33" t="str">
        <f t="shared" si="8"/>
        <v/>
      </c>
      <c r="M209" s="13" t="str">
        <f t="shared" si="9"/>
        <v/>
      </c>
    </row>
    <row r="210" spans="2:13" x14ac:dyDescent="0.35">
      <c r="B210" s="10">
        <v>212</v>
      </c>
      <c r="C210" s="10"/>
      <c r="D210" s="38"/>
      <c r="E210" s="38"/>
      <c r="F210" s="39"/>
      <c r="G210" s="196"/>
      <c r="H210" s="12"/>
      <c r="I210" s="103"/>
      <c r="J210" s="227"/>
      <c r="K210" s="226"/>
      <c r="L210" s="33" t="str">
        <f t="shared" si="8"/>
        <v/>
      </c>
      <c r="M210" s="13" t="str">
        <f t="shared" si="9"/>
        <v/>
      </c>
    </row>
    <row r="211" spans="2:13" x14ac:dyDescent="0.35">
      <c r="B211" s="10">
        <v>213</v>
      </c>
      <c r="C211" s="10"/>
      <c r="D211" s="38"/>
      <c r="E211" s="38"/>
      <c r="F211" s="39"/>
      <c r="G211" s="196"/>
      <c r="H211" s="12"/>
      <c r="I211" s="103"/>
      <c r="J211" s="227"/>
      <c r="K211" s="226"/>
      <c r="L211" s="33" t="str">
        <f t="shared" si="8"/>
        <v/>
      </c>
      <c r="M211" s="13" t="str">
        <f t="shared" si="9"/>
        <v/>
      </c>
    </row>
    <row r="212" spans="2:13" x14ac:dyDescent="0.35">
      <c r="B212" s="10">
        <v>214</v>
      </c>
      <c r="C212" s="10"/>
      <c r="D212" s="38"/>
      <c r="E212" s="38"/>
      <c r="F212" s="39"/>
      <c r="G212" s="196"/>
      <c r="H212" s="12"/>
      <c r="I212" s="103"/>
      <c r="J212" s="227"/>
      <c r="K212" s="226"/>
      <c r="L212" s="33" t="str">
        <f t="shared" si="8"/>
        <v/>
      </c>
      <c r="M212" s="13" t="str">
        <f t="shared" si="9"/>
        <v/>
      </c>
    </row>
    <row r="213" spans="2:13" x14ac:dyDescent="0.35">
      <c r="B213" s="10">
        <v>215</v>
      </c>
      <c r="C213" s="10"/>
      <c r="D213" s="38"/>
      <c r="E213" s="38"/>
      <c r="F213" s="39"/>
      <c r="G213" s="196"/>
      <c r="H213" s="12"/>
      <c r="I213" s="103"/>
      <c r="J213" s="227"/>
      <c r="K213" s="226"/>
      <c r="L213" s="33" t="str">
        <f t="shared" si="8"/>
        <v/>
      </c>
      <c r="M213" s="13" t="str">
        <f t="shared" si="9"/>
        <v/>
      </c>
    </row>
    <row r="214" spans="2:13" x14ac:dyDescent="0.35">
      <c r="B214" s="10">
        <v>216</v>
      </c>
      <c r="C214" s="10"/>
      <c r="D214" s="38"/>
      <c r="E214" s="38"/>
      <c r="F214" s="39"/>
      <c r="G214" s="196"/>
      <c r="H214" s="12"/>
      <c r="I214" s="103"/>
      <c r="J214" s="227"/>
      <c r="K214" s="226"/>
      <c r="L214" s="33" t="str">
        <f t="shared" si="8"/>
        <v/>
      </c>
      <c r="M214" s="13" t="str">
        <f t="shared" si="9"/>
        <v/>
      </c>
    </row>
    <row r="215" spans="2:13" x14ac:dyDescent="0.35">
      <c r="B215" s="10">
        <v>217</v>
      </c>
      <c r="C215" s="10"/>
      <c r="D215" s="38"/>
      <c r="E215" s="38"/>
      <c r="F215" s="39"/>
      <c r="G215" s="196"/>
      <c r="H215" s="12"/>
      <c r="I215" s="103"/>
      <c r="J215" s="227"/>
      <c r="K215" s="226"/>
      <c r="L215" s="33" t="str">
        <f t="shared" si="8"/>
        <v/>
      </c>
      <c r="M215" s="13" t="str">
        <f t="shared" si="9"/>
        <v/>
      </c>
    </row>
    <row r="216" spans="2:13" x14ac:dyDescent="0.35">
      <c r="B216" s="10">
        <v>218</v>
      </c>
      <c r="C216" s="10"/>
      <c r="D216" s="38"/>
      <c r="E216" s="38"/>
      <c r="F216" s="39"/>
      <c r="G216" s="196"/>
      <c r="H216" s="12"/>
      <c r="I216" s="103"/>
      <c r="J216" s="227"/>
      <c r="K216" s="226"/>
      <c r="L216" s="33" t="str">
        <f t="shared" si="8"/>
        <v/>
      </c>
      <c r="M216" s="13" t="str">
        <f t="shared" si="9"/>
        <v/>
      </c>
    </row>
    <row r="217" spans="2:13" x14ac:dyDescent="0.35">
      <c r="B217" s="10">
        <v>219</v>
      </c>
      <c r="C217" s="10"/>
      <c r="D217" s="38"/>
      <c r="E217" s="38"/>
      <c r="F217" s="39"/>
      <c r="G217" s="196"/>
      <c r="H217" s="12"/>
      <c r="I217" s="103"/>
      <c r="J217" s="227"/>
      <c r="K217" s="226"/>
      <c r="L217" s="33" t="str">
        <f t="shared" si="8"/>
        <v/>
      </c>
      <c r="M217" s="13" t="str">
        <f t="shared" si="9"/>
        <v/>
      </c>
    </row>
    <row r="218" spans="2:13" x14ac:dyDescent="0.35">
      <c r="B218" s="10">
        <v>220</v>
      </c>
      <c r="C218" s="10"/>
      <c r="D218" s="38"/>
      <c r="E218" s="38"/>
      <c r="F218" s="39"/>
      <c r="G218" s="196"/>
      <c r="H218" s="12"/>
      <c r="I218" s="103"/>
      <c r="J218" s="227"/>
      <c r="K218" s="226"/>
      <c r="L218" s="33" t="str">
        <f t="shared" si="8"/>
        <v/>
      </c>
      <c r="M218" s="13" t="str">
        <f t="shared" si="9"/>
        <v/>
      </c>
    </row>
    <row r="219" spans="2:13" x14ac:dyDescent="0.35">
      <c r="B219" s="10">
        <v>221</v>
      </c>
      <c r="C219" s="10"/>
      <c r="D219" s="38"/>
      <c r="E219" s="38"/>
      <c r="F219" s="39"/>
      <c r="G219" s="196"/>
      <c r="H219" s="12"/>
      <c r="I219" s="103"/>
      <c r="J219" s="227"/>
      <c r="K219" s="226"/>
      <c r="L219" s="33" t="str">
        <f t="shared" si="8"/>
        <v/>
      </c>
      <c r="M219" s="13" t="str">
        <f t="shared" si="9"/>
        <v/>
      </c>
    </row>
    <row r="220" spans="2:13" x14ac:dyDescent="0.35">
      <c r="B220" s="10">
        <v>222</v>
      </c>
      <c r="C220" s="10"/>
      <c r="D220" s="38"/>
      <c r="E220" s="38"/>
      <c r="F220" s="39"/>
      <c r="G220" s="196"/>
      <c r="H220" s="12"/>
      <c r="I220" s="103"/>
      <c r="J220" s="227"/>
      <c r="K220" s="226"/>
      <c r="L220" s="33" t="str">
        <f t="shared" si="8"/>
        <v/>
      </c>
      <c r="M220" s="13" t="str">
        <f t="shared" si="9"/>
        <v/>
      </c>
    </row>
    <row r="221" spans="2:13" x14ac:dyDescent="0.35">
      <c r="B221" s="10">
        <v>223</v>
      </c>
      <c r="C221" s="10"/>
      <c r="D221" s="38"/>
      <c r="E221" s="38"/>
      <c r="F221" s="39"/>
      <c r="G221" s="196"/>
      <c r="H221" s="12"/>
      <c r="I221" s="103"/>
      <c r="J221" s="227"/>
      <c r="K221" s="226"/>
      <c r="L221" s="33" t="str">
        <f t="shared" si="8"/>
        <v/>
      </c>
      <c r="M221" s="13" t="str">
        <f t="shared" si="9"/>
        <v/>
      </c>
    </row>
    <row r="222" spans="2:13" x14ac:dyDescent="0.35">
      <c r="B222" s="10">
        <v>224</v>
      </c>
      <c r="C222" s="10"/>
      <c r="D222" s="38"/>
      <c r="E222" s="38"/>
      <c r="F222" s="39"/>
      <c r="G222" s="196"/>
      <c r="H222" s="12"/>
      <c r="I222" s="103"/>
      <c r="J222" s="227"/>
      <c r="K222" s="226"/>
      <c r="L222" s="33" t="str">
        <f t="shared" si="8"/>
        <v/>
      </c>
      <c r="M222" s="13" t="str">
        <f t="shared" si="9"/>
        <v/>
      </c>
    </row>
    <row r="223" spans="2:13" x14ac:dyDescent="0.35">
      <c r="B223" s="10">
        <v>225</v>
      </c>
      <c r="C223" s="10"/>
      <c r="D223" s="38"/>
      <c r="E223" s="38"/>
      <c r="F223" s="39"/>
      <c r="G223" s="196"/>
      <c r="H223" s="12"/>
      <c r="I223" s="103"/>
      <c r="J223" s="227"/>
      <c r="K223" s="226"/>
      <c r="L223" s="33" t="str">
        <f t="shared" si="8"/>
        <v/>
      </c>
      <c r="M223" s="13" t="str">
        <f t="shared" si="9"/>
        <v/>
      </c>
    </row>
    <row r="224" spans="2:13" x14ac:dyDescent="0.35">
      <c r="B224" s="10">
        <v>226</v>
      </c>
      <c r="C224" s="10"/>
      <c r="D224" s="38"/>
      <c r="E224" s="38"/>
      <c r="F224" s="39"/>
      <c r="G224" s="196"/>
      <c r="H224" s="12"/>
      <c r="I224" s="103"/>
      <c r="J224" s="227"/>
      <c r="K224" s="226"/>
      <c r="L224" s="33" t="str">
        <f t="shared" si="8"/>
        <v/>
      </c>
      <c r="M224" s="13" t="str">
        <f t="shared" si="9"/>
        <v/>
      </c>
    </row>
    <row r="225" spans="2:13" x14ac:dyDescent="0.35">
      <c r="B225" s="10">
        <v>227</v>
      </c>
      <c r="C225" s="10"/>
      <c r="D225" s="38"/>
      <c r="E225" s="38"/>
      <c r="F225" s="39"/>
      <c r="G225" s="196"/>
      <c r="H225" s="12"/>
      <c r="I225" s="103"/>
      <c r="J225" s="227"/>
      <c r="K225" s="226"/>
      <c r="L225" s="33" t="str">
        <f t="shared" si="8"/>
        <v/>
      </c>
      <c r="M225" s="13" t="str">
        <f t="shared" si="9"/>
        <v/>
      </c>
    </row>
    <row r="226" spans="2:13" x14ac:dyDescent="0.35">
      <c r="B226" s="10">
        <v>228</v>
      </c>
      <c r="C226" s="10"/>
      <c r="D226" s="38"/>
      <c r="E226" s="38"/>
      <c r="F226" s="39"/>
      <c r="G226" s="196"/>
      <c r="H226" s="12"/>
      <c r="I226" s="103"/>
      <c r="J226" s="227"/>
      <c r="K226" s="226"/>
      <c r="L226" s="33" t="str">
        <f t="shared" si="8"/>
        <v/>
      </c>
      <c r="M226" s="13" t="str">
        <f t="shared" si="9"/>
        <v/>
      </c>
    </row>
    <row r="227" spans="2:13" x14ac:dyDescent="0.35">
      <c r="B227" s="10">
        <v>229</v>
      </c>
      <c r="C227" s="10"/>
      <c r="D227" s="38"/>
      <c r="E227" s="38"/>
      <c r="F227" s="39"/>
      <c r="G227" s="196"/>
      <c r="H227" s="12"/>
      <c r="I227" s="103"/>
      <c r="J227" s="227"/>
      <c r="K227" s="226"/>
      <c r="L227" s="33" t="str">
        <f t="shared" si="8"/>
        <v/>
      </c>
      <c r="M227" s="13" t="str">
        <f t="shared" si="9"/>
        <v/>
      </c>
    </row>
    <row r="228" spans="2:13" x14ac:dyDescent="0.35">
      <c r="B228" s="10">
        <v>230</v>
      </c>
      <c r="C228" s="10"/>
      <c r="D228" s="38"/>
      <c r="E228" s="38"/>
      <c r="F228" s="39"/>
      <c r="G228" s="196"/>
      <c r="H228" s="12"/>
      <c r="I228" s="103"/>
      <c r="J228" s="227"/>
      <c r="K228" s="226"/>
      <c r="L228" s="33" t="str">
        <f t="shared" si="8"/>
        <v/>
      </c>
      <c r="M228" s="13" t="str">
        <f t="shared" si="9"/>
        <v/>
      </c>
    </row>
    <row r="229" spans="2:13" x14ac:dyDescent="0.35">
      <c r="B229" s="10">
        <v>231</v>
      </c>
      <c r="C229" s="10"/>
      <c r="D229" s="38"/>
      <c r="E229" s="38"/>
      <c r="F229" s="39"/>
      <c r="G229" s="196"/>
      <c r="H229" s="12"/>
      <c r="I229" s="103"/>
      <c r="J229" s="227"/>
      <c r="K229" s="226"/>
      <c r="L229" s="33" t="str">
        <f t="shared" si="8"/>
        <v/>
      </c>
      <c r="M229" s="13" t="str">
        <f t="shared" si="9"/>
        <v/>
      </c>
    </row>
    <row r="230" spans="2:13" x14ac:dyDescent="0.35">
      <c r="B230" s="10">
        <v>232</v>
      </c>
      <c r="C230" s="10"/>
      <c r="D230" s="38"/>
      <c r="E230" s="38"/>
      <c r="F230" s="39"/>
      <c r="G230" s="196"/>
      <c r="H230" s="12"/>
      <c r="I230" s="103"/>
      <c r="J230" s="227"/>
      <c r="K230" s="226"/>
      <c r="L230" s="33" t="str">
        <f t="shared" si="8"/>
        <v/>
      </c>
      <c r="M230" s="13" t="str">
        <f t="shared" si="9"/>
        <v/>
      </c>
    </row>
    <row r="231" spans="2:13" x14ac:dyDescent="0.35">
      <c r="B231" s="10">
        <v>233</v>
      </c>
      <c r="C231" s="10"/>
      <c r="D231" s="38"/>
      <c r="E231" s="38"/>
      <c r="F231" s="39"/>
      <c r="G231" s="196"/>
      <c r="H231" s="12"/>
      <c r="I231" s="103"/>
      <c r="J231" s="227"/>
      <c r="K231" s="226"/>
      <c r="L231" s="33" t="str">
        <f t="shared" si="8"/>
        <v/>
      </c>
      <c r="M231" s="13" t="str">
        <f t="shared" si="9"/>
        <v/>
      </c>
    </row>
    <row r="232" spans="2:13" x14ac:dyDescent="0.35">
      <c r="B232" s="10">
        <v>234</v>
      </c>
      <c r="C232" s="10"/>
      <c r="D232" s="38"/>
      <c r="E232" s="38"/>
      <c r="F232" s="39"/>
      <c r="G232" s="196"/>
      <c r="H232" s="12"/>
      <c r="I232" s="103"/>
      <c r="J232" s="227"/>
      <c r="K232" s="226"/>
      <c r="L232" s="33" t="str">
        <f t="shared" si="8"/>
        <v/>
      </c>
      <c r="M232" s="13" t="str">
        <f t="shared" si="9"/>
        <v/>
      </c>
    </row>
    <row r="233" spans="2:13" x14ac:dyDescent="0.35">
      <c r="B233" s="10">
        <v>235</v>
      </c>
      <c r="C233" s="10"/>
      <c r="D233" s="38"/>
      <c r="E233" s="38"/>
      <c r="F233" s="39"/>
      <c r="G233" s="196"/>
      <c r="H233" s="12"/>
      <c r="I233" s="103"/>
      <c r="J233" s="227"/>
      <c r="K233" s="226"/>
      <c r="L233" s="33" t="str">
        <f t="shared" si="8"/>
        <v/>
      </c>
      <c r="M233" s="13" t="str">
        <f t="shared" si="9"/>
        <v/>
      </c>
    </row>
    <row r="234" spans="2:13" x14ac:dyDescent="0.35">
      <c r="B234" s="10">
        <v>236</v>
      </c>
      <c r="C234" s="10"/>
      <c r="D234" s="38"/>
      <c r="E234" s="38"/>
      <c r="F234" s="39"/>
      <c r="G234" s="196"/>
      <c r="H234" s="12"/>
      <c r="I234" s="103"/>
      <c r="J234" s="227"/>
      <c r="K234" s="226"/>
      <c r="L234" s="33" t="str">
        <f t="shared" si="8"/>
        <v/>
      </c>
      <c r="M234" s="13" t="str">
        <f t="shared" si="9"/>
        <v/>
      </c>
    </row>
    <row r="235" spans="2:13" x14ac:dyDescent="0.35">
      <c r="B235" s="10">
        <v>237</v>
      </c>
      <c r="C235" s="10"/>
      <c r="D235" s="38"/>
      <c r="E235" s="38"/>
      <c r="F235" s="39"/>
      <c r="G235" s="196"/>
      <c r="H235" s="12"/>
      <c r="I235" s="103"/>
      <c r="J235" s="227"/>
      <c r="K235" s="226"/>
      <c r="L235" s="33" t="str">
        <f t="shared" si="8"/>
        <v/>
      </c>
      <c r="M235" s="13" t="str">
        <f t="shared" si="9"/>
        <v/>
      </c>
    </row>
    <row r="236" spans="2:13" x14ac:dyDescent="0.35">
      <c r="B236" s="10">
        <v>238</v>
      </c>
      <c r="C236" s="10"/>
      <c r="D236" s="38"/>
      <c r="E236" s="38"/>
      <c r="F236" s="39"/>
      <c r="G236" s="196"/>
      <c r="H236" s="12"/>
      <c r="I236" s="103"/>
      <c r="J236" s="227"/>
      <c r="K236" s="226"/>
      <c r="L236" s="33" t="str">
        <f t="shared" si="8"/>
        <v/>
      </c>
      <c r="M236" s="13" t="str">
        <f t="shared" si="9"/>
        <v/>
      </c>
    </row>
    <row r="237" spans="2:13" x14ac:dyDescent="0.35">
      <c r="B237" s="10">
        <v>239</v>
      </c>
      <c r="C237" s="10"/>
      <c r="D237" s="38"/>
      <c r="E237" s="38"/>
      <c r="F237" s="39"/>
      <c r="G237" s="196"/>
      <c r="H237" s="12"/>
      <c r="I237" s="103"/>
      <c r="J237" s="227"/>
      <c r="K237" s="226"/>
      <c r="L237" s="33" t="str">
        <f t="shared" si="8"/>
        <v/>
      </c>
      <c r="M237" s="13" t="str">
        <f t="shared" si="9"/>
        <v/>
      </c>
    </row>
    <row r="238" spans="2:13" x14ac:dyDescent="0.35">
      <c r="B238" s="10">
        <v>240</v>
      </c>
      <c r="C238" s="10"/>
      <c r="D238" s="38"/>
      <c r="E238" s="38"/>
      <c r="F238" s="39"/>
      <c r="G238" s="196"/>
      <c r="H238" s="12"/>
      <c r="I238" s="103"/>
      <c r="J238" s="227"/>
      <c r="K238" s="226"/>
      <c r="L238" s="33" t="str">
        <f t="shared" si="8"/>
        <v/>
      </c>
      <c r="M238" s="13" t="str">
        <f t="shared" si="9"/>
        <v/>
      </c>
    </row>
    <row r="239" spans="2:13" x14ac:dyDescent="0.35">
      <c r="B239" s="10">
        <v>241</v>
      </c>
      <c r="C239" s="10"/>
      <c r="D239" s="38"/>
      <c r="E239" s="38"/>
      <c r="F239" s="39"/>
      <c r="G239" s="196"/>
      <c r="H239" s="12"/>
      <c r="I239" s="103"/>
      <c r="J239" s="227"/>
      <c r="K239" s="226"/>
      <c r="L239" s="33" t="str">
        <f t="shared" si="8"/>
        <v/>
      </c>
      <c r="M239" s="13" t="str">
        <f t="shared" si="9"/>
        <v/>
      </c>
    </row>
    <row r="240" spans="2:13" x14ac:dyDescent="0.35">
      <c r="B240" s="10">
        <v>242</v>
      </c>
      <c r="C240" s="10"/>
      <c r="D240" s="38"/>
      <c r="E240" s="38"/>
      <c r="F240" s="39"/>
      <c r="G240" s="196"/>
      <c r="H240" s="12"/>
      <c r="I240" s="103"/>
      <c r="J240" s="227"/>
      <c r="K240" s="226"/>
      <c r="L240" s="33" t="str">
        <f t="shared" si="8"/>
        <v/>
      </c>
      <c r="M240" s="13" t="str">
        <f t="shared" si="9"/>
        <v/>
      </c>
    </row>
    <row r="241" spans="2:13" x14ac:dyDescent="0.35">
      <c r="B241" s="10">
        <v>243</v>
      </c>
      <c r="C241" s="10"/>
      <c r="D241" s="38"/>
      <c r="E241" s="38"/>
      <c r="F241" s="39"/>
      <c r="G241" s="196"/>
      <c r="H241" s="12"/>
      <c r="I241" s="103"/>
      <c r="J241" s="227"/>
      <c r="K241" s="226"/>
      <c r="L241" s="33" t="str">
        <f t="shared" si="8"/>
        <v/>
      </c>
      <c r="M241" s="13" t="str">
        <f t="shared" si="9"/>
        <v/>
      </c>
    </row>
    <row r="242" spans="2:13" x14ac:dyDescent="0.35">
      <c r="B242" s="10">
        <v>244</v>
      </c>
      <c r="C242" s="10"/>
      <c r="D242" s="38"/>
      <c r="E242" s="38"/>
      <c r="F242" s="39"/>
      <c r="G242" s="196"/>
      <c r="H242" s="12"/>
      <c r="I242" s="103"/>
      <c r="J242" s="227"/>
      <c r="K242" s="226"/>
      <c r="L242" s="33" t="str">
        <f t="shared" si="8"/>
        <v/>
      </c>
      <c r="M242" s="13" t="str">
        <f t="shared" si="9"/>
        <v/>
      </c>
    </row>
    <row r="243" spans="2:13" x14ac:dyDescent="0.35">
      <c r="B243" s="10">
        <v>245</v>
      </c>
      <c r="C243" s="10"/>
      <c r="D243" s="38"/>
      <c r="E243" s="38"/>
      <c r="F243" s="39"/>
      <c r="G243" s="196"/>
      <c r="H243" s="12"/>
      <c r="I243" s="103"/>
      <c r="J243" s="227"/>
      <c r="K243" s="226"/>
      <c r="L243" s="33" t="str">
        <f t="shared" si="8"/>
        <v/>
      </c>
      <c r="M243" s="13" t="str">
        <f t="shared" si="9"/>
        <v/>
      </c>
    </row>
    <row r="244" spans="2:13" x14ac:dyDescent="0.35">
      <c r="B244" s="10">
        <v>246</v>
      </c>
      <c r="C244" s="10"/>
      <c r="D244" s="38"/>
      <c r="E244" s="38"/>
      <c r="F244" s="39"/>
      <c r="G244" s="196"/>
      <c r="H244" s="12"/>
      <c r="I244" s="103"/>
      <c r="J244" s="227"/>
      <c r="K244" s="226"/>
      <c r="L244" s="33" t="str">
        <f t="shared" si="8"/>
        <v/>
      </c>
      <c r="M244" s="13" t="str">
        <f t="shared" si="9"/>
        <v/>
      </c>
    </row>
    <row r="245" spans="2:13" x14ac:dyDescent="0.35">
      <c r="B245" s="10">
        <v>247</v>
      </c>
      <c r="C245" s="10"/>
      <c r="D245" s="38"/>
      <c r="E245" s="38"/>
      <c r="F245" s="39"/>
      <c r="G245" s="196"/>
      <c r="H245" s="12"/>
      <c r="I245" s="103"/>
      <c r="J245" s="227"/>
      <c r="K245" s="226"/>
      <c r="L245" s="33" t="str">
        <f t="shared" si="8"/>
        <v/>
      </c>
      <c r="M245" s="13" t="str">
        <f t="shared" si="9"/>
        <v/>
      </c>
    </row>
    <row r="246" spans="2:13" x14ac:dyDescent="0.35">
      <c r="B246" s="10">
        <v>248</v>
      </c>
      <c r="C246" s="10"/>
      <c r="D246" s="38"/>
      <c r="E246" s="38"/>
      <c r="F246" s="39"/>
      <c r="G246" s="196"/>
      <c r="H246" s="12"/>
      <c r="I246" s="103"/>
      <c r="J246" s="227"/>
      <c r="K246" s="226"/>
      <c r="L246" s="33" t="str">
        <f t="shared" si="8"/>
        <v/>
      </c>
      <c r="M246" s="13" t="str">
        <f t="shared" si="9"/>
        <v/>
      </c>
    </row>
    <row r="247" spans="2:13" x14ac:dyDescent="0.35">
      <c r="B247" s="10">
        <v>249</v>
      </c>
      <c r="C247" s="10"/>
      <c r="D247" s="38"/>
      <c r="E247" s="38"/>
      <c r="F247" s="39"/>
      <c r="G247" s="196"/>
      <c r="H247" s="12"/>
      <c r="I247" s="103"/>
      <c r="J247" s="227"/>
      <c r="K247" s="226"/>
      <c r="L247" s="33" t="str">
        <f t="shared" si="8"/>
        <v/>
      </c>
      <c r="M247" s="13" t="str">
        <f t="shared" si="9"/>
        <v/>
      </c>
    </row>
    <row r="248" spans="2:13" x14ac:dyDescent="0.35">
      <c r="B248" s="10">
        <v>250</v>
      </c>
      <c r="C248" s="10"/>
      <c r="D248" s="38"/>
      <c r="E248" s="38"/>
      <c r="F248" s="39"/>
      <c r="G248" s="196"/>
      <c r="H248" s="12"/>
      <c r="I248" s="103"/>
      <c r="J248" s="227"/>
      <c r="K248" s="226"/>
      <c r="L248" s="33" t="str">
        <f t="shared" si="8"/>
        <v/>
      </c>
      <c r="M248" s="13" t="str">
        <f t="shared" si="9"/>
        <v/>
      </c>
    </row>
    <row r="249" spans="2:13" x14ac:dyDescent="0.35">
      <c r="B249" s="10">
        <v>251</v>
      </c>
      <c r="C249" s="10"/>
      <c r="D249" s="38"/>
      <c r="E249" s="38"/>
      <c r="F249" s="39"/>
      <c r="G249" s="196"/>
      <c r="H249" s="12"/>
      <c r="I249" s="103"/>
      <c r="J249" s="227"/>
      <c r="K249" s="226"/>
      <c r="L249" s="33" t="str">
        <f t="shared" si="8"/>
        <v/>
      </c>
      <c r="M249" s="13" t="str">
        <f t="shared" si="9"/>
        <v/>
      </c>
    </row>
    <row r="250" spans="2:13" x14ac:dyDescent="0.35">
      <c r="B250" s="10">
        <v>252</v>
      </c>
      <c r="C250" s="10"/>
      <c r="D250" s="38"/>
      <c r="E250" s="38"/>
      <c r="F250" s="39"/>
      <c r="G250" s="196"/>
      <c r="H250" s="12"/>
      <c r="I250" s="103"/>
      <c r="J250" s="227"/>
      <c r="K250" s="226"/>
      <c r="L250" s="33" t="str">
        <f t="shared" si="8"/>
        <v/>
      </c>
      <c r="M250" s="13" t="str">
        <f t="shared" si="9"/>
        <v/>
      </c>
    </row>
    <row r="251" spans="2:13" x14ac:dyDescent="0.35">
      <c r="B251" s="10">
        <v>253</v>
      </c>
      <c r="C251" s="10"/>
      <c r="D251" s="38"/>
      <c r="E251" s="38"/>
      <c r="F251" s="39"/>
      <c r="G251" s="196"/>
      <c r="H251" s="12"/>
      <c r="I251" s="103"/>
      <c r="J251" s="227"/>
      <c r="K251" s="226"/>
      <c r="L251" s="33" t="str">
        <f t="shared" si="8"/>
        <v/>
      </c>
      <c r="M251" s="13" t="str">
        <f t="shared" si="9"/>
        <v/>
      </c>
    </row>
    <row r="252" spans="2:13" x14ac:dyDescent="0.35">
      <c r="B252" s="10">
        <v>254</v>
      </c>
      <c r="C252" s="10"/>
      <c r="D252" s="38"/>
      <c r="E252" s="38"/>
      <c r="F252" s="39"/>
      <c r="G252" s="196"/>
      <c r="H252" s="12"/>
      <c r="I252" s="103"/>
      <c r="J252" s="227"/>
      <c r="K252" s="226"/>
      <c r="L252" s="33" t="str">
        <f t="shared" si="8"/>
        <v/>
      </c>
      <c r="M252" s="13" t="str">
        <f t="shared" si="9"/>
        <v/>
      </c>
    </row>
    <row r="253" spans="2:13" x14ac:dyDescent="0.35">
      <c r="B253" s="10">
        <v>255</v>
      </c>
      <c r="C253" s="10"/>
      <c r="D253" s="38"/>
      <c r="E253" s="38"/>
      <c r="F253" s="39"/>
      <c r="G253" s="196"/>
      <c r="H253" s="12"/>
      <c r="I253" s="103"/>
      <c r="J253" s="227"/>
      <c r="K253" s="226"/>
      <c r="L253" s="33" t="str">
        <f t="shared" si="8"/>
        <v/>
      </c>
      <c r="M253" s="13" t="str">
        <f t="shared" si="9"/>
        <v/>
      </c>
    </row>
    <row r="254" spans="2:13" x14ac:dyDescent="0.35">
      <c r="B254" s="10">
        <v>256</v>
      </c>
      <c r="C254" s="10"/>
      <c r="D254" s="38"/>
      <c r="E254" s="38"/>
      <c r="F254" s="39"/>
      <c r="G254" s="196"/>
      <c r="H254" s="12"/>
      <c r="I254" s="103"/>
      <c r="J254" s="227"/>
      <c r="K254" s="226"/>
      <c r="L254" s="33" t="str">
        <f t="shared" si="8"/>
        <v/>
      </c>
      <c r="M254" s="13" t="str">
        <f t="shared" si="9"/>
        <v/>
      </c>
    </row>
    <row r="255" spans="2:13" x14ac:dyDescent="0.35">
      <c r="B255" s="10">
        <v>257</v>
      </c>
      <c r="C255" s="10"/>
      <c r="D255" s="38"/>
      <c r="E255" s="38"/>
      <c r="F255" s="39"/>
      <c r="G255" s="196"/>
      <c r="H255" s="12"/>
      <c r="I255" s="103"/>
      <c r="J255" s="227"/>
      <c r="K255" s="226"/>
      <c r="L255" s="33" t="str">
        <f t="shared" si="8"/>
        <v/>
      </c>
      <c r="M255" s="13" t="str">
        <f t="shared" si="9"/>
        <v/>
      </c>
    </row>
    <row r="256" spans="2:13" x14ac:dyDescent="0.35">
      <c r="B256" s="10">
        <v>258</v>
      </c>
      <c r="C256" s="10"/>
      <c r="D256" s="38"/>
      <c r="E256" s="38"/>
      <c r="F256" s="39"/>
      <c r="G256" s="196"/>
      <c r="H256" s="12"/>
      <c r="I256" s="103"/>
      <c r="J256" s="227"/>
      <c r="K256" s="226"/>
      <c r="L256" s="33" t="str">
        <f t="shared" si="8"/>
        <v/>
      </c>
      <c r="M256" s="13" t="str">
        <f t="shared" si="9"/>
        <v/>
      </c>
    </row>
    <row r="257" spans="2:13" x14ac:dyDescent="0.35">
      <c r="B257" s="10">
        <v>259</v>
      </c>
      <c r="C257" s="10"/>
      <c r="D257" s="38"/>
      <c r="E257" s="38"/>
      <c r="F257" s="39"/>
      <c r="G257" s="196"/>
      <c r="H257" s="12"/>
      <c r="I257" s="103"/>
      <c r="J257" s="227"/>
      <c r="K257" s="226"/>
      <c r="L257" s="33" t="str">
        <f t="shared" ref="L257:L320" si="10">IF(OR(J257="", K257=""), "", NETWORKDAYS(J257,K257))</f>
        <v/>
      </c>
      <c r="M257" s="13" t="str">
        <f t="shared" ref="M257:M320" si="11">IF(I257="SEA", 10, IF(I257="AIR", 5, ""))</f>
        <v/>
      </c>
    </row>
    <row r="258" spans="2:13" x14ac:dyDescent="0.35">
      <c r="B258" s="10">
        <v>260</v>
      </c>
      <c r="C258" s="10"/>
      <c r="D258" s="38"/>
      <c r="E258" s="38"/>
      <c r="F258" s="39"/>
      <c r="G258" s="196"/>
      <c r="H258" s="12"/>
      <c r="I258" s="103"/>
      <c r="J258" s="227"/>
      <c r="K258" s="226"/>
      <c r="L258" s="33" t="str">
        <f t="shared" si="10"/>
        <v/>
      </c>
      <c r="M258" s="13" t="str">
        <f t="shared" si="11"/>
        <v/>
      </c>
    </row>
    <row r="259" spans="2:13" x14ac:dyDescent="0.35">
      <c r="B259" s="10">
        <v>261</v>
      </c>
      <c r="C259" s="10"/>
      <c r="D259" s="38"/>
      <c r="E259" s="38"/>
      <c r="F259" s="39"/>
      <c r="G259" s="196"/>
      <c r="H259" s="12"/>
      <c r="I259" s="103"/>
      <c r="J259" s="227"/>
      <c r="K259" s="226"/>
      <c r="L259" s="33" t="str">
        <f t="shared" si="10"/>
        <v/>
      </c>
      <c r="M259" s="13" t="str">
        <f t="shared" si="11"/>
        <v/>
      </c>
    </row>
    <row r="260" spans="2:13" x14ac:dyDescent="0.35">
      <c r="B260" s="10">
        <v>262</v>
      </c>
      <c r="C260" s="10"/>
      <c r="D260" s="38"/>
      <c r="E260" s="38"/>
      <c r="F260" s="39"/>
      <c r="G260" s="196"/>
      <c r="H260" s="12"/>
      <c r="I260" s="103"/>
      <c r="J260" s="227"/>
      <c r="K260" s="226"/>
      <c r="L260" s="33" t="str">
        <f t="shared" si="10"/>
        <v/>
      </c>
      <c r="M260" s="13" t="str">
        <f t="shared" si="11"/>
        <v/>
      </c>
    </row>
    <row r="261" spans="2:13" x14ac:dyDescent="0.35">
      <c r="B261" s="10">
        <v>263</v>
      </c>
      <c r="C261" s="10"/>
      <c r="D261" s="38"/>
      <c r="E261" s="38"/>
      <c r="F261" s="39"/>
      <c r="G261" s="196"/>
      <c r="H261" s="12"/>
      <c r="I261" s="103"/>
      <c r="J261" s="227"/>
      <c r="K261" s="226"/>
      <c r="L261" s="33" t="str">
        <f t="shared" si="10"/>
        <v/>
      </c>
      <c r="M261" s="13" t="str">
        <f t="shared" si="11"/>
        <v/>
      </c>
    </row>
    <row r="262" spans="2:13" x14ac:dyDescent="0.35">
      <c r="B262" s="10">
        <v>264</v>
      </c>
      <c r="C262" s="10"/>
      <c r="D262" s="38"/>
      <c r="E262" s="38"/>
      <c r="F262" s="39"/>
      <c r="G262" s="196"/>
      <c r="H262" s="12"/>
      <c r="I262" s="103"/>
      <c r="J262" s="227"/>
      <c r="K262" s="226"/>
      <c r="L262" s="33" t="str">
        <f t="shared" si="10"/>
        <v/>
      </c>
      <c r="M262" s="13" t="str">
        <f t="shared" si="11"/>
        <v/>
      </c>
    </row>
    <row r="263" spans="2:13" x14ac:dyDescent="0.35">
      <c r="B263" s="10">
        <v>265</v>
      </c>
      <c r="C263" s="10"/>
      <c r="D263" s="38"/>
      <c r="E263" s="38"/>
      <c r="F263" s="39"/>
      <c r="G263" s="196"/>
      <c r="H263" s="12"/>
      <c r="I263" s="103"/>
      <c r="J263" s="227"/>
      <c r="K263" s="226"/>
      <c r="L263" s="33" t="str">
        <f t="shared" si="10"/>
        <v/>
      </c>
      <c r="M263" s="13" t="str">
        <f t="shared" si="11"/>
        <v/>
      </c>
    </row>
    <row r="264" spans="2:13" x14ac:dyDescent="0.35">
      <c r="B264" s="10">
        <v>266</v>
      </c>
      <c r="C264" s="10"/>
      <c r="D264" s="38"/>
      <c r="E264" s="38"/>
      <c r="F264" s="39"/>
      <c r="G264" s="196"/>
      <c r="H264" s="12"/>
      <c r="I264" s="103"/>
      <c r="J264" s="227"/>
      <c r="K264" s="226"/>
      <c r="L264" s="33" t="str">
        <f t="shared" si="10"/>
        <v/>
      </c>
      <c r="M264" s="13" t="str">
        <f t="shared" si="11"/>
        <v/>
      </c>
    </row>
    <row r="265" spans="2:13" x14ac:dyDescent="0.35">
      <c r="B265" s="10">
        <v>267</v>
      </c>
      <c r="C265" s="10"/>
      <c r="D265" s="38"/>
      <c r="E265" s="38"/>
      <c r="F265" s="39"/>
      <c r="G265" s="196"/>
      <c r="H265" s="12"/>
      <c r="I265" s="103"/>
      <c r="J265" s="227"/>
      <c r="K265" s="226"/>
      <c r="L265" s="33" t="str">
        <f t="shared" si="10"/>
        <v/>
      </c>
      <c r="M265" s="13" t="str">
        <f t="shared" si="11"/>
        <v/>
      </c>
    </row>
    <row r="266" spans="2:13" x14ac:dyDescent="0.35">
      <c r="B266" s="10">
        <v>268</v>
      </c>
      <c r="C266" s="10"/>
      <c r="D266" s="38"/>
      <c r="E266" s="38"/>
      <c r="F266" s="39"/>
      <c r="G266" s="196"/>
      <c r="H266" s="12"/>
      <c r="I266" s="103"/>
      <c r="J266" s="227"/>
      <c r="K266" s="226"/>
      <c r="L266" s="33" t="str">
        <f t="shared" si="10"/>
        <v/>
      </c>
      <c r="M266" s="13" t="str">
        <f t="shared" si="11"/>
        <v/>
      </c>
    </row>
    <row r="267" spans="2:13" x14ac:dyDescent="0.35">
      <c r="B267" s="10">
        <v>269</v>
      </c>
      <c r="C267" s="10"/>
      <c r="D267" s="38"/>
      <c r="E267" s="38"/>
      <c r="F267" s="39"/>
      <c r="G267" s="196"/>
      <c r="H267" s="12"/>
      <c r="I267" s="103"/>
      <c r="J267" s="227"/>
      <c r="K267" s="226"/>
      <c r="L267" s="33" t="str">
        <f t="shared" si="10"/>
        <v/>
      </c>
      <c r="M267" s="13" t="str">
        <f t="shared" si="11"/>
        <v/>
      </c>
    </row>
    <row r="268" spans="2:13" x14ac:dyDescent="0.35">
      <c r="B268" s="10">
        <v>270</v>
      </c>
      <c r="C268" s="10"/>
      <c r="D268" s="38"/>
      <c r="E268" s="38"/>
      <c r="F268" s="39"/>
      <c r="G268" s="196"/>
      <c r="H268" s="12"/>
      <c r="I268" s="103"/>
      <c r="J268" s="227"/>
      <c r="K268" s="226"/>
      <c r="L268" s="33" t="str">
        <f t="shared" si="10"/>
        <v/>
      </c>
      <c r="M268" s="13" t="str">
        <f t="shared" si="11"/>
        <v/>
      </c>
    </row>
    <row r="269" spans="2:13" x14ac:dyDescent="0.35">
      <c r="B269" s="10">
        <v>271</v>
      </c>
      <c r="C269" s="10"/>
      <c r="D269" s="38"/>
      <c r="E269" s="38"/>
      <c r="F269" s="39"/>
      <c r="G269" s="196"/>
      <c r="H269" s="12"/>
      <c r="I269" s="103"/>
      <c r="J269" s="227"/>
      <c r="K269" s="226"/>
      <c r="L269" s="33" t="str">
        <f t="shared" si="10"/>
        <v/>
      </c>
      <c r="M269" s="13" t="str">
        <f t="shared" si="11"/>
        <v/>
      </c>
    </row>
    <row r="270" spans="2:13" x14ac:dyDescent="0.35">
      <c r="B270" s="10">
        <v>272</v>
      </c>
      <c r="C270" s="10"/>
      <c r="D270" s="38"/>
      <c r="E270" s="38"/>
      <c r="F270" s="39"/>
      <c r="G270" s="196"/>
      <c r="H270" s="12"/>
      <c r="I270" s="103"/>
      <c r="J270" s="227"/>
      <c r="K270" s="226"/>
      <c r="L270" s="33" t="str">
        <f t="shared" si="10"/>
        <v/>
      </c>
      <c r="M270" s="13" t="str">
        <f t="shared" si="11"/>
        <v/>
      </c>
    </row>
    <row r="271" spans="2:13" x14ac:dyDescent="0.35">
      <c r="B271" s="10">
        <v>273</v>
      </c>
      <c r="C271" s="10"/>
      <c r="D271" s="38"/>
      <c r="E271" s="38"/>
      <c r="F271" s="39"/>
      <c r="G271" s="196"/>
      <c r="H271" s="12"/>
      <c r="I271" s="103"/>
      <c r="J271" s="227"/>
      <c r="K271" s="226"/>
      <c r="L271" s="33" t="str">
        <f t="shared" si="10"/>
        <v/>
      </c>
      <c r="M271" s="13" t="str">
        <f t="shared" si="11"/>
        <v/>
      </c>
    </row>
    <row r="272" spans="2:13" x14ac:dyDescent="0.35">
      <c r="B272" s="10">
        <v>274</v>
      </c>
      <c r="C272" s="10"/>
      <c r="D272" s="38"/>
      <c r="E272" s="38"/>
      <c r="F272" s="39"/>
      <c r="G272" s="196"/>
      <c r="H272" s="12"/>
      <c r="I272" s="103"/>
      <c r="J272" s="227"/>
      <c r="K272" s="226"/>
      <c r="L272" s="33" t="str">
        <f t="shared" si="10"/>
        <v/>
      </c>
      <c r="M272" s="13" t="str">
        <f t="shared" si="11"/>
        <v/>
      </c>
    </row>
    <row r="273" spans="2:13" x14ac:dyDescent="0.35">
      <c r="B273" s="10">
        <v>275</v>
      </c>
      <c r="C273" s="10"/>
      <c r="D273" s="38"/>
      <c r="E273" s="38"/>
      <c r="F273" s="39"/>
      <c r="G273" s="196"/>
      <c r="H273" s="12"/>
      <c r="I273" s="103"/>
      <c r="J273" s="227"/>
      <c r="K273" s="226"/>
      <c r="L273" s="33" t="str">
        <f t="shared" si="10"/>
        <v/>
      </c>
      <c r="M273" s="13" t="str">
        <f t="shared" si="11"/>
        <v/>
      </c>
    </row>
    <row r="274" spans="2:13" x14ac:dyDescent="0.35">
      <c r="B274" s="10">
        <v>276</v>
      </c>
      <c r="C274" s="10"/>
      <c r="D274" s="38"/>
      <c r="E274" s="38"/>
      <c r="F274" s="39"/>
      <c r="G274" s="196"/>
      <c r="H274" s="12"/>
      <c r="I274" s="103"/>
      <c r="J274" s="227"/>
      <c r="K274" s="226"/>
      <c r="L274" s="33" t="str">
        <f t="shared" si="10"/>
        <v/>
      </c>
      <c r="M274" s="13" t="str">
        <f t="shared" si="11"/>
        <v/>
      </c>
    </row>
    <row r="275" spans="2:13" x14ac:dyDescent="0.35">
      <c r="B275" s="10">
        <v>277</v>
      </c>
      <c r="C275" s="10"/>
      <c r="D275" s="38"/>
      <c r="E275" s="38"/>
      <c r="F275" s="39"/>
      <c r="G275" s="196"/>
      <c r="H275" s="12"/>
      <c r="I275" s="103"/>
      <c r="J275" s="227"/>
      <c r="K275" s="226"/>
      <c r="L275" s="33" t="str">
        <f t="shared" si="10"/>
        <v/>
      </c>
      <c r="M275" s="13" t="str">
        <f t="shared" si="11"/>
        <v/>
      </c>
    </row>
    <row r="276" spans="2:13" x14ac:dyDescent="0.35">
      <c r="B276" s="10">
        <v>278</v>
      </c>
      <c r="C276" s="10"/>
      <c r="D276" s="38"/>
      <c r="E276" s="38"/>
      <c r="F276" s="39"/>
      <c r="G276" s="196"/>
      <c r="H276" s="12"/>
      <c r="I276" s="103"/>
      <c r="J276" s="227"/>
      <c r="K276" s="226"/>
      <c r="L276" s="33" t="str">
        <f t="shared" si="10"/>
        <v/>
      </c>
      <c r="M276" s="13" t="str">
        <f t="shared" si="11"/>
        <v/>
      </c>
    </row>
    <row r="277" spans="2:13" x14ac:dyDescent="0.35">
      <c r="B277" s="10">
        <v>279</v>
      </c>
      <c r="C277" s="10"/>
      <c r="D277" s="38"/>
      <c r="E277" s="38"/>
      <c r="F277" s="39"/>
      <c r="G277" s="196"/>
      <c r="H277" s="12"/>
      <c r="I277" s="103"/>
      <c r="J277" s="227"/>
      <c r="K277" s="226"/>
      <c r="L277" s="33" t="str">
        <f t="shared" si="10"/>
        <v/>
      </c>
      <c r="M277" s="13" t="str">
        <f t="shared" si="11"/>
        <v/>
      </c>
    </row>
    <row r="278" spans="2:13" x14ac:dyDescent="0.35">
      <c r="B278" s="10">
        <v>280</v>
      </c>
      <c r="C278" s="10"/>
      <c r="D278" s="38"/>
      <c r="E278" s="38"/>
      <c r="F278" s="39"/>
      <c r="G278" s="196"/>
      <c r="H278" s="12"/>
      <c r="I278" s="103"/>
      <c r="J278" s="227"/>
      <c r="K278" s="226"/>
      <c r="L278" s="33" t="str">
        <f t="shared" si="10"/>
        <v/>
      </c>
      <c r="M278" s="13" t="str">
        <f t="shared" si="11"/>
        <v/>
      </c>
    </row>
    <row r="279" spans="2:13" x14ac:dyDescent="0.35">
      <c r="B279" s="10">
        <v>281</v>
      </c>
      <c r="C279" s="10"/>
      <c r="D279" s="38"/>
      <c r="E279" s="38"/>
      <c r="F279" s="39"/>
      <c r="G279" s="196"/>
      <c r="H279" s="12"/>
      <c r="I279" s="103"/>
      <c r="J279" s="227"/>
      <c r="K279" s="226"/>
      <c r="L279" s="33" t="str">
        <f t="shared" si="10"/>
        <v/>
      </c>
      <c r="M279" s="13" t="str">
        <f t="shared" si="11"/>
        <v/>
      </c>
    </row>
    <row r="280" spans="2:13" x14ac:dyDescent="0.35">
      <c r="B280" s="10">
        <v>282</v>
      </c>
      <c r="C280" s="10"/>
      <c r="D280" s="38"/>
      <c r="E280" s="38"/>
      <c r="F280" s="39"/>
      <c r="G280" s="196"/>
      <c r="H280" s="12"/>
      <c r="I280" s="103"/>
      <c r="J280" s="227"/>
      <c r="K280" s="226"/>
      <c r="L280" s="33" t="str">
        <f t="shared" si="10"/>
        <v/>
      </c>
      <c r="M280" s="13" t="str">
        <f t="shared" si="11"/>
        <v/>
      </c>
    </row>
    <row r="281" spans="2:13" x14ac:dyDescent="0.35">
      <c r="B281" s="10">
        <v>283</v>
      </c>
      <c r="C281" s="10"/>
      <c r="D281" s="38"/>
      <c r="E281" s="38"/>
      <c r="F281" s="39"/>
      <c r="G281" s="196"/>
      <c r="H281" s="12"/>
      <c r="I281" s="103"/>
      <c r="J281" s="227"/>
      <c r="K281" s="226"/>
      <c r="L281" s="33" t="str">
        <f t="shared" si="10"/>
        <v/>
      </c>
      <c r="M281" s="13" t="str">
        <f t="shared" si="11"/>
        <v/>
      </c>
    </row>
    <row r="282" spans="2:13" x14ac:dyDescent="0.35">
      <c r="B282" s="10">
        <v>284</v>
      </c>
      <c r="C282" s="10"/>
      <c r="D282" s="38"/>
      <c r="E282" s="38"/>
      <c r="F282" s="39"/>
      <c r="G282" s="196"/>
      <c r="H282" s="12"/>
      <c r="I282" s="103"/>
      <c r="J282" s="227"/>
      <c r="K282" s="226"/>
      <c r="L282" s="33" t="str">
        <f t="shared" si="10"/>
        <v/>
      </c>
      <c r="M282" s="13" t="str">
        <f t="shared" si="11"/>
        <v/>
      </c>
    </row>
    <row r="283" spans="2:13" x14ac:dyDescent="0.35">
      <c r="B283" s="10">
        <v>285</v>
      </c>
      <c r="C283" s="10"/>
      <c r="D283" s="38"/>
      <c r="E283" s="38"/>
      <c r="F283" s="39"/>
      <c r="G283" s="196"/>
      <c r="H283" s="12"/>
      <c r="I283" s="103"/>
      <c r="J283" s="227"/>
      <c r="K283" s="226"/>
      <c r="L283" s="33" t="str">
        <f t="shared" si="10"/>
        <v/>
      </c>
      <c r="M283" s="13" t="str">
        <f t="shared" si="11"/>
        <v/>
      </c>
    </row>
    <row r="284" spans="2:13" x14ac:dyDescent="0.35">
      <c r="B284" s="10">
        <v>286</v>
      </c>
      <c r="C284" s="10"/>
      <c r="D284" s="38"/>
      <c r="E284" s="38"/>
      <c r="F284" s="39"/>
      <c r="G284" s="196"/>
      <c r="H284" s="12"/>
      <c r="I284" s="103"/>
      <c r="J284" s="227"/>
      <c r="K284" s="226"/>
      <c r="L284" s="33" t="str">
        <f t="shared" si="10"/>
        <v/>
      </c>
      <c r="M284" s="13" t="str">
        <f t="shared" si="11"/>
        <v/>
      </c>
    </row>
    <row r="285" spans="2:13" x14ac:dyDescent="0.35">
      <c r="B285" s="10">
        <v>287</v>
      </c>
      <c r="C285" s="10"/>
      <c r="D285" s="38"/>
      <c r="E285" s="38"/>
      <c r="F285" s="39"/>
      <c r="G285" s="196"/>
      <c r="H285" s="12"/>
      <c r="I285" s="103"/>
      <c r="J285" s="227"/>
      <c r="K285" s="226"/>
      <c r="L285" s="33" t="str">
        <f t="shared" si="10"/>
        <v/>
      </c>
      <c r="M285" s="13" t="str">
        <f t="shared" si="11"/>
        <v/>
      </c>
    </row>
    <row r="286" spans="2:13" x14ac:dyDescent="0.35">
      <c r="B286" s="10">
        <v>288</v>
      </c>
      <c r="C286" s="10"/>
      <c r="D286" s="38"/>
      <c r="E286" s="38"/>
      <c r="F286" s="39"/>
      <c r="G286" s="196"/>
      <c r="H286" s="12"/>
      <c r="I286" s="103"/>
      <c r="J286" s="227"/>
      <c r="K286" s="226"/>
      <c r="L286" s="33" t="str">
        <f t="shared" si="10"/>
        <v/>
      </c>
      <c r="M286" s="13" t="str">
        <f t="shared" si="11"/>
        <v/>
      </c>
    </row>
    <row r="287" spans="2:13" x14ac:dyDescent="0.35">
      <c r="B287" s="10">
        <v>289</v>
      </c>
      <c r="C287" s="10"/>
      <c r="D287" s="38"/>
      <c r="E287" s="38"/>
      <c r="F287" s="39"/>
      <c r="G287" s="196"/>
      <c r="H287" s="12"/>
      <c r="I287" s="103"/>
      <c r="J287" s="227"/>
      <c r="K287" s="226"/>
      <c r="L287" s="33" t="str">
        <f t="shared" si="10"/>
        <v/>
      </c>
      <c r="M287" s="13" t="str">
        <f t="shared" si="11"/>
        <v/>
      </c>
    </row>
    <row r="288" spans="2:13" x14ac:dyDescent="0.35">
      <c r="B288" s="10">
        <v>290</v>
      </c>
      <c r="C288" s="10"/>
      <c r="D288" s="38"/>
      <c r="E288" s="38"/>
      <c r="F288" s="39"/>
      <c r="G288" s="196"/>
      <c r="H288" s="12"/>
      <c r="I288" s="103"/>
      <c r="J288" s="227"/>
      <c r="K288" s="226"/>
      <c r="L288" s="33" t="str">
        <f t="shared" si="10"/>
        <v/>
      </c>
      <c r="M288" s="13" t="str">
        <f t="shared" si="11"/>
        <v/>
      </c>
    </row>
    <row r="289" spans="2:13" x14ac:dyDescent="0.35">
      <c r="B289" s="10">
        <v>291</v>
      </c>
      <c r="C289" s="10"/>
      <c r="D289" s="38"/>
      <c r="E289" s="38"/>
      <c r="F289" s="39"/>
      <c r="G289" s="196"/>
      <c r="H289" s="12"/>
      <c r="I289" s="103"/>
      <c r="J289" s="227"/>
      <c r="K289" s="226"/>
      <c r="L289" s="33" t="str">
        <f t="shared" si="10"/>
        <v/>
      </c>
      <c r="M289" s="13" t="str">
        <f t="shared" si="11"/>
        <v/>
      </c>
    </row>
    <row r="290" spans="2:13" x14ac:dyDescent="0.35">
      <c r="B290" s="10">
        <v>292</v>
      </c>
      <c r="C290" s="10"/>
      <c r="D290" s="38"/>
      <c r="E290" s="38"/>
      <c r="F290" s="39"/>
      <c r="G290" s="196"/>
      <c r="H290" s="12"/>
      <c r="I290" s="103"/>
      <c r="J290" s="227"/>
      <c r="K290" s="226"/>
      <c r="L290" s="33" t="str">
        <f t="shared" si="10"/>
        <v/>
      </c>
      <c r="M290" s="13" t="str">
        <f t="shared" si="11"/>
        <v/>
      </c>
    </row>
    <row r="291" spans="2:13" x14ac:dyDescent="0.35">
      <c r="B291" s="10">
        <v>293</v>
      </c>
      <c r="C291" s="10"/>
      <c r="D291" s="38"/>
      <c r="E291" s="38"/>
      <c r="F291" s="39"/>
      <c r="G291" s="196"/>
      <c r="H291" s="12"/>
      <c r="I291" s="103"/>
      <c r="J291" s="227"/>
      <c r="K291" s="226"/>
      <c r="L291" s="33" t="str">
        <f t="shared" si="10"/>
        <v/>
      </c>
      <c r="M291" s="13" t="str">
        <f t="shared" si="11"/>
        <v/>
      </c>
    </row>
    <row r="292" spans="2:13" x14ac:dyDescent="0.35">
      <c r="B292" s="10">
        <v>294</v>
      </c>
      <c r="C292" s="10"/>
      <c r="D292" s="38"/>
      <c r="E292" s="38"/>
      <c r="F292" s="39"/>
      <c r="G292" s="196"/>
      <c r="H292" s="12"/>
      <c r="I292" s="103"/>
      <c r="J292" s="227"/>
      <c r="K292" s="226"/>
      <c r="L292" s="33" t="str">
        <f t="shared" si="10"/>
        <v/>
      </c>
      <c r="M292" s="13" t="str">
        <f t="shared" si="11"/>
        <v/>
      </c>
    </row>
    <row r="293" spans="2:13" x14ac:dyDescent="0.35">
      <c r="B293" s="10">
        <v>295</v>
      </c>
      <c r="C293" s="10"/>
      <c r="D293" s="38"/>
      <c r="E293" s="38"/>
      <c r="F293" s="39"/>
      <c r="G293" s="196"/>
      <c r="H293" s="12"/>
      <c r="I293" s="103"/>
      <c r="J293" s="227"/>
      <c r="K293" s="226"/>
      <c r="L293" s="33" t="str">
        <f t="shared" si="10"/>
        <v/>
      </c>
      <c r="M293" s="13" t="str">
        <f t="shared" si="11"/>
        <v/>
      </c>
    </row>
    <row r="294" spans="2:13" x14ac:dyDescent="0.35">
      <c r="B294" s="10">
        <v>296</v>
      </c>
      <c r="C294" s="10"/>
      <c r="D294" s="38"/>
      <c r="E294" s="38"/>
      <c r="F294" s="39"/>
      <c r="G294" s="196"/>
      <c r="H294" s="12"/>
      <c r="I294" s="103"/>
      <c r="J294" s="227"/>
      <c r="K294" s="226"/>
      <c r="L294" s="33" t="str">
        <f t="shared" si="10"/>
        <v/>
      </c>
      <c r="M294" s="13" t="str">
        <f t="shared" si="11"/>
        <v/>
      </c>
    </row>
    <row r="295" spans="2:13" x14ac:dyDescent="0.35">
      <c r="B295" s="10">
        <v>297</v>
      </c>
      <c r="C295" s="10"/>
      <c r="D295" s="38"/>
      <c r="E295" s="38"/>
      <c r="F295" s="39"/>
      <c r="G295" s="196"/>
      <c r="H295" s="12"/>
      <c r="I295" s="103"/>
      <c r="J295" s="227"/>
      <c r="K295" s="226"/>
      <c r="L295" s="33" t="str">
        <f t="shared" si="10"/>
        <v/>
      </c>
      <c r="M295" s="13" t="str">
        <f t="shared" si="11"/>
        <v/>
      </c>
    </row>
    <row r="296" spans="2:13" x14ac:dyDescent="0.35">
      <c r="B296" s="10">
        <v>298</v>
      </c>
      <c r="C296" s="10"/>
      <c r="D296" s="38"/>
      <c r="E296" s="38"/>
      <c r="F296" s="39"/>
      <c r="G296" s="196"/>
      <c r="H296" s="12"/>
      <c r="I296" s="103"/>
      <c r="J296" s="227"/>
      <c r="K296" s="226"/>
      <c r="L296" s="33" t="str">
        <f t="shared" si="10"/>
        <v/>
      </c>
      <c r="M296" s="13" t="str">
        <f t="shared" si="11"/>
        <v/>
      </c>
    </row>
    <row r="297" spans="2:13" x14ac:dyDescent="0.35">
      <c r="B297" s="10">
        <v>299</v>
      </c>
      <c r="C297" s="10"/>
      <c r="D297" s="38"/>
      <c r="E297" s="38"/>
      <c r="F297" s="39"/>
      <c r="G297" s="196"/>
      <c r="H297" s="12"/>
      <c r="I297" s="103"/>
      <c r="J297" s="227"/>
      <c r="K297" s="226"/>
      <c r="L297" s="33" t="str">
        <f t="shared" si="10"/>
        <v/>
      </c>
      <c r="M297" s="13" t="str">
        <f t="shared" si="11"/>
        <v/>
      </c>
    </row>
    <row r="298" spans="2:13" x14ac:dyDescent="0.35">
      <c r="B298" s="10">
        <v>300</v>
      </c>
      <c r="C298" s="10"/>
      <c r="D298" s="38"/>
      <c r="E298" s="38"/>
      <c r="F298" s="39"/>
      <c r="G298" s="196"/>
      <c r="H298" s="12"/>
      <c r="I298" s="103"/>
      <c r="J298" s="227"/>
      <c r="K298" s="226"/>
      <c r="L298" s="33" t="str">
        <f t="shared" si="10"/>
        <v/>
      </c>
      <c r="M298" s="13" t="str">
        <f t="shared" si="11"/>
        <v/>
      </c>
    </row>
    <row r="299" spans="2:13" x14ac:dyDescent="0.35">
      <c r="B299" s="10">
        <v>301</v>
      </c>
      <c r="C299" s="10"/>
      <c r="D299" s="38"/>
      <c r="E299" s="38"/>
      <c r="F299" s="39"/>
      <c r="G299" s="196"/>
      <c r="H299" s="12"/>
      <c r="I299" s="103"/>
      <c r="J299" s="227"/>
      <c r="K299" s="226"/>
      <c r="L299" s="33" t="str">
        <f t="shared" si="10"/>
        <v/>
      </c>
      <c r="M299" s="13" t="str">
        <f t="shared" si="11"/>
        <v/>
      </c>
    </row>
    <row r="300" spans="2:13" x14ac:dyDescent="0.35">
      <c r="B300" s="10">
        <v>302</v>
      </c>
      <c r="C300" s="10"/>
      <c r="D300" s="38"/>
      <c r="E300" s="38"/>
      <c r="F300" s="39"/>
      <c r="G300" s="196"/>
      <c r="H300" s="12"/>
      <c r="I300" s="103"/>
      <c r="J300" s="227"/>
      <c r="K300" s="226"/>
      <c r="L300" s="33" t="str">
        <f t="shared" si="10"/>
        <v/>
      </c>
      <c r="M300" s="13" t="str">
        <f t="shared" si="11"/>
        <v/>
      </c>
    </row>
    <row r="301" spans="2:13" x14ac:dyDescent="0.35">
      <c r="B301" s="10">
        <v>303</v>
      </c>
      <c r="C301" s="10"/>
      <c r="D301" s="38"/>
      <c r="E301" s="38"/>
      <c r="F301" s="39"/>
      <c r="G301" s="196"/>
      <c r="H301" s="12"/>
      <c r="I301" s="103"/>
      <c r="J301" s="227"/>
      <c r="K301" s="226"/>
      <c r="L301" s="33" t="str">
        <f t="shared" si="10"/>
        <v/>
      </c>
      <c r="M301" s="13" t="str">
        <f t="shared" si="11"/>
        <v/>
      </c>
    </row>
    <row r="302" spans="2:13" x14ac:dyDescent="0.35">
      <c r="B302" s="10">
        <v>304</v>
      </c>
      <c r="C302" s="10"/>
      <c r="D302" s="38"/>
      <c r="E302" s="38"/>
      <c r="F302" s="39"/>
      <c r="G302" s="196"/>
      <c r="H302" s="12"/>
      <c r="I302" s="103"/>
      <c r="J302" s="227"/>
      <c r="K302" s="226"/>
      <c r="L302" s="33" t="str">
        <f t="shared" si="10"/>
        <v/>
      </c>
      <c r="M302" s="13" t="str">
        <f t="shared" si="11"/>
        <v/>
      </c>
    </row>
    <row r="303" spans="2:13" x14ac:dyDescent="0.35">
      <c r="B303" s="10">
        <v>305</v>
      </c>
      <c r="C303" s="10"/>
      <c r="D303" s="38"/>
      <c r="E303" s="38"/>
      <c r="F303" s="39"/>
      <c r="G303" s="196"/>
      <c r="H303" s="12"/>
      <c r="I303" s="103"/>
      <c r="J303" s="227"/>
      <c r="K303" s="226"/>
      <c r="L303" s="33" t="str">
        <f t="shared" si="10"/>
        <v/>
      </c>
      <c r="M303" s="13" t="str">
        <f t="shared" si="11"/>
        <v/>
      </c>
    </row>
    <row r="304" spans="2:13" x14ac:dyDescent="0.35">
      <c r="B304" s="10">
        <v>306</v>
      </c>
      <c r="C304" s="10"/>
      <c r="D304" s="38"/>
      <c r="E304" s="38"/>
      <c r="F304" s="39"/>
      <c r="G304" s="196"/>
      <c r="H304" s="12"/>
      <c r="I304" s="103"/>
      <c r="J304" s="227"/>
      <c r="K304" s="226"/>
      <c r="L304" s="33" t="str">
        <f t="shared" si="10"/>
        <v/>
      </c>
      <c r="M304" s="13" t="str">
        <f t="shared" si="11"/>
        <v/>
      </c>
    </row>
    <row r="305" spans="2:13" x14ac:dyDescent="0.35">
      <c r="B305" s="10">
        <v>307</v>
      </c>
      <c r="C305" s="10"/>
      <c r="D305" s="38"/>
      <c r="E305" s="38"/>
      <c r="F305" s="39"/>
      <c r="G305" s="196"/>
      <c r="H305" s="12"/>
      <c r="I305" s="103"/>
      <c r="J305" s="227"/>
      <c r="K305" s="226"/>
      <c r="L305" s="33" t="str">
        <f t="shared" si="10"/>
        <v/>
      </c>
      <c r="M305" s="13" t="str">
        <f t="shared" si="11"/>
        <v/>
      </c>
    </row>
    <row r="306" spans="2:13" x14ac:dyDescent="0.35">
      <c r="B306" s="10">
        <v>308</v>
      </c>
      <c r="C306" s="10"/>
      <c r="D306" s="38"/>
      <c r="E306" s="38"/>
      <c r="F306" s="39"/>
      <c r="G306" s="196"/>
      <c r="H306" s="12"/>
      <c r="I306" s="103"/>
      <c r="J306" s="227"/>
      <c r="K306" s="226"/>
      <c r="L306" s="33" t="str">
        <f t="shared" si="10"/>
        <v/>
      </c>
      <c r="M306" s="13" t="str">
        <f t="shared" si="11"/>
        <v/>
      </c>
    </row>
    <row r="307" spans="2:13" x14ac:dyDescent="0.35">
      <c r="B307" s="10">
        <v>309</v>
      </c>
      <c r="C307" s="10"/>
      <c r="D307" s="38"/>
      <c r="E307" s="38"/>
      <c r="F307" s="39"/>
      <c r="G307" s="196"/>
      <c r="H307" s="12"/>
      <c r="I307" s="103"/>
      <c r="J307" s="227"/>
      <c r="K307" s="226"/>
      <c r="L307" s="33" t="str">
        <f t="shared" si="10"/>
        <v/>
      </c>
      <c r="M307" s="13" t="str">
        <f t="shared" si="11"/>
        <v/>
      </c>
    </row>
    <row r="308" spans="2:13" x14ac:dyDescent="0.35">
      <c r="B308" s="10">
        <v>310</v>
      </c>
      <c r="C308" s="10"/>
      <c r="D308" s="38"/>
      <c r="E308" s="38"/>
      <c r="F308" s="39"/>
      <c r="G308" s="196"/>
      <c r="H308" s="12"/>
      <c r="I308" s="103"/>
      <c r="J308" s="227"/>
      <c r="K308" s="226"/>
      <c r="L308" s="33" t="str">
        <f t="shared" si="10"/>
        <v/>
      </c>
      <c r="M308" s="13" t="str">
        <f t="shared" si="11"/>
        <v/>
      </c>
    </row>
    <row r="309" spans="2:13" x14ac:dyDescent="0.35">
      <c r="B309" s="10">
        <v>311</v>
      </c>
      <c r="C309" s="10"/>
      <c r="D309" s="38"/>
      <c r="E309" s="38"/>
      <c r="F309" s="39"/>
      <c r="G309" s="196"/>
      <c r="H309" s="12"/>
      <c r="I309" s="103"/>
      <c r="J309" s="227"/>
      <c r="K309" s="226"/>
      <c r="L309" s="33" t="str">
        <f t="shared" si="10"/>
        <v/>
      </c>
      <c r="M309" s="13" t="str">
        <f t="shared" si="11"/>
        <v/>
      </c>
    </row>
    <row r="310" spans="2:13" x14ac:dyDescent="0.35">
      <c r="B310" s="10">
        <v>312</v>
      </c>
      <c r="C310" s="10"/>
      <c r="D310" s="38"/>
      <c r="E310" s="38"/>
      <c r="F310" s="39"/>
      <c r="G310" s="196"/>
      <c r="H310" s="12"/>
      <c r="I310" s="103"/>
      <c r="J310" s="227"/>
      <c r="K310" s="226"/>
      <c r="L310" s="33" t="str">
        <f t="shared" si="10"/>
        <v/>
      </c>
      <c r="M310" s="13" t="str">
        <f t="shared" si="11"/>
        <v/>
      </c>
    </row>
    <row r="311" spans="2:13" x14ac:dyDescent="0.35">
      <c r="B311" s="10">
        <v>313</v>
      </c>
      <c r="C311" s="10"/>
      <c r="D311" s="38"/>
      <c r="E311" s="38"/>
      <c r="F311" s="39"/>
      <c r="G311" s="196"/>
      <c r="H311" s="12"/>
      <c r="I311" s="103"/>
      <c r="J311" s="227"/>
      <c r="K311" s="226"/>
      <c r="L311" s="33" t="str">
        <f t="shared" si="10"/>
        <v/>
      </c>
      <c r="M311" s="13" t="str">
        <f t="shared" si="11"/>
        <v/>
      </c>
    </row>
    <row r="312" spans="2:13" x14ac:dyDescent="0.35">
      <c r="B312" s="10">
        <v>314</v>
      </c>
      <c r="C312" s="10"/>
      <c r="D312" s="38"/>
      <c r="E312" s="38"/>
      <c r="F312" s="39"/>
      <c r="G312" s="196"/>
      <c r="H312" s="12"/>
      <c r="I312" s="103"/>
      <c r="J312" s="227"/>
      <c r="K312" s="226"/>
      <c r="L312" s="33" t="str">
        <f t="shared" si="10"/>
        <v/>
      </c>
      <c r="M312" s="13" t="str">
        <f t="shared" si="11"/>
        <v/>
      </c>
    </row>
    <row r="313" spans="2:13" x14ac:dyDescent="0.35">
      <c r="B313" s="10">
        <v>315</v>
      </c>
      <c r="C313" s="10"/>
      <c r="D313" s="38"/>
      <c r="E313" s="38"/>
      <c r="F313" s="39"/>
      <c r="G313" s="196"/>
      <c r="H313" s="12"/>
      <c r="I313" s="103"/>
      <c r="J313" s="227"/>
      <c r="K313" s="226"/>
      <c r="L313" s="33" t="str">
        <f t="shared" si="10"/>
        <v/>
      </c>
      <c r="M313" s="13" t="str">
        <f t="shared" si="11"/>
        <v/>
      </c>
    </row>
    <row r="314" spans="2:13" x14ac:dyDescent="0.35">
      <c r="B314" s="10">
        <v>316</v>
      </c>
      <c r="C314" s="10"/>
      <c r="D314" s="38"/>
      <c r="E314" s="38"/>
      <c r="F314" s="39"/>
      <c r="G314" s="196"/>
      <c r="H314" s="12"/>
      <c r="I314" s="103"/>
      <c r="J314" s="227"/>
      <c r="K314" s="226"/>
      <c r="L314" s="33" t="str">
        <f t="shared" si="10"/>
        <v/>
      </c>
      <c r="M314" s="13" t="str">
        <f t="shared" si="11"/>
        <v/>
      </c>
    </row>
    <row r="315" spans="2:13" x14ac:dyDescent="0.35">
      <c r="B315" s="10">
        <v>317</v>
      </c>
      <c r="C315" s="10"/>
      <c r="D315" s="38"/>
      <c r="E315" s="38"/>
      <c r="F315" s="39"/>
      <c r="G315" s="196"/>
      <c r="H315" s="12"/>
      <c r="I315" s="103"/>
      <c r="J315" s="227"/>
      <c r="K315" s="226"/>
      <c r="L315" s="33" t="str">
        <f t="shared" si="10"/>
        <v/>
      </c>
      <c r="M315" s="13" t="str">
        <f t="shared" si="11"/>
        <v/>
      </c>
    </row>
    <row r="316" spans="2:13" x14ac:dyDescent="0.35">
      <c r="B316" s="10">
        <v>318</v>
      </c>
      <c r="C316" s="10"/>
      <c r="D316" s="38"/>
      <c r="E316" s="38"/>
      <c r="F316" s="39"/>
      <c r="G316" s="196"/>
      <c r="H316" s="12"/>
      <c r="I316" s="103"/>
      <c r="J316" s="227"/>
      <c r="K316" s="226"/>
      <c r="L316" s="33" t="str">
        <f t="shared" si="10"/>
        <v/>
      </c>
      <c r="M316" s="13" t="str">
        <f t="shared" si="11"/>
        <v/>
      </c>
    </row>
    <row r="317" spans="2:13" x14ac:dyDescent="0.35">
      <c r="B317" s="10">
        <v>319</v>
      </c>
      <c r="C317" s="10"/>
      <c r="D317" s="38"/>
      <c r="E317" s="38"/>
      <c r="F317" s="39"/>
      <c r="G317" s="196"/>
      <c r="H317" s="12"/>
      <c r="I317" s="103"/>
      <c r="J317" s="227"/>
      <c r="K317" s="226"/>
      <c r="L317" s="33" t="str">
        <f t="shared" si="10"/>
        <v/>
      </c>
      <c r="M317" s="13" t="str">
        <f t="shared" si="11"/>
        <v/>
      </c>
    </row>
    <row r="318" spans="2:13" x14ac:dyDescent="0.35">
      <c r="B318" s="10">
        <v>320</v>
      </c>
      <c r="C318" s="10"/>
      <c r="D318" s="38"/>
      <c r="E318" s="38"/>
      <c r="F318" s="39"/>
      <c r="G318" s="196"/>
      <c r="H318" s="12"/>
      <c r="I318" s="103"/>
      <c r="J318" s="227"/>
      <c r="K318" s="226"/>
      <c r="L318" s="33" t="str">
        <f t="shared" si="10"/>
        <v/>
      </c>
      <c r="M318" s="13" t="str">
        <f t="shared" si="11"/>
        <v/>
      </c>
    </row>
    <row r="319" spans="2:13" x14ac:dyDescent="0.35">
      <c r="B319" s="10">
        <v>321</v>
      </c>
      <c r="C319" s="10"/>
      <c r="D319" s="38"/>
      <c r="E319" s="38"/>
      <c r="F319" s="39"/>
      <c r="G319" s="196"/>
      <c r="H319" s="12"/>
      <c r="I319" s="103"/>
      <c r="J319" s="227"/>
      <c r="K319" s="226"/>
      <c r="L319" s="33" t="str">
        <f t="shared" si="10"/>
        <v/>
      </c>
      <c r="M319" s="13" t="str">
        <f t="shared" si="11"/>
        <v/>
      </c>
    </row>
    <row r="320" spans="2:13" x14ac:dyDescent="0.35">
      <c r="B320" s="10">
        <v>322</v>
      </c>
      <c r="C320" s="10"/>
      <c r="D320" s="38"/>
      <c r="E320" s="38"/>
      <c r="F320" s="39"/>
      <c r="G320" s="196"/>
      <c r="H320" s="12"/>
      <c r="I320" s="103"/>
      <c r="J320" s="227"/>
      <c r="K320" s="226"/>
      <c r="L320" s="33" t="str">
        <f t="shared" si="10"/>
        <v/>
      </c>
      <c r="M320" s="13" t="str">
        <f t="shared" si="11"/>
        <v/>
      </c>
    </row>
    <row r="321" spans="2:13" x14ac:dyDescent="0.35">
      <c r="B321" s="10">
        <v>323</v>
      </c>
      <c r="C321" s="10"/>
      <c r="D321" s="38"/>
      <c r="E321" s="38"/>
      <c r="F321" s="39"/>
      <c r="G321" s="196"/>
      <c r="H321" s="12"/>
      <c r="I321" s="103"/>
      <c r="J321" s="227"/>
      <c r="K321" s="226"/>
      <c r="L321" s="33" t="str">
        <f t="shared" ref="L321:L384" si="12">IF(OR(J321="", K321=""), "", NETWORKDAYS(J321,K321))</f>
        <v/>
      </c>
      <c r="M321" s="13" t="str">
        <f t="shared" ref="M321:M384" si="13">IF(I321="SEA", 10, IF(I321="AIR", 5, ""))</f>
        <v/>
      </c>
    </row>
    <row r="322" spans="2:13" x14ac:dyDescent="0.35">
      <c r="B322" s="10">
        <v>324</v>
      </c>
      <c r="C322" s="10"/>
      <c r="D322" s="38"/>
      <c r="E322" s="38"/>
      <c r="F322" s="39"/>
      <c r="G322" s="196"/>
      <c r="H322" s="12"/>
      <c r="I322" s="103"/>
      <c r="J322" s="227"/>
      <c r="K322" s="226"/>
      <c r="L322" s="33" t="str">
        <f t="shared" si="12"/>
        <v/>
      </c>
      <c r="M322" s="13" t="str">
        <f t="shared" si="13"/>
        <v/>
      </c>
    </row>
    <row r="323" spans="2:13" x14ac:dyDescent="0.35">
      <c r="B323" s="10">
        <v>325</v>
      </c>
      <c r="C323" s="10"/>
      <c r="D323" s="38"/>
      <c r="E323" s="38"/>
      <c r="F323" s="39"/>
      <c r="G323" s="196"/>
      <c r="H323" s="12"/>
      <c r="I323" s="103"/>
      <c r="J323" s="227"/>
      <c r="K323" s="226"/>
      <c r="L323" s="33" t="str">
        <f t="shared" si="12"/>
        <v/>
      </c>
      <c r="M323" s="13" t="str">
        <f t="shared" si="13"/>
        <v/>
      </c>
    </row>
    <row r="324" spans="2:13" x14ac:dyDescent="0.35">
      <c r="B324" s="10">
        <v>326</v>
      </c>
      <c r="C324" s="10"/>
      <c r="D324" s="38"/>
      <c r="E324" s="38"/>
      <c r="F324" s="39"/>
      <c r="G324" s="196"/>
      <c r="H324" s="12"/>
      <c r="I324" s="103"/>
      <c r="J324" s="227"/>
      <c r="K324" s="226"/>
      <c r="L324" s="33" t="str">
        <f t="shared" si="12"/>
        <v/>
      </c>
      <c r="M324" s="13" t="str">
        <f t="shared" si="13"/>
        <v/>
      </c>
    </row>
    <row r="325" spans="2:13" x14ac:dyDescent="0.35">
      <c r="B325" s="10">
        <v>327</v>
      </c>
      <c r="C325" s="10"/>
      <c r="D325" s="38"/>
      <c r="E325" s="38"/>
      <c r="F325" s="39"/>
      <c r="G325" s="196"/>
      <c r="H325" s="12"/>
      <c r="I325" s="103"/>
      <c r="J325" s="227"/>
      <c r="K325" s="226"/>
      <c r="L325" s="33" t="str">
        <f t="shared" si="12"/>
        <v/>
      </c>
      <c r="M325" s="13" t="str">
        <f t="shared" si="13"/>
        <v/>
      </c>
    </row>
    <row r="326" spans="2:13" x14ac:dyDescent="0.35">
      <c r="B326" s="10">
        <v>328</v>
      </c>
      <c r="C326" s="10"/>
      <c r="D326" s="38"/>
      <c r="E326" s="38"/>
      <c r="F326" s="39"/>
      <c r="G326" s="196"/>
      <c r="H326" s="12"/>
      <c r="I326" s="103"/>
      <c r="J326" s="227"/>
      <c r="K326" s="226"/>
      <c r="L326" s="33" t="str">
        <f t="shared" si="12"/>
        <v/>
      </c>
      <c r="M326" s="13" t="str">
        <f t="shared" si="13"/>
        <v/>
      </c>
    </row>
    <row r="327" spans="2:13" x14ac:dyDescent="0.35">
      <c r="B327" s="10">
        <v>329</v>
      </c>
      <c r="C327" s="10"/>
      <c r="D327" s="38"/>
      <c r="E327" s="38"/>
      <c r="F327" s="39"/>
      <c r="G327" s="196"/>
      <c r="H327" s="12"/>
      <c r="I327" s="103"/>
      <c r="J327" s="227"/>
      <c r="K327" s="226"/>
      <c r="L327" s="33" t="str">
        <f t="shared" si="12"/>
        <v/>
      </c>
      <c r="M327" s="13" t="str">
        <f t="shared" si="13"/>
        <v/>
      </c>
    </row>
    <row r="328" spans="2:13" x14ac:dyDescent="0.35">
      <c r="B328" s="10">
        <v>330</v>
      </c>
      <c r="C328" s="10"/>
      <c r="D328" s="38"/>
      <c r="E328" s="38"/>
      <c r="F328" s="39"/>
      <c r="G328" s="196"/>
      <c r="H328" s="12"/>
      <c r="I328" s="103"/>
      <c r="J328" s="227"/>
      <c r="K328" s="226"/>
      <c r="L328" s="33" t="str">
        <f t="shared" si="12"/>
        <v/>
      </c>
      <c r="M328" s="13" t="str">
        <f t="shared" si="13"/>
        <v/>
      </c>
    </row>
    <row r="329" spans="2:13" x14ac:dyDescent="0.35">
      <c r="B329" s="10">
        <v>331</v>
      </c>
      <c r="C329" s="10"/>
      <c r="D329" s="38"/>
      <c r="E329" s="38"/>
      <c r="F329" s="39"/>
      <c r="G329" s="196"/>
      <c r="H329" s="12"/>
      <c r="I329" s="103"/>
      <c r="J329" s="227"/>
      <c r="K329" s="226"/>
      <c r="L329" s="33" t="str">
        <f t="shared" si="12"/>
        <v/>
      </c>
      <c r="M329" s="13" t="str">
        <f t="shared" si="13"/>
        <v/>
      </c>
    </row>
    <row r="330" spans="2:13" x14ac:dyDescent="0.35">
      <c r="B330" s="10">
        <v>332</v>
      </c>
      <c r="C330" s="10"/>
      <c r="D330" s="38"/>
      <c r="E330" s="38"/>
      <c r="F330" s="39"/>
      <c r="G330" s="196"/>
      <c r="H330" s="12"/>
      <c r="I330" s="103"/>
      <c r="J330" s="227"/>
      <c r="K330" s="226"/>
      <c r="L330" s="33" t="str">
        <f t="shared" si="12"/>
        <v/>
      </c>
      <c r="M330" s="13" t="str">
        <f t="shared" si="13"/>
        <v/>
      </c>
    </row>
    <row r="331" spans="2:13" x14ac:dyDescent="0.35">
      <c r="B331" s="10">
        <v>333</v>
      </c>
      <c r="C331" s="10"/>
      <c r="D331" s="38"/>
      <c r="E331" s="38"/>
      <c r="F331" s="39"/>
      <c r="G331" s="196"/>
      <c r="H331" s="12"/>
      <c r="I331" s="103"/>
      <c r="J331" s="227"/>
      <c r="K331" s="226"/>
      <c r="L331" s="33" t="str">
        <f t="shared" si="12"/>
        <v/>
      </c>
      <c r="M331" s="13" t="str">
        <f t="shared" si="13"/>
        <v/>
      </c>
    </row>
    <row r="332" spans="2:13" x14ac:dyDescent="0.35">
      <c r="B332" s="10">
        <v>334</v>
      </c>
      <c r="C332" s="10"/>
      <c r="D332" s="38"/>
      <c r="E332" s="38"/>
      <c r="F332" s="39"/>
      <c r="G332" s="196"/>
      <c r="H332" s="12"/>
      <c r="I332" s="103"/>
      <c r="J332" s="227"/>
      <c r="K332" s="226"/>
      <c r="L332" s="33" t="str">
        <f t="shared" si="12"/>
        <v/>
      </c>
      <c r="M332" s="13" t="str">
        <f t="shared" si="13"/>
        <v/>
      </c>
    </row>
    <row r="333" spans="2:13" x14ac:dyDescent="0.35">
      <c r="B333" s="10">
        <v>335</v>
      </c>
      <c r="C333" s="10"/>
      <c r="D333" s="38"/>
      <c r="E333" s="38"/>
      <c r="F333" s="39"/>
      <c r="G333" s="196"/>
      <c r="H333" s="12"/>
      <c r="I333" s="103"/>
      <c r="J333" s="227"/>
      <c r="K333" s="226"/>
      <c r="L333" s="33" t="str">
        <f t="shared" si="12"/>
        <v/>
      </c>
      <c r="M333" s="13" t="str">
        <f t="shared" si="13"/>
        <v/>
      </c>
    </row>
    <row r="334" spans="2:13" x14ac:dyDescent="0.35">
      <c r="B334" s="10">
        <v>336</v>
      </c>
      <c r="C334" s="10"/>
      <c r="D334" s="38"/>
      <c r="E334" s="38"/>
      <c r="F334" s="39"/>
      <c r="G334" s="196"/>
      <c r="H334" s="12"/>
      <c r="I334" s="103"/>
      <c r="J334" s="227"/>
      <c r="K334" s="226"/>
      <c r="L334" s="33" t="str">
        <f t="shared" si="12"/>
        <v/>
      </c>
      <c r="M334" s="13" t="str">
        <f t="shared" si="13"/>
        <v/>
      </c>
    </row>
    <row r="335" spans="2:13" x14ac:dyDescent="0.35">
      <c r="B335" s="10">
        <v>337</v>
      </c>
      <c r="C335" s="10"/>
      <c r="D335" s="38"/>
      <c r="E335" s="38"/>
      <c r="F335" s="39"/>
      <c r="G335" s="196"/>
      <c r="H335" s="12"/>
      <c r="I335" s="103"/>
      <c r="J335" s="227"/>
      <c r="K335" s="226"/>
      <c r="L335" s="33" t="str">
        <f t="shared" si="12"/>
        <v/>
      </c>
      <c r="M335" s="13" t="str">
        <f t="shared" si="13"/>
        <v/>
      </c>
    </row>
    <row r="336" spans="2:13" x14ac:dyDescent="0.35">
      <c r="B336" s="10">
        <v>338</v>
      </c>
      <c r="C336" s="10"/>
      <c r="D336" s="38"/>
      <c r="E336" s="38"/>
      <c r="F336" s="39"/>
      <c r="G336" s="196"/>
      <c r="H336" s="12"/>
      <c r="I336" s="103"/>
      <c r="J336" s="227"/>
      <c r="K336" s="226"/>
      <c r="L336" s="33" t="str">
        <f t="shared" si="12"/>
        <v/>
      </c>
      <c r="M336" s="13" t="str">
        <f t="shared" si="13"/>
        <v/>
      </c>
    </row>
    <row r="337" spans="2:13" x14ac:dyDescent="0.35">
      <c r="B337" s="10">
        <v>339</v>
      </c>
      <c r="C337" s="10"/>
      <c r="D337" s="38"/>
      <c r="E337" s="38"/>
      <c r="F337" s="39"/>
      <c r="G337" s="196"/>
      <c r="H337" s="12"/>
      <c r="I337" s="103"/>
      <c r="J337" s="227"/>
      <c r="K337" s="226"/>
      <c r="L337" s="33" t="str">
        <f t="shared" si="12"/>
        <v/>
      </c>
      <c r="M337" s="13" t="str">
        <f t="shared" si="13"/>
        <v/>
      </c>
    </row>
    <row r="338" spans="2:13" x14ac:dyDescent="0.35">
      <c r="B338" s="10">
        <v>340</v>
      </c>
      <c r="C338" s="10"/>
      <c r="D338" s="38"/>
      <c r="E338" s="38"/>
      <c r="F338" s="39"/>
      <c r="G338" s="196"/>
      <c r="H338" s="12"/>
      <c r="I338" s="103"/>
      <c r="J338" s="227"/>
      <c r="K338" s="226"/>
      <c r="L338" s="33" t="str">
        <f t="shared" si="12"/>
        <v/>
      </c>
      <c r="M338" s="13" t="str">
        <f t="shared" si="13"/>
        <v/>
      </c>
    </row>
    <row r="339" spans="2:13" x14ac:dyDescent="0.35">
      <c r="B339" s="10">
        <v>341</v>
      </c>
      <c r="C339" s="10"/>
      <c r="D339" s="38"/>
      <c r="E339" s="38"/>
      <c r="F339" s="39"/>
      <c r="G339" s="196"/>
      <c r="H339" s="12"/>
      <c r="I339" s="103"/>
      <c r="J339" s="227"/>
      <c r="K339" s="226"/>
      <c r="L339" s="33" t="str">
        <f t="shared" si="12"/>
        <v/>
      </c>
      <c r="M339" s="13" t="str">
        <f t="shared" si="13"/>
        <v/>
      </c>
    </row>
    <row r="340" spans="2:13" x14ac:dyDescent="0.35">
      <c r="B340" s="10">
        <v>342</v>
      </c>
      <c r="C340" s="10"/>
      <c r="D340" s="38"/>
      <c r="E340" s="38"/>
      <c r="F340" s="39"/>
      <c r="G340" s="196"/>
      <c r="H340" s="12"/>
      <c r="I340" s="103"/>
      <c r="J340" s="227"/>
      <c r="K340" s="226"/>
      <c r="L340" s="33" t="str">
        <f t="shared" si="12"/>
        <v/>
      </c>
      <c r="M340" s="13" t="str">
        <f t="shared" si="13"/>
        <v/>
      </c>
    </row>
    <row r="341" spans="2:13" x14ac:dyDescent="0.35">
      <c r="B341" s="10">
        <v>343</v>
      </c>
      <c r="C341" s="10"/>
      <c r="D341" s="38"/>
      <c r="E341" s="38"/>
      <c r="F341" s="39"/>
      <c r="G341" s="196"/>
      <c r="H341" s="12"/>
      <c r="I341" s="103"/>
      <c r="J341" s="227"/>
      <c r="K341" s="226"/>
      <c r="L341" s="33" t="str">
        <f t="shared" si="12"/>
        <v/>
      </c>
      <c r="M341" s="13" t="str">
        <f t="shared" si="13"/>
        <v/>
      </c>
    </row>
    <row r="342" spans="2:13" x14ac:dyDescent="0.35">
      <c r="B342" s="10">
        <v>344</v>
      </c>
      <c r="C342" s="10"/>
      <c r="D342" s="38"/>
      <c r="E342" s="38"/>
      <c r="F342" s="39"/>
      <c r="G342" s="196"/>
      <c r="H342" s="12"/>
      <c r="I342" s="103"/>
      <c r="J342" s="227"/>
      <c r="K342" s="226"/>
      <c r="L342" s="33" t="str">
        <f t="shared" si="12"/>
        <v/>
      </c>
      <c r="M342" s="13" t="str">
        <f t="shared" si="13"/>
        <v/>
      </c>
    </row>
    <row r="343" spans="2:13" x14ac:dyDescent="0.35">
      <c r="B343" s="10">
        <v>345</v>
      </c>
      <c r="C343" s="10"/>
      <c r="D343" s="38"/>
      <c r="E343" s="38"/>
      <c r="F343" s="39"/>
      <c r="G343" s="196"/>
      <c r="H343" s="12"/>
      <c r="I343" s="103"/>
      <c r="J343" s="227"/>
      <c r="K343" s="226"/>
      <c r="L343" s="33" t="str">
        <f t="shared" si="12"/>
        <v/>
      </c>
      <c r="M343" s="13" t="str">
        <f t="shared" si="13"/>
        <v/>
      </c>
    </row>
    <row r="344" spans="2:13" x14ac:dyDescent="0.35">
      <c r="B344" s="10">
        <v>346</v>
      </c>
      <c r="C344" s="10"/>
      <c r="D344" s="38"/>
      <c r="E344" s="38"/>
      <c r="F344" s="39"/>
      <c r="G344" s="196"/>
      <c r="H344" s="12"/>
      <c r="I344" s="103"/>
      <c r="J344" s="227"/>
      <c r="K344" s="226"/>
      <c r="L344" s="33" t="str">
        <f t="shared" si="12"/>
        <v/>
      </c>
      <c r="M344" s="13" t="str">
        <f t="shared" si="13"/>
        <v/>
      </c>
    </row>
    <row r="345" spans="2:13" x14ac:dyDescent="0.35">
      <c r="B345" s="10">
        <v>347</v>
      </c>
      <c r="C345" s="10"/>
      <c r="D345" s="38"/>
      <c r="E345" s="38"/>
      <c r="F345" s="39"/>
      <c r="G345" s="196"/>
      <c r="H345" s="12"/>
      <c r="I345" s="103"/>
      <c r="J345" s="227"/>
      <c r="K345" s="226"/>
      <c r="L345" s="33" t="str">
        <f t="shared" si="12"/>
        <v/>
      </c>
      <c r="M345" s="13" t="str">
        <f t="shared" si="13"/>
        <v/>
      </c>
    </row>
    <row r="346" spans="2:13" x14ac:dyDescent="0.35">
      <c r="B346" s="10">
        <v>348</v>
      </c>
      <c r="C346" s="10"/>
      <c r="D346" s="38"/>
      <c r="E346" s="38"/>
      <c r="F346" s="39"/>
      <c r="G346" s="196"/>
      <c r="H346" s="12"/>
      <c r="I346" s="103"/>
      <c r="J346" s="227"/>
      <c r="K346" s="226"/>
      <c r="L346" s="33" t="str">
        <f t="shared" si="12"/>
        <v/>
      </c>
      <c r="M346" s="13" t="str">
        <f t="shared" si="13"/>
        <v/>
      </c>
    </row>
    <row r="347" spans="2:13" x14ac:dyDescent="0.35">
      <c r="B347" s="10">
        <v>349</v>
      </c>
      <c r="C347" s="10"/>
      <c r="D347" s="38"/>
      <c r="E347" s="38"/>
      <c r="F347" s="39"/>
      <c r="G347" s="196"/>
      <c r="H347" s="12"/>
      <c r="I347" s="103"/>
      <c r="J347" s="227"/>
      <c r="K347" s="226"/>
      <c r="L347" s="33" t="str">
        <f t="shared" si="12"/>
        <v/>
      </c>
      <c r="M347" s="13" t="str">
        <f t="shared" si="13"/>
        <v/>
      </c>
    </row>
    <row r="348" spans="2:13" x14ac:dyDescent="0.35">
      <c r="B348" s="10">
        <v>350</v>
      </c>
      <c r="C348" s="10"/>
      <c r="D348" s="38"/>
      <c r="E348" s="38"/>
      <c r="F348" s="39"/>
      <c r="G348" s="196"/>
      <c r="H348" s="12"/>
      <c r="I348" s="103"/>
      <c r="J348" s="227"/>
      <c r="K348" s="226"/>
      <c r="L348" s="33" t="str">
        <f t="shared" si="12"/>
        <v/>
      </c>
      <c r="M348" s="13" t="str">
        <f t="shared" si="13"/>
        <v/>
      </c>
    </row>
    <row r="349" spans="2:13" x14ac:dyDescent="0.35">
      <c r="B349" s="10">
        <v>351</v>
      </c>
      <c r="C349" s="10"/>
      <c r="D349" s="38"/>
      <c r="E349" s="38"/>
      <c r="F349" s="39"/>
      <c r="G349" s="196"/>
      <c r="H349" s="12"/>
      <c r="I349" s="103"/>
      <c r="J349" s="227"/>
      <c r="K349" s="226"/>
      <c r="L349" s="33" t="str">
        <f t="shared" si="12"/>
        <v/>
      </c>
      <c r="M349" s="13" t="str">
        <f t="shared" si="13"/>
        <v/>
      </c>
    </row>
    <row r="350" spans="2:13" x14ac:dyDescent="0.35">
      <c r="B350" s="10">
        <v>352</v>
      </c>
      <c r="C350" s="10"/>
      <c r="D350" s="38"/>
      <c r="E350" s="38"/>
      <c r="F350" s="39"/>
      <c r="G350" s="196"/>
      <c r="H350" s="12"/>
      <c r="I350" s="103"/>
      <c r="J350" s="227"/>
      <c r="K350" s="226"/>
      <c r="L350" s="33" t="str">
        <f t="shared" si="12"/>
        <v/>
      </c>
      <c r="M350" s="13" t="str">
        <f t="shared" si="13"/>
        <v/>
      </c>
    </row>
    <row r="351" spans="2:13" x14ac:dyDescent="0.35">
      <c r="B351" s="10">
        <v>353</v>
      </c>
      <c r="C351" s="10"/>
      <c r="D351" s="38"/>
      <c r="E351" s="38"/>
      <c r="F351" s="39"/>
      <c r="G351" s="196"/>
      <c r="H351" s="12"/>
      <c r="I351" s="103"/>
      <c r="J351" s="227"/>
      <c r="K351" s="226"/>
      <c r="L351" s="33" t="str">
        <f t="shared" si="12"/>
        <v/>
      </c>
      <c r="M351" s="13" t="str">
        <f t="shared" si="13"/>
        <v/>
      </c>
    </row>
    <row r="352" spans="2:13" x14ac:dyDescent="0.35">
      <c r="B352" s="10">
        <v>354</v>
      </c>
      <c r="C352" s="10"/>
      <c r="D352" s="38"/>
      <c r="E352" s="38"/>
      <c r="F352" s="39"/>
      <c r="G352" s="196"/>
      <c r="H352" s="12"/>
      <c r="I352" s="103"/>
      <c r="J352" s="227"/>
      <c r="K352" s="226"/>
      <c r="L352" s="33" t="str">
        <f t="shared" si="12"/>
        <v/>
      </c>
      <c r="M352" s="13" t="str">
        <f t="shared" si="13"/>
        <v/>
      </c>
    </row>
    <row r="353" spans="2:13" x14ac:dyDescent="0.35">
      <c r="B353" s="10">
        <v>355</v>
      </c>
      <c r="C353" s="10"/>
      <c r="D353" s="38"/>
      <c r="E353" s="38"/>
      <c r="F353" s="39"/>
      <c r="G353" s="196"/>
      <c r="H353" s="12"/>
      <c r="I353" s="103"/>
      <c r="J353" s="227"/>
      <c r="K353" s="226"/>
      <c r="L353" s="33" t="str">
        <f t="shared" si="12"/>
        <v/>
      </c>
      <c r="M353" s="13" t="str">
        <f t="shared" si="13"/>
        <v/>
      </c>
    </row>
    <row r="354" spans="2:13" x14ac:dyDescent="0.35">
      <c r="B354" s="10">
        <v>356</v>
      </c>
      <c r="C354" s="10"/>
      <c r="D354" s="38"/>
      <c r="E354" s="38"/>
      <c r="F354" s="39"/>
      <c r="G354" s="196"/>
      <c r="H354" s="12"/>
      <c r="I354" s="103"/>
      <c r="J354" s="227"/>
      <c r="K354" s="226"/>
      <c r="L354" s="33" t="str">
        <f t="shared" si="12"/>
        <v/>
      </c>
      <c r="M354" s="13" t="str">
        <f t="shared" si="13"/>
        <v/>
      </c>
    </row>
    <row r="355" spans="2:13" x14ac:dyDescent="0.35">
      <c r="B355" s="10">
        <v>357</v>
      </c>
      <c r="C355" s="10"/>
      <c r="D355" s="38"/>
      <c r="E355" s="38"/>
      <c r="F355" s="39"/>
      <c r="G355" s="196"/>
      <c r="H355" s="12"/>
      <c r="I355" s="103"/>
      <c r="J355" s="227"/>
      <c r="K355" s="226"/>
      <c r="L355" s="33" t="str">
        <f t="shared" si="12"/>
        <v/>
      </c>
      <c r="M355" s="13" t="str">
        <f t="shared" si="13"/>
        <v/>
      </c>
    </row>
    <row r="356" spans="2:13" x14ac:dyDescent="0.35">
      <c r="B356" s="10">
        <v>358</v>
      </c>
      <c r="C356" s="10"/>
      <c r="D356" s="38"/>
      <c r="E356" s="38"/>
      <c r="F356" s="39"/>
      <c r="G356" s="196"/>
      <c r="H356" s="12"/>
      <c r="I356" s="103"/>
      <c r="J356" s="227"/>
      <c r="K356" s="226"/>
      <c r="L356" s="33" t="str">
        <f t="shared" si="12"/>
        <v/>
      </c>
      <c r="M356" s="13" t="str">
        <f t="shared" si="13"/>
        <v/>
      </c>
    </row>
    <row r="357" spans="2:13" x14ac:dyDescent="0.35">
      <c r="B357" s="10">
        <v>359</v>
      </c>
      <c r="C357" s="10"/>
      <c r="D357" s="38"/>
      <c r="E357" s="38"/>
      <c r="F357" s="39"/>
      <c r="G357" s="196"/>
      <c r="H357" s="12"/>
      <c r="I357" s="103"/>
      <c r="J357" s="227"/>
      <c r="K357" s="226"/>
      <c r="L357" s="33" t="str">
        <f t="shared" si="12"/>
        <v/>
      </c>
      <c r="M357" s="13" t="str">
        <f t="shared" si="13"/>
        <v/>
      </c>
    </row>
    <row r="358" spans="2:13" x14ac:dyDescent="0.35">
      <c r="B358" s="10">
        <v>360</v>
      </c>
      <c r="C358" s="10"/>
      <c r="D358" s="38"/>
      <c r="E358" s="38"/>
      <c r="F358" s="39"/>
      <c r="G358" s="196"/>
      <c r="H358" s="12"/>
      <c r="I358" s="103"/>
      <c r="J358" s="227"/>
      <c r="K358" s="226"/>
      <c r="L358" s="33" t="str">
        <f t="shared" si="12"/>
        <v/>
      </c>
      <c r="M358" s="13" t="str">
        <f t="shared" si="13"/>
        <v/>
      </c>
    </row>
    <row r="359" spans="2:13" x14ac:dyDescent="0.35">
      <c r="B359" s="10">
        <v>361</v>
      </c>
      <c r="C359" s="10"/>
      <c r="D359" s="38"/>
      <c r="E359" s="38"/>
      <c r="F359" s="39"/>
      <c r="G359" s="196"/>
      <c r="H359" s="12"/>
      <c r="I359" s="103"/>
      <c r="J359" s="227"/>
      <c r="K359" s="226"/>
      <c r="L359" s="33" t="str">
        <f t="shared" si="12"/>
        <v/>
      </c>
      <c r="M359" s="13" t="str">
        <f t="shared" si="13"/>
        <v/>
      </c>
    </row>
    <row r="360" spans="2:13" x14ac:dyDescent="0.35">
      <c r="B360" s="10">
        <v>362</v>
      </c>
      <c r="C360" s="10"/>
      <c r="D360" s="38"/>
      <c r="E360" s="38"/>
      <c r="F360" s="39"/>
      <c r="G360" s="196"/>
      <c r="H360" s="12"/>
      <c r="I360" s="103"/>
      <c r="J360" s="227"/>
      <c r="K360" s="226"/>
      <c r="L360" s="33" t="str">
        <f t="shared" si="12"/>
        <v/>
      </c>
      <c r="M360" s="13" t="str">
        <f t="shared" si="13"/>
        <v/>
      </c>
    </row>
    <row r="361" spans="2:13" x14ac:dyDescent="0.35">
      <c r="B361" s="10">
        <v>363</v>
      </c>
      <c r="C361" s="10"/>
      <c r="D361" s="38"/>
      <c r="E361" s="38"/>
      <c r="F361" s="39"/>
      <c r="G361" s="196"/>
      <c r="H361" s="12"/>
      <c r="I361" s="103"/>
      <c r="J361" s="227"/>
      <c r="K361" s="226"/>
      <c r="L361" s="33" t="str">
        <f t="shared" si="12"/>
        <v/>
      </c>
      <c r="M361" s="13" t="str">
        <f t="shared" si="13"/>
        <v/>
      </c>
    </row>
    <row r="362" spans="2:13" x14ac:dyDescent="0.35">
      <c r="B362" s="10">
        <v>364</v>
      </c>
      <c r="C362" s="10"/>
      <c r="D362" s="38"/>
      <c r="E362" s="38"/>
      <c r="F362" s="39"/>
      <c r="G362" s="196"/>
      <c r="H362" s="12"/>
      <c r="I362" s="103"/>
      <c r="J362" s="227"/>
      <c r="K362" s="226"/>
      <c r="L362" s="33" t="str">
        <f t="shared" si="12"/>
        <v/>
      </c>
      <c r="M362" s="13" t="str">
        <f t="shared" si="13"/>
        <v/>
      </c>
    </row>
    <row r="363" spans="2:13" x14ac:dyDescent="0.35">
      <c r="B363" s="10">
        <v>365</v>
      </c>
      <c r="C363" s="10"/>
      <c r="D363" s="38"/>
      <c r="E363" s="38"/>
      <c r="F363" s="39"/>
      <c r="G363" s="196"/>
      <c r="H363" s="12"/>
      <c r="I363" s="103"/>
      <c r="J363" s="227"/>
      <c r="K363" s="226"/>
      <c r="L363" s="33" t="str">
        <f t="shared" si="12"/>
        <v/>
      </c>
      <c r="M363" s="13" t="str">
        <f t="shared" si="13"/>
        <v/>
      </c>
    </row>
    <row r="364" spans="2:13" x14ac:dyDescent="0.35">
      <c r="B364" s="10">
        <v>366</v>
      </c>
      <c r="C364" s="10"/>
      <c r="D364" s="38"/>
      <c r="E364" s="38"/>
      <c r="F364" s="39"/>
      <c r="G364" s="196"/>
      <c r="H364" s="12"/>
      <c r="I364" s="103"/>
      <c r="J364" s="227"/>
      <c r="K364" s="226"/>
      <c r="L364" s="33" t="str">
        <f t="shared" si="12"/>
        <v/>
      </c>
      <c r="M364" s="13" t="str">
        <f t="shared" si="13"/>
        <v/>
      </c>
    </row>
    <row r="365" spans="2:13" x14ac:dyDescent="0.35">
      <c r="B365" s="10">
        <v>367</v>
      </c>
      <c r="C365" s="10"/>
      <c r="D365" s="38"/>
      <c r="E365" s="38"/>
      <c r="F365" s="39"/>
      <c r="G365" s="196"/>
      <c r="H365" s="12"/>
      <c r="I365" s="103"/>
      <c r="J365" s="227"/>
      <c r="K365" s="226"/>
      <c r="L365" s="33" t="str">
        <f t="shared" si="12"/>
        <v/>
      </c>
      <c r="M365" s="13" t="str">
        <f t="shared" si="13"/>
        <v/>
      </c>
    </row>
    <row r="366" spans="2:13" x14ac:dyDescent="0.35">
      <c r="B366" s="10">
        <v>368</v>
      </c>
      <c r="C366" s="10"/>
      <c r="D366" s="38"/>
      <c r="E366" s="38"/>
      <c r="F366" s="39"/>
      <c r="G366" s="196"/>
      <c r="H366" s="12"/>
      <c r="I366" s="103"/>
      <c r="J366" s="227"/>
      <c r="K366" s="226"/>
      <c r="L366" s="33" t="str">
        <f t="shared" si="12"/>
        <v/>
      </c>
      <c r="M366" s="13" t="str">
        <f t="shared" si="13"/>
        <v/>
      </c>
    </row>
    <row r="367" spans="2:13" x14ac:dyDescent="0.35">
      <c r="B367" s="10">
        <v>369</v>
      </c>
      <c r="C367" s="10"/>
      <c r="D367" s="38"/>
      <c r="E367" s="38"/>
      <c r="F367" s="39"/>
      <c r="G367" s="196"/>
      <c r="H367" s="12"/>
      <c r="I367" s="103"/>
      <c r="J367" s="227"/>
      <c r="K367" s="226"/>
      <c r="L367" s="33" t="str">
        <f t="shared" si="12"/>
        <v/>
      </c>
      <c r="M367" s="13" t="str">
        <f t="shared" si="13"/>
        <v/>
      </c>
    </row>
    <row r="368" spans="2:13" x14ac:dyDescent="0.35">
      <c r="B368" s="10">
        <v>370</v>
      </c>
      <c r="C368" s="10"/>
      <c r="D368" s="38"/>
      <c r="E368" s="38"/>
      <c r="F368" s="39"/>
      <c r="G368" s="196"/>
      <c r="H368" s="12"/>
      <c r="I368" s="103"/>
      <c r="J368" s="227"/>
      <c r="K368" s="226"/>
      <c r="L368" s="33" t="str">
        <f t="shared" si="12"/>
        <v/>
      </c>
      <c r="M368" s="13" t="str">
        <f t="shared" si="13"/>
        <v/>
      </c>
    </row>
    <row r="369" spans="2:13" x14ac:dyDescent="0.35">
      <c r="B369" s="10">
        <v>371</v>
      </c>
      <c r="C369" s="10"/>
      <c r="D369" s="38"/>
      <c r="E369" s="38"/>
      <c r="F369" s="39"/>
      <c r="G369" s="196"/>
      <c r="H369" s="12"/>
      <c r="I369" s="103"/>
      <c r="J369" s="227"/>
      <c r="K369" s="226"/>
      <c r="L369" s="33" t="str">
        <f t="shared" si="12"/>
        <v/>
      </c>
      <c r="M369" s="13" t="str">
        <f t="shared" si="13"/>
        <v/>
      </c>
    </row>
    <row r="370" spans="2:13" x14ac:dyDescent="0.35">
      <c r="B370" s="10">
        <v>372</v>
      </c>
      <c r="C370" s="10"/>
      <c r="D370" s="38"/>
      <c r="E370" s="38"/>
      <c r="F370" s="39"/>
      <c r="G370" s="196"/>
      <c r="H370" s="12"/>
      <c r="I370" s="103"/>
      <c r="J370" s="227"/>
      <c r="K370" s="226"/>
      <c r="L370" s="33" t="str">
        <f t="shared" si="12"/>
        <v/>
      </c>
      <c r="M370" s="13" t="str">
        <f t="shared" si="13"/>
        <v/>
      </c>
    </row>
    <row r="371" spans="2:13" x14ac:dyDescent="0.35">
      <c r="B371" s="10">
        <v>373</v>
      </c>
      <c r="C371" s="10"/>
      <c r="D371" s="38"/>
      <c r="E371" s="38"/>
      <c r="F371" s="39"/>
      <c r="G371" s="196"/>
      <c r="H371" s="12"/>
      <c r="I371" s="103"/>
      <c r="J371" s="227"/>
      <c r="K371" s="226"/>
      <c r="L371" s="33" t="str">
        <f t="shared" si="12"/>
        <v/>
      </c>
      <c r="M371" s="13" t="str">
        <f t="shared" si="13"/>
        <v/>
      </c>
    </row>
    <row r="372" spans="2:13" x14ac:dyDescent="0.35">
      <c r="B372" s="10">
        <v>374</v>
      </c>
      <c r="C372" s="10"/>
      <c r="D372" s="38"/>
      <c r="E372" s="38"/>
      <c r="F372" s="39"/>
      <c r="G372" s="196"/>
      <c r="H372" s="12"/>
      <c r="I372" s="103"/>
      <c r="J372" s="227"/>
      <c r="K372" s="226"/>
      <c r="L372" s="33" t="str">
        <f t="shared" si="12"/>
        <v/>
      </c>
      <c r="M372" s="13" t="str">
        <f t="shared" si="13"/>
        <v/>
      </c>
    </row>
    <row r="373" spans="2:13" x14ac:dyDescent="0.35">
      <c r="B373" s="10">
        <v>375</v>
      </c>
      <c r="C373" s="10"/>
      <c r="D373" s="38"/>
      <c r="E373" s="38"/>
      <c r="F373" s="39"/>
      <c r="G373" s="196"/>
      <c r="H373" s="12"/>
      <c r="I373" s="103"/>
      <c r="J373" s="227"/>
      <c r="K373" s="226"/>
      <c r="L373" s="33" t="str">
        <f t="shared" si="12"/>
        <v/>
      </c>
      <c r="M373" s="13" t="str">
        <f t="shared" si="13"/>
        <v/>
      </c>
    </row>
    <row r="374" spans="2:13" x14ac:dyDescent="0.35">
      <c r="B374" s="10">
        <v>376</v>
      </c>
      <c r="C374" s="10"/>
      <c r="D374" s="38"/>
      <c r="E374" s="38"/>
      <c r="F374" s="39"/>
      <c r="G374" s="196"/>
      <c r="H374" s="12"/>
      <c r="I374" s="103"/>
      <c r="J374" s="227"/>
      <c r="K374" s="226"/>
      <c r="L374" s="33" t="str">
        <f t="shared" si="12"/>
        <v/>
      </c>
      <c r="M374" s="13" t="str">
        <f t="shared" si="13"/>
        <v/>
      </c>
    </row>
    <row r="375" spans="2:13" x14ac:dyDescent="0.35">
      <c r="B375" s="10">
        <v>377</v>
      </c>
      <c r="C375" s="10"/>
      <c r="D375" s="38"/>
      <c r="E375" s="38"/>
      <c r="F375" s="39"/>
      <c r="G375" s="196"/>
      <c r="H375" s="12"/>
      <c r="I375" s="103"/>
      <c r="J375" s="227"/>
      <c r="K375" s="226"/>
      <c r="L375" s="33" t="str">
        <f t="shared" si="12"/>
        <v/>
      </c>
      <c r="M375" s="13" t="str">
        <f t="shared" si="13"/>
        <v/>
      </c>
    </row>
    <row r="376" spans="2:13" x14ac:dyDescent="0.35">
      <c r="B376" s="10">
        <v>378</v>
      </c>
      <c r="C376" s="10"/>
      <c r="D376" s="38"/>
      <c r="E376" s="38"/>
      <c r="F376" s="39"/>
      <c r="G376" s="196"/>
      <c r="H376" s="12"/>
      <c r="I376" s="103"/>
      <c r="J376" s="227"/>
      <c r="K376" s="226"/>
      <c r="L376" s="33" t="str">
        <f t="shared" si="12"/>
        <v/>
      </c>
      <c r="M376" s="13" t="str">
        <f t="shared" si="13"/>
        <v/>
      </c>
    </row>
    <row r="377" spans="2:13" x14ac:dyDescent="0.35">
      <c r="B377" s="10">
        <v>379</v>
      </c>
      <c r="C377" s="10"/>
      <c r="D377" s="38"/>
      <c r="E377" s="38"/>
      <c r="F377" s="39"/>
      <c r="G377" s="196"/>
      <c r="H377" s="12"/>
      <c r="I377" s="103"/>
      <c r="J377" s="227"/>
      <c r="K377" s="226"/>
      <c r="L377" s="33" t="str">
        <f t="shared" si="12"/>
        <v/>
      </c>
      <c r="M377" s="13" t="str">
        <f t="shared" si="13"/>
        <v/>
      </c>
    </row>
    <row r="378" spans="2:13" x14ac:dyDescent="0.35">
      <c r="B378" s="10">
        <v>380</v>
      </c>
      <c r="C378" s="10"/>
      <c r="D378" s="38"/>
      <c r="E378" s="38"/>
      <c r="F378" s="39"/>
      <c r="G378" s="196"/>
      <c r="H378" s="12"/>
      <c r="I378" s="103"/>
      <c r="J378" s="227"/>
      <c r="K378" s="226"/>
      <c r="L378" s="33" t="str">
        <f t="shared" si="12"/>
        <v/>
      </c>
      <c r="M378" s="13" t="str">
        <f t="shared" si="13"/>
        <v/>
      </c>
    </row>
    <row r="379" spans="2:13" x14ac:dyDescent="0.35">
      <c r="B379" s="10">
        <v>381</v>
      </c>
      <c r="C379" s="10"/>
      <c r="D379" s="38"/>
      <c r="E379" s="38"/>
      <c r="F379" s="39"/>
      <c r="G379" s="196"/>
      <c r="H379" s="12"/>
      <c r="I379" s="103"/>
      <c r="J379" s="227"/>
      <c r="K379" s="226"/>
      <c r="L379" s="33" t="str">
        <f t="shared" si="12"/>
        <v/>
      </c>
      <c r="M379" s="13" t="str">
        <f t="shared" si="13"/>
        <v/>
      </c>
    </row>
    <row r="380" spans="2:13" x14ac:dyDescent="0.35">
      <c r="B380" s="10">
        <v>382</v>
      </c>
      <c r="C380" s="10"/>
      <c r="D380" s="38"/>
      <c r="E380" s="38"/>
      <c r="F380" s="39"/>
      <c r="G380" s="196"/>
      <c r="H380" s="12"/>
      <c r="I380" s="103"/>
      <c r="J380" s="227"/>
      <c r="K380" s="226"/>
      <c r="L380" s="33" t="str">
        <f t="shared" si="12"/>
        <v/>
      </c>
      <c r="M380" s="13" t="str">
        <f t="shared" si="13"/>
        <v/>
      </c>
    </row>
    <row r="381" spans="2:13" x14ac:dyDescent="0.35">
      <c r="B381" s="10">
        <v>383</v>
      </c>
      <c r="C381" s="10"/>
      <c r="D381" s="38"/>
      <c r="E381" s="38"/>
      <c r="F381" s="39"/>
      <c r="G381" s="196"/>
      <c r="H381" s="12"/>
      <c r="I381" s="103"/>
      <c r="J381" s="227"/>
      <c r="K381" s="226"/>
      <c r="L381" s="33" t="str">
        <f t="shared" si="12"/>
        <v/>
      </c>
      <c r="M381" s="13" t="str">
        <f t="shared" si="13"/>
        <v/>
      </c>
    </row>
    <row r="382" spans="2:13" x14ac:dyDescent="0.35">
      <c r="B382" s="10">
        <v>384</v>
      </c>
      <c r="C382" s="10"/>
      <c r="D382" s="38"/>
      <c r="E382" s="38"/>
      <c r="F382" s="39"/>
      <c r="G382" s="196"/>
      <c r="H382" s="12"/>
      <c r="I382" s="103"/>
      <c r="J382" s="227"/>
      <c r="K382" s="226"/>
      <c r="L382" s="33" t="str">
        <f t="shared" si="12"/>
        <v/>
      </c>
      <c r="M382" s="13" t="str">
        <f t="shared" si="13"/>
        <v/>
      </c>
    </row>
    <row r="383" spans="2:13" x14ac:dyDescent="0.35">
      <c r="B383" s="10">
        <v>385</v>
      </c>
      <c r="C383" s="10"/>
      <c r="D383" s="38"/>
      <c r="E383" s="38"/>
      <c r="F383" s="39"/>
      <c r="G383" s="196"/>
      <c r="H383" s="12"/>
      <c r="I383" s="103"/>
      <c r="J383" s="227"/>
      <c r="K383" s="226"/>
      <c r="L383" s="33" t="str">
        <f t="shared" si="12"/>
        <v/>
      </c>
      <c r="M383" s="13" t="str">
        <f t="shared" si="13"/>
        <v/>
      </c>
    </row>
    <row r="384" spans="2:13" x14ac:dyDescent="0.35">
      <c r="B384" s="10">
        <v>386</v>
      </c>
      <c r="C384" s="10"/>
      <c r="D384" s="38"/>
      <c r="E384" s="38"/>
      <c r="F384" s="39"/>
      <c r="G384" s="196"/>
      <c r="H384" s="12"/>
      <c r="I384" s="103"/>
      <c r="J384" s="227"/>
      <c r="K384" s="226"/>
      <c r="L384" s="33" t="str">
        <f t="shared" si="12"/>
        <v/>
      </c>
      <c r="M384" s="13" t="str">
        <f t="shared" si="13"/>
        <v/>
      </c>
    </row>
    <row r="385" spans="2:13" x14ac:dyDescent="0.35">
      <c r="B385" s="10">
        <v>387</v>
      </c>
      <c r="C385" s="10"/>
      <c r="D385" s="38"/>
      <c r="E385" s="38"/>
      <c r="F385" s="39"/>
      <c r="G385" s="196"/>
      <c r="H385" s="12"/>
      <c r="I385" s="103"/>
      <c r="J385" s="227"/>
      <c r="K385" s="226"/>
      <c r="L385" s="33" t="str">
        <f t="shared" ref="L385:L448" si="14">IF(OR(J385="", K385=""), "", NETWORKDAYS(J385,K385))</f>
        <v/>
      </c>
      <c r="M385" s="13" t="str">
        <f t="shared" ref="M385:M448" si="15">IF(I385="SEA", 10, IF(I385="AIR", 5, ""))</f>
        <v/>
      </c>
    </row>
    <row r="386" spans="2:13" x14ac:dyDescent="0.35">
      <c r="B386" s="10">
        <v>388</v>
      </c>
      <c r="C386" s="10"/>
      <c r="D386" s="38"/>
      <c r="E386" s="38"/>
      <c r="F386" s="39"/>
      <c r="G386" s="196"/>
      <c r="H386" s="12"/>
      <c r="I386" s="103"/>
      <c r="J386" s="227"/>
      <c r="K386" s="226"/>
      <c r="L386" s="33" t="str">
        <f t="shared" si="14"/>
        <v/>
      </c>
      <c r="M386" s="13" t="str">
        <f t="shared" si="15"/>
        <v/>
      </c>
    </row>
    <row r="387" spans="2:13" x14ac:dyDescent="0.35">
      <c r="B387" s="10">
        <v>389</v>
      </c>
      <c r="C387" s="10"/>
      <c r="D387" s="38"/>
      <c r="E387" s="38"/>
      <c r="F387" s="39"/>
      <c r="G387" s="196"/>
      <c r="H387" s="12"/>
      <c r="I387" s="103"/>
      <c r="J387" s="227"/>
      <c r="K387" s="226"/>
      <c r="L387" s="33" t="str">
        <f t="shared" si="14"/>
        <v/>
      </c>
      <c r="M387" s="13" t="str">
        <f t="shared" si="15"/>
        <v/>
      </c>
    </row>
    <row r="388" spans="2:13" x14ac:dyDescent="0.35">
      <c r="B388" s="10">
        <v>390</v>
      </c>
      <c r="C388" s="10"/>
      <c r="D388" s="38"/>
      <c r="E388" s="38"/>
      <c r="F388" s="39"/>
      <c r="G388" s="196"/>
      <c r="H388" s="12"/>
      <c r="I388" s="103"/>
      <c r="J388" s="227"/>
      <c r="K388" s="226"/>
      <c r="L388" s="33" t="str">
        <f t="shared" si="14"/>
        <v/>
      </c>
      <c r="M388" s="13" t="str">
        <f t="shared" si="15"/>
        <v/>
      </c>
    </row>
    <row r="389" spans="2:13" x14ac:dyDescent="0.35">
      <c r="B389" s="10">
        <v>391</v>
      </c>
      <c r="C389" s="10"/>
      <c r="D389" s="38"/>
      <c r="E389" s="38"/>
      <c r="F389" s="39"/>
      <c r="G389" s="196"/>
      <c r="H389" s="12"/>
      <c r="I389" s="103"/>
      <c r="J389" s="227"/>
      <c r="K389" s="226"/>
      <c r="L389" s="33" t="str">
        <f t="shared" si="14"/>
        <v/>
      </c>
      <c r="M389" s="13" t="str">
        <f t="shared" si="15"/>
        <v/>
      </c>
    </row>
    <row r="390" spans="2:13" x14ac:dyDescent="0.35">
      <c r="B390" s="10">
        <v>392</v>
      </c>
      <c r="C390" s="10"/>
      <c r="D390" s="38"/>
      <c r="E390" s="38"/>
      <c r="F390" s="39"/>
      <c r="G390" s="196"/>
      <c r="H390" s="12"/>
      <c r="I390" s="103"/>
      <c r="J390" s="227"/>
      <c r="K390" s="226"/>
      <c r="L390" s="33" t="str">
        <f t="shared" si="14"/>
        <v/>
      </c>
      <c r="M390" s="13" t="str">
        <f t="shared" si="15"/>
        <v/>
      </c>
    </row>
    <row r="391" spans="2:13" x14ac:dyDescent="0.35">
      <c r="B391" s="10">
        <v>393</v>
      </c>
      <c r="C391" s="10"/>
      <c r="D391" s="38"/>
      <c r="E391" s="38"/>
      <c r="F391" s="39"/>
      <c r="G391" s="196"/>
      <c r="H391" s="12"/>
      <c r="I391" s="103"/>
      <c r="J391" s="227"/>
      <c r="K391" s="226"/>
      <c r="L391" s="33" t="str">
        <f t="shared" si="14"/>
        <v/>
      </c>
      <c r="M391" s="13" t="str">
        <f t="shared" si="15"/>
        <v/>
      </c>
    </row>
    <row r="392" spans="2:13" x14ac:dyDescent="0.35">
      <c r="B392" s="10">
        <v>394</v>
      </c>
      <c r="C392" s="10"/>
      <c r="D392" s="38"/>
      <c r="E392" s="38"/>
      <c r="F392" s="39"/>
      <c r="G392" s="196"/>
      <c r="H392" s="12"/>
      <c r="I392" s="103"/>
      <c r="J392" s="227"/>
      <c r="K392" s="226"/>
      <c r="L392" s="33" t="str">
        <f t="shared" si="14"/>
        <v/>
      </c>
      <c r="M392" s="13" t="str">
        <f t="shared" si="15"/>
        <v/>
      </c>
    </row>
    <row r="393" spans="2:13" x14ac:dyDescent="0.35">
      <c r="B393" s="10">
        <v>395</v>
      </c>
      <c r="C393" s="10"/>
      <c r="D393" s="38"/>
      <c r="E393" s="38"/>
      <c r="F393" s="39"/>
      <c r="G393" s="196"/>
      <c r="H393" s="12"/>
      <c r="I393" s="103"/>
      <c r="J393" s="227"/>
      <c r="K393" s="226"/>
      <c r="L393" s="33" t="str">
        <f t="shared" si="14"/>
        <v/>
      </c>
      <c r="M393" s="13" t="str">
        <f t="shared" si="15"/>
        <v/>
      </c>
    </row>
    <row r="394" spans="2:13" x14ac:dyDescent="0.35">
      <c r="B394" s="10">
        <v>396</v>
      </c>
      <c r="C394" s="10"/>
      <c r="D394" s="38"/>
      <c r="E394" s="38"/>
      <c r="F394" s="39"/>
      <c r="G394" s="196"/>
      <c r="H394" s="12"/>
      <c r="I394" s="103"/>
      <c r="J394" s="227"/>
      <c r="K394" s="226"/>
      <c r="L394" s="33" t="str">
        <f t="shared" si="14"/>
        <v/>
      </c>
      <c r="M394" s="13" t="str">
        <f t="shared" si="15"/>
        <v/>
      </c>
    </row>
    <row r="395" spans="2:13" x14ac:dyDescent="0.35">
      <c r="B395" s="10">
        <v>397</v>
      </c>
      <c r="C395" s="10"/>
      <c r="D395" s="38"/>
      <c r="E395" s="38"/>
      <c r="F395" s="39"/>
      <c r="G395" s="196"/>
      <c r="H395" s="12"/>
      <c r="I395" s="103"/>
      <c r="J395" s="227"/>
      <c r="K395" s="226"/>
      <c r="L395" s="33" t="str">
        <f t="shared" si="14"/>
        <v/>
      </c>
      <c r="M395" s="13" t="str">
        <f t="shared" si="15"/>
        <v/>
      </c>
    </row>
    <row r="396" spans="2:13" x14ac:dyDescent="0.35">
      <c r="B396" s="10">
        <v>398</v>
      </c>
      <c r="C396" s="10"/>
      <c r="D396" s="38"/>
      <c r="E396" s="38"/>
      <c r="F396" s="39"/>
      <c r="G396" s="196"/>
      <c r="H396" s="12"/>
      <c r="I396" s="103"/>
      <c r="J396" s="227"/>
      <c r="K396" s="226"/>
      <c r="L396" s="33" t="str">
        <f t="shared" si="14"/>
        <v/>
      </c>
      <c r="M396" s="13" t="str">
        <f t="shared" si="15"/>
        <v/>
      </c>
    </row>
    <row r="397" spans="2:13" x14ac:dyDescent="0.35">
      <c r="B397" s="10">
        <v>399</v>
      </c>
      <c r="C397" s="10"/>
      <c r="D397" s="38"/>
      <c r="E397" s="38"/>
      <c r="F397" s="39"/>
      <c r="G397" s="196"/>
      <c r="H397" s="12"/>
      <c r="I397" s="103"/>
      <c r="J397" s="227"/>
      <c r="K397" s="226"/>
      <c r="L397" s="33" t="str">
        <f t="shared" si="14"/>
        <v/>
      </c>
      <c r="M397" s="13" t="str">
        <f t="shared" si="15"/>
        <v/>
      </c>
    </row>
    <row r="398" spans="2:13" x14ac:dyDescent="0.35">
      <c r="B398" s="10">
        <v>400</v>
      </c>
      <c r="C398" s="10"/>
      <c r="D398" s="38"/>
      <c r="E398" s="38"/>
      <c r="F398" s="39"/>
      <c r="G398" s="196"/>
      <c r="H398" s="12"/>
      <c r="I398" s="103"/>
      <c r="J398" s="227"/>
      <c r="K398" s="226"/>
      <c r="L398" s="33" t="str">
        <f t="shared" si="14"/>
        <v/>
      </c>
      <c r="M398" s="13" t="str">
        <f t="shared" si="15"/>
        <v/>
      </c>
    </row>
    <row r="399" spans="2:13" x14ac:dyDescent="0.35">
      <c r="B399" s="10">
        <v>401</v>
      </c>
      <c r="C399" s="10"/>
      <c r="D399" s="38"/>
      <c r="E399" s="38"/>
      <c r="F399" s="39"/>
      <c r="G399" s="196"/>
      <c r="H399" s="12"/>
      <c r="I399" s="103"/>
      <c r="J399" s="227"/>
      <c r="K399" s="226"/>
      <c r="L399" s="33" t="str">
        <f t="shared" si="14"/>
        <v/>
      </c>
      <c r="M399" s="13" t="str">
        <f t="shared" si="15"/>
        <v/>
      </c>
    </row>
    <row r="400" spans="2:13" x14ac:dyDescent="0.35">
      <c r="B400" s="10">
        <v>402</v>
      </c>
      <c r="C400" s="10"/>
      <c r="D400" s="38"/>
      <c r="E400" s="38"/>
      <c r="F400" s="39"/>
      <c r="G400" s="196"/>
      <c r="H400" s="12"/>
      <c r="I400" s="103"/>
      <c r="J400" s="227"/>
      <c r="K400" s="226"/>
      <c r="L400" s="33" t="str">
        <f t="shared" si="14"/>
        <v/>
      </c>
      <c r="M400" s="13" t="str">
        <f t="shared" si="15"/>
        <v/>
      </c>
    </row>
    <row r="401" spans="2:13" x14ac:dyDescent="0.35">
      <c r="B401" s="10">
        <v>403</v>
      </c>
      <c r="C401" s="10"/>
      <c r="D401" s="38"/>
      <c r="E401" s="38"/>
      <c r="F401" s="39"/>
      <c r="G401" s="196"/>
      <c r="H401" s="12"/>
      <c r="I401" s="103"/>
      <c r="J401" s="227"/>
      <c r="K401" s="226"/>
      <c r="L401" s="33" t="str">
        <f t="shared" si="14"/>
        <v/>
      </c>
      <c r="M401" s="13" t="str">
        <f t="shared" si="15"/>
        <v/>
      </c>
    </row>
    <row r="402" spans="2:13" x14ac:dyDescent="0.35">
      <c r="B402" s="10">
        <v>404</v>
      </c>
      <c r="C402" s="10"/>
      <c r="D402" s="38"/>
      <c r="E402" s="38"/>
      <c r="F402" s="39"/>
      <c r="G402" s="196"/>
      <c r="H402" s="12"/>
      <c r="I402" s="103"/>
      <c r="J402" s="227"/>
      <c r="K402" s="226"/>
      <c r="L402" s="33" t="str">
        <f t="shared" si="14"/>
        <v/>
      </c>
      <c r="M402" s="13" t="str">
        <f t="shared" si="15"/>
        <v/>
      </c>
    </row>
    <row r="403" spans="2:13" x14ac:dyDescent="0.35">
      <c r="B403" s="10">
        <v>405</v>
      </c>
      <c r="C403" s="10"/>
      <c r="D403" s="38"/>
      <c r="E403" s="38"/>
      <c r="F403" s="39"/>
      <c r="G403" s="196"/>
      <c r="H403" s="12"/>
      <c r="I403" s="103"/>
      <c r="J403" s="227"/>
      <c r="K403" s="226"/>
      <c r="L403" s="33" t="str">
        <f t="shared" si="14"/>
        <v/>
      </c>
      <c r="M403" s="13" t="str">
        <f t="shared" si="15"/>
        <v/>
      </c>
    </row>
    <row r="404" spans="2:13" x14ac:dyDescent="0.35">
      <c r="B404" s="10">
        <v>406</v>
      </c>
      <c r="C404" s="10"/>
      <c r="D404" s="38"/>
      <c r="E404" s="38"/>
      <c r="F404" s="39"/>
      <c r="G404" s="196"/>
      <c r="H404" s="12"/>
      <c r="I404" s="103"/>
      <c r="J404" s="227"/>
      <c r="K404" s="226"/>
      <c r="L404" s="33" t="str">
        <f t="shared" si="14"/>
        <v/>
      </c>
      <c r="M404" s="13" t="str">
        <f t="shared" si="15"/>
        <v/>
      </c>
    </row>
    <row r="405" spans="2:13" x14ac:dyDescent="0.35">
      <c r="B405" s="10">
        <v>407</v>
      </c>
      <c r="C405" s="10"/>
      <c r="D405" s="38"/>
      <c r="E405" s="38"/>
      <c r="F405" s="39"/>
      <c r="G405" s="196"/>
      <c r="H405" s="12"/>
      <c r="I405" s="103"/>
      <c r="J405" s="227"/>
      <c r="K405" s="226"/>
      <c r="L405" s="33" t="str">
        <f t="shared" si="14"/>
        <v/>
      </c>
      <c r="M405" s="13" t="str">
        <f t="shared" si="15"/>
        <v/>
      </c>
    </row>
    <row r="406" spans="2:13" x14ac:dyDescent="0.35">
      <c r="B406" s="10">
        <v>408</v>
      </c>
      <c r="C406" s="10"/>
      <c r="D406" s="38"/>
      <c r="E406" s="38"/>
      <c r="F406" s="39"/>
      <c r="G406" s="196"/>
      <c r="H406" s="12"/>
      <c r="I406" s="103"/>
      <c r="J406" s="227"/>
      <c r="K406" s="226"/>
      <c r="L406" s="33" t="str">
        <f t="shared" si="14"/>
        <v/>
      </c>
      <c r="M406" s="13" t="str">
        <f t="shared" si="15"/>
        <v/>
      </c>
    </row>
    <row r="407" spans="2:13" x14ac:dyDescent="0.35">
      <c r="B407" s="10">
        <v>409</v>
      </c>
      <c r="C407" s="10"/>
      <c r="D407" s="38"/>
      <c r="E407" s="38"/>
      <c r="F407" s="39"/>
      <c r="G407" s="196"/>
      <c r="H407" s="12"/>
      <c r="I407" s="103"/>
      <c r="J407" s="227"/>
      <c r="K407" s="226"/>
      <c r="L407" s="33" t="str">
        <f t="shared" si="14"/>
        <v/>
      </c>
      <c r="M407" s="13" t="str">
        <f t="shared" si="15"/>
        <v/>
      </c>
    </row>
    <row r="408" spans="2:13" x14ac:dyDescent="0.35">
      <c r="B408" s="10">
        <v>410</v>
      </c>
      <c r="C408" s="10"/>
      <c r="D408" s="38"/>
      <c r="E408" s="38"/>
      <c r="F408" s="39"/>
      <c r="G408" s="196"/>
      <c r="H408" s="12"/>
      <c r="I408" s="103"/>
      <c r="J408" s="227"/>
      <c r="K408" s="226"/>
      <c r="L408" s="33" t="str">
        <f t="shared" si="14"/>
        <v/>
      </c>
      <c r="M408" s="13" t="str">
        <f t="shared" si="15"/>
        <v/>
      </c>
    </row>
    <row r="409" spans="2:13" x14ac:dyDescent="0.35">
      <c r="B409" s="10">
        <v>411</v>
      </c>
      <c r="C409" s="10"/>
      <c r="D409" s="38"/>
      <c r="E409" s="38"/>
      <c r="F409" s="39"/>
      <c r="G409" s="196"/>
      <c r="H409" s="12"/>
      <c r="I409" s="103"/>
      <c r="J409" s="227"/>
      <c r="K409" s="226"/>
      <c r="L409" s="33" t="str">
        <f t="shared" si="14"/>
        <v/>
      </c>
      <c r="M409" s="13" t="str">
        <f t="shared" si="15"/>
        <v/>
      </c>
    </row>
    <row r="410" spans="2:13" x14ac:dyDescent="0.35">
      <c r="B410" s="10">
        <v>412</v>
      </c>
      <c r="C410" s="10"/>
      <c r="D410" s="38"/>
      <c r="E410" s="38"/>
      <c r="F410" s="39"/>
      <c r="G410" s="196"/>
      <c r="H410" s="12"/>
      <c r="I410" s="103"/>
      <c r="J410" s="227"/>
      <c r="K410" s="226"/>
      <c r="L410" s="33" t="str">
        <f t="shared" si="14"/>
        <v/>
      </c>
      <c r="M410" s="13" t="str">
        <f t="shared" si="15"/>
        <v/>
      </c>
    </row>
    <row r="411" spans="2:13" x14ac:dyDescent="0.35">
      <c r="B411" s="10">
        <v>413</v>
      </c>
      <c r="C411" s="10"/>
      <c r="D411" s="38"/>
      <c r="E411" s="38"/>
      <c r="F411" s="39"/>
      <c r="G411" s="196"/>
      <c r="H411" s="12"/>
      <c r="I411" s="103"/>
      <c r="J411" s="227"/>
      <c r="K411" s="226"/>
      <c r="L411" s="33" t="str">
        <f t="shared" si="14"/>
        <v/>
      </c>
      <c r="M411" s="13" t="str">
        <f t="shared" si="15"/>
        <v/>
      </c>
    </row>
    <row r="412" spans="2:13" x14ac:dyDescent="0.35">
      <c r="B412" s="10">
        <v>414</v>
      </c>
      <c r="C412" s="10"/>
      <c r="D412" s="38"/>
      <c r="E412" s="38"/>
      <c r="F412" s="39"/>
      <c r="G412" s="196"/>
      <c r="H412" s="12"/>
      <c r="I412" s="103"/>
      <c r="J412" s="227"/>
      <c r="K412" s="226"/>
      <c r="L412" s="33" t="str">
        <f t="shared" si="14"/>
        <v/>
      </c>
      <c r="M412" s="13" t="str">
        <f t="shared" si="15"/>
        <v/>
      </c>
    </row>
    <row r="413" spans="2:13" x14ac:dyDescent="0.35">
      <c r="B413" s="10">
        <v>415</v>
      </c>
      <c r="C413" s="10"/>
      <c r="D413" s="38"/>
      <c r="E413" s="38"/>
      <c r="F413" s="39"/>
      <c r="G413" s="196"/>
      <c r="H413" s="12"/>
      <c r="I413" s="103"/>
      <c r="J413" s="227"/>
      <c r="K413" s="226"/>
      <c r="L413" s="33" t="str">
        <f t="shared" si="14"/>
        <v/>
      </c>
      <c r="M413" s="13" t="str">
        <f t="shared" si="15"/>
        <v/>
      </c>
    </row>
    <row r="414" spans="2:13" x14ac:dyDescent="0.35">
      <c r="B414" s="10">
        <v>416</v>
      </c>
      <c r="C414" s="10"/>
      <c r="D414" s="38"/>
      <c r="E414" s="38"/>
      <c r="F414" s="39"/>
      <c r="G414" s="196"/>
      <c r="H414" s="12"/>
      <c r="I414" s="103"/>
      <c r="J414" s="227"/>
      <c r="K414" s="226"/>
      <c r="L414" s="33" t="str">
        <f t="shared" si="14"/>
        <v/>
      </c>
      <c r="M414" s="13" t="str">
        <f t="shared" si="15"/>
        <v/>
      </c>
    </row>
    <row r="415" spans="2:13" x14ac:dyDescent="0.35">
      <c r="B415" s="10">
        <v>417</v>
      </c>
      <c r="C415" s="10"/>
      <c r="D415" s="38"/>
      <c r="E415" s="38"/>
      <c r="F415" s="39"/>
      <c r="G415" s="196"/>
      <c r="H415" s="12"/>
      <c r="I415" s="103"/>
      <c r="J415" s="227"/>
      <c r="K415" s="226"/>
      <c r="L415" s="33" t="str">
        <f t="shared" si="14"/>
        <v/>
      </c>
      <c r="M415" s="13" t="str">
        <f t="shared" si="15"/>
        <v/>
      </c>
    </row>
    <row r="416" spans="2:13" x14ac:dyDescent="0.35">
      <c r="B416" s="10">
        <v>418</v>
      </c>
      <c r="C416" s="10"/>
      <c r="D416" s="38"/>
      <c r="E416" s="38"/>
      <c r="F416" s="39"/>
      <c r="G416" s="196"/>
      <c r="H416" s="12"/>
      <c r="I416" s="103"/>
      <c r="J416" s="227"/>
      <c r="K416" s="226"/>
      <c r="L416" s="33" t="str">
        <f t="shared" si="14"/>
        <v/>
      </c>
      <c r="M416" s="13" t="str">
        <f t="shared" si="15"/>
        <v/>
      </c>
    </row>
    <row r="417" spans="2:13" x14ac:dyDescent="0.35">
      <c r="B417" s="10">
        <v>419</v>
      </c>
      <c r="C417" s="10"/>
      <c r="D417" s="38"/>
      <c r="E417" s="38"/>
      <c r="F417" s="39"/>
      <c r="G417" s="196"/>
      <c r="H417" s="12"/>
      <c r="I417" s="103"/>
      <c r="J417" s="227"/>
      <c r="K417" s="226"/>
      <c r="L417" s="33" t="str">
        <f t="shared" si="14"/>
        <v/>
      </c>
      <c r="M417" s="13" t="str">
        <f t="shared" si="15"/>
        <v/>
      </c>
    </row>
    <row r="418" spans="2:13" x14ac:dyDescent="0.35">
      <c r="B418" s="10">
        <v>420</v>
      </c>
      <c r="C418" s="10"/>
      <c r="D418" s="38"/>
      <c r="E418" s="38"/>
      <c r="F418" s="39"/>
      <c r="G418" s="196"/>
      <c r="H418" s="12"/>
      <c r="I418" s="103"/>
      <c r="J418" s="227"/>
      <c r="K418" s="226"/>
      <c r="L418" s="33" t="str">
        <f t="shared" si="14"/>
        <v/>
      </c>
      <c r="M418" s="13" t="str">
        <f t="shared" si="15"/>
        <v/>
      </c>
    </row>
    <row r="419" spans="2:13" x14ac:dyDescent="0.35">
      <c r="B419" s="10">
        <v>421</v>
      </c>
      <c r="C419" s="10"/>
      <c r="D419" s="38"/>
      <c r="E419" s="38"/>
      <c r="F419" s="39"/>
      <c r="G419" s="196"/>
      <c r="H419" s="12"/>
      <c r="I419" s="103"/>
      <c r="J419" s="227"/>
      <c r="K419" s="226"/>
      <c r="L419" s="33" t="str">
        <f t="shared" si="14"/>
        <v/>
      </c>
      <c r="M419" s="13" t="str">
        <f t="shared" si="15"/>
        <v/>
      </c>
    </row>
    <row r="420" spans="2:13" x14ac:dyDescent="0.35">
      <c r="B420" s="10">
        <v>422</v>
      </c>
      <c r="C420" s="10"/>
      <c r="D420" s="38"/>
      <c r="E420" s="38"/>
      <c r="F420" s="39"/>
      <c r="G420" s="196"/>
      <c r="H420" s="12"/>
      <c r="I420" s="103"/>
      <c r="J420" s="227"/>
      <c r="K420" s="226"/>
      <c r="L420" s="33" t="str">
        <f t="shared" si="14"/>
        <v/>
      </c>
      <c r="M420" s="13" t="str">
        <f t="shared" si="15"/>
        <v/>
      </c>
    </row>
    <row r="421" spans="2:13" x14ac:dyDescent="0.35">
      <c r="B421" s="10">
        <v>423</v>
      </c>
      <c r="C421" s="10"/>
      <c r="D421" s="38"/>
      <c r="E421" s="38"/>
      <c r="F421" s="39"/>
      <c r="G421" s="196"/>
      <c r="H421" s="12"/>
      <c r="I421" s="103"/>
      <c r="J421" s="227"/>
      <c r="K421" s="226"/>
      <c r="L421" s="33" t="str">
        <f t="shared" si="14"/>
        <v/>
      </c>
      <c r="M421" s="13" t="str">
        <f t="shared" si="15"/>
        <v/>
      </c>
    </row>
    <row r="422" spans="2:13" x14ac:dyDescent="0.35">
      <c r="B422" s="10">
        <v>424</v>
      </c>
      <c r="C422" s="10"/>
      <c r="D422" s="38"/>
      <c r="E422" s="38"/>
      <c r="F422" s="39"/>
      <c r="G422" s="196"/>
      <c r="H422" s="12"/>
      <c r="I422" s="103"/>
      <c r="J422" s="227"/>
      <c r="K422" s="226"/>
      <c r="L422" s="33" t="str">
        <f t="shared" si="14"/>
        <v/>
      </c>
      <c r="M422" s="13" t="str">
        <f t="shared" si="15"/>
        <v/>
      </c>
    </row>
    <row r="423" spans="2:13" x14ac:dyDescent="0.35">
      <c r="B423" s="10">
        <v>425</v>
      </c>
      <c r="C423" s="10"/>
      <c r="D423" s="38"/>
      <c r="E423" s="38"/>
      <c r="F423" s="39"/>
      <c r="G423" s="196"/>
      <c r="H423" s="12"/>
      <c r="I423" s="103"/>
      <c r="J423" s="227"/>
      <c r="K423" s="226"/>
      <c r="L423" s="33" t="str">
        <f t="shared" si="14"/>
        <v/>
      </c>
      <c r="M423" s="13" t="str">
        <f t="shared" si="15"/>
        <v/>
      </c>
    </row>
    <row r="424" spans="2:13" x14ac:dyDescent="0.35">
      <c r="B424" s="10">
        <v>426</v>
      </c>
      <c r="C424" s="10"/>
      <c r="D424" s="38"/>
      <c r="E424" s="38"/>
      <c r="F424" s="39"/>
      <c r="G424" s="196"/>
      <c r="H424" s="12"/>
      <c r="I424" s="103"/>
      <c r="J424" s="227"/>
      <c r="K424" s="226"/>
      <c r="L424" s="33" t="str">
        <f t="shared" si="14"/>
        <v/>
      </c>
      <c r="M424" s="13" t="str">
        <f t="shared" si="15"/>
        <v/>
      </c>
    </row>
    <row r="425" spans="2:13" x14ac:dyDescent="0.35">
      <c r="B425" s="10">
        <v>427</v>
      </c>
      <c r="C425" s="10"/>
      <c r="D425" s="38"/>
      <c r="E425" s="38"/>
      <c r="F425" s="39"/>
      <c r="G425" s="196"/>
      <c r="H425" s="12"/>
      <c r="I425" s="103"/>
      <c r="J425" s="227"/>
      <c r="K425" s="226"/>
      <c r="L425" s="33" t="str">
        <f t="shared" si="14"/>
        <v/>
      </c>
      <c r="M425" s="13" t="str">
        <f t="shared" si="15"/>
        <v/>
      </c>
    </row>
    <row r="426" spans="2:13" x14ac:dyDescent="0.35">
      <c r="B426" s="10">
        <v>428</v>
      </c>
      <c r="C426" s="10"/>
      <c r="D426" s="38"/>
      <c r="E426" s="38"/>
      <c r="F426" s="39"/>
      <c r="G426" s="196"/>
      <c r="H426" s="12"/>
      <c r="I426" s="103"/>
      <c r="J426" s="227"/>
      <c r="K426" s="226"/>
      <c r="L426" s="33" t="str">
        <f t="shared" si="14"/>
        <v/>
      </c>
      <c r="M426" s="13" t="str">
        <f t="shared" si="15"/>
        <v/>
      </c>
    </row>
    <row r="427" spans="2:13" x14ac:dyDescent="0.35">
      <c r="B427" s="10">
        <v>429</v>
      </c>
      <c r="C427" s="10"/>
      <c r="D427" s="38"/>
      <c r="E427" s="38"/>
      <c r="F427" s="39"/>
      <c r="G427" s="196"/>
      <c r="H427" s="12"/>
      <c r="I427" s="103"/>
      <c r="J427" s="227"/>
      <c r="K427" s="226"/>
      <c r="L427" s="33" t="str">
        <f t="shared" si="14"/>
        <v/>
      </c>
      <c r="M427" s="13" t="str">
        <f t="shared" si="15"/>
        <v/>
      </c>
    </row>
    <row r="428" spans="2:13" x14ac:dyDescent="0.35">
      <c r="B428" s="10">
        <v>430</v>
      </c>
      <c r="C428" s="10"/>
      <c r="D428" s="38"/>
      <c r="E428" s="38"/>
      <c r="F428" s="39"/>
      <c r="G428" s="196"/>
      <c r="H428" s="12"/>
      <c r="I428" s="103"/>
      <c r="J428" s="227"/>
      <c r="K428" s="226"/>
      <c r="L428" s="33" t="str">
        <f t="shared" si="14"/>
        <v/>
      </c>
      <c r="M428" s="13" t="str">
        <f t="shared" si="15"/>
        <v/>
      </c>
    </row>
    <row r="429" spans="2:13" x14ac:dyDescent="0.35">
      <c r="B429" s="10">
        <v>431</v>
      </c>
      <c r="C429" s="10"/>
      <c r="D429" s="38"/>
      <c r="E429" s="38"/>
      <c r="F429" s="39"/>
      <c r="G429" s="196"/>
      <c r="H429" s="12"/>
      <c r="I429" s="103"/>
      <c r="J429" s="227"/>
      <c r="K429" s="226"/>
      <c r="L429" s="33" t="str">
        <f t="shared" si="14"/>
        <v/>
      </c>
      <c r="M429" s="13" t="str">
        <f t="shared" si="15"/>
        <v/>
      </c>
    </row>
    <row r="430" spans="2:13" x14ac:dyDescent="0.35">
      <c r="B430" s="10">
        <v>432</v>
      </c>
      <c r="C430" s="10"/>
      <c r="D430" s="38"/>
      <c r="E430" s="38"/>
      <c r="F430" s="39"/>
      <c r="G430" s="196"/>
      <c r="H430" s="12"/>
      <c r="I430" s="103"/>
      <c r="J430" s="227"/>
      <c r="K430" s="226"/>
      <c r="L430" s="33" t="str">
        <f t="shared" si="14"/>
        <v/>
      </c>
      <c r="M430" s="13" t="str">
        <f t="shared" si="15"/>
        <v/>
      </c>
    </row>
    <row r="431" spans="2:13" x14ac:dyDescent="0.35">
      <c r="B431" s="10">
        <v>433</v>
      </c>
      <c r="C431" s="10"/>
      <c r="D431" s="38"/>
      <c r="E431" s="38"/>
      <c r="F431" s="39"/>
      <c r="G431" s="196"/>
      <c r="H431" s="12"/>
      <c r="I431" s="103"/>
      <c r="J431" s="227"/>
      <c r="K431" s="226"/>
      <c r="L431" s="33" t="str">
        <f t="shared" si="14"/>
        <v/>
      </c>
      <c r="M431" s="13" t="str">
        <f t="shared" si="15"/>
        <v/>
      </c>
    </row>
    <row r="432" spans="2:13" x14ac:dyDescent="0.35">
      <c r="B432" s="10">
        <v>434</v>
      </c>
      <c r="C432" s="10"/>
      <c r="D432" s="38"/>
      <c r="E432" s="38"/>
      <c r="F432" s="39"/>
      <c r="G432" s="196"/>
      <c r="H432" s="12"/>
      <c r="I432" s="103"/>
      <c r="J432" s="227"/>
      <c r="K432" s="226"/>
      <c r="L432" s="33" t="str">
        <f t="shared" si="14"/>
        <v/>
      </c>
      <c r="M432" s="13" t="str">
        <f t="shared" si="15"/>
        <v/>
      </c>
    </row>
    <row r="433" spans="2:13" x14ac:dyDescent="0.35">
      <c r="B433" s="10">
        <v>435</v>
      </c>
      <c r="C433" s="10"/>
      <c r="D433" s="38"/>
      <c r="E433" s="38"/>
      <c r="F433" s="39"/>
      <c r="G433" s="196"/>
      <c r="H433" s="12"/>
      <c r="I433" s="103"/>
      <c r="J433" s="227"/>
      <c r="K433" s="226"/>
      <c r="L433" s="33" t="str">
        <f t="shared" si="14"/>
        <v/>
      </c>
      <c r="M433" s="13" t="str">
        <f t="shared" si="15"/>
        <v/>
      </c>
    </row>
    <row r="434" spans="2:13" x14ac:dyDescent="0.35">
      <c r="B434" s="10">
        <v>436</v>
      </c>
      <c r="C434" s="10"/>
      <c r="D434" s="38"/>
      <c r="E434" s="38"/>
      <c r="F434" s="39"/>
      <c r="G434" s="196"/>
      <c r="H434" s="12"/>
      <c r="I434" s="103"/>
      <c r="J434" s="227"/>
      <c r="K434" s="226"/>
      <c r="L434" s="33" t="str">
        <f t="shared" si="14"/>
        <v/>
      </c>
      <c r="M434" s="13" t="str">
        <f t="shared" si="15"/>
        <v/>
      </c>
    </row>
    <row r="435" spans="2:13" x14ac:dyDescent="0.35">
      <c r="B435" s="10">
        <v>437</v>
      </c>
      <c r="C435" s="10"/>
      <c r="D435" s="38"/>
      <c r="E435" s="38"/>
      <c r="F435" s="39"/>
      <c r="G435" s="196"/>
      <c r="H435" s="12"/>
      <c r="I435" s="103"/>
      <c r="J435" s="227"/>
      <c r="K435" s="226"/>
      <c r="L435" s="33" t="str">
        <f t="shared" si="14"/>
        <v/>
      </c>
      <c r="M435" s="13" t="str">
        <f t="shared" si="15"/>
        <v/>
      </c>
    </row>
    <row r="436" spans="2:13" x14ac:dyDescent="0.35">
      <c r="B436" s="10">
        <v>438</v>
      </c>
      <c r="C436" s="10"/>
      <c r="D436" s="38"/>
      <c r="E436" s="38"/>
      <c r="F436" s="39"/>
      <c r="G436" s="196"/>
      <c r="H436" s="12"/>
      <c r="I436" s="103"/>
      <c r="J436" s="227"/>
      <c r="K436" s="226"/>
      <c r="L436" s="33" t="str">
        <f t="shared" si="14"/>
        <v/>
      </c>
      <c r="M436" s="13" t="str">
        <f t="shared" si="15"/>
        <v/>
      </c>
    </row>
    <row r="437" spans="2:13" x14ac:dyDescent="0.35">
      <c r="B437" s="10">
        <v>439</v>
      </c>
      <c r="C437" s="10"/>
      <c r="D437" s="38"/>
      <c r="E437" s="38"/>
      <c r="F437" s="39"/>
      <c r="G437" s="196"/>
      <c r="H437" s="12"/>
      <c r="I437" s="103"/>
      <c r="J437" s="227"/>
      <c r="K437" s="226"/>
      <c r="L437" s="33" t="str">
        <f t="shared" si="14"/>
        <v/>
      </c>
      <c r="M437" s="13" t="str">
        <f t="shared" si="15"/>
        <v/>
      </c>
    </row>
    <row r="438" spans="2:13" x14ac:dyDescent="0.35">
      <c r="B438" s="10">
        <v>440</v>
      </c>
      <c r="C438" s="10"/>
      <c r="D438" s="38"/>
      <c r="E438" s="38"/>
      <c r="F438" s="39"/>
      <c r="G438" s="196"/>
      <c r="H438" s="12"/>
      <c r="I438" s="103"/>
      <c r="J438" s="227"/>
      <c r="K438" s="226"/>
      <c r="L438" s="33" t="str">
        <f t="shared" si="14"/>
        <v/>
      </c>
      <c r="M438" s="13" t="str">
        <f t="shared" si="15"/>
        <v/>
      </c>
    </row>
    <row r="439" spans="2:13" x14ac:dyDescent="0.35">
      <c r="B439" s="10">
        <v>441</v>
      </c>
      <c r="C439" s="10"/>
      <c r="D439" s="38"/>
      <c r="E439" s="38"/>
      <c r="F439" s="39"/>
      <c r="G439" s="196"/>
      <c r="H439" s="12"/>
      <c r="I439" s="103"/>
      <c r="J439" s="227"/>
      <c r="K439" s="226"/>
      <c r="L439" s="33" t="str">
        <f t="shared" si="14"/>
        <v/>
      </c>
      <c r="M439" s="13" t="str">
        <f t="shared" si="15"/>
        <v/>
      </c>
    </row>
    <row r="440" spans="2:13" x14ac:dyDescent="0.35">
      <c r="B440" s="10">
        <v>442</v>
      </c>
      <c r="C440" s="10"/>
      <c r="D440" s="38"/>
      <c r="E440" s="38"/>
      <c r="F440" s="39"/>
      <c r="G440" s="196"/>
      <c r="H440" s="12"/>
      <c r="I440" s="103"/>
      <c r="J440" s="227"/>
      <c r="K440" s="226"/>
      <c r="L440" s="33" t="str">
        <f t="shared" si="14"/>
        <v/>
      </c>
      <c r="M440" s="13" t="str">
        <f t="shared" si="15"/>
        <v/>
      </c>
    </row>
    <row r="441" spans="2:13" x14ac:dyDescent="0.35">
      <c r="B441" s="10">
        <v>443</v>
      </c>
      <c r="C441" s="10"/>
      <c r="D441" s="38"/>
      <c r="E441" s="38"/>
      <c r="F441" s="39"/>
      <c r="G441" s="196"/>
      <c r="H441" s="12"/>
      <c r="I441" s="103"/>
      <c r="J441" s="227"/>
      <c r="K441" s="226"/>
      <c r="L441" s="33" t="str">
        <f t="shared" si="14"/>
        <v/>
      </c>
      <c r="M441" s="13" t="str">
        <f t="shared" si="15"/>
        <v/>
      </c>
    </row>
    <row r="442" spans="2:13" x14ac:dyDescent="0.35">
      <c r="B442" s="10">
        <v>444</v>
      </c>
      <c r="C442" s="10"/>
      <c r="D442" s="38"/>
      <c r="E442" s="38"/>
      <c r="F442" s="39"/>
      <c r="G442" s="196"/>
      <c r="H442" s="12"/>
      <c r="I442" s="103"/>
      <c r="J442" s="227"/>
      <c r="K442" s="226"/>
      <c r="L442" s="33" t="str">
        <f t="shared" si="14"/>
        <v/>
      </c>
      <c r="M442" s="13" t="str">
        <f t="shared" si="15"/>
        <v/>
      </c>
    </row>
    <row r="443" spans="2:13" x14ac:dyDescent="0.35">
      <c r="B443" s="10">
        <v>445</v>
      </c>
      <c r="C443" s="10"/>
      <c r="D443" s="38"/>
      <c r="E443" s="38"/>
      <c r="F443" s="39"/>
      <c r="G443" s="196"/>
      <c r="H443" s="12"/>
      <c r="I443" s="103"/>
      <c r="J443" s="227"/>
      <c r="K443" s="226"/>
      <c r="L443" s="33" t="str">
        <f t="shared" si="14"/>
        <v/>
      </c>
      <c r="M443" s="13" t="str">
        <f t="shared" si="15"/>
        <v/>
      </c>
    </row>
    <row r="444" spans="2:13" x14ac:dyDescent="0.35">
      <c r="B444" s="10">
        <v>446</v>
      </c>
      <c r="C444" s="10"/>
      <c r="D444" s="38"/>
      <c r="E444" s="38"/>
      <c r="F444" s="39"/>
      <c r="G444" s="196"/>
      <c r="H444" s="12"/>
      <c r="I444" s="103"/>
      <c r="J444" s="227"/>
      <c r="K444" s="226"/>
      <c r="L444" s="33" t="str">
        <f t="shared" si="14"/>
        <v/>
      </c>
      <c r="M444" s="13" t="str">
        <f t="shared" si="15"/>
        <v/>
      </c>
    </row>
    <row r="445" spans="2:13" x14ac:dyDescent="0.35">
      <c r="B445" s="10">
        <v>447</v>
      </c>
      <c r="C445" s="10"/>
      <c r="D445" s="38"/>
      <c r="E445" s="38"/>
      <c r="F445" s="39"/>
      <c r="G445" s="196"/>
      <c r="H445" s="12"/>
      <c r="I445" s="103"/>
      <c r="J445" s="227"/>
      <c r="K445" s="226"/>
      <c r="L445" s="33" t="str">
        <f t="shared" si="14"/>
        <v/>
      </c>
      <c r="M445" s="13" t="str">
        <f t="shared" si="15"/>
        <v/>
      </c>
    </row>
    <row r="446" spans="2:13" x14ac:dyDescent="0.35">
      <c r="B446" s="10">
        <v>448</v>
      </c>
      <c r="C446" s="10"/>
      <c r="D446" s="38"/>
      <c r="E446" s="38"/>
      <c r="F446" s="39"/>
      <c r="G446" s="196"/>
      <c r="H446" s="12"/>
      <c r="I446" s="103"/>
      <c r="J446" s="227"/>
      <c r="K446" s="226"/>
      <c r="L446" s="33" t="str">
        <f t="shared" si="14"/>
        <v/>
      </c>
      <c r="M446" s="13" t="str">
        <f t="shared" si="15"/>
        <v/>
      </c>
    </row>
    <row r="447" spans="2:13" x14ac:dyDescent="0.35">
      <c r="B447" s="10">
        <v>449</v>
      </c>
      <c r="C447" s="10"/>
      <c r="D447" s="38"/>
      <c r="E447" s="38"/>
      <c r="F447" s="39"/>
      <c r="G447" s="196"/>
      <c r="H447" s="12"/>
      <c r="I447" s="103"/>
      <c r="J447" s="227"/>
      <c r="K447" s="226"/>
      <c r="L447" s="33" t="str">
        <f t="shared" si="14"/>
        <v/>
      </c>
      <c r="M447" s="13" t="str">
        <f t="shared" si="15"/>
        <v/>
      </c>
    </row>
    <row r="448" spans="2:13" x14ac:dyDescent="0.35">
      <c r="B448" s="10">
        <v>450</v>
      </c>
      <c r="C448" s="10"/>
      <c r="D448" s="38"/>
      <c r="E448" s="38"/>
      <c r="F448" s="39"/>
      <c r="G448" s="196"/>
      <c r="H448" s="12"/>
      <c r="I448" s="103"/>
      <c r="J448" s="227"/>
      <c r="K448" s="226"/>
      <c r="L448" s="33" t="str">
        <f t="shared" si="14"/>
        <v/>
      </c>
      <c r="M448" s="13" t="str">
        <f t="shared" si="15"/>
        <v/>
      </c>
    </row>
    <row r="449" spans="2:13" x14ac:dyDescent="0.35">
      <c r="B449" s="10">
        <v>451</v>
      </c>
      <c r="C449" s="10"/>
      <c r="D449" s="38"/>
      <c r="E449" s="38"/>
      <c r="F449" s="39"/>
      <c r="G449" s="196"/>
      <c r="H449" s="12"/>
      <c r="I449" s="103"/>
      <c r="J449" s="227"/>
      <c r="K449" s="226"/>
      <c r="L449" s="33" t="str">
        <f t="shared" ref="L449:L512" si="16">IF(OR(J449="", K449=""), "", NETWORKDAYS(J449,K449))</f>
        <v/>
      </c>
      <c r="M449" s="13" t="str">
        <f t="shared" ref="M449:M512" si="17">IF(I449="SEA", 10, IF(I449="AIR", 5, ""))</f>
        <v/>
      </c>
    </row>
    <row r="450" spans="2:13" x14ac:dyDescent="0.35">
      <c r="B450" s="10">
        <v>452</v>
      </c>
      <c r="C450" s="10"/>
      <c r="D450" s="38"/>
      <c r="E450" s="38"/>
      <c r="F450" s="39"/>
      <c r="G450" s="196"/>
      <c r="H450" s="12"/>
      <c r="I450" s="103"/>
      <c r="J450" s="227"/>
      <c r="K450" s="226"/>
      <c r="L450" s="33" t="str">
        <f t="shared" si="16"/>
        <v/>
      </c>
      <c r="M450" s="13" t="str">
        <f t="shared" si="17"/>
        <v/>
      </c>
    </row>
    <row r="451" spans="2:13" x14ac:dyDescent="0.35">
      <c r="B451" s="10">
        <v>453</v>
      </c>
      <c r="C451" s="10"/>
      <c r="D451" s="38"/>
      <c r="E451" s="38"/>
      <c r="F451" s="39"/>
      <c r="G451" s="196"/>
      <c r="H451" s="12"/>
      <c r="I451" s="103"/>
      <c r="J451" s="227"/>
      <c r="K451" s="226"/>
      <c r="L451" s="33" t="str">
        <f t="shared" si="16"/>
        <v/>
      </c>
      <c r="M451" s="13" t="str">
        <f t="shared" si="17"/>
        <v/>
      </c>
    </row>
    <row r="452" spans="2:13" x14ac:dyDescent="0.35">
      <c r="B452" s="10">
        <v>454</v>
      </c>
      <c r="C452" s="10"/>
      <c r="D452" s="38"/>
      <c r="E452" s="38"/>
      <c r="F452" s="39"/>
      <c r="G452" s="196"/>
      <c r="H452" s="12"/>
      <c r="I452" s="103"/>
      <c r="J452" s="227"/>
      <c r="K452" s="226"/>
      <c r="L452" s="33" t="str">
        <f t="shared" si="16"/>
        <v/>
      </c>
      <c r="M452" s="13" t="str">
        <f t="shared" si="17"/>
        <v/>
      </c>
    </row>
    <row r="453" spans="2:13" x14ac:dyDescent="0.35">
      <c r="B453" s="10">
        <v>455</v>
      </c>
      <c r="C453" s="10"/>
      <c r="D453" s="38"/>
      <c r="E453" s="38"/>
      <c r="F453" s="39"/>
      <c r="G453" s="196"/>
      <c r="H453" s="12"/>
      <c r="I453" s="103"/>
      <c r="J453" s="227"/>
      <c r="K453" s="226"/>
      <c r="L453" s="33" t="str">
        <f t="shared" si="16"/>
        <v/>
      </c>
      <c r="M453" s="13" t="str">
        <f t="shared" si="17"/>
        <v/>
      </c>
    </row>
    <row r="454" spans="2:13" x14ac:dyDescent="0.35">
      <c r="B454" s="10">
        <v>456</v>
      </c>
      <c r="C454" s="10"/>
      <c r="D454" s="38"/>
      <c r="E454" s="38"/>
      <c r="F454" s="39"/>
      <c r="G454" s="196"/>
      <c r="H454" s="12"/>
      <c r="I454" s="103"/>
      <c r="J454" s="227"/>
      <c r="K454" s="226"/>
      <c r="L454" s="33" t="str">
        <f t="shared" si="16"/>
        <v/>
      </c>
      <c r="M454" s="13" t="str">
        <f t="shared" si="17"/>
        <v/>
      </c>
    </row>
    <row r="455" spans="2:13" x14ac:dyDescent="0.35">
      <c r="B455" s="10">
        <v>457</v>
      </c>
      <c r="C455" s="10"/>
      <c r="D455" s="38"/>
      <c r="E455" s="38"/>
      <c r="F455" s="39"/>
      <c r="G455" s="196"/>
      <c r="H455" s="12"/>
      <c r="I455" s="103"/>
      <c r="J455" s="227"/>
      <c r="K455" s="226"/>
      <c r="L455" s="33" t="str">
        <f t="shared" si="16"/>
        <v/>
      </c>
      <c r="M455" s="13" t="str">
        <f t="shared" si="17"/>
        <v/>
      </c>
    </row>
    <row r="456" spans="2:13" x14ac:dyDescent="0.35">
      <c r="B456" s="10">
        <v>458</v>
      </c>
      <c r="C456" s="10"/>
      <c r="D456" s="38"/>
      <c r="E456" s="38"/>
      <c r="F456" s="39"/>
      <c r="G456" s="196"/>
      <c r="H456" s="12"/>
      <c r="I456" s="103"/>
      <c r="J456" s="227"/>
      <c r="K456" s="226"/>
      <c r="L456" s="33" t="str">
        <f t="shared" si="16"/>
        <v/>
      </c>
      <c r="M456" s="13" t="str">
        <f t="shared" si="17"/>
        <v/>
      </c>
    </row>
    <row r="457" spans="2:13" x14ac:dyDescent="0.35">
      <c r="B457" s="10">
        <v>459</v>
      </c>
      <c r="C457" s="10"/>
      <c r="D457" s="38"/>
      <c r="E457" s="38"/>
      <c r="F457" s="39"/>
      <c r="G457" s="196"/>
      <c r="H457" s="12"/>
      <c r="I457" s="103"/>
      <c r="J457" s="227"/>
      <c r="K457" s="226"/>
      <c r="L457" s="33" t="str">
        <f t="shared" si="16"/>
        <v/>
      </c>
      <c r="M457" s="13" t="str">
        <f t="shared" si="17"/>
        <v/>
      </c>
    </row>
    <row r="458" spans="2:13" x14ac:dyDescent="0.35">
      <c r="B458" s="10">
        <v>460</v>
      </c>
      <c r="C458" s="10"/>
      <c r="D458" s="38"/>
      <c r="E458" s="38"/>
      <c r="F458" s="39"/>
      <c r="G458" s="196"/>
      <c r="H458" s="12"/>
      <c r="I458" s="103"/>
      <c r="J458" s="227"/>
      <c r="K458" s="226"/>
      <c r="L458" s="33" t="str">
        <f t="shared" si="16"/>
        <v/>
      </c>
      <c r="M458" s="13" t="str">
        <f t="shared" si="17"/>
        <v/>
      </c>
    </row>
    <row r="459" spans="2:13" x14ac:dyDescent="0.35">
      <c r="B459" s="10">
        <v>461</v>
      </c>
      <c r="C459" s="10"/>
      <c r="D459" s="38"/>
      <c r="E459" s="38"/>
      <c r="F459" s="39"/>
      <c r="G459" s="196"/>
      <c r="H459" s="12"/>
      <c r="I459" s="103"/>
      <c r="J459" s="227"/>
      <c r="K459" s="226"/>
      <c r="L459" s="33" t="str">
        <f t="shared" si="16"/>
        <v/>
      </c>
      <c r="M459" s="13" t="str">
        <f t="shared" si="17"/>
        <v/>
      </c>
    </row>
    <row r="460" spans="2:13" x14ac:dyDescent="0.35">
      <c r="B460" s="10">
        <v>462</v>
      </c>
      <c r="C460" s="10"/>
      <c r="D460" s="38"/>
      <c r="E460" s="38"/>
      <c r="F460" s="39"/>
      <c r="G460" s="196"/>
      <c r="H460" s="12"/>
      <c r="I460" s="103"/>
      <c r="J460" s="227"/>
      <c r="K460" s="226"/>
      <c r="L460" s="33" t="str">
        <f t="shared" si="16"/>
        <v/>
      </c>
      <c r="M460" s="13" t="str">
        <f t="shared" si="17"/>
        <v/>
      </c>
    </row>
    <row r="461" spans="2:13" x14ac:dyDescent="0.35">
      <c r="B461" s="10">
        <v>463</v>
      </c>
      <c r="C461" s="10"/>
      <c r="D461" s="38"/>
      <c r="E461" s="38"/>
      <c r="F461" s="39"/>
      <c r="G461" s="196"/>
      <c r="H461" s="12"/>
      <c r="I461" s="103"/>
      <c r="J461" s="227"/>
      <c r="K461" s="226"/>
      <c r="L461" s="33" t="str">
        <f t="shared" si="16"/>
        <v/>
      </c>
      <c r="M461" s="13" t="str">
        <f t="shared" si="17"/>
        <v/>
      </c>
    </row>
    <row r="462" spans="2:13" x14ac:dyDescent="0.35">
      <c r="B462" s="10">
        <v>464</v>
      </c>
      <c r="C462" s="10"/>
      <c r="D462" s="38"/>
      <c r="E462" s="38"/>
      <c r="F462" s="39"/>
      <c r="G462" s="196"/>
      <c r="H462" s="12"/>
      <c r="I462" s="103"/>
      <c r="J462" s="227"/>
      <c r="K462" s="226"/>
      <c r="L462" s="33" t="str">
        <f t="shared" si="16"/>
        <v/>
      </c>
      <c r="M462" s="13" t="str">
        <f t="shared" si="17"/>
        <v/>
      </c>
    </row>
    <row r="463" spans="2:13" x14ac:dyDescent="0.35">
      <c r="B463" s="10">
        <v>465</v>
      </c>
      <c r="C463" s="10"/>
      <c r="D463" s="38"/>
      <c r="E463" s="38"/>
      <c r="F463" s="39"/>
      <c r="G463" s="196"/>
      <c r="H463" s="12"/>
      <c r="I463" s="103"/>
      <c r="J463" s="227"/>
      <c r="K463" s="226"/>
      <c r="L463" s="33" t="str">
        <f t="shared" si="16"/>
        <v/>
      </c>
      <c r="M463" s="13" t="str">
        <f t="shared" si="17"/>
        <v/>
      </c>
    </row>
    <row r="464" spans="2:13" x14ac:dyDescent="0.35">
      <c r="B464" s="10">
        <v>466</v>
      </c>
      <c r="C464" s="10"/>
      <c r="D464" s="38"/>
      <c r="E464" s="38"/>
      <c r="F464" s="39"/>
      <c r="G464" s="196"/>
      <c r="H464" s="12"/>
      <c r="I464" s="103"/>
      <c r="J464" s="227"/>
      <c r="K464" s="226"/>
      <c r="L464" s="33" t="str">
        <f t="shared" si="16"/>
        <v/>
      </c>
      <c r="M464" s="13" t="str">
        <f t="shared" si="17"/>
        <v/>
      </c>
    </row>
    <row r="465" spans="2:13" x14ac:dyDescent="0.35">
      <c r="B465" s="10">
        <v>467</v>
      </c>
      <c r="C465" s="10"/>
      <c r="D465" s="38"/>
      <c r="E465" s="38"/>
      <c r="F465" s="39"/>
      <c r="G465" s="196"/>
      <c r="H465" s="12"/>
      <c r="I465" s="103"/>
      <c r="J465" s="227"/>
      <c r="K465" s="226"/>
      <c r="L465" s="33" t="str">
        <f t="shared" si="16"/>
        <v/>
      </c>
      <c r="M465" s="13" t="str">
        <f t="shared" si="17"/>
        <v/>
      </c>
    </row>
    <row r="466" spans="2:13" x14ac:dyDescent="0.35">
      <c r="B466" s="10">
        <v>468</v>
      </c>
      <c r="C466" s="10"/>
      <c r="D466" s="38"/>
      <c r="E466" s="38"/>
      <c r="F466" s="39"/>
      <c r="G466" s="196"/>
      <c r="H466" s="12"/>
      <c r="I466" s="103"/>
      <c r="J466" s="227"/>
      <c r="K466" s="226"/>
      <c r="L466" s="33" t="str">
        <f t="shared" si="16"/>
        <v/>
      </c>
      <c r="M466" s="13" t="str">
        <f t="shared" si="17"/>
        <v/>
      </c>
    </row>
    <row r="467" spans="2:13" x14ac:dyDescent="0.35">
      <c r="B467" s="10">
        <v>469</v>
      </c>
      <c r="C467" s="10"/>
      <c r="D467" s="38"/>
      <c r="E467" s="38"/>
      <c r="F467" s="39"/>
      <c r="G467" s="196"/>
      <c r="H467" s="12"/>
      <c r="I467" s="103"/>
      <c r="J467" s="227"/>
      <c r="K467" s="226"/>
      <c r="L467" s="33" t="str">
        <f t="shared" si="16"/>
        <v/>
      </c>
      <c r="M467" s="13" t="str">
        <f t="shared" si="17"/>
        <v/>
      </c>
    </row>
    <row r="468" spans="2:13" x14ac:dyDescent="0.35">
      <c r="B468" s="10">
        <v>470</v>
      </c>
      <c r="C468" s="10"/>
      <c r="D468" s="38"/>
      <c r="E468" s="38"/>
      <c r="F468" s="39"/>
      <c r="G468" s="196"/>
      <c r="H468" s="12"/>
      <c r="I468" s="103"/>
      <c r="J468" s="227"/>
      <c r="K468" s="226"/>
      <c r="L468" s="33" t="str">
        <f t="shared" si="16"/>
        <v/>
      </c>
      <c r="M468" s="13" t="str">
        <f t="shared" si="17"/>
        <v/>
      </c>
    </row>
    <row r="469" spans="2:13" x14ac:dyDescent="0.35">
      <c r="B469" s="10">
        <v>471</v>
      </c>
      <c r="C469" s="10"/>
      <c r="D469" s="38"/>
      <c r="E469" s="38"/>
      <c r="F469" s="39"/>
      <c r="G469" s="196"/>
      <c r="H469" s="12"/>
      <c r="I469" s="103"/>
      <c r="J469" s="227"/>
      <c r="K469" s="226"/>
      <c r="L469" s="33" t="str">
        <f t="shared" si="16"/>
        <v/>
      </c>
      <c r="M469" s="13" t="str">
        <f t="shared" si="17"/>
        <v/>
      </c>
    </row>
    <row r="470" spans="2:13" x14ac:dyDescent="0.35">
      <c r="B470" s="10">
        <v>472</v>
      </c>
      <c r="C470" s="10"/>
      <c r="D470" s="38"/>
      <c r="E470" s="38"/>
      <c r="F470" s="39"/>
      <c r="G470" s="196"/>
      <c r="H470" s="12"/>
      <c r="I470" s="103"/>
      <c r="J470" s="227"/>
      <c r="K470" s="226"/>
      <c r="L470" s="33" t="str">
        <f t="shared" si="16"/>
        <v/>
      </c>
      <c r="M470" s="13" t="str">
        <f t="shared" si="17"/>
        <v/>
      </c>
    </row>
    <row r="471" spans="2:13" x14ac:dyDescent="0.35">
      <c r="B471" s="10">
        <v>473</v>
      </c>
      <c r="C471" s="10"/>
      <c r="D471" s="38"/>
      <c r="E471" s="38"/>
      <c r="F471" s="39"/>
      <c r="G471" s="196"/>
      <c r="H471" s="12"/>
      <c r="I471" s="103"/>
      <c r="J471" s="227"/>
      <c r="K471" s="226"/>
      <c r="L471" s="33" t="str">
        <f t="shared" si="16"/>
        <v/>
      </c>
      <c r="M471" s="13" t="str">
        <f t="shared" si="17"/>
        <v/>
      </c>
    </row>
    <row r="472" spans="2:13" x14ac:dyDescent="0.35">
      <c r="B472" s="10">
        <v>474</v>
      </c>
      <c r="C472" s="10"/>
      <c r="D472" s="38"/>
      <c r="E472" s="38"/>
      <c r="F472" s="39"/>
      <c r="G472" s="196"/>
      <c r="H472" s="12"/>
      <c r="I472" s="103"/>
      <c r="J472" s="227"/>
      <c r="K472" s="226"/>
      <c r="L472" s="33" t="str">
        <f t="shared" si="16"/>
        <v/>
      </c>
      <c r="M472" s="13" t="str">
        <f t="shared" si="17"/>
        <v/>
      </c>
    </row>
    <row r="473" spans="2:13" x14ac:dyDescent="0.35">
      <c r="B473" s="10">
        <v>475</v>
      </c>
      <c r="C473" s="10"/>
      <c r="D473" s="38"/>
      <c r="E473" s="38"/>
      <c r="F473" s="39"/>
      <c r="G473" s="196"/>
      <c r="H473" s="12"/>
      <c r="I473" s="103"/>
      <c r="J473" s="227"/>
      <c r="K473" s="226"/>
      <c r="L473" s="33" t="str">
        <f t="shared" si="16"/>
        <v/>
      </c>
      <c r="M473" s="13" t="str">
        <f t="shared" si="17"/>
        <v/>
      </c>
    </row>
    <row r="474" spans="2:13" x14ac:dyDescent="0.35">
      <c r="B474" s="10">
        <v>476</v>
      </c>
      <c r="C474" s="10"/>
      <c r="D474" s="38"/>
      <c r="E474" s="38"/>
      <c r="F474" s="39"/>
      <c r="G474" s="196"/>
      <c r="H474" s="12"/>
      <c r="I474" s="103"/>
      <c r="J474" s="227"/>
      <c r="K474" s="226"/>
      <c r="L474" s="33" t="str">
        <f t="shared" si="16"/>
        <v/>
      </c>
      <c r="M474" s="13" t="str">
        <f t="shared" si="17"/>
        <v/>
      </c>
    </row>
    <row r="475" spans="2:13" x14ac:dyDescent="0.35">
      <c r="B475" s="10">
        <v>477</v>
      </c>
      <c r="C475" s="10"/>
      <c r="D475" s="38"/>
      <c r="E475" s="38"/>
      <c r="F475" s="39"/>
      <c r="G475" s="196"/>
      <c r="H475" s="12"/>
      <c r="I475" s="103"/>
      <c r="J475" s="227"/>
      <c r="K475" s="226"/>
      <c r="L475" s="33" t="str">
        <f t="shared" si="16"/>
        <v/>
      </c>
      <c r="M475" s="13" t="str">
        <f t="shared" si="17"/>
        <v/>
      </c>
    </row>
    <row r="476" spans="2:13" x14ac:dyDescent="0.35">
      <c r="B476" s="10">
        <v>478</v>
      </c>
      <c r="C476" s="10"/>
      <c r="D476" s="38"/>
      <c r="E476" s="38"/>
      <c r="F476" s="39"/>
      <c r="G476" s="196"/>
      <c r="H476" s="12"/>
      <c r="I476" s="103"/>
      <c r="J476" s="227"/>
      <c r="K476" s="226"/>
      <c r="L476" s="33" t="str">
        <f t="shared" si="16"/>
        <v/>
      </c>
      <c r="M476" s="13" t="str">
        <f t="shared" si="17"/>
        <v/>
      </c>
    </row>
    <row r="477" spans="2:13" x14ac:dyDescent="0.35">
      <c r="B477" s="10">
        <v>479</v>
      </c>
      <c r="C477" s="10"/>
      <c r="D477" s="38"/>
      <c r="E477" s="38"/>
      <c r="F477" s="39"/>
      <c r="G477" s="196"/>
      <c r="H477" s="12"/>
      <c r="I477" s="103"/>
      <c r="J477" s="227"/>
      <c r="K477" s="226"/>
      <c r="L477" s="33" t="str">
        <f t="shared" si="16"/>
        <v/>
      </c>
      <c r="M477" s="13" t="str">
        <f t="shared" si="17"/>
        <v/>
      </c>
    </row>
    <row r="478" spans="2:13" x14ac:dyDescent="0.35">
      <c r="B478" s="10">
        <v>480</v>
      </c>
      <c r="C478" s="10"/>
      <c r="D478" s="38"/>
      <c r="E478" s="38"/>
      <c r="F478" s="39"/>
      <c r="G478" s="196"/>
      <c r="H478" s="12"/>
      <c r="I478" s="103"/>
      <c r="J478" s="227"/>
      <c r="K478" s="226"/>
      <c r="L478" s="33" t="str">
        <f t="shared" si="16"/>
        <v/>
      </c>
      <c r="M478" s="13" t="str">
        <f t="shared" si="17"/>
        <v/>
      </c>
    </row>
    <row r="479" spans="2:13" x14ac:dyDescent="0.35">
      <c r="B479" s="10">
        <v>481</v>
      </c>
      <c r="C479" s="10"/>
      <c r="D479" s="38"/>
      <c r="E479" s="38"/>
      <c r="F479" s="39"/>
      <c r="G479" s="196"/>
      <c r="H479" s="12"/>
      <c r="I479" s="103"/>
      <c r="J479" s="227"/>
      <c r="K479" s="226"/>
      <c r="L479" s="33" t="str">
        <f t="shared" si="16"/>
        <v/>
      </c>
      <c r="M479" s="13" t="str">
        <f t="shared" si="17"/>
        <v/>
      </c>
    </row>
    <row r="480" spans="2:13" x14ac:dyDescent="0.35">
      <c r="B480" s="10">
        <v>482</v>
      </c>
      <c r="C480" s="10"/>
      <c r="D480" s="38"/>
      <c r="E480" s="38"/>
      <c r="F480" s="39"/>
      <c r="G480" s="196"/>
      <c r="H480" s="12"/>
      <c r="I480" s="103"/>
      <c r="J480" s="227"/>
      <c r="K480" s="226"/>
      <c r="L480" s="33" t="str">
        <f t="shared" si="16"/>
        <v/>
      </c>
      <c r="M480" s="13" t="str">
        <f t="shared" si="17"/>
        <v/>
      </c>
    </row>
    <row r="481" spans="2:13" x14ac:dyDescent="0.35">
      <c r="B481" s="10">
        <v>483</v>
      </c>
      <c r="C481" s="10"/>
      <c r="D481" s="38"/>
      <c r="E481" s="38"/>
      <c r="F481" s="39"/>
      <c r="G481" s="196"/>
      <c r="H481" s="12"/>
      <c r="I481" s="103"/>
      <c r="J481" s="227"/>
      <c r="K481" s="226"/>
      <c r="L481" s="33" t="str">
        <f t="shared" si="16"/>
        <v/>
      </c>
      <c r="M481" s="13" t="str">
        <f t="shared" si="17"/>
        <v/>
      </c>
    </row>
    <row r="482" spans="2:13" x14ac:dyDescent="0.35">
      <c r="B482" s="10">
        <v>484</v>
      </c>
      <c r="C482" s="10"/>
      <c r="D482" s="38"/>
      <c r="E482" s="38"/>
      <c r="F482" s="39"/>
      <c r="G482" s="196"/>
      <c r="H482" s="12"/>
      <c r="I482" s="103"/>
      <c r="J482" s="227"/>
      <c r="K482" s="226"/>
      <c r="L482" s="33" t="str">
        <f t="shared" si="16"/>
        <v/>
      </c>
      <c r="M482" s="13" t="str">
        <f t="shared" si="17"/>
        <v/>
      </c>
    </row>
    <row r="483" spans="2:13" x14ac:dyDescent="0.35">
      <c r="B483" s="10">
        <v>485</v>
      </c>
      <c r="C483" s="10"/>
      <c r="D483" s="38"/>
      <c r="E483" s="38"/>
      <c r="F483" s="39"/>
      <c r="G483" s="196"/>
      <c r="H483" s="12"/>
      <c r="I483" s="103"/>
      <c r="J483" s="227"/>
      <c r="K483" s="226"/>
      <c r="L483" s="33" t="str">
        <f t="shared" si="16"/>
        <v/>
      </c>
      <c r="M483" s="13" t="str">
        <f t="shared" si="17"/>
        <v/>
      </c>
    </row>
    <row r="484" spans="2:13" x14ac:dyDescent="0.35">
      <c r="B484" s="10">
        <v>486</v>
      </c>
      <c r="C484" s="10"/>
      <c r="D484" s="38"/>
      <c r="E484" s="38"/>
      <c r="F484" s="39"/>
      <c r="G484" s="196"/>
      <c r="H484" s="12"/>
      <c r="I484" s="103"/>
      <c r="J484" s="227"/>
      <c r="K484" s="226"/>
      <c r="L484" s="33" t="str">
        <f t="shared" si="16"/>
        <v/>
      </c>
      <c r="M484" s="13" t="str">
        <f t="shared" si="17"/>
        <v/>
      </c>
    </row>
    <row r="485" spans="2:13" x14ac:dyDescent="0.35">
      <c r="B485" s="10">
        <v>487</v>
      </c>
      <c r="C485" s="10"/>
      <c r="D485" s="38"/>
      <c r="E485" s="38"/>
      <c r="F485" s="39"/>
      <c r="G485" s="196"/>
      <c r="H485" s="12"/>
      <c r="I485" s="103"/>
      <c r="J485" s="227"/>
      <c r="K485" s="226"/>
      <c r="L485" s="33" t="str">
        <f t="shared" si="16"/>
        <v/>
      </c>
      <c r="M485" s="13" t="str">
        <f t="shared" si="17"/>
        <v/>
      </c>
    </row>
    <row r="486" spans="2:13" x14ac:dyDescent="0.35">
      <c r="B486" s="10">
        <v>488</v>
      </c>
      <c r="C486" s="10"/>
      <c r="D486" s="38"/>
      <c r="E486" s="38"/>
      <c r="F486" s="39"/>
      <c r="G486" s="196"/>
      <c r="H486" s="12"/>
      <c r="I486" s="103"/>
      <c r="J486" s="227"/>
      <c r="K486" s="226"/>
      <c r="L486" s="33" t="str">
        <f t="shared" si="16"/>
        <v/>
      </c>
      <c r="M486" s="13" t="str">
        <f t="shared" si="17"/>
        <v/>
      </c>
    </row>
    <row r="487" spans="2:13" x14ac:dyDescent="0.35">
      <c r="B487" s="10">
        <v>489</v>
      </c>
      <c r="C487" s="10"/>
      <c r="D487" s="38"/>
      <c r="E487" s="38"/>
      <c r="F487" s="39"/>
      <c r="G487" s="196"/>
      <c r="H487" s="12"/>
      <c r="I487" s="103"/>
      <c r="J487" s="227"/>
      <c r="K487" s="226"/>
      <c r="L487" s="33" t="str">
        <f t="shared" si="16"/>
        <v/>
      </c>
      <c r="M487" s="13" t="str">
        <f t="shared" si="17"/>
        <v/>
      </c>
    </row>
    <row r="488" spans="2:13" x14ac:dyDescent="0.35">
      <c r="B488" s="10">
        <v>490</v>
      </c>
      <c r="C488" s="10"/>
      <c r="D488" s="38"/>
      <c r="E488" s="38"/>
      <c r="F488" s="39"/>
      <c r="G488" s="196"/>
      <c r="H488" s="12"/>
      <c r="I488" s="103"/>
      <c r="J488" s="227"/>
      <c r="K488" s="226"/>
      <c r="L488" s="33" t="str">
        <f t="shared" si="16"/>
        <v/>
      </c>
      <c r="M488" s="13" t="str">
        <f t="shared" si="17"/>
        <v/>
      </c>
    </row>
    <row r="489" spans="2:13" x14ac:dyDescent="0.35">
      <c r="B489" s="10">
        <v>491</v>
      </c>
      <c r="C489" s="10"/>
      <c r="D489" s="38"/>
      <c r="E489" s="38"/>
      <c r="F489" s="39"/>
      <c r="G489" s="196"/>
      <c r="H489" s="12"/>
      <c r="I489" s="103"/>
      <c r="J489" s="227"/>
      <c r="K489" s="226"/>
      <c r="L489" s="33" t="str">
        <f t="shared" si="16"/>
        <v/>
      </c>
      <c r="M489" s="13" t="str">
        <f t="shared" si="17"/>
        <v/>
      </c>
    </row>
    <row r="490" spans="2:13" x14ac:dyDescent="0.35">
      <c r="B490" s="10">
        <v>492</v>
      </c>
      <c r="C490" s="10"/>
      <c r="D490" s="38"/>
      <c r="E490" s="38"/>
      <c r="F490" s="39"/>
      <c r="G490" s="196"/>
      <c r="H490" s="12"/>
      <c r="I490" s="103"/>
      <c r="J490" s="227"/>
      <c r="K490" s="226"/>
      <c r="L490" s="33" t="str">
        <f t="shared" si="16"/>
        <v/>
      </c>
      <c r="M490" s="13" t="str">
        <f t="shared" si="17"/>
        <v/>
      </c>
    </row>
    <row r="491" spans="2:13" x14ac:dyDescent="0.35">
      <c r="B491" s="10">
        <v>493</v>
      </c>
      <c r="C491" s="10"/>
      <c r="D491" s="38"/>
      <c r="E491" s="38"/>
      <c r="F491" s="39"/>
      <c r="G491" s="196"/>
      <c r="H491" s="12"/>
      <c r="I491" s="103"/>
      <c r="J491" s="227"/>
      <c r="K491" s="226"/>
      <c r="L491" s="33" t="str">
        <f t="shared" si="16"/>
        <v/>
      </c>
      <c r="M491" s="13" t="str">
        <f t="shared" si="17"/>
        <v/>
      </c>
    </row>
    <row r="492" spans="2:13" x14ac:dyDescent="0.35">
      <c r="B492" s="10">
        <v>494</v>
      </c>
      <c r="C492" s="10"/>
      <c r="D492" s="38"/>
      <c r="E492" s="38"/>
      <c r="F492" s="39"/>
      <c r="G492" s="196"/>
      <c r="H492" s="12"/>
      <c r="I492" s="103"/>
      <c r="J492" s="227"/>
      <c r="K492" s="226"/>
      <c r="L492" s="33" t="str">
        <f t="shared" si="16"/>
        <v/>
      </c>
      <c r="M492" s="13" t="str">
        <f t="shared" si="17"/>
        <v/>
      </c>
    </row>
    <row r="493" spans="2:13" x14ac:dyDescent="0.35">
      <c r="B493" s="10">
        <v>495</v>
      </c>
      <c r="C493" s="10"/>
      <c r="D493" s="38"/>
      <c r="E493" s="38"/>
      <c r="F493" s="39"/>
      <c r="G493" s="196"/>
      <c r="H493" s="12"/>
      <c r="I493" s="103"/>
      <c r="J493" s="227"/>
      <c r="K493" s="226"/>
      <c r="L493" s="33" t="str">
        <f t="shared" si="16"/>
        <v/>
      </c>
      <c r="M493" s="13" t="str">
        <f t="shared" si="17"/>
        <v/>
      </c>
    </row>
    <row r="494" spans="2:13" x14ac:dyDescent="0.35">
      <c r="B494" s="10">
        <v>496</v>
      </c>
      <c r="C494" s="10"/>
      <c r="D494" s="38"/>
      <c r="E494" s="38"/>
      <c r="F494" s="39"/>
      <c r="G494" s="196"/>
      <c r="H494" s="12"/>
      <c r="I494" s="103"/>
      <c r="J494" s="227"/>
      <c r="K494" s="226"/>
      <c r="L494" s="33" t="str">
        <f t="shared" si="16"/>
        <v/>
      </c>
      <c r="M494" s="13" t="str">
        <f t="shared" si="17"/>
        <v/>
      </c>
    </row>
    <row r="495" spans="2:13" x14ac:dyDescent="0.35">
      <c r="B495" s="10">
        <v>497</v>
      </c>
      <c r="C495" s="10"/>
      <c r="D495" s="38"/>
      <c r="E495" s="38"/>
      <c r="F495" s="39"/>
      <c r="G495" s="196"/>
      <c r="H495" s="12"/>
      <c r="I495" s="103"/>
      <c r="J495" s="227"/>
      <c r="K495" s="226"/>
      <c r="L495" s="33" t="str">
        <f t="shared" si="16"/>
        <v/>
      </c>
      <c r="M495" s="13" t="str">
        <f t="shared" si="17"/>
        <v/>
      </c>
    </row>
    <row r="496" spans="2:13" x14ac:dyDescent="0.35">
      <c r="B496" s="10">
        <v>498</v>
      </c>
      <c r="C496" s="10"/>
      <c r="D496" s="38"/>
      <c r="E496" s="38"/>
      <c r="F496" s="39"/>
      <c r="G496" s="196"/>
      <c r="H496" s="12"/>
      <c r="I496" s="103"/>
      <c r="J496" s="227"/>
      <c r="K496" s="226"/>
      <c r="L496" s="33" t="str">
        <f t="shared" si="16"/>
        <v/>
      </c>
      <c r="M496" s="13" t="str">
        <f t="shared" si="17"/>
        <v/>
      </c>
    </row>
    <row r="497" spans="2:13" x14ac:dyDescent="0.35">
      <c r="B497" s="10">
        <v>499</v>
      </c>
      <c r="C497" s="10"/>
      <c r="D497" s="38"/>
      <c r="E497" s="38"/>
      <c r="F497" s="39"/>
      <c r="G497" s="196"/>
      <c r="H497" s="12"/>
      <c r="I497" s="103"/>
      <c r="J497" s="227"/>
      <c r="K497" s="226"/>
      <c r="L497" s="33" t="str">
        <f t="shared" si="16"/>
        <v/>
      </c>
      <c r="M497" s="13" t="str">
        <f t="shared" si="17"/>
        <v/>
      </c>
    </row>
    <row r="498" spans="2:13" x14ac:dyDescent="0.35">
      <c r="B498" s="10">
        <v>500</v>
      </c>
      <c r="C498" s="10"/>
      <c r="D498" s="38"/>
      <c r="E498" s="38"/>
      <c r="F498" s="39"/>
      <c r="G498" s="196"/>
      <c r="H498" s="12"/>
      <c r="I498" s="103"/>
      <c r="J498" s="227"/>
      <c r="K498" s="226"/>
      <c r="L498" s="33" t="str">
        <f t="shared" si="16"/>
        <v/>
      </c>
      <c r="M498" s="13" t="str">
        <f t="shared" si="17"/>
        <v/>
      </c>
    </row>
    <row r="499" spans="2:13" x14ac:dyDescent="0.35">
      <c r="B499" s="10">
        <v>501</v>
      </c>
      <c r="C499" s="10"/>
      <c r="D499" s="38"/>
      <c r="E499" s="38"/>
      <c r="F499" s="39"/>
      <c r="G499" s="196"/>
      <c r="H499" s="12"/>
      <c r="I499" s="103"/>
      <c r="J499" s="227"/>
      <c r="K499" s="226"/>
      <c r="L499" s="33" t="str">
        <f t="shared" si="16"/>
        <v/>
      </c>
      <c r="M499" s="13" t="str">
        <f t="shared" si="17"/>
        <v/>
      </c>
    </row>
    <row r="500" spans="2:13" x14ac:dyDescent="0.35">
      <c r="B500" s="10">
        <v>502</v>
      </c>
      <c r="C500" s="10"/>
      <c r="D500" s="38"/>
      <c r="E500" s="38"/>
      <c r="F500" s="39"/>
      <c r="G500" s="196"/>
      <c r="H500" s="12"/>
      <c r="I500" s="103"/>
      <c r="J500" s="227"/>
      <c r="K500" s="226"/>
      <c r="L500" s="33" t="str">
        <f t="shared" si="16"/>
        <v/>
      </c>
      <c r="M500" s="13" t="str">
        <f t="shared" si="17"/>
        <v/>
      </c>
    </row>
    <row r="501" spans="2:13" x14ac:dyDescent="0.35">
      <c r="B501" s="10">
        <v>503</v>
      </c>
      <c r="C501" s="10"/>
      <c r="D501" s="38"/>
      <c r="E501" s="38"/>
      <c r="F501" s="39"/>
      <c r="G501" s="196"/>
      <c r="H501" s="12"/>
      <c r="I501" s="103"/>
      <c r="J501" s="227"/>
      <c r="K501" s="226"/>
      <c r="L501" s="33" t="str">
        <f t="shared" si="16"/>
        <v/>
      </c>
      <c r="M501" s="13" t="str">
        <f t="shared" si="17"/>
        <v/>
      </c>
    </row>
    <row r="502" spans="2:13" x14ac:dyDescent="0.35">
      <c r="B502" s="10">
        <v>504</v>
      </c>
      <c r="C502" s="10"/>
      <c r="D502" s="38"/>
      <c r="E502" s="38"/>
      <c r="F502" s="39"/>
      <c r="G502" s="196"/>
      <c r="H502" s="12"/>
      <c r="I502" s="103"/>
      <c r="J502" s="227"/>
      <c r="K502" s="226"/>
      <c r="L502" s="33" t="str">
        <f t="shared" si="16"/>
        <v/>
      </c>
      <c r="M502" s="13" t="str">
        <f t="shared" si="17"/>
        <v/>
      </c>
    </row>
    <row r="503" spans="2:13" x14ac:dyDescent="0.35">
      <c r="B503" s="10">
        <v>505</v>
      </c>
      <c r="C503" s="10"/>
      <c r="D503" s="38"/>
      <c r="E503" s="38"/>
      <c r="F503" s="39"/>
      <c r="G503" s="196"/>
      <c r="H503" s="12"/>
      <c r="I503" s="103"/>
      <c r="J503" s="227"/>
      <c r="K503" s="226"/>
      <c r="L503" s="33" t="str">
        <f t="shared" si="16"/>
        <v/>
      </c>
      <c r="M503" s="13" t="str">
        <f t="shared" si="17"/>
        <v/>
      </c>
    </row>
    <row r="504" spans="2:13" x14ac:dyDescent="0.35">
      <c r="B504" s="10">
        <v>506</v>
      </c>
      <c r="C504" s="10"/>
      <c r="D504" s="38"/>
      <c r="E504" s="38"/>
      <c r="F504" s="39"/>
      <c r="G504" s="196"/>
      <c r="H504" s="12"/>
      <c r="I504" s="103"/>
      <c r="J504" s="227"/>
      <c r="K504" s="226"/>
      <c r="L504" s="33" t="str">
        <f t="shared" si="16"/>
        <v/>
      </c>
      <c r="M504" s="13" t="str">
        <f t="shared" si="17"/>
        <v/>
      </c>
    </row>
    <row r="505" spans="2:13" x14ac:dyDescent="0.35">
      <c r="B505" s="10">
        <v>507</v>
      </c>
      <c r="C505" s="10"/>
      <c r="D505" s="38"/>
      <c r="E505" s="38"/>
      <c r="F505" s="39"/>
      <c r="G505" s="196"/>
      <c r="H505" s="12"/>
      <c r="I505" s="103"/>
      <c r="J505" s="227"/>
      <c r="K505" s="226"/>
      <c r="L505" s="33" t="str">
        <f t="shared" si="16"/>
        <v/>
      </c>
      <c r="M505" s="13" t="str">
        <f t="shared" si="17"/>
        <v/>
      </c>
    </row>
    <row r="506" spans="2:13" x14ac:dyDescent="0.35">
      <c r="B506" s="10">
        <v>508</v>
      </c>
      <c r="C506" s="10"/>
      <c r="D506" s="38"/>
      <c r="E506" s="38"/>
      <c r="F506" s="39"/>
      <c r="G506" s="196"/>
      <c r="H506" s="12"/>
      <c r="I506" s="103"/>
      <c r="J506" s="227"/>
      <c r="K506" s="226"/>
      <c r="L506" s="33" t="str">
        <f t="shared" si="16"/>
        <v/>
      </c>
      <c r="M506" s="13" t="str">
        <f t="shared" si="17"/>
        <v/>
      </c>
    </row>
    <row r="507" spans="2:13" x14ac:dyDescent="0.35">
      <c r="B507" s="10">
        <v>509</v>
      </c>
      <c r="C507" s="10"/>
      <c r="D507" s="38"/>
      <c r="E507" s="38"/>
      <c r="F507" s="39"/>
      <c r="G507" s="196"/>
      <c r="H507" s="12"/>
      <c r="I507" s="103"/>
      <c r="J507" s="227"/>
      <c r="K507" s="226"/>
      <c r="L507" s="33" t="str">
        <f t="shared" si="16"/>
        <v/>
      </c>
      <c r="M507" s="13" t="str">
        <f t="shared" si="17"/>
        <v/>
      </c>
    </row>
    <row r="508" spans="2:13" x14ac:dyDescent="0.35">
      <c r="B508" s="10">
        <v>510</v>
      </c>
      <c r="C508" s="10"/>
      <c r="D508" s="38"/>
      <c r="E508" s="38"/>
      <c r="F508" s="39"/>
      <c r="G508" s="196"/>
      <c r="H508" s="12"/>
      <c r="I508" s="103"/>
      <c r="J508" s="227"/>
      <c r="K508" s="226"/>
      <c r="L508" s="33" t="str">
        <f t="shared" si="16"/>
        <v/>
      </c>
      <c r="M508" s="13" t="str">
        <f t="shared" si="17"/>
        <v/>
      </c>
    </row>
    <row r="509" spans="2:13" x14ac:dyDescent="0.35">
      <c r="B509" s="10">
        <v>511</v>
      </c>
      <c r="C509" s="10"/>
      <c r="D509" s="38"/>
      <c r="E509" s="38"/>
      <c r="F509" s="39"/>
      <c r="G509" s="196"/>
      <c r="H509" s="12"/>
      <c r="I509" s="103"/>
      <c r="J509" s="227"/>
      <c r="K509" s="226"/>
      <c r="L509" s="33" t="str">
        <f t="shared" si="16"/>
        <v/>
      </c>
      <c r="M509" s="13" t="str">
        <f t="shared" si="17"/>
        <v/>
      </c>
    </row>
    <row r="510" spans="2:13" x14ac:dyDescent="0.35">
      <c r="B510" s="10">
        <v>512</v>
      </c>
      <c r="C510" s="10"/>
      <c r="D510" s="38"/>
      <c r="E510" s="38"/>
      <c r="F510" s="39"/>
      <c r="G510" s="196"/>
      <c r="H510" s="12"/>
      <c r="I510" s="103"/>
      <c r="J510" s="227"/>
      <c r="K510" s="226"/>
      <c r="L510" s="33" t="str">
        <f t="shared" si="16"/>
        <v/>
      </c>
      <c r="M510" s="13" t="str">
        <f t="shared" si="17"/>
        <v/>
      </c>
    </row>
    <row r="511" spans="2:13" x14ac:dyDescent="0.35">
      <c r="B511" s="10">
        <v>513</v>
      </c>
      <c r="C511" s="10"/>
      <c r="D511" s="38"/>
      <c r="E511" s="38"/>
      <c r="F511" s="39"/>
      <c r="G511" s="196"/>
      <c r="H511" s="12"/>
      <c r="I511" s="103"/>
      <c r="J511" s="227"/>
      <c r="K511" s="226"/>
      <c r="L511" s="33" t="str">
        <f t="shared" si="16"/>
        <v/>
      </c>
      <c r="M511" s="13" t="str">
        <f t="shared" si="17"/>
        <v/>
      </c>
    </row>
    <row r="512" spans="2:13" x14ac:dyDescent="0.35">
      <c r="B512" s="10">
        <v>514</v>
      </c>
      <c r="C512" s="10"/>
      <c r="D512" s="38"/>
      <c r="E512" s="38"/>
      <c r="F512" s="39"/>
      <c r="G512" s="196"/>
      <c r="H512" s="12"/>
      <c r="I512" s="103"/>
      <c r="J512" s="227"/>
      <c r="K512" s="226"/>
      <c r="L512" s="33" t="str">
        <f t="shared" si="16"/>
        <v/>
      </c>
      <c r="M512" s="13" t="str">
        <f t="shared" si="17"/>
        <v/>
      </c>
    </row>
    <row r="513" spans="2:13" x14ac:dyDescent="0.35">
      <c r="B513" s="10">
        <v>515</v>
      </c>
      <c r="C513" s="10"/>
      <c r="D513" s="38"/>
      <c r="E513" s="38"/>
      <c r="F513" s="39"/>
      <c r="G513" s="196"/>
      <c r="H513" s="12"/>
      <c r="I513" s="103"/>
      <c r="J513" s="227"/>
      <c r="K513" s="226"/>
      <c r="L513" s="33" t="str">
        <f t="shared" ref="L513:L576" si="18">IF(OR(J513="", K513=""), "", NETWORKDAYS(J513,K513))</f>
        <v/>
      </c>
      <c r="M513" s="13" t="str">
        <f t="shared" ref="M513:M576" si="19">IF(I513="SEA", 10, IF(I513="AIR", 5, ""))</f>
        <v/>
      </c>
    </row>
    <row r="514" spans="2:13" x14ac:dyDescent="0.35">
      <c r="B514" s="10">
        <v>516</v>
      </c>
      <c r="C514" s="10"/>
      <c r="D514" s="38"/>
      <c r="E514" s="38"/>
      <c r="F514" s="39"/>
      <c r="G514" s="196"/>
      <c r="H514" s="12"/>
      <c r="I514" s="103"/>
      <c r="J514" s="227"/>
      <c r="K514" s="226"/>
      <c r="L514" s="33" t="str">
        <f t="shared" si="18"/>
        <v/>
      </c>
      <c r="M514" s="13" t="str">
        <f t="shared" si="19"/>
        <v/>
      </c>
    </row>
    <row r="515" spans="2:13" x14ac:dyDescent="0.35">
      <c r="B515" s="10">
        <v>517</v>
      </c>
      <c r="C515" s="10"/>
      <c r="D515" s="38"/>
      <c r="E515" s="38"/>
      <c r="F515" s="39"/>
      <c r="G515" s="196"/>
      <c r="H515" s="12"/>
      <c r="I515" s="103"/>
      <c r="J515" s="227"/>
      <c r="K515" s="226"/>
      <c r="L515" s="33" t="str">
        <f t="shared" si="18"/>
        <v/>
      </c>
      <c r="M515" s="13" t="str">
        <f t="shared" si="19"/>
        <v/>
      </c>
    </row>
    <row r="516" spans="2:13" x14ac:dyDescent="0.35">
      <c r="B516" s="10">
        <v>518</v>
      </c>
      <c r="C516" s="10"/>
      <c r="D516" s="38"/>
      <c r="E516" s="38"/>
      <c r="F516" s="39"/>
      <c r="G516" s="196"/>
      <c r="H516" s="12"/>
      <c r="I516" s="103"/>
      <c r="J516" s="227"/>
      <c r="K516" s="226"/>
      <c r="L516" s="33" t="str">
        <f t="shared" si="18"/>
        <v/>
      </c>
      <c r="M516" s="13" t="str">
        <f t="shared" si="19"/>
        <v/>
      </c>
    </row>
    <row r="517" spans="2:13" x14ac:dyDescent="0.35">
      <c r="B517" s="10">
        <v>519</v>
      </c>
      <c r="C517" s="10"/>
      <c r="D517" s="38"/>
      <c r="E517" s="38"/>
      <c r="F517" s="39"/>
      <c r="G517" s="196"/>
      <c r="H517" s="12"/>
      <c r="I517" s="103"/>
      <c r="J517" s="227"/>
      <c r="K517" s="226"/>
      <c r="L517" s="33" t="str">
        <f t="shared" si="18"/>
        <v/>
      </c>
      <c r="M517" s="13" t="str">
        <f t="shared" si="19"/>
        <v/>
      </c>
    </row>
    <row r="518" spans="2:13" x14ac:dyDescent="0.35">
      <c r="B518" s="10">
        <v>520</v>
      </c>
      <c r="C518" s="10"/>
      <c r="D518" s="38"/>
      <c r="E518" s="38"/>
      <c r="F518" s="39"/>
      <c r="G518" s="196"/>
      <c r="H518" s="12"/>
      <c r="I518" s="103"/>
      <c r="J518" s="227"/>
      <c r="K518" s="226"/>
      <c r="L518" s="33" t="str">
        <f t="shared" si="18"/>
        <v/>
      </c>
      <c r="M518" s="13" t="str">
        <f t="shared" si="19"/>
        <v/>
      </c>
    </row>
    <row r="519" spans="2:13" x14ac:dyDescent="0.35">
      <c r="B519" s="10">
        <v>521</v>
      </c>
      <c r="C519" s="10"/>
      <c r="D519" s="38"/>
      <c r="E519" s="38"/>
      <c r="F519" s="39"/>
      <c r="G519" s="196"/>
      <c r="H519" s="12"/>
      <c r="I519" s="103"/>
      <c r="J519" s="227"/>
      <c r="K519" s="226"/>
      <c r="L519" s="33" t="str">
        <f t="shared" si="18"/>
        <v/>
      </c>
      <c r="M519" s="13" t="str">
        <f t="shared" si="19"/>
        <v/>
      </c>
    </row>
    <row r="520" spans="2:13" x14ac:dyDescent="0.35">
      <c r="B520" s="10">
        <v>522</v>
      </c>
      <c r="C520" s="10"/>
      <c r="D520" s="38"/>
      <c r="E520" s="38"/>
      <c r="F520" s="39"/>
      <c r="G520" s="196"/>
      <c r="H520" s="12"/>
      <c r="I520" s="103"/>
      <c r="J520" s="227"/>
      <c r="K520" s="226"/>
      <c r="L520" s="33" t="str">
        <f t="shared" si="18"/>
        <v/>
      </c>
      <c r="M520" s="13" t="str">
        <f t="shared" si="19"/>
        <v/>
      </c>
    </row>
    <row r="521" spans="2:13" x14ac:dyDescent="0.35">
      <c r="B521" s="10">
        <v>523</v>
      </c>
      <c r="C521" s="10"/>
      <c r="D521" s="38"/>
      <c r="E521" s="38"/>
      <c r="F521" s="39"/>
      <c r="G521" s="196"/>
      <c r="H521" s="12"/>
      <c r="I521" s="103"/>
      <c r="J521" s="227"/>
      <c r="K521" s="226"/>
      <c r="L521" s="33" t="str">
        <f t="shared" si="18"/>
        <v/>
      </c>
      <c r="M521" s="13" t="str">
        <f t="shared" si="19"/>
        <v/>
      </c>
    </row>
    <row r="522" spans="2:13" x14ac:dyDescent="0.35">
      <c r="B522" s="10">
        <v>524</v>
      </c>
      <c r="C522" s="10"/>
      <c r="D522" s="38"/>
      <c r="E522" s="38"/>
      <c r="F522" s="39"/>
      <c r="G522" s="196"/>
      <c r="H522" s="12"/>
      <c r="I522" s="103"/>
      <c r="J522" s="227"/>
      <c r="K522" s="226"/>
      <c r="L522" s="33" t="str">
        <f t="shared" si="18"/>
        <v/>
      </c>
      <c r="M522" s="13" t="str">
        <f t="shared" si="19"/>
        <v/>
      </c>
    </row>
    <row r="523" spans="2:13" x14ac:dyDescent="0.35">
      <c r="B523" s="10">
        <v>525</v>
      </c>
      <c r="C523" s="10"/>
      <c r="D523" s="38"/>
      <c r="E523" s="38"/>
      <c r="F523" s="39"/>
      <c r="G523" s="196"/>
      <c r="H523" s="12"/>
      <c r="I523" s="103"/>
      <c r="J523" s="227"/>
      <c r="K523" s="226"/>
      <c r="L523" s="33" t="str">
        <f t="shared" si="18"/>
        <v/>
      </c>
      <c r="M523" s="13" t="str">
        <f t="shared" si="19"/>
        <v/>
      </c>
    </row>
    <row r="524" spans="2:13" x14ac:dyDescent="0.35">
      <c r="B524" s="10">
        <v>526</v>
      </c>
      <c r="C524" s="10"/>
      <c r="D524" s="38"/>
      <c r="E524" s="38"/>
      <c r="F524" s="39"/>
      <c r="G524" s="196"/>
      <c r="H524" s="12"/>
      <c r="I524" s="103"/>
      <c r="J524" s="227"/>
      <c r="K524" s="226"/>
      <c r="L524" s="33" t="str">
        <f t="shared" si="18"/>
        <v/>
      </c>
      <c r="M524" s="13" t="str">
        <f t="shared" si="19"/>
        <v/>
      </c>
    </row>
    <row r="525" spans="2:13" x14ac:dyDescent="0.35">
      <c r="B525" s="10">
        <v>527</v>
      </c>
      <c r="C525" s="10"/>
      <c r="D525" s="38"/>
      <c r="E525" s="38"/>
      <c r="F525" s="39"/>
      <c r="G525" s="196"/>
      <c r="H525" s="12"/>
      <c r="I525" s="103"/>
      <c r="J525" s="227"/>
      <c r="K525" s="226"/>
      <c r="L525" s="33" t="str">
        <f t="shared" si="18"/>
        <v/>
      </c>
      <c r="M525" s="13" t="str">
        <f t="shared" si="19"/>
        <v/>
      </c>
    </row>
    <row r="526" spans="2:13" x14ac:dyDescent="0.35">
      <c r="B526" s="10">
        <v>528</v>
      </c>
      <c r="C526" s="10"/>
      <c r="D526" s="38"/>
      <c r="E526" s="38"/>
      <c r="F526" s="39"/>
      <c r="G526" s="196"/>
      <c r="H526" s="12"/>
      <c r="I526" s="103"/>
      <c r="J526" s="227"/>
      <c r="K526" s="226"/>
      <c r="L526" s="33" t="str">
        <f t="shared" si="18"/>
        <v/>
      </c>
      <c r="M526" s="13" t="str">
        <f t="shared" si="19"/>
        <v/>
      </c>
    </row>
    <row r="527" spans="2:13" x14ac:dyDescent="0.35">
      <c r="B527" s="10">
        <v>529</v>
      </c>
      <c r="C527" s="10"/>
      <c r="D527" s="38"/>
      <c r="E527" s="38"/>
      <c r="F527" s="39"/>
      <c r="G527" s="196"/>
      <c r="H527" s="12"/>
      <c r="I527" s="103"/>
      <c r="J527" s="227"/>
      <c r="K527" s="226"/>
      <c r="L527" s="33" t="str">
        <f t="shared" si="18"/>
        <v/>
      </c>
      <c r="M527" s="13" t="str">
        <f t="shared" si="19"/>
        <v/>
      </c>
    </row>
    <row r="528" spans="2:13" x14ac:dyDescent="0.35">
      <c r="B528" s="10">
        <v>530</v>
      </c>
      <c r="C528" s="10"/>
      <c r="D528" s="38"/>
      <c r="E528" s="38"/>
      <c r="F528" s="39"/>
      <c r="G528" s="196"/>
      <c r="H528" s="12"/>
      <c r="I528" s="103"/>
      <c r="J528" s="227"/>
      <c r="K528" s="226"/>
      <c r="L528" s="33" t="str">
        <f t="shared" si="18"/>
        <v/>
      </c>
      <c r="M528" s="13" t="str">
        <f t="shared" si="19"/>
        <v/>
      </c>
    </row>
    <row r="529" spans="2:13" x14ac:dyDescent="0.35">
      <c r="B529" s="10">
        <v>531</v>
      </c>
      <c r="C529" s="10"/>
      <c r="D529" s="38"/>
      <c r="E529" s="38"/>
      <c r="F529" s="39"/>
      <c r="G529" s="196"/>
      <c r="H529" s="12"/>
      <c r="I529" s="103"/>
      <c r="J529" s="227"/>
      <c r="K529" s="226"/>
      <c r="L529" s="33" t="str">
        <f t="shared" si="18"/>
        <v/>
      </c>
      <c r="M529" s="13" t="str">
        <f t="shared" si="19"/>
        <v/>
      </c>
    </row>
    <row r="530" spans="2:13" x14ac:dyDescent="0.35">
      <c r="B530" s="10">
        <v>532</v>
      </c>
      <c r="C530" s="10"/>
      <c r="D530" s="38"/>
      <c r="E530" s="38"/>
      <c r="F530" s="39"/>
      <c r="G530" s="196"/>
      <c r="H530" s="12"/>
      <c r="I530" s="103"/>
      <c r="J530" s="227"/>
      <c r="K530" s="226"/>
      <c r="L530" s="33" t="str">
        <f t="shared" si="18"/>
        <v/>
      </c>
      <c r="M530" s="13" t="str">
        <f t="shared" si="19"/>
        <v/>
      </c>
    </row>
    <row r="531" spans="2:13" x14ac:dyDescent="0.35">
      <c r="B531" s="10">
        <v>533</v>
      </c>
      <c r="C531" s="10"/>
      <c r="D531" s="38"/>
      <c r="E531" s="38"/>
      <c r="F531" s="39"/>
      <c r="G531" s="196"/>
      <c r="H531" s="12"/>
      <c r="I531" s="103"/>
      <c r="J531" s="227"/>
      <c r="K531" s="226"/>
      <c r="L531" s="33" t="str">
        <f t="shared" si="18"/>
        <v/>
      </c>
      <c r="M531" s="13" t="str">
        <f t="shared" si="19"/>
        <v/>
      </c>
    </row>
    <row r="532" spans="2:13" x14ac:dyDescent="0.35">
      <c r="B532" s="10">
        <v>534</v>
      </c>
      <c r="C532" s="10"/>
      <c r="D532" s="38"/>
      <c r="E532" s="38"/>
      <c r="F532" s="39"/>
      <c r="G532" s="196"/>
      <c r="H532" s="12"/>
      <c r="I532" s="103"/>
      <c r="J532" s="227"/>
      <c r="K532" s="226"/>
      <c r="L532" s="33" t="str">
        <f t="shared" si="18"/>
        <v/>
      </c>
      <c r="M532" s="13" t="str">
        <f t="shared" si="19"/>
        <v/>
      </c>
    </row>
    <row r="533" spans="2:13" x14ac:dyDescent="0.35">
      <c r="B533" s="10">
        <v>535</v>
      </c>
      <c r="C533" s="10"/>
      <c r="D533" s="38"/>
      <c r="E533" s="38"/>
      <c r="F533" s="39"/>
      <c r="G533" s="196"/>
      <c r="H533" s="12"/>
      <c r="I533" s="103"/>
      <c r="J533" s="227"/>
      <c r="K533" s="226"/>
      <c r="L533" s="33" t="str">
        <f t="shared" si="18"/>
        <v/>
      </c>
      <c r="M533" s="13" t="str">
        <f t="shared" si="19"/>
        <v/>
      </c>
    </row>
    <row r="534" spans="2:13" x14ac:dyDescent="0.35">
      <c r="B534" s="10">
        <v>536</v>
      </c>
      <c r="C534" s="10"/>
      <c r="D534" s="38"/>
      <c r="E534" s="38"/>
      <c r="F534" s="39"/>
      <c r="G534" s="196"/>
      <c r="H534" s="12"/>
      <c r="I534" s="103"/>
      <c r="J534" s="227"/>
      <c r="K534" s="226"/>
      <c r="L534" s="33" t="str">
        <f t="shared" si="18"/>
        <v/>
      </c>
      <c r="M534" s="13" t="str">
        <f t="shared" si="19"/>
        <v/>
      </c>
    </row>
    <row r="535" spans="2:13" x14ac:dyDescent="0.35">
      <c r="B535" s="10">
        <v>537</v>
      </c>
      <c r="C535" s="10"/>
      <c r="D535" s="38"/>
      <c r="E535" s="38"/>
      <c r="F535" s="39"/>
      <c r="G535" s="196"/>
      <c r="H535" s="12"/>
      <c r="I535" s="103"/>
      <c r="J535" s="227"/>
      <c r="K535" s="226"/>
      <c r="L535" s="33" t="str">
        <f t="shared" si="18"/>
        <v/>
      </c>
      <c r="M535" s="13" t="str">
        <f t="shared" si="19"/>
        <v/>
      </c>
    </row>
    <row r="536" spans="2:13" x14ac:dyDescent="0.35">
      <c r="B536" s="10">
        <v>538</v>
      </c>
      <c r="C536" s="10"/>
      <c r="D536" s="38"/>
      <c r="E536" s="38"/>
      <c r="F536" s="39"/>
      <c r="G536" s="196"/>
      <c r="H536" s="12"/>
      <c r="I536" s="103"/>
      <c r="J536" s="227"/>
      <c r="K536" s="226"/>
      <c r="L536" s="33" t="str">
        <f t="shared" si="18"/>
        <v/>
      </c>
      <c r="M536" s="13" t="str">
        <f t="shared" si="19"/>
        <v/>
      </c>
    </row>
    <row r="537" spans="2:13" x14ac:dyDescent="0.35">
      <c r="B537" s="10">
        <v>539</v>
      </c>
      <c r="C537" s="10"/>
      <c r="D537" s="38"/>
      <c r="E537" s="38"/>
      <c r="F537" s="39"/>
      <c r="G537" s="196"/>
      <c r="H537" s="12"/>
      <c r="I537" s="103"/>
      <c r="J537" s="227"/>
      <c r="K537" s="226"/>
      <c r="L537" s="33" t="str">
        <f t="shared" si="18"/>
        <v/>
      </c>
      <c r="M537" s="13" t="str">
        <f t="shared" si="19"/>
        <v/>
      </c>
    </row>
    <row r="538" spans="2:13" x14ac:dyDescent="0.35">
      <c r="B538" s="10">
        <v>540</v>
      </c>
      <c r="C538" s="10"/>
      <c r="D538" s="38"/>
      <c r="E538" s="38"/>
      <c r="F538" s="39"/>
      <c r="G538" s="196"/>
      <c r="H538" s="12"/>
      <c r="I538" s="103"/>
      <c r="J538" s="227"/>
      <c r="K538" s="226"/>
      <c r="L538" s="33" t="str">
        <f t="shared" si="18"/>
        <v/>
      </c>
      <c r="M538" s="13" t="str">
        <f t="shared" si="19"/>
        <v/>
      </c>
    </row>
    <row r="539" spans="2:13" x14ac:dyDescent="0.35">
      <c r="B539" s="10">
        <v>541</v>
      </c>
      <c r="C539" s="10"/>
      <c r="D539" s="38"/>
      <c r="E539" s="38"/>
      <c r="F539" s="39"/>
      <c r="G539" s="196"/>
      <c r="H539" s="12"/>
      <c r="I539" s="103"/>
      <c r="J539" s="227"/>
      <c r="K539" s="226"/>
      <c r="L539" s="33" t="str">
        <f t="shared" si="18"/>
        <v/>
      </c>
      <c r="M539" s="13" t="str">
        <f t="shared" si="19"/>
        <v/>
      </c>
    </row>
    <row r="540" spans="2:13" x14ac:dyDescent="0.35">
      <c r="B540" s="10">
        <v>542</v>
      </c>
      <c r="C540" s="10"/>
      <c r="D540" s="38"/>
      <c r="E540" s="38"/>
      <c r="F540" s="39"/>
      <c r="G540" s="196"/>
      <c r="H540" s="12"/>
      <c r="I540" s="103"/>
      <c r="J540" s="227"/>
      <c r="K540" s="226"/>
      <c r="L540" s="33" t="str">
        <f t="shared" si="18"/>
        <v/>
      </c>
      <c r="M540" s="13" t="str">
        <f t="shared" si="19"/>
        <v/>
      </c>
    </row>
    <row r="541" spans="2:13" x14ac:dyDescent="0.35">
      <c r="B541" s="10">
        <v>543</v>
      </c>
      <c r="C541" s="10"/>
      <c r="D541" s="38"/>
      <c r="E541" s="38"/>
      <c r="F541" s="39"/>
      <c r="G541" s="196"/>
      <c r="H541" s="12"/>
      <c r="I541" s="103"/>
      <c r="J541" s="227"/>
      <c r="K541" s="226"/>
      <c r="L541" s="33" t="str">
        <f t="shared" si="18"/>
        <v/>
      </c>
      <c r="M541" s="13" t="str">
        <f t="shared" si="19"/>
        <v/>
      </c>
    </row>
    <row r="542" spans="2:13" x14ac:dyDescent="0.35">
      <c r="B542" s="10">
        <v>544</v>
      </c>
      <c r="C542" s="10"/>
      <c r="D542" s="38"/>
      <c r="E542" s="38"/>
      <c r="F542" s="39"/>
      <c r="G542" s="196"/>
      <c r="H542" s="12"/>
      <c r="I542" s="103"/>
      <c r="J542" s="227"/>
      <c r="K542" s="226"/>
      <c r="L542" s="33" t="str">
        <f t="shared" si="18"/>
        <v/>
      </c>
      <c r="M542" s="13" t="str">
        <f t="shared" si="19"/>
        <v/>
      </c>
    </row>
    <row r="543" spans="2:13" x14ac:dyDescent="0.35">
      <c r="B543" s="10">
        <v>545</v>
      </c>
      <c r="C543" s="10"/>
      <c r="D543" s="38"/>
      <c r="E543" s="38"/>
      <c r="F543" s="39"/>
      <c r="G543" s="196"/>
      <c r="H543" s="12"/>
      <c r="I543" s="103"/>
      <c r="J543" s="227"/>
      <c r="K543" s="226"/>
      <c r="L543" s="33" t="str">
        <f t="shared" si="18"/>
        <v/>
      </c>
      <c r="M543" s="13" t="str">
        <f t="shared" si="19"/>
        <v/>
      </c>
    </row>
    <row r="544" spans="2:13" x14ac:dyDescent="0.35">
      <c r="B544" s="10">
        <v>546</v>
      </c>
      <c r="C544" s="10"/>
      <c r="D544" s="38"/>
      <c r="E544" s="38"/>
      <c r="F544" s="39"/>
      <c r="G544" s="196"/>
      <c r="H544" s="12"/>
      <c r="I544" s="103"/>
      <c r="J544" s="227"/>
      <c r="K544" s="226"/>
      <c r="L544" s="33" t="str">
        <f t="shared" si="18"/>
        <v/>
      </c>
      <c r="M544" s="13" t="str">
        <f t="shared" si="19"/>
        <v/>
      </c>
    </row>
    <row r="545" spans="2:13" x14ac:dyDescent="0.35">
      <c r="B545" s="10">
        <v>547</v>
      </c>
      <c r="C545" s="10"/>
      <c r="D545" s="38"/>
      <c r="E545" s="38"/>
      <c r="F545" s="39"/>
      <c r="G545" s="196"/>
      <c r="H545" s="12"/>
      <c r="I545" s="103"/>
      <c r="J545" s="227"/>
      <c r="K545" s="226"/>
      <c r="L545" s="33" t="str">
        <f t="shared" si="18"/>
        <v/>
      </c>
      <c r="M545" s="13" t="str">
        <f t="shared" si="19"/>
        <v/>
      </c>
    </row>
    <row r="546" spans="2:13" x14ac:dyDescent="0.35">
      <c r="B546" s="10">
        <v>548</v>
      </c>
      <c r="C546" s="10"/>
      <c r="D546" s="38"/>
      <c r="E546" s="38"/>
      <c r="F546" s="39"/>
      <c r="G546" s="196"/>
      <c r="H546" s="12"/>
      <c r="I546" s="103"/>
      <c r="J546" s="227"/>
      <c r="K546" s="226"/>
      <c r="L546" s="33" t="str">
        <f t="shared" si="18"/>
        <v/>
      </c>
      <c r="M546" s="13" t="str">
        <f t="shared" si="19"/>
        <v/>
      </c>
    </row>
    <row r="547" spans="2:13" x14ac:dyDescent="0.35">
      <c r="B547" s="10">
        <v>549</v>
      </c>
      <c r="C547" s="10"/>
      <c r="D547" s="38"/>
      <c r="E547" s="38"/>
      <c r="F547" s="39"/>
      <c r="G547" s="196"/>
      <c r="H547" s="12"/>
      <c r="I547" s="103"/>
      <c r="J547" s="227"/>
      <c r="K547" s="226"/>
      <c r="L547" s="33" t="str">
        <f t="shared" si="18"/>
        <v/>
      </c>
      <c r="M547" s="13" t="str">
        <f t="shared" si="19"/>
        <v/>
      </c>
    </row>
    <row r="548" spans="2:13" x14ac:dyDescent="0.35">
      <c r="B548" s="10">
        <v>550</v>
      </c>
      <c r="C548" s="10"/>
      <c r="D548" s="38"/>
      <c r="E548" s="38"/>
      <c r="F548" s="39"/>
      <c r="G548" s="196"/>
      <c r="H548" s="12"/>
      <c r="I548" s="103"/>
      <c r="J548" s="227"/>
      <c r="K548" s="226"/>
      <c r="L548" s="33" t="str">
        <f t="shared" si="18"/>
        <v/>
      </c>
      <c r="M548" s="13" t="str">
        <f t="shared" si="19"/>
        <v/>
      </c>
    </row>
    <row r="549" spans="2:13" x14ac:dyDescent="0.35">
      <c r="B549" s="10">
        <v>551</v>
      </c>
      <c r="C549" s="10"/>
      <c r="D549" s="38"/>
      <c r="E549" s="38"/>
      <c r="F549" s="39"/>
      <c r="G549" s="196"/>
      <c r="H549" s="12"/>
      <c r="I549" s="103"/>
      <c r="J549" s="227"/>
      <c r="K549" s="226"/>
      <c r="L549" s="33" t="str">
        <f t="shared" si="18"/>
        <v/>
      </c>
      <c r="M549" s="13" t="str">
        <f t="shared" si="19"/>
        <v/>
      </c>
    </row>
    <row r="550" spans="2:13" x14ac:dyDescent="0.35">
      <c r="B550" s="10">
        <v>552</v>
      </c>
      <c r="C550" s="10"/>
      <c r="D550" s="38"/>
      <c r="E550" s="38"/>
      <c r="F550" s="39"/>
      <c r="G550" s="196"/>
      <c r="H550" s="12"/>
      <c r="I550" s="103"/>
      <c r="J550" s="227"/>
      <c r="K550" s="226"/>
      <c r="L550" s="33" t="str">
        <f t="shared" si="18"/>
        <v/>
      </c>
      <c r="M550" s="13" t="str">
        <f t="shared" si="19"/>
        <v/>
      </c>
    </row>
    <row r="551" spans="2:13" x14ac:dyDescent="0.35">
      <c r="B551" s="10">
        <v>553</v>
      </c>
      <c r="C551" s="10"/>
      <c r="D551" s="38"/>
      <c r="E551" s="38"/>
      <c r="F551" s="39"/>
      <c r="G551" s="196"/>
      <c r="H551" s="12"/>
      <c r="I551" s="103"/>
      <c r="J551" s="227"/>
      <c r="K551" s="226"/>
      <c r="L551" s="33" t="str">
        <f t="shared" si="18"/>
        <v/>
      </c>
      <c r="M551" s="13" t="str">
        <f t="shared" si="19"/>
        <v/>
      </c>
    </row>
    <row r="552" spans="2:13" x14ac:dyDescent="0.35">
      <c r="B552" s="10">
        <v>554</v>
      </c>
      <c r="C552" s="10"/>
      <c r="D552" s="38"/>
      <c r="E552" s="38"/>
      <c r="F552" s="39"/>
      <c r="G552" s="196"/>
      <c r="H552" s="12"/>
      <c r="I552" s="103"/>
      <c r="J552" s="227"/>
      <c r="K552" s="226"/>
      <c r="L552" s="33" t="str">
        <f t="shared" si="18"/>
        <v/>
      </c>
      <c r="M552" s="13" t="str">
        <f t="shared" si="19"/>
        <v/>
      </c>
    </row>
    <row r="553" spans="2:13" x14ac:dyDescent="0.35">
      <c r="B553" s="10">
        <v>555</v>
      </c>
      <c r="C553" s="10"/>
      <c r="D553" s="38"/>
      <c r="E553" s="38"/>
      <c r="F553" s="39"/>
      <c r="G553" s="196"/>
      <c r="H553" s="12"/>
      <c r="I553" s="103"/>
      <c r="J553" s="227"/>
      <c r="K553" s="226"/>
      <c r="L553" s="33" t="str">
        <f t="shared" si="18"/>
        <v/>
      </c>
      <c r="M553" s="13" t="str">
        <f t="shared" si="19"/>
        <v/>
      </c>
    </row>
    <row r="554" spans="2:13" x14ac:dyDescent="0.35">
      <c r="B554" s="10">
        <v>556</v>
      </c>
      <c r="C554" s="10"/>
      <c r="D554" s="38"/>
      <c r="E554" s="38"/>
      <c r="F554" s="39"/>
      <c r="G554" s="196"/>
      <c r="H554" s="12"/>
      <c r="I554" s="103"/>
      <c r="J554" s="227"/>
      <c r="K554" s="226"/>
      <c r="L554" s="33" t="str">
        <f t="shared" si="18"/>
        <v/>
      </c>
      <c r="M554" s="13" t="str">
        <f t="shared" si="19"/>
        <v/>
      </c>
    </row>
    <row r="555" spans="2:13" x14ac:dyDescent="0.35">
      <c r="B555" s="10">
        <v>557</v>
      </c>
      <c r="C555" s="10"/>
      <c r="D555" s="38"/>
      <c r="E555" s="38"/>
      <c r="F555" s="39"/>
      <c r="G555" s="196"/>
      <c r="H555" s="12"/>
      <c r="I555" s="103"/>
      <c r="J555" s="227"/>
      <c r="K555" s="226"/>
      <c r="L555" s="33" t="str">
        <f t="shared" si="18"/>
        <v/>
      </c>
      <c r="M555" s="13" t="str">
        <f t="shared" si="19"/>
        <v/>
      </c>
    </row>
    <row r="556" spans="2:13" x14ac:dyDescent="0.35">
      <c r="B556" s="10">
        <v>558</v>
      </c>
      <c r="C556" s="10"/>
      <c r="D556" s="38"/>
      <c r="E556" s="38"/>
      <c r="F556" s="39"/>
      <c r="G556" s="196"/>
      <c r="H556" s="12"/>
      <c r="I556" s="103"/>
      <c r="J556" s="227"/>
      <c r="K556" s="226"/>
      <c r="L556" s="33" t="str">
        <f t="shared" si="18"/>
        <v/>
      </c>
      <c r="M556" s="13" t="str">
        <f t="shared" si="19"/>
        <v/>
      </c>
    </row>
    <row r="557" spans="2:13" x14ac:dyDescent="0.35">
      <c r="B557" s="10">
        <v>559</v>
      </c>
      <c r="C557" s="10"/>
      <c r="D557" s="38"/>
      <c r="E557" s="38"/>
      <c r="F557" s="39"/>
      <c r="G557" s="196"/>
      <c r="H557" s="12"/>
      <c r="I557" s="103"/>
      <c r="J557" s="227"/>
      <c r="K557" s="226"/>
      <c r="L557" s="33" t="str">
        <f t="shared" si="18"/>
        <v/>
      </c>
      <c r="M557" s="13" t="str">
        <f t="shared" si="19"/>
        <v/>
      </c>
    </row>
    <row r="558" spans="2:13" x14ac:dyDescent="0.35">
      <c r="B558" s="10">
        <v>560</v>
      </c>
      <c r="C558" s="10"/>
      <c r="D558" s="38"/>
      <c r="E558" s="38"/>
      <c r="F558" s="39"/>
      <c r="G558" s="196"/>
      <c r="H558" s="12"/>
      <c r="I558" s="103"/>
      <c r="J558" s="227"/>
      <c r="K558" s="226"/>
      <c r="L558" s="33" t="str">
        <f t="shared" si="18"/>
        <v/>
      </c>
      <c r="M558" s="13" t="str">
        <f t="shared" si="19"/>
        <v/>
      </c>
    </row>
    <row r="559" spans="2:13" x14ac:dyDescent="0.35">
      <c r="B559" s="10">
        <v>561</v>
      </c>
      <c r="C559" s="10"/>
      <c r="D559" s="38"/>
      <c r="E559" s="38"/>
      <c r="F559" s="39"/>
      <c r="G559" s="196"/>
      <c r="H559" s="12"/>
      <c r="I559" s="103"/>
      <c r="J559" s="227"/>
      <c r="K559" s="226"/>
      <c r="L559" s="33" t="str">
        <f t="shared" si="18"/>
        <v/>
      </c>
      <c r="M559" s="13" t="str">
        <f t="shared" si="19"/>
        <v/>
      </c>
    </row>
    <row r="560" spans="2:13" x14ac:dyDescent="0.35">
      <c r="B560" s="10">
        <v>562</v>
      </c>
      <c r="C560" s="10"/>
      <c r="D560" s="38"/>
      <c r="E560" s="38"/>
      <c r="F560" s="39"/>
      <c r="G560" s="196"/>
      <c r="H560" s="12"/>
      <c r="I560" s="103"/>
      <c r="J560" s="227"/>
      <c r="K560" s="226"/>
      <c r="L560" s="33" t="str">
        <f t="shared" si="18"/>
        <v/>
      </c>
      <c r="M560" s="13" t="str">
        <f t="shared" si="19"/>
        <v/>
      </c>
    </row>
    <row r="561" spans="2:13" x14ac:dyDescent="0.35">
      <c r="B561" s="10">
        <v>563</v>
      </c>
      <c r="C561" s="10"/>
      <c r="D561" s="38"/>
      <c r="E561" s="38"/>
      <c r="F561" s="39"/>
      <c r="G561" s="196"/>
      <c r="H561" s="12"/>
      <c r="I561" s="103"/>
      <c r="J561" s="227"/>
      <c r="K561" s="226"/>
      <c r="L561" s="33" t="str">
        <f t="shared" si="18"/>
        <v/>
      </c>
      <c r="M561" s="13" t="str">
        <f t="shared" si="19"/>
        <v/>
      </c>
    </row>
    <row r="562" spans="2:13" x14ac:dyDescent="0.35">
      <c r="B562" s="10">
        <v>564</v>
      </c>
      <c r="C562" s="10"/>
      <c r="D562" s="38"/>
      <c r="E562" s="38"/>
      <c r="F562" s="39"/>
      <c r="G562" s="196"/>
      <c r="H562" s="12"/>
      <c r="I562" s="103"/>
      <c r="J562" s="227"/>
      <c r="K562" s="226"/>
      <c r="L562" s="33" t="str">
        <f t="shared" si="18"/>
        <v/>
      </c>
      <c r="M562" s="13" t="str">
        <f t="shared" si="19"/>
        <v/>
      </c>
    </row>
    <row r="563" spans="2:13" x14ac:dyDescent="0.35">
      <c r="B563" s="10">
        <v>565</v>
      </c>
      <c r="C563" s="10"/>
      <c r="D563" s="38"/>
      <c r="E563" s="38"/>
      <c r="F563" s="39"/>
      <c r="G563" s="196"/>
      <c r="H563" s="12"/>
      <c r="I563" s="103"/>
      <c r="J563" s="227"/>
      <c r="K563" s="226"/>
      <c r="L563" s="33" t="str">
        <f t="shared" si="18"/>
        <v/>
      </c>
      <c r="M563" s="13" t="str">
        <f t="shared" si="19"/>
        <v/>
      </c>
    </row>
    <row r="564" spans="2:13" x14ac:dyDescent="0.35">
      <c r="B564" s="10">
        <v>566</v>
      </c>
      <c r="C564" s="10"/>
      <c r="D564" s="38"/>
      <c r="E564" s="38"/>
      <c r="F564" s="39"/>
      <c r="G564" s="196"/>
      <c r="H564" s="12"/>
      <c r="I564" s="103"/>
      <c r="J564" s="227"/>
      <c r="K564" s="226"/>
      <c r="L564" s="33" t="str">
        <f t="shared" si="18"/>
        <v/>
      </c>
      <c r="M564" s="13" t="str">
        <f t="shared" si="19"/>
        <v/>
      </c>
    </row>
    <row r="565" spans="2:13" x14ac:dyDescent="0.35">
      <c r="B565" s="10">
        <v>567</v>
      </c>
      <c r="C565" s="10"/>
      <c r="D565" s="38"/>
      <c r="E565" s="38"/>
      <c r="F565" s="39"/>
      <c r="G565" s="196"/>
      <c r="H565" s="12"/>
      <c r="I565" s="103"/>
      <c r="J565" s="227"/>
      <c r="K565" s="226"/>
      <c r="L565" s="33" t="str">
        <f t="shared" si="18"/>
        <v/>
      </c>
      <c r="M565" s="13" t="str">
        <f t="shared" si="19"/>
        <v/>
      </c>
    </row>
    <row r="566" spans="2:13" x14ac:dyDescent="0.35">
      <c r="B566" s="10">
        <v>568</v>
      </c>
      <c r="C566" s="10"/>
      <c r="D566" s="38"/>
      <c r="E566" s="38"/>
      <c r="F566" s="39"/>
      <c r="G566" s="196"/>
      <c r="H566" s="12"/>
      <c r="I566" s="103"/>
      <c r="J566" s="227"/>
      <c r="K566" s="226"/>
      <c r="L566" s="33" t="str">
        <f t="shared" si="18"/>
        <v/>
      </c>
      <c r="M566" s="13" t="str">
        <f t="shared" si="19"/>
        <v/>
      </c>
    </row>
    <row r="567" spans="2:13" x14ac:dyDescent="0.35">
      <c r="B567" s="10">
        <v>569</v>
      </c>
      <c r="C567" s="10"/>
      <c r="D567" s="38"/>
      <c r="E567" s="38"/>
      <c r="F567" s="39"/>
      <c r="G567" s="196"/>
      <c r="H567" s="12"/>
      <c r="I567" s="103"/>
      <c r="J567" s="227"/>
      <c r="K567" s="226"/>
      <c r="L567" s="33" t="str">
        <f t="shared" si="18"/>
        <v/>
      </c>
      <c r="M567" s="13" t="str">
        <f t="shared" si="19"/>
        <v/>
      </c>
    </row>
    <row r="568" spans="2:13" x14ac:dyDescent="0.35">
      <c r="B568" s="10">
        <v>570</v>
      </c>
      <c r="C568" s="10"/>
      <c r="D568" s="38"/>
      <c r="E568" s="38"/>
      <c r="F568" s="39"/>
      <c r="G568" s="196"/>
      <c r="H568" s="12"/>
      <c r="I568" s="103"/>
      <c r="J568" s="227"/>
      <c r="K568" s="226"/>
      <c r="L568" s="33" t="str">
        <f t="shared" si="18"/>
        <v/>
      </c>
      <c r="M568" s="13" t="str">
        <f t="shared" si="19"/>
        <v/>
      </c>
    </row>
    <row r="569" spans="2:13" x14ac:dyDescent="0.35">
      <c r="B569" s="10">
        <v>571</v>
      </c>
      <c r="C569" s="10"/>
      <c r="D569" s="38"/>
      <c r="E569" s="38"/>
      <c r="F569" s="39"/>
      <c r="G569" s="196"/>
      <c r="H569" s="12"/>
      <c r="I569" s="103"/>
      <c r="J569" s="227"/>
      <c r="K569" s="226"/>
      <c r="L569" s="33" t="str">
        <f t="shared" si="18"/>
        <v/>
      </c>
      <c r="M569" s="13" t="str">
        <f t="shared" si="19"/>
        <v/>
      </c>
    </row>
    <row r="570" spans="2:13" x14ac:dyDescent="0.35">
      <c r="B570" s="10">
        <v>572</v>
      </c>
      <c r="C570" s="10"/>
      <c r="D570" s="38"/>
      <c r="E570" s="38"/>
      <c r="F570" s="39"/>
      <c r="G570" s="196"/>
      <c r="H570" s="12"/>
      <c r="I570" s="103"/>
      <c r="J570" s="227"/>
      <c r="K570" s="226"/>
      <c r="L570" s="33" t="str">
        <f t="shared" si="18"/>
        <v/>
      </c>
      <c r="M570" s="13" t="str">
        <f t="shared" si="19"/>
        <v/>
      </c>
    </row>
    <row r="571" spans="2:13" x14ac:dyDescent="0.35">
      <c r="B571" s="10">
        <v>573</v>
      </c>
      <c r="C571" s="10"/>
      <c r="D571" s="38"/>
      <c r="E571" s="38"/>
      <c r="F571" s="39"/>
      <c r="G571" s="196"/>
      <c r="H571" s="12"/>
      <c r="I571" s="103"/>
      <c r="J571" s="227"/>
      <c r="K571" s="226"/>
      <c r="L571" s="33" t="str">
        <f t="shared" si="18"/>
        <v/>
      </c>
      <c r="M571" s="13" t="str">
        <f t="shared" si="19"/>
        <v/>
      </c>
    </row>
    <row r="572" spans="2:13" x14ac:dyDescent="0.35">
      <c r="B572" s="10">
        <v>574</v>
      </c>
      <c r="C572" s="10"/>
      <c r="D572" s="38"/>
      <c r="E572" s="38"/>
      <c r="F572" s="39"/>
      <c r="G572" s="196"/>
      <c r="H572" s="12"/>
      <c r="I572" s="103"/>
      <c r="J572" s="227"/>
      <c r="K572" s="226"/>
      <c r="L572" s="33" t="str">
        <f t="shared" si="18"/>
        <v/>
      </c>
      <c r="M572" s="13" t="str">
        <f t="shared" si="19"/>
        <v/>
      </c>
    </row>
    <row r="573" spans="2:13" x14ac:dyDescent="0.35">
      <c r="B573" s="10">
        <v>575</v>
      </c>
      <c r="C573" s="10"/>
      <c r="D573" s="38"/>
      <c r="E573" s="38"/>
      <c r="F573" s="39"/>
      <c r="G573" s="196"/>
      <c r="H573" s="12"/>
      <c r="I573" s="103"/>
      <c r="J573" s="227"/>
      <c r="K573" s="226"/>
      <c r="L573" s="33" t="str">
        <f t="shared" si="18"/>
        <v/>
      </c>
      <c r="M573" s="13" t="str">
        <f t="shared" si="19"/>
        <v/>
      </c>
    </row>
    <row r="574" spans="2:13" x14ac:dyDescent="0.35">
      <c r="B574" s="10">
        <v>576</v>
      </c>
      <c r="C574" s="10"/>
      <c r="D574" s="38"/>
      <c r="E574" s="38"/>
      <c r="F574" s="39"/>
      <c r="G574" s="196"/>
      <c r="H574" s="12"/>
      <c r="I574" s="103"/>
      <c r="J574" s="227"/>
      <c r="K574" s="226"/>
      <c r="L574" s="33" t="str">
        <f t="shared" si="18"/>
        <v/>
      </c>
      <c r="M574" s="13" t="str">
        <f t="shared" si="19"/>
        <v/>
      </c>
    </row>
    <row r="575" spans="2:13" x14ac:dyDescent="0.35">
      <c r="B575" s="10">
        <v>577</v>
      </c>
      <c r="C575" s="10"/>
      <c r="D575" s="38"/>
      <c r="E575" s="38"/>
      <c r="F575" s="39"/>
      <c r="G575" s="196"/>
      <c r="H575" s="12"/>
      <c r="I575" s="103"/>
      <c r="J575" s="227"/>
      <c r="K575" s="226"/>
      <c r="L575" s="33" t="str">
        <f t="shared" si="18"/>
        <v/>
      </c>
      <c r="M575" s="13" t="str">
        <f t="shared" si="19"/>
        <v/>
      </c>
    </row>
    <row r="576" spans="2:13" x14ac:dyDescent="0.35">
      <c r="B576" s="10">
        <v>578</v>
      </c>
      <c r="C576" s="10"/>
      <c r="D576" s="38"/>
      <c r="E576" s="38"/>
      <c r="F576" s="39"/>
      <c r="G576" s="196"/>
      <c r="H576" s="12"/>
      <c r="I576" s="103"/>
      <c r="J576" s="227"/>
      <c r="K576" s="226"/>
      <c r="L576" s="33" t="str">
        <f t="shared" si="18"/>
        <v/>
      </c>
      <c r="M576" s="13" t="str">
        <f t="shared" si="19"/>
        <v/>
      </c>
    </row>
    <row r="577" spans="2:13" x14ac:dyDescent="0.35">
      <c r="B577" s="10">
        <v>579</v>
      </c>
      <c r="C577" s="10"/>
      <c r="D577" s="38"/>
      <c r="E577" s="38"/>
      <c r="F577" s="39"/>
      <c r="G577" s="196"/>
      <c r="H577" s="12"/>
      <c r="I577" s="103"/>
      <c r="J577" s="227"/>
      <c r="K577" s="226"/>
      <c r="L577" s="33" t="str">
        <f t="shared" ref="L577:L640" si="20">IF(OR(J577="", K577=""), "", NETWORKDAYS(J577,K577))</f>
        <v/>
      </c>
      <c r="M577" s="13" t="str">
        <f t="shared" ref="M577:M640" si="21">IF(I577="SEA", 10, IF(I577="AIR", 5, ""))</f>
        <v/>
      </c>
    </row>
    <row r="578" spans="2:13" x14ac:dyDescent="0.35">
      <c r="B578" s="10">
        <v>580</v>
      </c>
      <c r="C578" s="10"/>
      <c r="D578" s="38"/>
      <c r="E578" s="38"/>
      <c r="F578" s="39"/>
      <c r="G578" s="196"/>
      <c r="H578" s="12"/>
      <c r="I578" s="103"/>
      <c r="J578" s="227"/>
      <c r="K578" s="226"/>
      <c r="L578" s="33" t="str">
        <f t="shared" si="20"/>
        <v/>
      </c>
      <c r="M578" s="13" t="str">
        <f t="shared" si="21"/>
        <v/>
      </c>
    </row>
    <row r="579" spans="2:13" x14ac:dyDescent="0.35">
      <c r="B579" s="10">
        <v>581</v>
      </c>
      <c r="C579" s="10"/>
      <c r="D579" s="38"/>
      <c r="E579" s="38"/>
      <c r="F579" s="39"/>
      <c r="G579" s="196"/>
      <c r="H579" s="12"/>
      <c r="I579" s="103"/>
      <c r="J579" s="227"/>
      <c r="K579" s="226"/>
      <c r="L579" s="33" t="str">
        <f t="shared" si="20"/>
        <v/>
      </c>
      <c r="M579" s="13" t="str">
        <f t="shared" si="21"/>
        <v/>
      </c>
    </row>
    <row r="580" spans="2:13" x14ac:dyDescent="0.35">
      <c r="B580" s="10">
        <v>582</v>
      </c>
      <c r="C580" s="10"/>
      <c r="D580" s="38"/>
      <c r="E580" s="38"/>
      <c r="F580" s="39"/>
      <c r="G580" s="196"/>
      <c r="H580" s="12"/>
      <c r="I580" s="103"/>
      <c r="J580" s="227"/>
      <c r="K580" s="226"/>
      <c r="L580" s="33" t="str">
        <f t="shared" si="20"/>
        <v/>
      </c>
      <c r="M580" s="13" t="str">
        <f t="shared" si="21"/>
        <v/>
      </c>
    </row>
    <row r="581" spans="2:13" x14ac:dyDescent="0.35">
      <c r="B581" s="10">
        <v>583</v>
      </c>
      <c r="C581" s="10"/>
      <c r="D581" s="38"/>
      <c r="E581" s="38"/>
      <c r="F581" s="39"/>
      <c r="G581" s="196"/>
      <c r="H581" s="12"/>
      <c r="I581" s="103"/>
      <c r="J581" s="227"/>
      <c r="K581" s="226"/>
      <c r="L581" s="33" t="str">
        <f t="shared" si="20"/>
        <v/>
      </c>
      <c r="M581" s="13" t="str">
        <f t="shared" si="21"/>
        <v/>
      </c>
    </row>
    <row r="582" spans="2:13" x14ac:dyDescent="0.35">
      <c r="B582" s="10">
        <v>584</v>
      </c>
      <c r="C582" s="10"/>
      <c r="D582" s="38"/>
      <c r="E582" s="38"/>
      <c r="F582" s="39"/>
      <c r="G582" s="196"/>
      <c r="H582" s="12"/>
      <c r="I582" s="103"/>
      <c r="J582" s="227"/>
      <c r="K582" s="226"/>
      <c r="L582" s="33" t="str">
        <f t="shared" si="20"/>
        <v/>
      </c>
      <c r="M582" s="13" t="str">
        <f t="shared" si="21"/>
        <v/>
      </c>
    </row>
    <row r="583" spans="2:13" x14ac:dyDescent="0.35">
      <c r="B583" s="10">
        <v>585</v>
      </c>
      <c r="C583" s="10"/>
      <c r="D583" s="38"/>
      <c r="E583" s="38"/>
      <c r="F583" s="39"/>
      <c r="G583" s="196"/>
      <c r="H583" s="12"/>
      <c r="I583" s="103"/>
      <c r="J583" s="227"/>
      <c r="K583" s="226"/>
      <c r="L583" s="33" t="str">
        <f t="shared" si="20"/>
        <v/>
      </c>
      <c r="M583" s="13" t="str">
        <f t="shared" si="21"/>
        <v/>
      </c>
    </row>
    <row r="584" spans="2:13" x14ac:dyDescent="0.35">
      <c r="B584" s="10">
        <v>586</v>
      </c>
      <c r="C584" s="10"/>
      <c r="D584" s="38"/>
      <c r="E584" s="38"/>
      <c r="F584" s="39"/>
      <c r="G584" s="196"/>
      <c r="H584" s="12"/>
      <c r="I584" s="103"/>
      <c r="J584" s="227"/>
      <c r="K584" s="226"/>
      <c r="L584" s="33" t="str">
        <f t="shared" si="20"/>
        <v/>
      </c>
      <c r="M584" s="13" t="str">
        <f t="shared" si="21"/>
        <v/>
      </c>
    </row>
    <row r="585" spans="2:13" x14ac:dyDescent="0.35">
      <c r="B585" s="10">
        <v>587</v>
      </c>
      <c r="C585" s="10"/>
      <c r="D585" s="38"/>
      <c r="E585" s="38"/>
      <c r="F585" s="39"/>
      <c r="G585" s="196"/>
      <c r="H585" s="12"/>
      <c r="I585" s="103"/>
      <c r="J585" s="227"/>
      <c r="K585" s="226"/>
      <c r="L585" s="33" t="str">
        <f t="shared" si="20"/>
        <v/>
      </c>
      <c r="M585" s="13" t="str">
        <f t="shared" si="21"/>
        <v/>
      </c>
    </row>
    <row r="586" spans="2:13" x14ac:dyDescent="0.35">
      <c r="B586" s="10">
        <v>588</v>
      </c>
      <c r="C586" s="10"/>
      <c r="D586" s="38"/>
      <c r="E586" s="38"/>
      <c r="F586" s="39"/>
      <c r="G586" s="196"/>
      <c r="H586" s="12"/>
      <c r="I586" s="103"/>
      <c r="J586" s="227"/>
      <c r="K586" s="226"/>
      <c r="L586" s="33" t="str">
        <f t="shared" si="20"/>
        <v/>
      </c>
      <c r="M586" s="13" t="str">
        <f t="shared" si="21"/>
        <v/>
      </c>
    </row>
    <row r="587" spans="2:13" x14ac:dyDescent="0.35">
      <c r="B587" s="10">
        <v>589</v>
      </c>
      <c r="C587" s="10"/>
      <c r="D587" s="38"/>
      <c r="E587" s="38"/>
      <c r="F587" s="39"/>
      <c r="G587" s="196"/>
      <c r="H587" s="12"/>
      <c r="I587" s="103"/>
      <c r="J587" s="227"/>
      <c r="K587" s="226"/>
      <c r="L587" s="33" t="str">
        <f t="shared" si="20"/>
        <v/>
      </c>
      <c r="M587" s="13" t="str">
        <f t="shared" si="21"/>
        <v/>
      </c>
    </row>
    <row r="588" spans="2:13" x14ac:dyDescent="0.35">
      <c r="B588" s="10">
        <v>590</v>
      </c>
      <c r="C588" s="10"/>
      <c r="D588" s="38"/>
      <c r="E588" s="38"/>
      <c r="F588" s="39"/>
      <c r="G588" s="196"/>
      <c r="H588" s="12"/>
      <c r="I588" s="103"/>
      <c r="J588" s="227"/>
      <c r="K588" s="226"/>
      <c r="L588" s="33" t="str">
        <f t="shared" si="20"/>
        <v/>
      </c>
      <c r="M588" s="13" t="str">
        <f t="shared" si="21"/>
        <v/>
      </c>
    </row>
    <row r="589" spans="2:13" x14ac:dyDescent="0.35">
      <c r="B589" s="10">
        <v>591</v>
      </c>
      <c r="C589" s="10"/>
      <c r="D589" s="38"/>
      <c r="E589" s="38"/>
      <c r="F589" s="39"/>
      <c r="G589" s="196"/>
      <c r="H589" s="12"/>
      <c r="I589" s="103"/>
      <c r="J589" s="227"/>
      <c r="K589" s="226"/>
      <c r="L589" s="33" t="str">
        <f t="shared" si="20"/>
        <v/>
      </c>
      <c r="M589" s="13" t="str">
        <f t="shared" si="21"/>
        <v/>
      </c>
    </row>
    <row r="590" spans="2:13" x14ac:dyDescent="0.35">
      <c r="B590" s="10">
        <v>592</v>
      </c>
      <c r="C590" s="10"/>
      <c r="D590" s="38"/>
      <c r="E590" s="38"/>
      <c r="F590" s="39"/>
      <c r="G590" s="196"/>
      <c r="H590" s="12"/>
      <c r="I590" s="103"/>
      <c r="J590" s="227"/>
      <c r="K590" s="226"/>
      <c r="L590" s="33" t="str">
        <f t="shared" si="20"/>
        <v/>
      </c>
      <c r="M590" s="13" t="str">
        <f t="shared" si="21"/>
        <v/>
      </c>
    </row>
    <row r="591" spans="2:13" x14ac:dyDescent="0.35">
      <c r="B591" s="10">
        <v>593</v>
      </c>
      <c r="C591" s="10"/>
      <c r="D591" s="38"/>
      <c r="E591" s="38"/>
      <c r="F591" s="39"/>
      <c r="G591" s="196"/>
      <c r="H591" s="12"/>
      <c r="I591" s="103"/>
      <c r="J591" s="227"/>
      <c r="K591" s="226"/>
      <c r="L591" s="33" t="str">
        <f t="shared" si="20"/>
        <v/>
      </c>
      <c r="M591" s="13" t="str">
        <f t="shared" si="21"/>
        <v/>
      </c>
    </row>
    <row r="592" spans="2:13" x14ac:dyDescent="0.35">
      <c r="B592" s="10">
        <v>594</v>
      </c>
      <c r="C592" s="10"/>
      <c r="D592" s="38"/>
      <c r="E592" s="38"/>
      <c r="F592" s="39"/>
      <c r="G592" s="196"/>
      <c r="H592" s="12"/>
      <c r="I592" s="103"/>
      <c r="J592" s="227"/>
      <c r="K592" s="226"/>
      <c r="L592" s="33" t="str">
        <f t="shared" si="20"/>
        <v/>
      </c>
      <c r="M592" s="13" t="str">
        <f t="shared" si="21"/>
        <v/>
      </c>
    </row>
    <row r="593" spans="2:13" x14ac:dyDescent="0.35">
      <c r="B593" s="10">
        <v>595</v>
      </c>
      <c r="C593" s="10"/>
      <c r="D593" s="38"/>
      <c r="E593" s="38"/>
      <c r="F593" s="39"/>
      <c r="G593" s="196"/>
      <c r="H593" s="12"/>
      <c r="I593" s="103"/>
      <c r="J593" s="227"/>
      <c r="K593" s="226"/>
      <c r="L593" s="33" t="str">
        <f t="shared" si="20"/>
        <v/>
      </c>
      <c r="M593" s="13" t="str">
        <f t="shared" si="21"/>
        <v/>
      </c>
    </row>
    <row r="594" spans="2:13" x14ac:dyDescent="0.35">
      <c r="B594" s="10">
        <v>596</v>
      </c>
      <c r="C594" s="10"/>
      <c r="D594" s="38"/>
      <c r="E594" s="38"/>
      <c r="F594" s="39"/>
      <c r="G594" s="196"/>
      <c r="H594" s="12"/>
      <c r="I594" s="103"/>
      <c r="J594" s="227"/>
      <c r="K594" s="226"/>
      <c r="L594" s="33" t="str">
        <f t="shared" si="20"/>
        <v/>
      </c>
      <c r="M594" s="13" t="str">
        <f t="shared" si="21"/>
        <v/>
      </c>
    </row>
    <row r="595" spans="2:13" x14ac:dyDescent="0.35">
      <c r="B595" s="10">
        <v>597</v>
      </c>
      <c r="C595" s="10"/>
      <c r="D595" s="38"/>
      <c r="E595" s="38"/>
      <c r="F595" s="39"/>
      <c r="G595" s="196"/>
      <c r="H595" s="12"/>
      <c r="I595" s="103"/>
      <c r="J595" s="227"/>
      <c r="K595" s="226"/>
      <c r="L595" s="33" t="str">
        <f t="shared" si="20"/>
        <v/>
      </c>
      <c r="M595" s="13" t="str">
        <f t="shared" si="21"/>
        <v/>
      </c>
    </row>
    <row r="596" spans="2:13" x14ac:dyDescent="0.35">
      <c r="B596" s="10">
        <v>598</v>
      </c>
      <c r="C596" s="10"/>
      <c r="D596" s="38"/>
      <c r="E596" s="38"/>
      <c r="F596" s="39"/>
      <c r="G596" s="196"/>
      <c r="H596" s="12"/>
      <c r="I596" s="103"/>
      <c r="J596" s="227"/>
      <c r="K596" s="226"/>
      <c r="L596" s="33" t="str">
        <f t="shared" si="20"/>
        <v/>
      </c>
      <c r="M596" s="13" t="str">
        <f t="shared" si="21"/>
        <v/>
      </c>
    </row>
    <row r="597" spans="2:13" x14ac:dyDescent="0.35">
      <c r="B597" s="10">
        <v>599</v>
      </c>
      <c r="C597" s="10"/>
      <c r="D597" s="38"/>
      <c r="E597" s="38"/>
      <c r="F597" s="39"/>
      <c r="G597" s="196"/>
      <c r="H597" s="12"/>
      <c r="I597" s="103"/>
      <c r="J597" s="227"/>
      <c r="K597" s="226"/>
      <c r="L597" s="33" t="str">
        <f t="shared" si="20"/>
        <v/>
      </c>
      <c r="M597" s="13" t="str">
        <f t="shared" si="21"/>
        <v/>
      </c>
    </row>
    <row r="598" spans="2:13" x14ac:dyDescent="0.35">
      <c r="B598" s="10">
        <v>600</v>
      </c>
      <c r="C598" s="10"/>
      <c r="D598" s="38"/>
      <c r="E598" s="38"/>
      <c r="F598" s="39"/>
      <c r="G598" s="196"/>
      <c r="H598" s="12"/>
      <c r="I598" s="103"/>
      <c r="J598" s="227"/>
      <c r="K598" s="226"/>
      <c r="L598" s="33" t="str">
        <f t="shared" si="20"/>
        <v/>
      </c>
      <c r="M598" s="13" t="str">
        <f t="shared" si="21"/>
        <v/>
      </c>
    </row>
    <row r="599" spans="2:13" x14ac:dyDescent="0.35">
      <c r="B599" s="10">
        <v>601</v>
      </c>
      <c r="C599" s="10"/>
      <c r="D599" s="38"/>
      <c r="E599" s="38"/>
      <c r="F599" s="39"/>
      <c r="G599" s="196"/>
      <c r="H599" s="12"/>
      <c r="I599" s="103"/>
      <c r="J599" s="227"/>
      <c r="K599" s="226"/>
      <c r="L599" s="33" t="str">
        <f t="shared" si="20"/>
        <v/>
      </c>
      <c r="M599" s="13" t="str">
        <f t="shared" si="21"/>
        <v/>
      </c>
    </row>
    <row r="600" spans="2:13" x14ac:dyDescent="0.35">
      <c r="B600" s="10">
        <v>602</v>
      </c>
      <c r="C600" s="10"/>
      <c r="D600" s="38"/>
      <c r="E600" s="38"/>
      <c r="F600" s="39"/>
      <c r="G600" s="196"/>
      <c r="H600" s="12"/>
      <c r="I600" s="103"/>
      <c r="J600" s="227"/>
      <c r="K600" s="226"/>
      <c r="L600" s="33" t="str">
        <f t="shared" si="20"/>
        <v/>
      </c>
      <c r="M600" s="13" t="str">
        <f t="shared" si="21"/>
        <v/>
      </c>
    </row>
    <row r="601" spans="2:13" x14ac:dyDescent="0.35">
      <c r="B601" s="10">
        <v>603</v>
      </c>
      <c r="C601" s="10"/>
      <c r="D601" s="38"/>
      <c r="E601" s="38"/>
      <c r="F601" s="39"/>
      <c r="G601" s="196"/>
      <c r="H601" s="12"/>
      <c r="I601" s="103"/>
      <c r="J601" s="227"/>
      <c r="K601" s="226"/>
      <c r="L601" s="33" t="str">
        <f t="shared" si="20"/>
        <v/>
      </c>
      <c r="M601" s="13" t="str">
        <f t="shared" si="21"/>
        <v/>
      </c>
    </row>
    <row r="602" spans="2:13" x14ac:dyDescent="0.35">
      <c r="B602" s="10">
        <v>604</v>
      </c>
      <c r="C602" s="10"/>
      <c r="D602" s="38"/>
      <c r="E602" s="38"/>
      <c r="F602" s="39"/>
      <c r="G602" s="196"/>
      <c r="H602" s="12"/>
      <c r="I602" s="103"/>
      <c r="J602" s="227"/>
      <c r="K602" s="226"/>
      <c r="L602" s="33" t="str">
        <f t="shared" si="20"/>
        <v/>
      </c>
      <c r="M602" s="13" t="str">
        <f t="shared" si="21"/>
        <v/>
      </c>
    </row>
    <row r="603" spans="2:13" x14ac:dyDescent="0.35">
      <c r="B603" s="10">
        <v>605</v>
      </c>
      <c r="C603" s="10"/>
      <c r="D603" s="38"/>
      <c r="E603" s="38"/>
      <c r="F603" s="39"/>
      <c r="G603" s="196"/>
      <c r="H603" s="12"/>
      <c r="I603" s="103"/>
      <c r="J603" s="227"/>
      <c r="K603" s="226"/>
      <c r="L603" s="33" t="str">
        <f t="shared" si="20"/>
        <v/>
      </c>
      <c r="M603" s="13" t="str">
        <f t="shared" si="21"/>
        <v/>
      </c>
    </row>
    <row r="604" spans="2:13" x14ac:dyDescent="0.35">
      <c r="B604" s="10">
        <v>606</v>
      </c>
      <c r="C604" s="10"/>
      <c r="D604" s="38"/>
      <c r="E604" s="38"/>
      <c r="F604" s="39"/>
      <c r="G604" s="196"/>
      <c r="H604" s="12"/>
      <c r="I604" s="103"/>
      <c r="J604" s="227"/>
      <c r="K604" s="226"/>
      <c r="L604" s="33" t="str">
        <f t="shared" si="20"/>
        <v/>
      </c>
      <c r="M604" s="13" t="str">
        <f t="shared" si="21"/>
        <v/>
      </c>
    </row>
    <row r="605" spans="2:13" x14ac:dyDescent="0.35">
      <c r="B605" s="10">
        <v>607</v>
      </c>
      <c r="C605" s="10"/>
      <c r="D605" s="38"/>
      <c r="E605" s="38"/>
      <c r="F605" s="39"/>
      <c r="G605" s="196"/>
      <c r="H605" s="12"/>
      <c r="I605" s="103"/>
      <c r="J605" s="227"/>
      <c r="K605" s="226"/>
      <c r="L605" s="33" t="str">
        <f t="shared" si="20"/>
        <v/>
      </c>
      <c r="M605" s="13" t="str">
        <f t="shared" si="21"/>
        <v/>
      </c>
    </row>
    <row r="606" spans="2:13" x14ac:dyDescent="0.35">
      <c r="B606" s="10">
        <v>608</v>
      </c>
      <c r="C606" s="10"/>
      <c r="D606" s="38"/>
      <c r="E606" s="38"/>
      <c r="F606" s="39"/>
      <c r="G606" s="196"/>
      <c r="H606" s="12"/>
      <c r="I606" s="103"/>
      <c r="J606" s="227"/>
      <c r="K606" s="226"/>
      <c r="L606" s="33" t="str">
        <f t="shared" si="20"/>
        <v/>
      </c>
      <c r="M606" s="13" t="str">
        <f t="shared" si="21"/>
        <v/>
      </c>
    </row>
    <row r="607" spans="2:13" x14ac:dyDescent="0.35">
      <c r="B607" s="10">
        <v>609</v>
      </c>
      <c r="C607" s="10"/>
      <c r="D607" s="38"/>
      <c r="E607" s="38"/>
      <c r="F607" s="39"/>
      <c r="G607" s="196"/>
      <c r="H607" s="12"/>
      <c r="I607" s="103"/>
      <c r="J607" s="227"/>
      <c r="K607" s="226"/>
      <c r="L607" s="33" t="str">
        <f t="shared" si="20"/>
        <v/>
      </c>
      <c r="M607" s="13" t="str">
        <f t="shared" si="21"/>
        <v/>
      </c>
    </row>
    <row r="608" spans="2:13" x14ac:dyDescent="0.35">
      <c r="B608" s="10">
        <v>610</v>
      </c>
      <c r="C608" s="10"/>
      <c r="D608" s="38"/>
      <c r="E608" s="38"/>
      <c r="F608" s="39"/>
      <c r="G608" s="196"/>
      <c r="H608" s="12"/>
      <c r="I608" s="103"/>
      <c r="J608" s="227"/>
      <c r="K608" s="226"/>
      <c r="L608" s="33" t="str">
        <f t="shared" si="20"/>
        <v/>
      </c>
      <c r="M608" s="13" t="str">
        <f t="shared" si="21"/>
        <v/>
      </c>
    </row>
    <row r="609" spans="2:13" x14ac:dyDescent="0.35">
      <c r="B609" s="10">
        <v>611</v>
      </c>
      <c r="C609" s="10"/>
      <c r="D609" s="38"/>
      <c r="E609" s="38"/>
      <c r="F609" s="39"/>
      <c r="G609" s="196"/>
      <c r="H609" s="12"/>
      <c r="I609" s="103"/>
      <c r="J609" s="227"/>
      <c r="K609" s="226"/>
      <c r="L609" s="33" t="str">
        <f t="shared" si="20"/>
        <v/>
      </c>
      <c r="M609" s="13" t="str">
        <f t="shared" si="21"/>
        <v/>
      </c>
    </row>
    <row r="610" spans="2:13" x14ac:dyDescent="0.35">
      <c r="B610" s="10">
        <v>612</v>
      </c>
      <c r="C610" s="10"/>
      <c r="D610" s="38"/>
      <c r="E610" s="38"/>
      <c r="F610" s="39"/>
      <c r="G610" s="196"/>
      <c r="H610" s="12"/>
      <c r="I610" s="103"/>
      <c r="J610" s="227"/>
      <c r="K610" s="226"/>
      <c r="L610" s="33" t="str">
        <f t="shared" si="20"/>
        <v/>
      </c>
      <c r="M610" s="13" t="str">
        <f t="shared" si="21"/>
        <v/>
      </c>
    </row>
    <row r="611" spans="2:13" x14ac:dyDescent="0.35">
      <c r="B611" s="10">
        <v>613</v>
      </c>
      <c r="C611" s="10"/>
      <c r="D611" s="38"/>
      <c r="E611" s="38"/>
      <c r="F611" s="39"/>
      <c r="G611" s="196"/>
      <c r="H611" s="12"/>
      <c r="I611" s="103"/>
      <c r="J611" s="227"/>
      <c r="K611" s="226"/>
      <c r="L611" s="33" t="str">
        <f t="shared" si="20"/>
        <v/>
      </c>
      <c r="M611" s="13" t="str">
        <f t="shared" si="21"/>
        <v/>
      </c>
    </row>
    <row r="612" spans="2:13" x14ac:dyDescent="0.35">
      <c r="B612" s="10">
        <v>614</v>
      </c>
      <c r="C612" s="10"/>
      <c r="D612" s="38"/>
      <c r="E612" s="38"/>
      <c r="F612" s="39"/>
      <c r="G612" s="196"/>
      <c r="H612" s="12"/>
      <c r="I612" s="103"/>
      <c r="J612" s="227"/>
      <c r="K612" s="226"/>
      <c r="L612" s="33" t="str">
        <f t="shared" si="20"/>
        <v/>
      </c>
      <c r="M612" s="13" t="str">
        <f t="shared" si="21"/>
        <v/>
      </c>
    </row>
    <row r="613" spans="2:13" x14ac:dyDescent="0.35">
      <c r="B613" s="10">
        <v>615</v>
      </c>
      <c r="C613" s="10"/>
      <c r="D613" s="38"/>
      <c r="E613" s="38"/>
      <c r="F613" s="39"/>
      <c r="G613" s="196"/>
      <c r="H613" s="12"/>
      <c r="I613" s="103"/>
      <c r="J613" s="227"/>
      <c r="K613" s="226"/>
      <c r="L613" s="33" t="str">
        <f t="shared" si="20"/>
        <v/>
      </c>
      <c r="M613" s="13" t="str">
        <f t="shared" si="21"/>
        <v/>
      </c>
    </row>
    <row r="614" spans="2:13" x14ac:dyDescent="0.35">
      <c r="B614" s="10">
        <v>616</v>
      </c>
      <c r="C614" s="10"/>
      <c r="D614" s="38"/>
      <c r="E614" s="38"/>
      <c r="F614" s="39"/>
      <c r="G614" s="196"/>
      <c r="H614" s="12"/>
      <c r="I614" s="103"/>
      <c r="J614" s="227"/>
      <c r="K614" s="226"/>
      <c r="L614" s="33" t="str">
        <f t="shared" si="20"/>
        <v/>
      </c>
      <c r="M614" s="13" t="str">
        <f t="shared" si="21"/>
        <v/>
      </c>
    </row>
    <row r="615" spans="2:13" x14ac:dyDescent="0.35">
      <c r="B615" s="10">
        <v>617</v>
      </c>
      <c r="C615" s="10"/>
      <c r="D615" s="38"/>
      <c r="E615" s="38"/>
      <c r="F615" s="39"/>
      <c r="G615" s="196"/>
      <c r="H615" s="12"/>
      <c r="I615" s="103"/>
      <c r="J615" s="227"/>
      <c r="K615" s="226"/>
      <c r="L615" s="33" t="str">
        <f t="shared" si="20"/>
        <v/>
      </c>
      <c r="M615" s="13" t="str">
        <f t="shared" si="21"/>
        <v/>
      </c>
    </row>
    <row r="616" spans="2:13" x14ac:dyDescent="0.35">
      <c r="B616" s="10">
        <v>618</v>
      </c>
      <c r="C616" s="10"/>
      <c r="D616" s="38"/>
      <c r="E616" s="38"/>
      <c r="F616" s="39"/>
      <c r="G616" s="196"/>
      <c r="H616" s="12"/>
      <c r="I616" s="103"/>
      <c r="J616" s="227"/>
      <c r="K616" s="226"/>
      <c r="L616" s="33" t="str">
        <f t="shared" si="20"/>
        <v/>
      </c>
      <c r="M616" s="13" t="str">
        <f t="shared" si="21"/>
        <v/>
      </c>
    </row>
    <row r="617" spans="2:13" x14ac:dyDescent="0.35">
      <c r="B617" s="10">
        <v>619</v>
      </c>
      <c r="C617" s="10"/>
      <c r="D617" s="38"/>
      <c r="E617" s="38"/>
      <c r="F617" s="39"/>
      <c r="G617" s="196"/>
      <c r="H617" s="12"/>
      <c r="I617" s="103"/>
      <c r="J617" s="227"/>
      <c r="K617" s="226"/>
      <c r="L617" s="33" t="str">
        <f t="shared" si="20"/>
        <v/>
      </c>
      <c r="M617" s="13" t="str">
        <f t="shared" si="21"/>
        <v/>
      </c>
    </row>
    <row r="618" spans="2:13" x14ac:dyDescent="0.35">
      <c r="B618" s="10">
        <v>620</v>
      </c>
      <c r="C618" s="10"/>
      <c r="D618" s="38"/>
      <c r="E618" s="38"/>
      <c r="F618" s="39"/>
      <c r="G618" s="196"/>
      <c r="H618" s="12"/>
      <c r="I618" s="103"/>
      <c r="J618" s="227"/>
      <c r="K618" s="226"/>
      <c r="L618" s="33" t="str">
        <f t="shared" si="20"/>
        <v/>
      </c>
      <c r="M618" s="13" t="str">
        <f t="shared" si="21"/>
        <v/>
      </c>
    </row>
    <row r="619" spans="2:13" x14ac:dyDescent="0.35">
      <c r="B619" s="10">
        <v>621</v>
      </c>
      <c r="C619" s="10"/>
      <c r="D619" s="38"/>
      <c r="E619" s="38"/>
      <c r="F619" s="39"/>
      <c r="G619" s="196"/>
      <c r="H619" s="12"/>
      <c r="I619" s="103"/>
      <c r="J619" s="227"/>
      <c r="K619" s="226"/>
      <c r="L619" s="33" t="str">
        <f t="shared" si="20"/>
        <v/>
      </c>
      <c r="M619" s="13" t="str">
        <f t="shared" si="21"/>
        <v/>
      </c>
    </row>
    <row r="620" spans="2:13" x14ac:dyDescent="0.35">
      <c r="B620" s="10">
        <v>622</v>
      </c>
      <c r="C620" s="10"/>
      <c r="D620" s="38"/>
      <c r="E620" s="38"/>
      <c r="F620" s="39"/>
      <c r="G620" s="196"/>
      <c r="H620" s="12"/>
      <c r="I620" s="103"/>
      <c r="J620" s="227"/>
      <c r="K620" s="226"/>
      <c r="L620" s="33" t="str">
        <f t="shared" si="20"/>
        <v/>
      </c>
      <c r="M620" s="13" t="str">
        <f t="shared" si="21"/>
        <v/>
      </c>
    </row>
    <row r="621" spans="2:13" x14ac:dyDescent="0.35">
      <c r="B621" s="10">
        <v>623</v>
      </c>
      <c r="C621" s="10"/>
      <c r="D621" s="38"/>
      <c r="E621" s="38"/>
      <c r="F621" s="39"/>
      <c r="G621" s="196"/>
      <c r="H621" s="12"/>
      <c r="I621" s="103"/>
      <c r="J621" s="227"/>
      <c r="K621" s="226"/>
      <c r="L621" s="33" t="str">
        <f t="shared" si="20"/>
        <v/>
      </c>
      <c r="M621" s="13" t="str">
        <f t="shared" si="21"/>
        <v/>
      </c>
    </row>
    <row r="622" spans="2:13" x14ac:dyDescent="0.35">
      <c r="B622" s="10">
        <v>624</v>
      </c>
      <c r="C622" s="10"/>
      <c r="D622" s="38"/>
      <c r="E622" s="38"/>
      <c r="F622" s="39"/>
      <c r="G622" s="196"/>
      <c r="H622" s="12"/>
      <c r="I622" s="103"/>
      <c r="J622" s="227"/>
      <c r="K622" s="226"/>
      <c r="L622" s="33" t="str">
        <f t="shared" si="20"/>
        <v/>
      </c>
      <c r="M622" s="13" t="str">
        <f t="shared" si="21"/>
        <v/>
      </c>
    </row>
    <row r="623" spans="2:13" x14ac:dyDescent="0.35">
      <c r="B623" s="10">
        <v>625</v>
      </c>
      <c r="C623" s="10"/>
      <c r="D623" s="38"/>
      <c r="E623" s="38"/>
      <c r="F623" s="39"/>
      <c r="G623" s="196"/>
      <c r="H623" s="12"/>
      <c r="I623" s="103"/>
      <c r="J623" s="227"/>
      <c r="K623" s="226"/>
      <c r="L623" s="33" t="str">
        <f t="shared" si="20"/>
        <v/>
      </c>
      <c r="M623" s="13" t="str">
        <f t="shared" si="21"/>
        <v/>
      </c>
    </row>
    <row r="624" spans="2:13" x14ac:dyDescent="0.35">
      <c r="B624" s="10">
        <v>626</v>
      </c>
      <c r="C624" s="10"/>
      <c r="D624" s="38"/>
      <c r="E624" s="38"/>
      <c r="F624" s="39"/>
      <c r="G624" s="196"/>
      <c r="H624" s="12"/>
      <c r="I624" s="103"/>
      <c r="J624" s="227"/>
      <c r="K624" s="226"/>
      <c r="L624" s="33" t="str">
        <f t="shared" si="20"/>
        <v/>
      </c>
      <c r="M624" s="13" t="str">
        <f t="shared" si="21"/>
        <v/>
      </c>
    </row>
    <row r="625" spans="2:13" x14ac:dyDescent="0.35">
      <c r="B625" s="10">
        <v>627</v>
      </c>
      <c r="C625" s="10"/>
      <c r="D625" s="38"/>
      <c r="E625" s="38"/>
      <c r="F625" s="39"/>
      <c r="G625" s="196"/>
      <c r="H625" s="12"/>
      <c r="I625" s="103"/>
      <c r="J625" s="227"/>
      <c r="K625" s="226"/>
      <c r="L625" s="33" t="str">
        <f t="shared" si="20"/>
        <v/>
      </c>
      <c r="M625" s="13" t="str">
        <f t="shared" si="21"/>
        <v/>
      </c>
    </row>
    <row r="626" spans="2:13" x14ac:dyDescent="0.35">
      <c r="B626" s="10">
        <v>628</v>
      </c>
      <c r="C626" s="10"/>
      <c r="D626" s="38"/>
      <c r="E626" s="38"/>
      <c r="F626" s="39"/>
      <c r="G626" s="196"/>
      <c r="H626" s="12"/>
      <c r="I626" s="103"/>
      <c r="J626" s="227"/>
      <c r="K626" s="226"/>
      <c r="L626" s="33" t="str">
        <f t="shared" si="20"/>
        <v/>
      </c>
      <c r="M626" s="13" t="str">
        <f t="shared" si="21"/>
        <v/>
      </c>
    </row>
    <row r="627" spans="2:13" x14ac:dyDescent="0.35">
      <c r="B627" s="10">
        <v>629</v>
      </c>
      <c r="C627" s="10"/>
      <c r="D627" s="38"/>
      <c r="E627" s="38"/>
      <c r="F627" s="39"/>
      <c r="G627" s="196"/>
      <c r="H627" s="12"/>
      <c r="I627" s="103"/>
      <c r="J627" s="227"/>
      <c r="K627" s="226"/>
      <c r="L627" s="33" t="str">
        <f t="shared" si="20"/>
        <v/>
      </c>
      <c r="M627" s="13" t="str">
        <f t="shared" si="21"/>
        <v/>
      </c>
    </row>
    <row r="628" spans="2:13" x14ac:dyDescent="0.35">
      <c r="B628" s="10">
        <v>630</v>
      </c>
      <c r="C628" s="10"/>
      <c r="D628" s="38"/>
      <c r="E628" s="38"/>
      <c r="F628" s="39"/>
      <c r="G628" s="196"/>
      <c r="H628" s="12"/>
      <c r="I628" s="103"/>
      <c r="J628" s="227"/>
      <c r="K628" s="226"/>
      <c r="L628" s="33" t="str">
        <f t="shared" si="20"/>
        <v/>
      </c>
      <c r="M628" s="13" t="str">
        <f t="shared" si="21"/>
        <v/>
      </c>
    </row>
    <row r="629" spans="2:13" x14ac:dyDescent="0.35">
      <c r="B629" s="10">
        <v>631</v>
      </c>
      <c r="C629" s="10"/>
      <c r="D629" s="38"/>
      <c r="E629" s="38"/>
      <c r="F629" s="39"/>
      <c r="G629" s="196"/>
      <c r="H629" s="12"/>
      <c r="I629" s="103"/>
      <c r="J629" s="227"/>
      <c r="K629" s="226"/>
      <c r="L629" s="33" t="str">
        <f t="shared" si="20"/>
        <v/>
      </c>
      <c r="M629" s="13" t="str">
        <f t="shared" si="21"/>
        <v/>
      </c>
    </row>
    <row r="630" spans="2:13" x14ac:dyDescent="0.35">
      <c r="B630" s="10">
        <v>632</v>
      </c>
      <c r="C630" s="10"/>
      <c r="D630" s="38"/>
      <c r="E630" s="38"/>
      <c r="F630" s="39"/>
      <c r="G630" s="196"/>
      <c r="H630" s="12"/>
      <c r="I630" s="103"/>
      <c r="J630" s="227"/>
      <c r="K630" s="226"/>
      <c r="L630" s="33" t="str">
        <f t="shared" si="20"/>
        <v/>
      </c>
      <c r="M630" s="13" t="str">
        <f t="shared" si="21"/>
        <v/>
      </c>
    </row>
    <row r="631" spans="2:13" x14ac:dyDescent="0.35">
      <c r="B631" s="10">
        <v>633</v>
      </c>
      <c r="C631" s="10"/>
      <c r="D631" s="38"/>
      <c r="E631" s="38"/>
      <c r="F631" s="39"/>
      <c r="G631" s="196"/>
      <c r="H631" s="12"/>
      <c r="I631" s="103"/>
      <c r="J631" s="227"/>
      <c r="K631" s="226"/>
      <c r="L631" s="33" t="str">
        <f t="shared" si="20"/>
        <v/>
      </c>
      <c r="M631" s="13" t="str">
        <f t="shared" si="21"/>
        <v/>
      </c>
    </row>
    <row r="632" spans="2:13" x14ac:dyDescent="0.35">
      <c r="B632" s="10">
        <v>634</v>
      </c>
      <c r="C632" s="10"/>
      <c r="D632" s="38"/>
      <c r="E632" s="38"/>
      <c r="F632" s="39"/>
      <c r="G632" s="196"/>
      <c r="H632" s="12"/>
      <c r="I632" s="103"/>
      <c r="J632" s="227"/>
      <c r="K632" s="226"/>
      <c r="L632" s="33" t="str">
        <f t="shared" si="20"/>
        <v/>
      </c>
      <c r="M632" s="13" t="str">
        <f t="shared" si="21"/>
        <v/>
      </c>
    </row>
    <row r="633" spans="2:13" x14ac:dyDescent="0.35">
      <c r="B633" s="10">
        <v>635</v>
      </c>
      <c r="C633" s="10"/>
      <c r="D633" s="38"/>
      <c r="E633" s="38"/>
      <c r="F633" s="39"/>
      <c r="G633" s="196"/>
      <c r="H633" s="12"/>
      <c r="I633" s="103"/>
      <c r="J633" s="227"/>
      <c r="K633" s="226"/>
      <c r="L633" s="33" t="str">
        <f t="shared" si="20"/>
        <v/>
      </c>
      <c r="M633" s="13" t="str">
        <f t="shared" si="21"/>
        <v/>
      </c>
    </row>
    <row r="634" spans="2:13" x14ac:dyDescent="0.35">
      <c r="B634" s="10">
        <v>636</v>
      </c>
      <c r="C634" s="10"/>
      <c r="D634" s="38"/>
      <c r="E634" s="38"/>
      <c r="F634" s="39"/>
      <c r="G634" s="196"/>
      <c r="H634" s="12"/>
      <c r="I634" s="103"/>
      <c r="J634" s="227"/>
      <c r="K634" s="226"/>
      <c r="L634" s="33" t="str">
        <f t="shared" si="20"/>
        <v/>
      </c>
      <c r="M634" s="13" t="str">
        <f t="shared" si="21"/>
        <v/>
      </c>
    </row>
    <row r="635" spans="2:13" x14ac:dyDescent="0.35">
      <c r="B635" s="10">
        <v>637</v>
      </c>
      <c r="C635" s="10"/>
      <c r="D635" s="38"/>
      <c r="E635" s="38"/>
      <c r="F635" s="39"/>
      <c r="G635" s="196"/>
      <c r="H635" s="12"/>
      <c r="I635" s="103"/>
      <c r="J635" s="227"/>
      <c r="K635" s="226"/>
      <c r="L635" s="33" t="str">
        <f t="shared" si="20"/>
        <v/>
      </c>
      <c r="M635" s="13" t="str">
        <f t="shared" si="21"/>
        <v/>
      </c>
    </row>
    <row r="636" spans="2:13" x14ac:dyDescent="0.35">
      <c r="B636" s="10">
        <v>638</v>
      </c>
      <c r="C636" s="10"/>
      <c r="D636" s="38"/>
      <c r="E636" s="38"/>
      <c r="F636" s="39"/>
      <c r="G636" s="196"/>
      <c r="H636" s="12"/>
      <c r="I636" s="103"/>
      <c r="J636" s="227"/>
      <c r="K636" s="226"/>
      <c r="L636" s="33" t="str">
        <f t="shared" si="20"/>
        <v/>
      </c>
      <c r="M636" s="13" t="str">
        <f t="shared" si="21"/>
        <v/>
      </c>
    </row>
    <row r="637" spans="2:13" x14ac:dyDescent="0.35">
      <c r="B637" s="10">
        <v>639</v>
      </c>
      <c r="C637" s="10"/>
      <c r="D637" s="38"/>
      <c r="E637" s="38"/>
      <c r="F637" s="39"/>
      <c r="G637" s="196"/>
      <c r="H637" s="12"/>
      <c r="I637" s="103"/>
      <c r="J637" s="227"/>
      <c r="K637" s="226"/>
      <c r="L637" s="33" t="str">
        <f t="shared" si="20"/>
        <v/>
      </c>
      <c r="M637" s="13" t="str">
        <f t="shared" si="21"/>
        <v/>
      </c>
    </row>
    <row r="638" spans="2:13" x14ac:dyDescent="0.35">
      <c r="B638" s="10">
        <v>640</v>
      </c>
      <c r="C638" s="10"/>
      <c r="D638" s="38"/>
      <c r="E638" s="38"/>
      <c r="F638" s="39"/>
      <c r="G638" s="196"/>
      <c r="H638" s="12"/>
      <c r="I638" s="103"/>
      <c r="J638" s="227"/>
      <c r="K638" s="226"/>
      <c r="L638" s="33" t="str">
        <f t="shared" si="20"/>
        <v/>
      </c>
      <c r="M638" s="13" t="str">
        <f t="shared" si="21"/>
        <v/>
      </c>
    </row>
    <row r="639" spans="2:13" x14ac:dyDescent="0.35">
      <c r="B639" s="10">
        <v>641</v>
      </c>
      <c r="C639" s="10"/>
      <c r="D639" s="38"/>
      <c r="E639" s="38"/>
      <c r="F639" s="39"/>
      <c r="G639" s="196"/>
      <c r="H639" s="12"/>
      <c r="I639" s="103"/>
      <c r="J639" s="227"/>
      <c r="K639" s="226"/>
      <c r="L639" s="33" t="str">
        <f t="shared" si="20"/>
        <v/>
      </c>
      <c r="M639" s="13" t="str">
        <f t="shared" si="21"/>
        <v/>
      </c>
    </row>
    <row r="640" spans="2:13" x14ac:dyDescent="0.35">
      <c r="B640" s="10">
        <v>642</v>
      </c>
      <c r="C640" s="10"/>
      <c r="D640" s="38"/>
      <c r="E640" s="38"/>
      <c r="F640" s="39"/>
      <c r="G640" s="196"/>
      <c r="H640" s="12"/>
      <c r="I640" s="103"/>
      <c r="J640" s="227"/>
      <c r="K640" s="226"/>
      <c r="L640" s="33" t="str">
        <f t="shared" si="20"/>
        <v/>
      </c>
      <c r="M640" s="13" t="str">
        <f t="shared" si="21"/>
        <v/>
      </c>
    </row>
    <row r="641" spans="2:13" x14ac:dyDescent="0.35">
      <c r="B641" s="10">
        <v>643</v>
      </c>
      <c r="C641" s="10"/>
      <c r="D641" s="38"/>
      <c r="E641" s="38"/>
      <c r="F641" s="39"/>
      <c r="G641" s="196"/>
      <c r="H641" s="12"/>
      <c r="I641" s="103"/>
      <c r="J641" s="227"/>
      <c r="K641" s="226"/>
      <c r="L641" s="33" t="str">
        <f t="shared" ref="L641:L702" si="22">IF(OR(J641="", K641=""), "", NETWORKDAYS(J641,K641))</f>
        <v/>
      </c>
      <c r="M641" s="13" t="str">
        <f t="shared" ref="M641:M702" si="23">IF(I641="SEA", 10, IF(I641="AIR", 5, ""))</f>
        <v/>
      </c>
    </row>
    <row r="642" spans="2:13" x14ac:dyDescent="0.35">
      <c r="B642" s="10">
        <v>644</v>
      </c>
      <c r="C642" s="10"/>
      <c r="D642" s="38"/>
      <c r="E642" s="38"/>
      <c r="F642" s="39"/>
      <c r="G642" s="196"/>
      <c r="H642" s="12"/>
      <c r="I642" s="103"/>
      <c r="J642" s="227"/>
      <c r="K642" s="226"/>
      <c r="L642" s="33" t="str">
        <f t="shared" si="22"/>
        <v/>
      </c>
      <c r="M642" s="13" t="str">
        <f t="shared" si="23"/>
        <v/>
      </c>
    </row>
    <row r="643" spans="2:13" x14ac:dyDescent="0.35">
      <c r="B643" s="10">
        <v>645</v>
      </c>
      <c r="C643" s="10"/>
      <c r="D643" s="38"/>
      <c r="E643" s="38"/>
      <c r="F643" s="39"/>
      <c r="G643" s="196"/>
      <c r="H643" s="12"/>
      <c r="I643" s="103"/>
      <c r="J643" s="227"/>
      <c r="K643" s="226"/>
      <c r="L643" s="33" t="str">
        <f t="shared" si="22"/>
        <v/>
      </c>
      <c r="M643" s="13" t="str">
        <f t="shared" si="23"/>
        <v/>
      </c>
    </row>
    <row r="644" spans="2:13" x14ac:dyDescent="0.35">
      <c r="B644" s="10">
        <v>646</v>
      </c>
      <c r="C644" s="10"/>
      <c r="D644" s="38"/>
      <c r="E644" s="38"/>
      <c r="F644" s="39"/>
      <c r="G644" s="196"/>
      <c r="H644" s="12"/>
      <c r="I644" s="103"/>
      <c r="J644" s="227"/>
      <c r="K644" s="226"/>
      <c r="L644" s="33" t="str">
        <f t="shared" si="22"/>
        <v/>
      </c>
      <c r="M644" s="13" t="str">
        <f t="shared" si="23"/>
        <v/>
      </c>
    </row>
    <row r="645" spans="2:13" x14ac:dyDescent="0.35">
      <c r="B645" s="10">
        <v>647</v>
      </c>
      <c r="C645" s="10"/>
      <c r="D645" s="38"/>
      <c r="E645" s="38"/>
      <c r="F645" s="39"/>
      <c r="G645" s="196"/>
      <c r="H645" s="12"/>
      <c r="I645" s="103"/>
      <c r="J645" s="227"/>
      <c r="K645" s="226"/>
      <c r="L645" s="33" t="str">
        <f t="shared" si="22"/>
        <v/>
      </c>
      <c r="M645" s="13" t="str">
        <f t="shared" si="23"/>
        <v/>
      </c>
    </row>
    <row r="646" spans="2:13" x14ac:dyDescent="0.35">
      <c r="B646" s="10">
        <v>648</v>
      </c>
      <c r="C646" s="10"/>
      <c r="D646" s="38"/>
      <c r="E646" s="38"/>
      <c r="F646" s="39"/>
      <c r="G646" s="196"/>
      <c r="H646" s="12"/>
      <c r="I646" s="103"/>
      <c r="J646" s="227"/>
      <c r="K646" s="226"/>
      <c r="L646" s="33" t="str">
        <f t="shared" si="22"/>
        <v/>
      </c>
      <c r="M646" s="13" t="str">
        <f t="shared" si="23"/>
        <v/>
      </c>
    </row>
    <row r="647" spans="2:13" x14ac:dyDescent="0.35">
      <c r="B647" s="10">
        <v>649</v>
      </c>
      <c r="C647" s="10"/>
      <c r="D647" s="38"/>
      <c r="E647" s="38"/>
      <c r="F647" s="39"/>
      <c r="G647" s="196"/>
      <c r="H647" s="12"/>
      <c r="I647" s="103"/>
      <c r="J647" s="227"/>
      <c r="K647" s="226"/>
      <c r="L647" s="33" t="str">
        <f t="shared" si="22"/>
        <v/>
      </c>
      <c r="M647" s="13" t="str">
        <f t="shared" si="23"/>
        <v/>
      </c>
    </row>
    <row r="648" spans="2:13" x14ac:dyDescent="0.35">
      <c r="B648" s="10">
        <v>650</v>
      </c>
      <c r="C648" s="10"/>
      <c r="D648" s="38"/>
      <c r="E648" s="38"/>
      <c r="F648" s="39"/>
      <c r="G648" s="196"/>
      <c r="H648" s="12"/>
      <c r="I648" s="103"/>
      <c r="J648" s="227"/>
      <c r="K648" s="226"/>
      <c r="L648" s="33" t="str">
        <f t="shared" si="22"/>
        <v/>
      </c>
      <c r="M648" s="13" t="str">
        <f t="shared" si="23"/>
        <v/>
      </c>
    </row>
    <row r="649" spans="2:13" x14ac:dyDescent="0.35">
      <c r="B649" s="10">
        <v>651</v>
      </c>
      <c r="C649" s="10"/>
      <c r="D649" s="38"/>
      <c r="E649" s="38"/>
      <c r="F649" s="39"/>
      <c r="G649" s="196"/>
      <c r="H649" s="12"/>
      <c r="I649" s="103"/>
      <c r="J649" s="227"/>
      <c r="K649" s="226"/>
      <c r="L649" s="33" t="str">
        <f t="shared" si="22"/>
        <v/>
      </c>
      <c r="M649" s="13" t="str">
        <f t="shared" si="23"/>
        <v/>
      </c>
    </row>
    <row r="650" spans="2:13" x14ac:dyDescent="0.35">
      <c r="B650" s="10">
        <v>652</v>
      </c>
      <c r="C650" s="10"/>
      <c r="D650" s="38"/>
      <c r="E650" s="38"/>
      <c r="F650" s="39"/>
      <c r="G650" s="196"/>
      <c r="H650" s="12"/>
      <c r="I650" s="103"/>
      <c r="J650" s="227"/>
      <c r="K650" s="226"/>
      <c r="L650" s="33" t="str">
        <f t="shared" si="22"/>
        <v/>
      </c>
      <c r="M650" s="13" t="str">
        <f t="shared" si="23"/>
        <v/>
      </c>
    </row>
    <row r="651" spans="2:13" x14ac:dyDescent="0.35">
      <c r="B651" s="10">
        <v>653</v>
      </c>
      <c r="C651" s="10"/>
      <c r="D651" s="38"/>
      <c r="E651" s="38"/>
      <c r="F651" s="39"/>
      <c r="G651" s="196"/>
      <c r="H651" s="12"/>
      <c r="I651" s="103"/>
      <c r="J651" s="227"/>
      <c r="K651" s="226"/>
      <c r="L651" s="33" t="str">
        <f t="shared" si="22"/>
        <v/>
      </c>
      <c r="M651" s="13" t="str">
        <f t="shared" si="23"/>
        <v/>
      </c>
    </row>
    <row r="652" spans="2:13" x14ac:dyDescent="0.35">
      <c r="B652" s="10">
        <v>654</v>
      </c>
      <c r="C652" s="10"/>
      <c r="D652" s="38"/>
      <c r="E652" s="38"/>
      <c r="F652" s="39"/>
      <c r="G652" s="196"/>
      <c r="H652" s="12"/>
      <c r="I652" s="103"/>
      <c r="J652" s="227"/>
      <c r="K652" s="226"/>
      <c r="L652" s="33" t="str">
        <f t="shared" si="22"/>
        <v/>
      </c>
      <c r="M652" s="13" t="str">
        <f t="shared" si="23"/>
        <v/>
      </c>
    </row>
    <row r="653" spans="2:13" x14ac:dyDescent="0.35">
      <c r="B653" s="10">
        <v>655</v>
      </c>
      <c r="C653" s="10"/>
      <c r="D653" s="38"/>
      <c r="E653" s="38"/>
      <c r="F653" s="39"/>
      <c r="G653" s="196"/>
      <c r="H653" s="12"/>
      <c r="I653" s="103"/>
      <c r="J653" s="227"/>
      <c r="K653" s="226"/>
      <c r="L653" s="33" t="str">
        <f t="shared" si="22"/>
        <v/>
      </c>
      <c r="M653" s="13" t="str">
        <f t="shared" si="23"/>
        <v/>
      </c>
    </row>
    <row r="654" spans="2:13" x14ac:dyDescent="0.35">
      <c r="B654" s="10">
        <v>656</v>
      </c>
      <c r="C654" s="10"/>
      <c r="D654" s="38"/>
      <c r="E654" s="38"/>
      <c r="F654" s="39"/>
      <c r="G654" s="196"/>
      <c r="H654" s="12"/>
      <c r="I654" s="103"/>
      <c r="J654" s="227"/>
      <c r="K654" s="226"/>
      <c r="L654" s="33" t="str">
        <f t="shared" si="22"/>
        <v/>
      </c>
      <c r="M654" s="13" t="str">
        <f t="shared" si="23"/>
        <v/>
      </c>
    </row>
    <row r="655" spans="2:13" x14ac:dyDescent="0.35">
      <c r="B655" s="10">
        <v>657</v>
      </c>
      <c r="C655" s="10"/>
      <c r="D655" s="38"/>
      <c r="E655" s="38"/>
      <c r="F655" s="39"/>
      <c r="G655" s="196"/>
      <c r="H655" s="12"/>
      <c r="I655" s="103"/>
      <c r="J655" s="227"/>
      <c r="K655" s="226"/>
      <c r="L655" s="33" t="str">
        <f t="shared" si="22"/>
        <v/>
      </c>
      <c r="M655" s="13" t="str">
        <f t="shared" si="23"/>
        <v/>
      </c>
    </row>
    <row r="656" spans="2:13" x14ac:dyDescent="0.35">
      <c r="B656" s="10">
        <v>658</v>
      </c>
      <c r="C656" s="10"/>
      <c r="D656" s="38"/>
      <c r="E656" s="38"/>
      <c r="F656" s="39"/>
      <c r="G656" s="196"/>
      <c r="H656" s="12"/>
      <c r="I656" s="103"/>
      <c r="J656" s="227"/>
      <c r="K656" s="226"/>
      <c r="L656" s="33" t="str">
        <f t="shared" si="22"/>
        <v/>
      </c>
      <c r="M656" s="13" t="str">
        <f t="shared" si="23"/>
        <v/>
      </c>
    </row>
    <row r="657" spans="2:13" x14ac:dyDescent="0.35">
      <c r="B657" s="10">
        <v>659</v>
      </c>
      <c r="C657" s="10"/>
      <c r="D657" s="38"/>
      <c r="E657" s="38"/>
      <c r="F657" s="39"/>
      <c r="G657" s="196"/>
      <c r="H657" s="12"/>
      <c r="I657" s="103"/>
      <c r="J657" s="227"/>
      <c r="K657" s="226"/>
      <c r="L657" s="33" t="str">
        <f t="shared" si="22"/>
        <v/>
      </c>
      <c r="M657" s="13" t="str">
        <f t="shared" si="23"/>
        <v/>
      </c>
    </row>
    <row r="658" spans="2:13" x14ac:dyDescent="0.35">
      <c r="B658" s="10">
        <v>660</v>
      </c>
      <c r="C658" s="10"/>
      <c r="D658" s="38"/>
      <c r="E658" s="38"/>
      <c r="F658" s="39"/>
      <c r="G658" s="196"/>
      <c r="H658" s="12"/>
      <c r="I658" s="103"/>
      <c r="J658" s="227"/>
      <c r="K658" s="226"/>
      <c r="L658" s="33" t="str">
        <f t="shared" si="22"/>
        <v/>
      </c>
      <c r="M658" s="13" t="str">
        <f t="shared" si="23"/>
        <v/>
      </c>
    </row>
    <row r="659" spans="2:13" x14ac:dyDescent="0.35">
      <c r="B659" s="10">
        <v>661</v>
      </c>
      <c r="C659" s="10"/>
      <c r="D659" s="38"/>
      <c r="E659" s="38"/>
      <c r="F659" s="39"/>
      <c r="G659" s="196"/>
      <c r="H659" s="12"/>
      <c r="I659" s="103"/>
      <c r="J659" s="227"/>
      <c r="K659" s="226"/>
      <c r="L659" s="33" t="str">
        <f t="shared" si="22"/>
        <v/>
      </c>
      <c r="M659" s="13" t="str">
        <f t="shared" si="23"/>
        <v/>
      </c>
    </row>
    <row r="660" spans="2:13" x14ac:dyDescent="0.35">
      <c r="B660" s="10">
        <v>662</v>
      </c>
      <c r="C660" s="10"/>
      <c r="D660" s="38"/>
      <c r="E660" s="38"/>
      <c r="F660" s="39"/>
      <c r="G660" s="196"/>
      <c r="H660" s="12"/>
      <c r="I660" s="103"/>
      <c r="J660" s="227"/>
      <c r="K660" s="226"/>
      <c r="L660" s="33" t="str">
        <f t="shared" si="22"/>
        <v/>
      </c>
      <c r="M660" s="13" t="str">
        <f t="shared" si="23"/>
        <v/>
      </c>
    </row>
    <row r="661" spans="2:13" x14ac:dyDescent="0.35">
      <c r="B661" s="10">
        <v>663</v>
      </c>
      <c r="C661" s="10"/>
      <c r="D661" s="38"/>
      <c r="E661" s="38"/>
      <c r="F661" s="39"/>
      <c r="G661" s="196"/>
      <c r="H661" s="12"/>
      <c r="I661" s="103"/>
      <c r="J661" s="227"/>
      <c r="K661" s="226"/>
      <c r="L661" s="33" t="str">
        <f t="shared" si="22"/>
        <v/>
      </c>
      <c r="M661" s="13" t="str">
        <f t="shared" si="23"/>
        <v/>
      </c>
    </row>
    <row r="662" spans="2:13" x14ac:dyDescent="0.35">
      <c r="B662" s="10">
        <v>664</v>
      </c>
      <c r="C662" s="10"/>
      <c r="D662" s="38"/>
      <c r="E662" s="38"/>
      <c r="F662" s="39"/>
      <c r="G662" s="196"/>
      <c r="H662" s="12"/>
      <c r="I662" s="103"/>
      <c r="J662" s="227"/>
      <c r="K662" s="226"/>
      <c r="L662" s="33" t="str">
        <f t="shared" si="22"/>
        <v/>
      </c>
      <c r="M662" s="13" t="str">
        <f t="shared" si="23"/>
        <v/>
      </c>
    </row>
    <row r="663" spans="2:13" x14ac:dyDescent="0.35">
      <c r="B663" s="10">
        <v>665</v>
      </c>
      <c r="C663" s="10"/>
      <c r="D663" s="38"/>
      <c r="E663" s="38"/>
      <c r="F663" s="39"/>
      <c r="G663" s="196"/>
      <c r="H663" s="12"/>
      <c r="I663" s="103"/>
      <c r="J663" s="227"/>
      <c r="K663" s="226"/>
      <c r="L663" s="33" t="str">
        <f t="shared" si="22"/>
        <v/>
      </c>
      <c r="M663" s="13" t="str">
        <f t="shared" si="23"/>
        <v/>
      </c>
    </row>
    <row r="664" spans="2:13" x14ac:dyDescent="0.35">
      <c r="B664" s="10">
        <v>666</v>
      </c>
      <c r="C664" s="10"/>
      <c r="D664" s="38"/>
      <c r="E664" s="38"/>
      <c r="F664" s="39"/>
      <c r="G664" s="196"/>
      <c r="H664" s="12"/>
      <c r="I664" s="103"/>
      <c r="J664" s="227"/>
      <c r="K664" s="226"/>
      <c r="L664" s="33" t="str">
        <f t="shared" si="22"/>
        <v/>
      </c>
      <c r="M664" s="13" t="str">
        <f t="shared" si="23"/>
        <v/>
      </c>
    </row>
    <row r="665" spans="2:13" x14ac:dyDescent="0.35">
      <c r="B665" s="10">
        <v>667</v>
      </c>
      <c r="C665" s="10"/>
      <c r="D665" s="38"/>
      <c r="E665" s="38"/>
      <c r="F665" s="39"/>
      <c r="G665" s="196"/>
      <c r="H665" s="12"/>
      <c r="I665" s="103"/>
      <c r="J665" s="227"/>
      <c r="K665" s="226"/>
      <c r="L665" s="33" t="str">
        <f t="shared" si="22"/>
        <v/>
      </c>
      <c r="M665" s="13" t="str">
        <f t="shared" si="23"/>
        <v/>
      </c>
    </row>
    <row r="666" spans="2:13" x14ac:dyDescent="0.35">
      <c r="B666" s="10">
        <v>668</v>
      </c>
      <c r="C666" s="10"/>
      <c r="D666" s="38"/>
      <c r="E666" s="38"/>
      <c r="F666" s="39"/>
      <c r="G666" s="196"/>
      <c r="H666" s="12"/>
      <c r="I666" s="103"/>
      <c r="J666" s="227"/>
      <c r="K666" s="226"/>
      <c r="L666" s="33" t="str">
        <f t="shared" si="22"/>
        <v/>
      </c>
      <c r="M666" s="13" t="str">
        <f t="shared" si="23"/>
        <v/>
      </c>
    </row>
    <row r="667" spans="2:13" x14ac:dyDescent="0.35">
      <c r="B667" s="10">
        <v>669</v>
      </c>
      <c r="C667" s="10"/>
      <c r="D667" s="38"/>
      <c r="E667" s="38"/>
      <c r="F667" s="39"/>
      <c r="G667" s="196"/>
      <c r="H667" s="12"/>
      <c r="I667" s="103"/>
      <c r="J667" s="227"/>
      <c r="K667" s="226"/>
      <c r="L667" s="33" t="str">
        <f t="shared" si="22"/>
        <v/>
      </c>
      <c r="M667" s="13" t="str">
        <f t="shared" si="23"/>
        <v/>
      </c>
    </row>
    <row r="668" spans="2:13" x14ac:dyDescent="0.35">
      <c r="B668" s="10">
        <v>670</v>
      </c>
      <c r="C668" s="10"/>
      <c r="D668" s="38"/>
      <c r="E668" s="38"/>
      <c r="F668" s="39"/>
      <c r="G668" s="196"/>
      <c r="H668" s="12"/>
      <c r="I668" s="103"/>
      <c r="J668" s="227"/>
      <c r="K668" s="226"/>
      <c r="L668" s="33" t="str">
        <f t="shared" si="22"/>
        <v/>
      </c>
      <c r="M668" s="13" t="str">
        <f t="shared" si="23"/>
        <v/>
      </c>
    </row>
    <row r="669" spans="2:13" x14ac:dyDescent="0.35">
      <c r="B669" s="10">
        <v>671</v>
      </c>
      <c r="C669" s="10"/>
      <c r="D669" s="38"/>
      <c r="E669" s="38"/>
      <c r="F669" s="39"/>
      <c r="G669" s="196"/>
      <c r="H669" s="12"/>
      <c r="I669" s="103"/>
      <c r="J669" s="227"/>
      <c r="K669" s="226"/>
      <c r="L669" s="33" t="str">
        <f t="shared" si="22"/>
        <v/>
      </c>
      <c r="M669" s="13" t="str">
        <f t="shared" si="23"/>
        <v/>
      </c>
    </row>
    <row r="670" spans="2:13" x14ac:dyDescent="0.35">
      <c r="B670" s="10">
        <v>672</v>
      </c>
      <c r="C670" s="10"/>
      <c r="D670" s="38"/>
      <c r="E670" s="38"/>
      <c r="F670" s="39"/>
      <c r="G670" s="196"/>
      <c r="H670" s="12"/>
      <c r="I670" s="103"/>
      <c r="J670" s="227"/>
      <c r="K670" s="226"/>
      <c r="L670" s="33" t="str">
        <f t="shared" si="22"/>
        <v/>
      </c>
      <c r="M670" s="13" t="str">
        <f t="shared" si="23"/>
        <v/>
      </c>
    </row>
    <row r="671" spans="2:13" x14ac:dyDescent="0.35">
      <c r="B671" s="10">
        <v>673</v>
      </c>
      <c r="C671" s="10"/>
      <c r="D671" s="38"/>
      <c r="E671" s="38"/>
      <c r="F671" s="39"/>
      <c r="G671" s="196"/>
      <c r="H671" s="12"/>
      <c r="I671" s="103"/>
      <c r="J671" s="227"/>
      <c r="K671" s="226"/>
      <c r="L671" s="33" t="str">
        <f t="shared" si="22"/>
        <v/>
      </c>
      <c r="M671" s="13" t="str">
        <f t="shared" si="23"/>
        <v/>
      </c>
    </row>
    <row r="672" spans="2:13" x14ac:dyDescent="0.35">
      <c r="B672" s="10">
        <v>674</v>
      </c>
      <c r="C672" s="10"/>
      <c r="D672" s="38"/>
      <c r="E672" s="38"/>
      <c r="F672" s="39"/>
      <c r="G672" s="196"/>
      <c r="H672" s="12"/>
      <c r="I672" s="103"/>
      <c r="J672" s="227"/>
      <c r="K672" s="226"/>
      <c r="L672" s="33" t="str">
        <f t="shared" si="22"/>
        <v/>
      </c>
      <c r="M672" s="13" t="str">
        <f t="shared" si="23"/>
        <v/>
      </c>
    </row>
    <row r="673" spans="2:13" x14ac:dyDescent="0.35">
      <c r="B673" s="10">
        <v>675</v>
      </c>
      <c r="C673" s="10"/>
      <c r="D673" s="38"/>
      <c r="E673" s="38"/>
      <c r="F673" s="39"/>
      <c r="G673" s="196"/>
      <c r="H673" s="12"/>
      <c r="I673" s="103"/>
      <c r="J673" s="227"/>
      <c r="K673" s="226"/>
      <c r="L673" s="33" t="str">
        <f t="shared" si="22"/>
        <v/>
      </c>
      <c r="M673" s="13" t="str">
        <f t="shared" si="23"/>
        <v/>
      </c>
    </row>
    <row r="674" spans="2:13" x14ac:dyDescent="0.35">
      <c r="B674" s="10">
        <v>676</v>
      </c>
      <c r="C674" s="10"/>
      <c r="D674" s="38"/>
      <c r="E674" s="38"/>
      <c r="F674" s="39"/>
      <c r="G674" s="196"/>
      <c r="H674" s="12"/>
      <c r="I674" s="103"/>
      <c r="J674" s="227"/>
      <c r="K674" s="226"/>
      <c r="L674" s="33" t="str">
        <f t="shared" si="22"/>
        <v/>
      </c>
      <c r="M674" s="13" t="str">
        <f t="shared" si="23"/>
        <v/>
      </c>
    </row>
    <row r="675" spans="2:13" x14ac:dyDescent="0.35">
      <c r="B675" s="10">
        <v>677</v>
      </c>
      <c r="C675" s="10"/>
      <c r="D675" s="38"/>
      <c r="E675" s="38"/>
      <c r="F675" s="39"/>
      <c r="G675" s="196"/>
      <c r="H675" s="12"/>
      <c r="I675" s="103"/>
      <c r="J675" s="227"/>
      <c r="K675" s="226"/>
      <c r="L675" s="33" t="str">
        <f t="shared" si="22"/>
        <v/>
      </c>
      <c r="M675" s="13" t="str">
        <f t="shared" si="23"/>
        <v/>
      </c>
    </row>
    <row r="676" spans="2:13" x14ac:dyDescent="0.35">
      <c r="B676" s="10">
        <v>678</v>
      </c>
      <c r="C676" s="10"/>
      <c r="D676" s="38"/>
      <c r="E676" s="38"/>
      <c r="F676" s="39"/>
      <c r="G676" s="196"/>
      <c r="H676" s="12"/>
      <c r="I676" s="103"/>
      <c r="J676" s="227"/>
      <c r="K676" s="226"/>
      <c r="L676" s="33" t="str">
        <f t="shared" si="22"/>
        <v/>
      </c>
      <c r="M676" s="13" t="str">
        <f t="shared" si="23"/>
        <v/>
      </c>
    </row>
    <row r="677" spans="2:13" x14ac:dyDescent="0.35">
      <c r="B677" s="10">
        <v>679</v>
      </c>
      <c r="C677" s="10"/>
      <c r="D677" s="38"/>
      <c r="E677" s="38"/>
      <c r="F677" s="39"/>
      <c r="G677" s="196"/>
      <c r="H677" s="12"/>
      <c r="I677" s="103"/>
      <c r="J677" s="227"/>
      <c r="K677" s="226"/>
      <c r="L677" s="33" t="str">
        <f t="shared" si="22"/>
        <v/>
      </c>
      <c r="M677" s="13" t="str">
        <f t="shared" si="23"/>
        <v/>
      </c>
    </row>
    <row r="678" spans="2:13" x14ac:dyDescent="0.35">
      <c r="B678" s="10">
        <v>680</v>
      </c>
      <c r="C678" s="10"/>
      <c r="D678" s="38"/>
      <c r="E678" s="38"/>
      <c r="F678" s="39"/>
      <c r="G678" s="196"/>
      <c r="H678" s="12"/>
      <c r="I678" s="103"/>
      <c r="J678" s="227"/>
      <c r="K678" s="226"/>
      <c r="L678" s="33" t="str">
        <f t="shared" si="22"/>
        <v/>
      </c>
      <c r="M678" s="13" t="str">
        <f t="shared" si="23"/>
        <v/>
      </c>
    </row>
    <row r="679" spans="2:13" x14ac:dyDescent="0.35">
      <c r="B679" s="10">
        <v>681</v>
      </c>
      <c r="C679" s="10"/>
      <c r="D679" s="38"/>
      <c r="E679" s="38"/>
      <c r="F679" s="39"/>
      <c r="G679" s="196"/>
      <c r="H679" s="12"/>
      <c r="I679" s="103"/>
      <c r="J679" s="227"/>
      <c r="K679" s="226"/>
      <c r="L679" s="33" t="str">
        <f t="shared" si="22"/>
        <v/>
      </c>
      <c r="M679" s="13" t="str">
        <f t="shared" si="23"/>
        <v/>
      </c>
    </row>
    <row r="680" spans="2:13" x14ac:dyDescent="0.35">
      <c r="B680" s="10">
        <v>682</v>
      </c>
      <c r="C680" s="10"/>
      <c r="D680" s="38"/>
      <c r="E680" s="38"/>
      <c r="F680" s="39"/>
      <c r="G680" s="196"/>
      <c r="H680" s="12"/>
      <c r="I680" s="103"/>
      <c r="J680" s="227"/>
      <c r="K680" s="226"/>
      <c r="L680" s="33" t="str">
        <f t="shared" si="22"/>
        <v/>
      </c>
      <c r="M680" s="13" t="str">
        <f t="shared" si="23"/>
        <v/>
      </c>
    </row>
    <row r="681" spans="2:13" x14ac:dyDescent="0.35">
      <c r="B681" s="10">
        <v>683</v>
      </c>
      <c r="C681" s="10"/>
      <c r="D681" s="38"/>
      <c r="E681" s="38"/>
      <c r="F681" s="39"/>
      <c r="G681" s="196"/>
      <c r="H681" s="12"/>
      <c r="I681" s="103"/>
      <c r="J681" s="227"/>
      <c r="K681" s="226"/>
      <c r="L681" s="33" t="str">
        <f t="shared" si="22"/>
        <v/>
      </c>
      <c r="M681" s="13" t="str">
        <f t="shared" si="23"/>
        <v/>
      </c>
    </row>
    <row r="682" spans="2:13" x14ac:dyDescent="0.35">
      <c r="B682" s="10">
        <v>684</v>
      </c>
      <c r="C682" s="10"/>
      <c r="D682" s="38"/>
      <c r="E682" s="38"/>
      <c r="F682" s="39"/>
      <c r="G682" s="196"/>
      <c r="H682" s="12"/>
      <c r="I682" s="103"/>
      <c r="J682" s="227"/>
      <c r="K682" s="226"/>
      <c r="L682" s="33" t="str">
        <f t="shared" si="22"/>
        <v/>
      </c>
      <c r="M682" s="13" t="str">
        <f t="shared" si="23"/>
        <v/>
      </c>
    </row>
    <row r="683" spans="2:13" x14ac:dyDescent="0.35">
      <c r="B683" s="10">
        <v>685</v>
      </c>
      <c r="C683" s="10"/>
      <c r="D683" s="38"/>
      <c r="E683" s="38"/>
      <c r="F683" s="39"/>
      <c r="G683" s="196"/>
      <c r="H683" s="12"/>
      <c r="I683" s="103"/>
      <c r="J683" s="227"/>
      <c r="K683" s="226"/>
      <c r="L683" s="33" t="str">
        <f t="shared" si="22"/>
        <v/>
      </c>
      <c r="M683" s="13" t="str">
        <f t="shared" si="23"/>
        <v/>
      </c>
    </row>
    <row r="684" spans="2:13" x14ac:dyDescent="0.35">
      <c r="B684" s="10">
        <v>686</v>
      </c>
      <c r="C684" s="10"/>
      <c r="D684" s="38"/>
      <c r="E684" s="38"/>
      <c r="F684" s="39"/>
      <c r="G684" s="196"/>
      <c r="H684" s="12"/>
      <c r="I684" s="103"/>
      <c r="J684" s="227"/>
      <c r="K684" s="226"/>
      <c r="L684" s="33" t="str">
        <f t="shared" si="22"/>
        <v/>
      </c>
      <c r="M684" s="13" t="str">
        <f t="shared" si="23"/>
        <v/>
      </c>
    </row>
    <row r="685" spans="2:13" x14ac:dyDescent="0.35">
      <c r="B685" s="10">
        <v>687</v>
      </c>
      <c r="C685" s="10"/>
      <c r="D685" s="38"/>
      <c r="E685" s="38"/>
      <c r="F685" s="39"/>
      <c r="G685" s="196"/>
      <c r="H685" s="12"/>
      <c r="I685" s="103"/>
      <c r="J685" s="227"/>
      <c r="K685" s="226"/>
      <c r="L685" s="33" t="str">
        <f t="shared" si="22"/>
        <v/>
      </c>
      <c r="M685" s="13" t="str">
        <f t="shared" si="23"/>
        <v/>
      </c>
    </row>
    <row r="686" spans="2:13" x14ac:dyDescent="0.35">
      <c r="B686" s="10">
        <v>688</v>
      </c>
      <c r="C686" s="10"/>
      <c r="D686" s="38"/>
      <c r="E686" s="38"/>
      <c r="F686" s="39"/>
      <c r="G686" s="196"/>
      <c r="H686" s="12"/>
      <c r="I686" s="103"/>
      <c r="J686" s="227"/>
      <c r="K686" s="226"/>
      <c r="L686" s="33" t="str">
        <f t="shared" si="22"/>
        <v/>
      </c>
      <c r="M686" s="13" t="str">
        <f t="shared" si="23"/>
        <v/>
      </c>
    </row>
    <row r="687" spans="2:13" x14ac:dyDescent="0.35">
      <c r="B687" s="10">
        <v>689</v>
      </c>
      <c r="C687" s="10"/>
      <c r="D687" s="38"/>
      <c r="E687" s="38"/>
      <c r="F687" s="39"/>
      <c r="G687" s="196"/>
      <c r="H687" s="12"/>
      <c r="I687" s="103"/>
      <c r="J687" s="227"/>
      <c r="K687" s="226"/>
      <c r="L687" s="33" t="str">
        <f t="shared" si="22"/>
        <v/>
      </c>
      <c r="M687" s="13" t="str">
        <f t="shared" si="23"/>
        <v/>
      </c>
    </row>
    <row r="688" spans="2:13" x14ac:dyDescent="0.35">
      <c r="B688" s="10">
        <v>690</v>
      </c>
      <c r="C688" s="10"/>
      <c r="D688" s="38"/>
      <c r="E688" s="38"/>
      <c r="F688" s="39"/>
      <c r="G688" s="196"/>
      <c r="H688" s="12"/>
      <c r="I688" s="103"/>
      <c r="J688" s="227"/>
      <c r="K688" s="226"/>
      <c r="L688" s="33" t="str">
        <f t="shared" si="22"/>
        <v/>
      </c>
      <c r="M688" s="13" t="str">
        <f t="shared" si="23"/>
        <v/>
      </c>
    </row>
    <row r="689" spans="2:13" x14ac:dyDescent="0.35">
      <c r="B689" s="10">
        <v>691</v>
      </c>
      <c r="C689" s="10"/>
      <c r="D689" s="38"/>
      <c r="E689" s="38"/>
      <c r="F689" s="39"/>
      <c r="G689" s="196"/>
      <c r="H689" s="12"/>
      <c r="I689" s="103"/>
      <c r="J689" s="227"/>
      <c r="K689" s="226"/>
      <c r="L689" s="33" t="str">
        <f t="shared" si="22"/>
        <v/>
      </c>
      <c r="M689" s="13" t="str">
        <f t="shared" si="23"/>
        <v/>
      </c>
    </row>
    <row r="690" spans="2:13" x14ac:dyDescent="0.35">
      <c r="B690" s="10">
        <v>692</v>
      </c>
      <c r="C690" s="10"/>
      <c r="D690" s="38"/>
      <c r="E690" s="38"/>
      <c r="F690" s="39"/>
      <c r="G690" s="196"/>
      <c r="H690" s="12"/>
      <c r="I690" s="103"/>
      <c r="J690" s="227"/>
      <c r="K690" s="226"/>
      <c r="L690" s="33" t="str">
        <f t="shared" si="22"/>
        <v/>
      </c>
      <c r="M690" s="13" t="str">
        <f t="shared" si="23"/>
        <v/>
      </c>
    </row>
    <row r="691" spans="2:13" x14ac:dyDescent="0.35">
      <c r="B691" s="10">
        <v>693</v>
      </c>
      <c r="C691" s="10"/>
      <c r="D691" s="38"/>
      <c r="E691" s="38"/>
      <c r="F691" s="39"/>
      <c r="G691" s="196"/>
      <c r="H691" s="12"/>
      <c r="I691" s="103"/>
      <c r="J691" s="227"/>
      <c r="K691" s="226"/>
      <c r="L691" s="33" t="str">
        <f t="shared" si="22"/>
        <v/>
      </c>
      <c r="M691" s="13" t="str">
        <f t="shared" si="23"/>
        <v/>
      </c>
    </row>
    <row r="692" spans="2:13" x14ac:dyDescent="0.35">
      <c r="B692" s="10">
        <v>694</v>
      </c>
      <c r="C692" s="10"/>
      <c r="D692" s="38"/>
      <c r="E692" s="38"/>
      <c r="F692" s="39"/>
      <c r="G692" s="196"/>
      <c r="H692" s="12"/>
      <c r="I692" s="103"/>
      <c r="J692" s="227"/>
      <c r="K692" s="226"/>
      <c r="L692" s="33" t="str">
        <f t="shared" si="22"/>
        <v/>
      </c>
      <c r="M692" s="13" t="str">
        <f t="shared" si="23"/>
        <v/>
      </c>
    </row>
    <row r="693" spans="2:13" x14ac:dyDescent="0.35">
      <c r="B693" s="10">
        <v>695</v>
      </c>
      <c r="C693" s="10"/>
      <c r="D693" s="38"/>
      <c r="E693" s="38"/>
      <c r="F693" s="39"/>
      <c r="G693" s="196"/>
      <c r="H693" s="12"/>
      <c r="I693" s="103"/>
      <c r="J693" s="227"/>
      <c r="K693" s="226"/>
      <c r="L693" s="33" t="str">
        <f t="shared" si="22"/>
        <v/>
      </c>
      <c r="M693" s="13" t="str">
        <f t="shared" si="23"/>
        <v/>
      </c>
    </row>
    <row r="694" spans="2:13" x14ac:dyDescent="0.35">
      <c r="B694" s="10">
        <v>696</v>
      </c>
      <c r="C694" s="10"/>
      <c r="D694" s="38"/>
      <c r="E694" s="38"/>
      <c r="F694" s="39"/>
      <c r="G694" s="196"/>
      <c r="H694" s="12"/>
      <c r="I694" s="103"/>
      <c r="J694" s="227"/>
      <c r="K694" s="226"/>
      <c r="L694" s="33" t="str">
        <f t="shared" si="22"/>
        <v/>
      </c>
      <c r="M694" s="13" t="str">
        <f t="shared" si="23"/>
        <v/>
      </c>
    </row>
    <row r="695" spans="2:13" x14ac:dyDescent="0.35">
      <c r="B695" s="10">
        <v>697</v>
      </c>
      <c r="C695" s="10"/>
      <c r="D695" s="38"/>
      <c r="E695" s="38"/>
      <c r="F695" s="39"/>
      <c r="G695" s="196"/>
      <c r="H695" s="12"/>
      <c r="I695" s="103"/>
      <c r="J695" s="227"/>
      <c r="K695" s="226"/>
      <c r="L695" s="33" t="str">
        <f t="shared" si="22"/>
        <v/>
      </c>
      <c r="M695" s="13" t="str">
        <f t="shared" si="23"/>
        <v/>
      </c>
    </row>
    <row r="696" spans="2:13" x14ac:dyDescent="0.35">
      <c r="B696" s="10">
        <v>698</v>
      </c>
      <c r="C696" s="10"/>
      <c r="D696" s="38"/>
      <c r="E696" s="38"/>
      <c r="F696" s="39"/>
      <c r="G696" s="196"/>
      <c r="H696" s="12"/>
      <c r="I696" s="103"/>
      <c r="J696" s="227"/>
      <c r="K696" s="226"/>
      <c r="L696" s="33" t="str">
        <f t="shared" si="22"/>
        <v/>
      </c>
      <c r="M696" s="13" t="str">
        <f t="shared" si="23"/>
        <v/>
      </c>
    </row>
    <row r="697" spans="2:13" x14ac:dyDescent="0.35">
      <c r="B697" s="10">
        <v>699</v>
      </c>
      <c r="C697" s="10"/>
      <c r="D697" s="38"/>
      <c r="E697" s="38"/>
      <c r="F697" s="39"/>
      <c r="G697" s="196"/>
      <c r="H697" s="12"/>
      <c r="I697" s="103"/>
      <c r="J697" s="227"/>
      <c r="K697" s="226"/>
      <c r="L697" s="33" t="str">
        <f t="shared" si="22"/>
        <v/>
      </c>
      <c r="M697" s="13" t="str">
        <f t="shared" si="23"/>
        <v/>
      </c>
    </row>
    <row r="698" spans="2:13" x14ac:dyDescent="0.35">
      <c r="B698" s="10">
        <v>700</v>
      </c>
      <c r="C698" s="10"/>
      <c r="D698" s="38"/>
      <c r="E698" s="38"/>
      <c r="F698" s="39"/>
      <c r="G698" s="196"/>
      <c r="H698" s="12"/>
      <c r="I698" s="103"/>
      <c r="J698" s="227"/>
      <c r="K698" s="226"/>
      <c r="L698" s="33" t="str">
        <f t="shared" si="22"/>
        <v/>
      </c>
      <c r="M698" s="13" t="str">
        <f t="shared" si="23"/>
        <v/>
      </c>
    </row>
    <row r="699" spans="2:13" x14ac:dyDescent="0.35">
      <c r="B699" s="10">
        <v>701</v>
      </c>
      <c r="C699" s="10"/>
      <c r="D699" s="38"/>
      <c r="E699" s="38"/>
      <c r="F699" s="39"/>
      <c r="G699" s="196"/>
      <c r="H699" s="12"/>
      <c r="I699" s="103"/>
      <c r="J699" s="227"/>
      <c r="K699" s="226"/>
      <c r="L699" s="33" t="str">
        <f t="shared" si="22"/>
        <v/>
      </c>
      <c r="M699" s="13" t="str">
        <f t="shared" si="23"/>
        <v/>
      </c>
    </row>
    <row r="700" spans="2:13" x14ac:dyDescent="0.35">
      <c r="B700" s="10">
        <v>702</v>
      </c>
      <c r="C700" s="10"/>
      <c r="D700" s="38"/>
      <c r="E700" s="38"/>
      <c r="F700" s="39"/>
      <c r="G700" s="196"/>
      <c r="H700" s="12"/>
      <c r="I700" s="103"/>
      <c r="J700" s="227"/>
      <c r="K700" s="226"/>
      <c r="L700" s="33" t="str">
        <f t="shared" si="22"/>
        <v/>
      </c>
      <c r="M700" s="13" t="str">
        <f t="shared" si="23"/>
        <v/>
      </c>
    </row>
    <row r="701" spans="2:13" x14ac:dyDescent="0.35">
      <c r="B701" s="10">
        <v>703</v>
      </c>
      <c r="C701" s="10"/>
      <c r="D701" s="38"/>
      <c r="E701" s="38"/>
      <c r="F701" s="39"/>
      <c r="G701" s="196"/>
      <c r="H701" s="12"/>
      <c r="I701" s="103"/>
      <c r="J701" s="227"/>
      <c r="K701" s="226"/>
      <c r="L701" s="33" t="str">
        <f t="shared" si="22"/>
        <v/>
      </c>
      <c r="M701" s="13" t="str">
        <f t="shared" si="23"/>
        <v/>
      </c>
    </row>
    <row r="702" spans="2:13" x14ac:dyDescent="0.35">
      <c r="B702" s="10">
        <v>704</v>
      </c>
      <c r="C702" s="10"/>
      <c r="D702" s="38"/>
      <c r="E702" s="38"/>
      <c r="F702" s="39"/>
      <c r="G702" s="196"/>
      <c r="H702" s="12"/>
      <c r="I702" s="103"/>
      <c r="J702" s="227"/>
      <c r="K702" s="226"/>
      <c r="L702" s="33" t="str">
        <f t="shared" si="22"/>
        <v/>
      </c>
      <c r="M702" s="13" t="str">
        <f t="shared" si="23"/>
        <v/>
      </c>
    </row>
  </sheetData>
  <autoFilter ref="B4:M702" xr:uid="{00000000-0009-0000-0000-000003000000}"/>
  <mergeCells count="6">
    <mergeCell ref="B1:M1"/>
    <mergeCell ref="J2:J3"/>
    <mergeCell ref="K2:K3"/>
    <mergeCell ref="C2:C3"/>
    <mergeCell ref="I2:I3"/>
    <mergeCell ref="L2:L3"/>
  </mergeCells>
  <conditionalFormatting sqref="L5:L702">
    <cfRule type="cellIs" dxfId="21" priority="1" stopIfTrue="1" operator="greaterThan">
      <formula>$M5</formula>
    </cfRule>
    <cfRule type="cellIs" dxfId="20" priority="2" stopIfTrue="1" operator="lessThanOrEqual">
      <formula>$M5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1F4D8-7F83-4990-8E3A-2179A4CB913C}">
  <dimension ref="A1:AG9"/>
  <sheetViews>
    <sheetView workbookViewId="0">
      <pane ySplit="1" topLeftCell="A2" activePane="bottomLeft" state="frozen"/>
      <selection pane="bottomLeft" activeCell="E2" sqref="E2"/>
    </sheetView>
  </sheetViews>
  <sheetFormatPr baseColWidth="10" defaultColWidth="8.7265625" defaultRowHeight="14.5" outlineLevelCol="1" x14ac:dyDescent="0.35"/>
  <cols>
    <col min="1" max="1" width="12.7265625" bestFit="1" customWidth="1"/>
    <col min="2" max="2" width="10.7265625" bestFit="1" customWidth="1"/>
    <col min="3" max="3" width="12.453125" customWidth="1"/>
    <col min="4" max="4" width="38.08984375" customWidth="1"/>
    <col min="5" max="5" width="11.90625" customWidth="1"/>
    <col min="6" max="6" width="42.36328125" customWidth="1"/>
    <col min="7" max="7" width="25.453125" bestFit="1" customWidth="1"/>
    <col min="8" max="8" width="18.08984375" customWidth="1"/>
    <col min="9" max="9" width="20.7265625" bestFit="1" customWidth="1"/>
    <col min="10" max="10" width="20.08984375" customWidth="1"/>
    <col min="11" max="11" width="14.08984375" bestFit="1" customWidth="1"/>
    <col min="12" max="12" width="71.453125" customWidth="1"/>
    <col min="13" max="13" width="21.453125" bestFit="1" customWidth="1"/>
    <col min="14" max="14" width="21.90625" customWidth="1"/>
    <col min="15" max="15" width="10.90625" customWidth="1"/>
    <col min="16" max="16" width="13.90625" bestFit="1" customWidth="1"/>
    <col min="17" max="17" width="12.7265625" bestFit="1" customWidth="1"/>
    <col min="18" max="18" width="14" customWidth="1"/>
    <col min="19" max="19" width="28.7265625" bestFit="1" customWidth="1"/>
    <col min="20" max="20" width="30.90625" customWidth="1"/>
    <col min="21" max="21" width="10.453125" bestFit="1" customWidth="1"/>
    <col min="22" max="22" width="19.26953125" bestFit="1" customWidth="1"/>
    <col min="23" max="23" width="21.26953125" bestFit="1" customWidth="1"/>
    <col min="24" max="24" width="18" bestFit="1" customWidth="1" outlineLevel="1"/>
    <col min="25" max="25" width="19.08984375" bestFit="1" customWidth="1" outlineLevel="1"/>
    <col min="26" max="26" width="24.90625" bestFit="1" customWidth="1" outlineLevel="1"/>
    <col min="27" max="27" width="14.453125" bestFit="1" customWidth="1" outlineLevel="1"/>
    <col min="28" max="28" width="13.08984375" bestFit="1" customWidth="1" outlineLevel="1"/>
    <col min="29" max="33" width="8.7265625" outlineLevel="1"/>
  </cols>
  <sheetData>
    <row r="1" spans="1:33" ht="43.5" customHeight="1" x14ac:dyDescent="0.35">
      <c r="A1" s="175" t="s">
        <v>78</v>
      </c>
      <c r="B1" s="5" t="s">
        <v>109</v>
      </c>
      <c r="C1" s="5" t="s">
        <v>79</v>
      </c>
      <c r="D1" s="5" t="s">
        <v>134</v>
      </c>
      <c r="E1" s="5" t="s">
        <v>209</v>
      </c>
      <c r="F1" s="5" t="s">
        <v>81</v>
      </c>
      <c r="G1" s="5" t="s">
        <v>82</v>
      </c>
      <c r="H1" s="5" t="s">
        <v>83</v>
      </c>
      <c r="I1" s="5" t="s">
        <v>84</v>
      </c>
      <c r="J1" s="5" t="s">
        <v>85</v>
      </c>
      <c r="K1" s="5" t="s">
        <v>86</v>
      </c>
      <c r="L1" s="5" t="s">
        <v>87</v>
      </c>
      <c r="M1" s="5" t="s">
        <v>88</v>
      </c>
      <c r="N1" s="5" t="s">
        <v>89</v>
      </c>
      <c r="O1" s="5" t="s">
        <v>90</v>
      </c>
      <c r="P1" s="5" t="s">
        <v>91</v>
      </c>
      <c r="Q1" s="5" t="s">
        <v>92</v>
      </c>
      <c r="R1" s="5" t="s">
        <v>93</v>
      </c>
      <c r="S1" s="5" t="s">
        <v>94</v>
      </c>
      <c r="T1" s="5" t="s">
        <v>95</v>
      </c>
      <c r="U1" s="5" t="s">
        <v>96</v>
      </c>
      <c r="V1" s="5" t="s">
        <v>97</v>
      </c>
      <c r="W1" s="5" t="s">
        <v>98</v>
      </c>
      <c r="X1" s="5" t="s">
        <v>99</v>
      </c>
      <c r="Y1" s="5" t="s">
        <v>100</v>
      </c>
      <c r="Z1" s="5" t="s">
        <v>101</v>
      </c>
      <c r="AA1" s="5" t="s">
        <v>102</v>
      </c>
      <c r="AB1" s="5" t="s">
        <v>103</v>
      </c>
      <c r="AC1" s="5" t="s">
        <v>104</v>
      </c>
      <c r="AD1" s="5" t="s">
        <v>105</v>
      </c>
      <c r="AE1" s="5" t="s">
        <v>106</v>
      </c>
      <c r="AF1" s="5" t="s">
        <v>107</v>
      </c>
      <c r="AG1" s="5" t="s">
        <v>108</v>
      </c>
    </row>
    <row r="2" spans="1:33" x14ac:dyDescent="0.35">
      <c r="A2" s="165" t="s">
        <v>145</v>
      </c>
      <c r="B2" s="165" t="s">
        <v>2</v>
      </c>
      <c r="C2" s="165" t="s">
        <v>131</v>
      </c>
      <c r="D2" s="165" t="s">
        <v>195</v>
      </c>
      <c r="E2" s="165" t="s">
        <v>124</v>
      </c>
      <c r="F2" s="165" t="s">
        <v>179</v>
      </c>
      <c r="G2" s="165" t="s">
        <v>146</v>
      </c>
      <c r="H2" s="165">
        <v>6</v>
      </c>
      <c r="I2" s="166">
        <v>45988</v>
      </c>
      <c r="J2" s="166">
        <v>45989</v>
      </c>
      <c r="K2" s="166">
        <v>45994</v>
      </c>
      <c r="L2" s="165" t="s">
        <v>187</v>
      </c>
      <c r="M2" s="165" t="s">
        <v>147</v>
      </c>
      <c r="N2" s="165" t="s">
        <v>148</v>
      </c>
      <c r="O2" s="167">
        <v>119833.84</v>
      </c>
      <c r="P2" s="167">
        <v>103057.1</v>
      </c>
      <c r="Q2" s="167">
        <f>O2-P2</f>
        <v>16776.739999999991</v>
      </c>
      <c r="R2" s="165"/>
      <c r="S2" s="165"/>
      <c r="T2" s="165"/>
      <c r="U2" s="165"/>
      <c r="V2" s="165" t="s">
        <v>149</v>
      </c>
      <c r="W2" s="165" t="s">
        <v>148</v>
      </c>
      <c r="X2" s="168" t="s">
        <v>150</v>
      </c>
      <c r="Y2" s="168" t="s">
        <v>151</v>
      </c>
      <c r="Z2" s="168" t="s">
        <v>152</v>
      </c>
      <c r="AA2" s="168" t="s">
        <v>153</v>
      </c>
      <c r="AB2" s="168" t="s">
        <v>154</v>
      </c>
    </row>
    <row r="3" spans="1:33" x14ac:dyDescent="0.35">
      <c r="A3" s="165" t="s">
        <v>145</v>
      </c>
      <c r="B3" s="165" t="s">
        <v>2</v>
      </c>
      <c r="C3" s="165" t="s">
        <v>131</v>
      </c>
      <c r="D3" s="165" t="s">
        <v>196</v>
      </c>
      <c r="E3" s="165" t="s">
        <v>124</v>
      </c>
      <c r="F3" s="165" t="s">
        <v>180</v>
      </c>
      <c r="G3" s="165" t="s">
        <v>155</v>
      </c>
      <c r="H3" s="165">
        <v>4</v>
      </c>
      <c r="I3" s="166">
        <v>46020</v>
      </c>
      <c r="J3" s="166">
        <v>46021</v>
      </c>
      <c r="K3" s="166">
        <v>46027</v>
      </c>
      <c r="L3" s="165" t="s">
        <v>192</v>
      </c>
      <c r="M3" s="165" t="s">
        <v>155</v>
      </c>
      <c r="N3" s="165" t="s">
        <v>150</v>
      </c>
      <c r="O3" s="167">
        <v>30516.44</v>
      </c>
      <c r="P3" s="167">
        <v>28018.52</v>
      </c>
      <c r="Q3" s="167">
        <f t="shared" ref="Q3:Q9" si="0">O3-P3</f>
        <v>2497.9199999999983</v>
      </c>
      <c r="R3" s="166">
        <v>46049</v>
      </c>
      <c r="S3" s="165" t="s">
        <v>156</v>
      </c>
      <c r="T3" s="165" t="s">
        <v>157</v>
      </c>
      <c r="U3" s="166">
        <v>46027</v>
      </c>
      <c r="V3" s="165" t="s">
        <v>149</v>
      </c>
      <c r="W3" s="165" t="s">
        <v>158</v>
      </c>
      <c r="X3" s="168" t="s">
        <v>148</v>
      </c>
      <c r="Y3" s="168" t="s">
        <v>152</v>
      </c>
      <c r="Z3" s="168" t="s">
        <v>153</v>
      </c>
      <c r="AA3" s="168"/>
      <c r="AB3" s="168"/>
    </row>
    <row r="4" spans="1:33" x14ac:dyDescent="0.35">
      <c r="A4" s="165" t="s">
        <v>145</v>
      </c>
      <c r="B4" s="165" t="s">
        <v>2</v>
      </c>
      <c r="C4" s="165" t="s">
        <v>131</v>
      </c>
      <c r="D4" s="165" t="s">
        <v>197</v>
      </c>
      <c r="E4" s="165" t="s">
        <v>113</v>
      </c>
      <c r="F4" s="165" t="s">
        <v>181</v>
      </c>
      <c r="G4" s="165" t="s">
        <v>159</v>
      </c>
      <c r="H4" s="165">
        <v>2</v>
      </c>
      <c r="I4" s="166">
        <v>46041</v>
      </c>
      <c r="J4" s="166">
        <v>46043</v>
      </c>
      <c r="K4" s="166">
        <v>46046</v>
      </c>
      <c r="L4" s="165" t="s">
        <v>188</v>
      </c>
      <c r="M4" s="165"/>
      <c r="N4" s="165" t="s">
        <v>160</v>
      </c>
      <c r="O4" s="167">
        <v>4749</v>
      </c>
      <c r="P4" s="167">
        <v>4749</v>
      </c>
      <c r="Q4" s="167">
        <f t="shared" si="0"/>
        <v>0</v>
      </c>
      <c r="R4" s="166">
        <v>46058</v>
      </c>
      <c r="S4" s="165" t="s">
        <v>156</v>
      </c>
      <c r="T4" s="165" t="s">
        <v>157</v>
      </c>
      <c r="U4" s="166">
        <v>46046</v>
      </c>
      <c r="V4" s="165" t="s">
        <v>149</v>
      </c>
      <c r="W4" s="165" t="s">
        <v>160</v>
      </c>
      <c r="X4" s="168" t="s">
        <v>161</v>
      </c>
      <c r="Y4" s="168"/>
      <c r="Z4" s="168"/>
      <c r="AA4" s="168"/>
      <c r="AB4" s="168"/>
    </row>
    <row r="5" spans="1:33" ht="70" x14ac:dyDescent="0.35">
      <c r="A5" s="165" t="s">
        <v>145</v>
      </c>
      <c r="B5" s="165" t="s">
        <v>2</v>
      </c>
      <c r="C5" s="165" t="s">
        <v>131</v>
      </c>
      <c r="D5" s="165" t="s">
        <v>198</v>
      </c>
      <c r="E5" s="165" t="s">
        <v>119</v>
      </c>
      <c r="F5" s="170" t="s">
        <v>182</v>
      </c>
      <c r="G5" s="165" t="s">
        <v>162</v>
      </c>
      <c r="H5" s="165">
        <v>4</v>
      </c>
      <c r="I5" s="166">
        <v>46028</v>
      </c>
      <c r="J5" s="166">
        <v>46042</v>
      </c>
      <c r="K5" s="166">
        <v>46050</v>
      </c>
      <c r="L5" s="169" t="s">
        <v>189</v>
      </c>
      <c r="M5" s="165" t="s">
        <v>163</v>
      </c>
      <c r="N5" s="165"/>
      <c r="O5" s="167"/>
      <c r="P5" s="167"/>
      <c r="Q5" s="167">
        <f t="shared" si="0"/>
        <v>0</v>
      </c>
      <c r="R5" s="165"/>
      <c r="S5" s="165"/>
      <c r="T5" s="165"/>
      <c r="U5" s="165"/>
      <c r="V5" s="165" t="s">
        <v>149</v>
      </c>
      <c r="W5" s="165" t="s">
        <v>164</v>
      </c>
      <c r="X5" s="165" t="s">
        <v>165</v>
      </c>
      <c r="Y5" s="165" t="s">
        <v>166</v>
      </c>
      <c r="Z5" s="165" t="s">
        <v>167</v>
      </c>
      <c r="AA5" s="165"/>
      <c r="AB5" s="165"/>
    </row>
    <row r="6" spans="1:33" ht="62" x14ac:dyDescent="0.35">
      <c r="A6" s="165" t="s">
        <v>145</v>
      </c>
      <c r="B6" s="165" t="s">
        <v>2</v>
      </c>
      <c r="C6" s="165" t="s">
        <v>131</v>
      </c>
      <c r="D6" s="165" t="s">
        <v>199</v>
      </c>
      <c r="E6" s="165" t="s">
        <v>126</v>
      </c>
      <c r="F6" s="165" t="s">
        <v>183</v>
      </c>
      <c r="G6" s="165" t="s">
        <v>168</v>
      </c>
      <c r="H6" s="165">
        <v>6</v>
      </c>
      <c r="I6" s="166">
        <v>46035</v>
      </c>
      <c r="J6" s="166">
        <v>46036</v>
      </c>
      <c r="K6" s="166">
        <v>46048</v>
      </c>
      <c r="L6" s="169" t="s">
        <v>190</v>
      </c>
      <c r="M6" s="165" t="s">
        <v>169</v>
      </c>
      <c r="N6" s="165"/>
      <c r="O6" s="167"/>
      <c r="P6" s="167"/>
      <c r="Q6" s="167">
        <f t="shared" si="0"/>
        <v>0</v>
      </c>
      <c r="R6" s="165"/>
      <c r="S6" s="165"/>
      <c r="T6" s="165"/>
      <c r="U6" s="165"/>
      <c r="V6" s="165" t="s">
        <v>149</v>
      </c>
      <c r="W6" s="165" t="s">
        <v>170</v>
      </c>
      <c r="X6" s="165" t="s">
        <v>165</v>
      </c>
      <c r="Y6" s="165" t="s">
        <v>164</v>
      </c>
      <c r="Z6" s="165" t="s">
        <v>171</v>
      </c>
      <c r="AA6" s="165" t="s">
        <v>172</v>
      </c>
      <c r="AB6" s="165" t="s">
        <v>173</v>
      </c>
    </row>
    <row r="7" spans="1:33" ht="14.5" customHeight="1" x14ac:dyDescent="0.35">
      <c r="A7" s="172" t="s">
        <v>145</v>
      </c>
      <c r="B7" s="165" t="s">
        <v>2</v>
      </c>
      <c r="C7" s="172" t="s">
        <v>131</v>
      </c>
      <c r="D7" s="172" t="s">
        <v>200</v>
      </c>
      <c r="E7" s="172" t="s">
        <v>124</v>
      </c>
      <c r="F7" s="172" t="s">
        <v>184</v>
      </c>
      <c r="G7" s="172" t="s">
        <v>168</v>
      </c>
      <c r="H7" s="172">
        <v>4</v>
      </c>
      <c r="I7" s="173">
        <v>46035</v>
      </c>
      <c r="J7" s="173">
        <v>46037</v>
      </c>
      <c r="K7" s="173">
        <v>46042</v>
      </c>
      <c r="L7" s="174" t="s">
        <v>191</v>
      </c>
      <c r="M7" s="172" t="s">
        <v>193</v>
      </c>
      <c r="N7" s="170" t="s">
        <v>203</v>
      </c>
      <c r="O7" s="171">
        <f>26213.93+71213.34+92722.3</f>
        <v>190149.57</v>
      </c>
      <c r="P7" s="167">
        <f>28835.33+64056.74+83058.29</f>
        <v>175950.36</v>
      </c>
      <c r="Q7" s="167">
        <f t="shared" si="0"/>
        <v>14199.210000000021</v>
      </c>
      <c r="R7" s="166">
        <v>46056</v>
      </c>
      <c r="S7" s="165" t="s">
        <v>204</v>
      </c>
      <c r="T7" s="165" t="s">
        <v>204</v>
      </c>
      <c r="U7" s="165"/>
      <c r="V7" s="165" t="s">
        <v>149</v>
      </c>
      <c r="W7" s="172" t="s">
        <v>164</v>
      </c>
      <c r="X7" s="172" t="s">
        <v>165</v>
      </c>
      <c r="Y7" s="172" t="s">
        <v>170</v>
      </c>
      <c r="Z7" s="172" t="s">
        <v>166</v>
      </c>
      <c r="AA7" s="165"/>
      <c r="AB7" s="165"/>
    </row>
    <row r="8" spans="1:33" ht="28" x14ac:dyDescent="0.35">
      <c r="A8" s="165" t="s">
        <v>145</v>
      </c>
      <c r="B8" s="165" t="s">
        <v>2</v>
      </c>
      <c r="C8" s="165" t="s">
        <v>131</v>
      </c>
      <c r="D8" s="170" t="s">
        <v>202</v>
      </c>
      <c r="E8" s="165" t="s">
        <v>124</v>
      </c>
      <c r="F8" s="170" t="s">
        <v>185</v>
      </c>
      <c r="G8" s="165" t="s">
        <v>174</v>
      </c>
      <c r="H8" s="165">
        <v>3</v>
      </c>
      <c r="I8" s="166">
        <v>46037</v>
      </c>
      <c r="J8" s="166">
        <v>46059</v>
      </c>
      <c r="K8" s="166">
        <v>46071</v>
      </c>
      <c r="L8" s="165" t="s">
        <v>194</v>
      </c>
      <c r="M8" s="165" t="s">
        <v>175</v>
      </c>
      <c r="N8" s="165" t="s">
        <v>176</v>
      </c>
      <c r="O8" s="167">
        <v>14246.7</v>
      </c>
      <c r="P8" s="167">
        <v>14246.7</v>
      </c>
      <c r="Q8" s="167">
        <f t="shared" si="0"/>
        <v>0</v>
      </c>
      <c r="R8" s="165"/>
      <c r="S8" s="165"/>
      <c r="T8" s="165"/>
      <c r="U8" s="165"/>
      <c r="V8" s="165" t="s">
        <v>149</v>
      </c>
      <c r="W8" s="165" t="s">
        <v>176</v>
      </c>
      <c r="X8" s="165" t="s">
        <v>144</v>
      </c>
      <c r="Y8" s="168"/>
      <c r="Z8" s="168"/>
      <c r="AA8" s="168"/>
      <c r="AB8" s="168"/>
    </row>
    <row r="9" spans="1:33" ht="42" x14ac:dyDescent="0.35">
      <c r="A9" s="165" t="s">
        <v>145</v>
      </c>
      <c r="B9" s="165" t="s">
        <v>2</v>
      </c>
      <c r="C9" s="165" t="s">
        <v>131</v>
      </c>
      <c r="D9" s="165" t="s">
        <v>201</v>
      </c>
      <c r="E9" s="165" t="s">
        <v>113</v>
      </c>
      <c r="F9" s="170" t="s">
        <v>186</v>
      </c>
      <c r="G9" s="165" t="s">
        <v>147</v>
      </c>
      <c r="H9" s="165">
        <v>1</v>
      </c>
      <c r="I9" s="166">
        <v>46066</v>
      </c>
      <c r="J9" s="166">
        <v>46066</v>
      </c>
      <c r="K9" s="166">
        <v>46068</v>
      </c>
      <c r="L9" s="169" t="s">
        <v>188</v>
      </c>
      <c r="M9" s="165"/>
      <c r="N9" s="165" t="s">
        <v>177</v>
      </c>
      <c r="O9" s="167">
        <v>5876.76</v>
      </c>
      <c r="P9" s="167">
        <v>5283.15</v>
      </c>
      <c r="Q9" s="167">
        <f t="shared" si="0"/>
        <v>593.61000000000058</v>
      </c>
      <c r="R9" s="166">
        <v>46058</v>
      </c>
      <c r="S9" s="165" t="s">
        <v>156</v>
      </c>
      <c r="T9" s="165" t="s">
        <v>157</v>
      </c>
      <c r="U9" s="166">
        <v>46052</v>
      </c>
      <c r="V9" s="165" t="s">
        <v>149</v>
      </c>
      <c r="W9" s="165" t="s">
        <v>178</v>
      </c>
      <c r="X9" s="165"/>
      <c r="Y9" s="165"/>
      <c r="Z9" s="165"/>
      <c r="AA9" s="165"/>
      <c r="AB9" s="165"/>
    </row>
  </sheetData>
  <autoFilter ref="A1:AG1" xr:uid="{9371F4D8-7F83-4990-8E3A-2179A4CB913C}"/>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4629700-5F94-4412-B440-7C53C3A4205B}">
          <x14:formula1>
            <xm:f>List!$C$2:$C$12</xm:f>
          </x14:formula1>
          <xm:sqref>E10:E1048576</xm:sqref>
        </x14:dataValidation>
        <x14:dataValidation type="list" allowBlank="1" showInputMessage="1" showErrorMessage="1" xr:uid="{516F8D83-A3F0-4D09-98EA-BD5027973816}">
          <x14:formula1>
            <xm:f>List!$A$2:$A$13</xm:f>
          </x14:formula1>
          <xm:sqref>C1 C10:C1048576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B6E51-4650-4E91-9D3C-E4BDC7530992}">
  <dimension ref="A1:C23"/>
  <sheetViews>
    <sheetView workbookViewId="0">
      <selection activeCell="D12" sqref="D12"/>
    </sheetView>
  </sheetViews>
  <sheetFormatPr baseColWidth="10" defaultColWidth="8.7265625" defaultRowHeight="14.5" x14ac:dyDescent="0.35"/>
  <cols>
    <col min="1" max="1" width="15.08984375" bestFit="1" customWidth="1"/>
    <col min="2" max="2" width="16.08984375" bestFit="1" customWidth="1"/>
    <col min="3" max="4" width="10.7265625" bestFit="1" customWidth="1"/>
  </cols>
  <sheetData>
    <row r="1" spans="1:3" x14ac:dyDescent="0.35">
      <c r="A1" s="176" t="s">
        <v>209</v>
      </c>
      <c r="B1" t="s">
        <v>211</v>
      </c>
    </row>
    <row r="3" spans="1:3" x14ac:dyDescent="0.35">
      <c r="A3" s="176" t="s">
        <v>210</v>
      </c>
      <c r="B3" s="176" t="s">
        <v>207</v>
      </c>
    </row>
    <row r="4" spans="1:3" x14ac:dyDescent="0.35">
      <c r="A4" s="176" t="s">
        <v>205</v>
      </c>
      <c r="B4" t="s">
        <v>2</v>
      </c>
      <c r="C4" t="s">
        <v>206</v>
      </c>
    </row>
    <row r="5" spans="1:3" x14ac:dyDescent="0.35">
      <c r="A5" s="71" t="s">
        <v>131</v>
      </c>
      <c r="B5">
        <v>6</v>
      </c>
      <c r="C5">
        <v>6</v>
      </c>
    </row>
    <row r="6" spans="1:3" x14ac:dyDescent="0.35">
      <c r="A6" s="71" t="s">
        <v>206</v>
      </c>
      <c r="B6">
        <v>6</v>
      </c>
      <c r="C6">
        <v>6</v>
      </c>
    </row>
    <row r="9" spans="1:3" x14ac:dyDescent="0.35">
      <c r="A9" s="176" t="s">
        <v>79</v>
      </c>
      <c r="B9" t="s">
        <v>208</v>
      </c>
    </row>
    <row r="11" spans="1:3" x14ac:dyDescent="0.35">
      <c r="A11" s="176" t="s">
        <v>210</v>
      </c>
      <c r="B11" s="176" t="s">
        <v>207</v>
      </c>
    </row>
    <row r="12" spans="1:3" x14ac:dyDescent="0.35">
      <c r="A12" s="176" t="s">
        <v>205</v>
      </c>
      <c r="B12" t="s">
        <v>2</v>
      </c>
      <c r="C12" t="s">
        <v>206</v>
      </c>
    </row>
    <row r="13" spans="1:3" x14ac:dyDescent="0.35">
      <c r="A13" s="71" t="s">
        <v>113</v>
      </c>
      <c r="B13">
        <v>2</v>
      </c>
      <c r="C13">
        <v>2</v>
      </c>
    </row>
    <row r="14" spans="1:3" x14ac:dyDescent="0.35">
      <c r="A14" s="71" t="s">
        <v>119</v>
      </c>
      <c r="B14">
        <v>1</v>
      </c>
      <c r="C14">
        <v>1</v>
      </c>
    </row>
    <row r="15" spans="1:3" x14ac:dyDescent="0.35">
      <c r="A15" s="71" t="s">
        <v>124</v>
      </c>
      <c r="B15">
        <v>4</v>
      </c>
      <c r="C15">
        <v>4</v>
      </c>
    </row>
    <row r="16" spans="1:3" x14ac:dyDescent="0.35">
      <c r="A16" s="71" t="s">
        <v>126</v>
      </c>
      <c r="B16">
        <v>1</v>
      </c>
      <c r="C16">
        <v>1</v>
      </c>
    </row>
    <row r="17" spans="1:3" x14ac:dyDescent="0.35">
      <c r="A17" s="71" t="s">
        <v>206</v>
      </c>
      <c r="B17">
        <v>8</v>
      </c>
      <c r="C17">
        <v>8</v>
      </c>
    </row>
    <row r="18" spans="1:3" x14ac:dyDescent="0.35">
      <c r="A18" s="176" t="s">
        <v>209</v>
      </c>
      <c r="B18" t="s">
        <v>211</v>
      </c>
    </row>
    <row r="20" spans="1:3" x14ac:dyDescent="0.35">
      <c r="A20" s="176" t="s">
        <v>212</v>
      </c>
      <c r="B20" s="176" t="s">
        <v>207</v>
      </c>
    </row>
    <row r="21" spans="1:3" x14ac:dyDescent="0.35">
      <c r="A21" s="176" t="s">
        <v>205</v>
      </c>
      <c r="B21" t="s">
        <v>2</v>
      </c>
      <c r="C21" t="s">
        <v>206</v>
      </c>
    </row>
    <row r="22" spans="1:3" x14ac:dyDescent="0.35">
      <c r="A22" s="71" t="s">
        <v>131</v>
      </c>
      <c r="B22">
        <v>33473.87000000001</v>
      </c>
      <c r="C22">
        <v>33473.87000000001</v>
      </c>
    </row>
    <row r="23" spans="1:3" x14ac:dyDescent="0.35">
      <c r="A23" s="71" t="s">
        <v>206</v>
      </c>
      <c r="B23">
        <v>33473.87000000001</v>
      </c>
      <c r="C23">
        <v>33473.87000000001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20832-CF0F-44A2-B423-CE335B4BB1BE}">
  <dimension ref="A1:C13"/>
  <sheetViews>
    <sheetView workbookViewId="0">
      <selection activeCell="A16" sqref="A16"/>
    </sheetView>
  </sheetViews>
  <sheetFormatPr baseColWidth="10" defaultColWidth="8.7265625" defaultRowHeight="14.5" x14ac:dyDescent="0.35"/>
  <cols>
    <col min="1" max="1" width="30.08984375" bestFit="1" customWidth="1"/>
    <col min="3" max="3" width="14.26953125" bestFit="1" customWidth="1"/>
  </cols>
  <sheetData>
    <row r="1" spans="1:3" x14ac:dyDescent="0.35">
      <c r="A1" t="s">
        <v>79</v>
      </c>
      <c r="C1" t="s">
        <v>80</v>
      </c>
    </row>
    <row r="2" spans="1:3" x14ac:dyDescent="0.35">
      <c r="A2" t="s">
        <v>110</v>
      </c>
      <c r="C2" t="s">
        <v>111</v>
      </c>
    </row>
    <row r="3" spans="1:3" x14ac:dyDescent="0.35">
      <c r="A3" t="s">
        <v>112</v>
      </c>
      <c r="C3" t="s">
        <v>113</v>
      </c>
    </row>
    <row r="4" spans="1:3" x14ac:dyDescent="0.35">
      <c r="A4" t="s">
        <v>114</v>
      </c>
      <c r="C4" t="s">
        <v>115</v>
      </c>
    </row>
    <row r="5" spans="1:3" x14ac:dyDescent="0.35">
      <c r="A5" t="s">
        <v>116</v>
      </c>
      <c r="C5" t="s">
        <v>117</v>
      </c>
    </row>
    <row r="6" spans="1:3" x14ac:dyDescent="0.35">
      <c r="A6" t="s">
        <v>118</v>
      </c>
      <c r="C6" t="s">
        <v>119</v>
      </c>
    </row>
    <row r="7" spans="1:3" x14ac:dyDescent="0.35">
      <c r="A7" t="s">
        <v>120</v>
      </c>
      <c r="C7" t="s">
        <v>121</v>
      </c>
    </row>
    <row r="8" spans="1:3" x14ac:dyDescent="0.35">
      <c r="A8" t="s">
        <v>122</v>
      </c>
      <c r="C8" t="s">
        <v>123</v>
      </c>
    </row>
    <row r="9" spans="1:3" x14ac:dyDescent="0.35">
      <c r="A9" t="s">
        <v>125</v>
      </c>
      <c r="C9" t="s">
        <v>124</v>
      </c>
    </row>
    <row r="10" spans="1:3" x14ac:dyDescent="0.35">
      <c r="A10" t="s">
        <v>127</v>
      </c>
      <c r="C10" t="s">
        <v>126</v>
      </c>
    </row>
    <row r="11" spans="1:3" x14ac:dyDescent="0.35">
      <c r="A11" t="s">
        <v>129</v>
      </c>
      <c r="C11" t="s">
        <v>128</v>
      </c>
    </row>
    <row r="12" spans="1:3" x14ac:dyDescent="0.35">
      <c r="A12" t="s">
        <v>131</v>
      </c>
      <c r="C12" t="s">
        <v>130</v>
      </c>
    </row>
    <row r="13" spans="1:3" x14ac:dyDescent="0.35">
      <c r="A13" t="s">
        <v>133</v>
      </c>
      <c r="C13" t="s">
        <v>132</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76"/>
  <sheetViews>
    <sheetView zoomScaleNormal="100" workbookViewId="0">
      <pane xSplit="5" ySplit="4" topLeftCell="G17" activePane="bottomRight" state="frozen"/>
      <selection pane="topRight" activeCell="F1" sqref="F1"/>
      <selection pane="bottomLeft" activeCell="A5" sqref="A5"/>
      <selection pane="bottomRight" activeCell="B7" sqref="B7"/>
    </sheetView>
  </sheetViews>
  <sheetFormatPr baseColWidth="10" defaultColWidth="11.453125" defaultRowHeight="15" customHeight="1" x14ac:dyDescent="0.35"/>
  <cols>
    <col min="1" max="1" width="5.08984375" customWidth="1"/>
    <col min="2" max="2" width="10.08984375" customWidth="1"/>
    <col min="3" max="3" width="21.36328125" customWidth="1"/>
    <col min="4" max="4" width="29.90625" style="71" bestFit="1" customWidth="1"/>
    <col min="5" max="5" width="35.6328125" style="71" customWidth="1"/>
    <col min="6" max="6" width="78" bestFit="1" customWidth="1"/>
    <col min="7" max="7" width="44.453125" bestFit="1" customWidth="1"/>
    <col min="8" max="8" width="8.984375E-2" style="75" customWidth="1"/>
    <col min="9" max="9" width="17.7265625" style="76" bestFit="1" customWidth="1"/>
    <col min="10" max="10" width="10.36328125" bestFit="1" customWidth="1"/>
    <col min="11" max="11" width="15.6328125" style="99" customWidth="1"/>
    <col min="12" max="12" width="15.453125" style="44" customWidth="1"/>
    <col min="13" max="13" width="21" style="61" customWidth="1"/>
    <col min="14" max="14" width="25.08984375" customWidth="1"/>
    <col min="15" max="15" width="16.26953125" customWidth="1"/>
    <col min="16" max="16" width="16.453125" customWidth="1"/>
  </cols>
  <sheetData>
    <row r="1" spans="2:17" ht="27" customHeight="1" x14ac:dyDescent="0.35">
      <c r="B1" s="247" t="s">
        <v>60</v>
      </c>
      <c r="C1" s="244"/>
      <c r="D1" s="262"/>
      <c r="E1" s="262"/>
      <c r="F1" s="244"/>
      <c r="G1" s="244"/>
      <c r="H1" s="263"/>
      <c r="I1" s="264"/>
      <c r="J1" s="244"/>
      <c r="K1" s="265"/>
      <c r="L1" s="266"/>
      <c r="M1" s="251"/>
      <c r="N1" s="244"/>
      <c r="O1" s="244"/>
    </row>
    <row r="2" spans="2:17" ht="15" customHeight="1" x14ac:dyDescent="0.35">
      <c r="C2" s="254" t="s">
        <v>74</v>
      </c>
      <c r="J2">
        <v>421.75</v>
      </c>
      <c r="K2" s="267" t="s">
        <v>72</v>
      </c>
      <c r="L2" s="269" t="s">
        <v>75</v>
      </c>
      <c r="M2" s="267" t="s">
        <v>72</v>
      </c>
      <c r="N2" s="258" t="s">
        <v>76</v>
      </c>
      <c r="O2" s="258" t="s">
        <v>76</v>
      </c>
    </row>
    <row r="3" spans="2:17" ht="15" customHeight="1" x14ac:dyDescent="0.35">
      <c r="C3" s="255"/>
      <c r="K3" s="268"/>
      <c r="L3" s="270"/>
      <c r="M3" s="268"/>
      <c r="N3" s="259"/>
      <c r="O3" s="259"/>
    </row>
    <row r="4" spans="2:17" ht="43.5" customHeight="1" x14ac:dyDescent="0.35">
      <c r="B4" s="5" t="s">
        <v>33</v>
      </c>
      <c r="C4" s="5" t="s">
        <v>34</v>
      </c>
      <c r="D4" s="72" t="s">
        <v>61</v>
      </c>
      <c r="E4" s="74" t="s">
        <v>62</v>
      </c>
      <c r="F4" s="64" t="s">
        <v>45</v>
      </c>
      <c r="G4" s="5" t="s">
        <v>46</v>
      </c>
      <c r="H4" s="77"/>
      <c r="I4" s="78" t="s">
        <v>63</v>
      </c>
      <c r="J4" s="9" t="s">
        <v>47</v>
      </c>
      <c r="K4" s="101" t="s">
        <v>64</v>
      </c>
      <c r="L4" s="100" t="s">
        <v>65</v>
      </c>
      <c r="M4" s="102" t="s">
        <v>66</v>
      </c>
      <c r="N4" s="64" t="s">
        <v>67</v>
      </c>
      <c r="O4" s="9" t="s">
        <v>68</v>
      </c>
      <c r="Q4" s="37"/>
    </row>
    <row r="5" spans="2:17" ht="15" customHeight="1" x14ac:dyDescent="0.35">
      <c r="B5" s="10">
        <v>1</v>
      </c>
      <c r="C5" s="34" t="s">
        <v>822</v>
      </c>
      <c r="D5" s="63" t="s">
        <v>947</v>
      </c>
      <c r="E5" s="63">
        <v>134706</v>
      </c>
      <c r="F5" s="42" t="s">
        <v>1679</v>
      </c>
      <c r="G5" s="36" t="s">
        <v>2447</v>
      </c>
      <c r="H5" s="36"/>
      <c r="I5" s="229">
        <v>2125</v>
      </c>
      <c r="J5" s="12" t="s">
        <v>53</v>
      </c>
      <c r="K5" s="97">
        <v>46220</v>
      </c>
      <c r="L5" s="95">
        <v>30</v>
      </c>
      <c r="M5" s="96">
        <v>46247</v>
      </c>
      <c r="N5" s="11">
        <f t="shared" ref="N5:N68" si="0">IF(OR(M5="", K5=""),"", M5- K5)</f>
        <v>27</v>
      </c>
      <c r="O5" s="32" t="str">
        <f t="shared" ref="O5:O68" si="1">IF(OR(M5="", K5="", L5=""), "", IF((M5 - K5) &gt; L5, "No", "Yes"))</f>
        <v>Yes</v>
      </c>
    </row>
    <row r="6" spans="2:17" ht="15" customHeight="1" x14ac:dyDescent="0.35">
      <c r="B6" s="10">
        <v>2</v>
      </c>
      <c r="C6" s="34" t="s">
        <v>822</v>
      </c>
      <c r="D6" s="63" t="s">
        <v>948</v>
      </c>
      <c r="E6" s="63">
        <v>133475</v>
      </c>
      <c r="F6" s="42" t="s">
        <v>1680</v>
      </c>
      <c r="G6" s="36" t="s">
        <v>798</v>
      </c>
      <c r="H6" s="36"/>
      <c r="I6" s="229">
        <v>1704.886</v>
      </c>
      <c r="J6" s="12" t="s">
        <v>53</v>
      </c>
      <c r="K6" s="97">
        <v>46210</v>
      </c>
      <c r="L6" s="95">
        <v>30</v>
      </c>
      <c r="M6" s="96">
        <v>46235</v>
      </c>
      <c r="N6" s="11">
        <f t="shared" si="0"/>
        <v>25</v>
      </c>
      <c r="O6" s="32" t="str">
        <f t="shared" si="1"/>
        <v>Yes</v>
      </c>
    </row>
    <row r="7" spans="2:17" ht="15" customHeight="1" x14ac:dyDescent="0.35">
      <c r="B7" s="10">
        <v>3</v>
      </c>
      <c r="C7" s="34" t="s">
        <v>822</v>
      </c>
      <c r="D7" s="63" t="s">
        <v>949</v>
      </c>
      <c r="E7" s="63">
        <v>133475</v>
      </c>
      <c r="F7" s="42" t="s">
        <v>1681</v>
      </c>
      <c r="G7" s="36" t="s">
        <v>798</v>
      </c>
      <c r="H7" s="36"/>
      <c r="I7" s="229">
        <v>1788.1095</v>
      </c>
      <c r="J7" s="12" t="s">
        <v>53</v>
      </c>
      <c r="K7" s="97">
        <v>46210</v>
      </c>
      <c r="L7" s="95">
        <v>30</v>
      </c>
      <c r="M7" s="96">
        <v>46246</v>
      </c>
      <c r="N7" s="11">
        <f t="shared" si="0"/>
        <v>36</v>
      </c>
      <c r="O7" s="32" t="str">
        <f t="shared" si="1"/>
        <v>No</v>
      </c>
    </row>
    <row r="8" spans="2:17" ht="15" customHeight="1" x14ac:dyDescent="0.35">
      <c r="B8" s="10">
        <v>4</v>
      </c>
      <c r="C8" s="34" t="s">
        <v>822</v>
      </c>
      <c r="D8" s="63" t="s">
        <v>950</v>
      </c>
      <c r="E8" s="63">
        <v>133475</v>
      </c>
      <c r="F8" s="42" t="s">
        <v>1682</v>
      </c>
      <c r="G8" s="36" t="s">
        <v>798</v>
      </c>
      <c r="H8" s="36"/>
      <c r="I8" s="229">
        <v>1788.1095</v>
      </c>
      <c r="J8" s="12" t="s">
        <v>53</v>
      </c>
      <c r="K8" s="97">
        <v>46210</v>
      </c>
      <c r="L8" s="95">
        <v>30</v>
      </c>
      <c r="M8" s="96">
        <v>46247</v>
      </c>
      <c r="N8" s="11">
        <f t="shared" si="0"/>
        <v>37</v>
      </c>
      <c r="O8" s="32" t="str">
        <f t="shared" si="1"/>
        <v>No</v>
      </c>
    </row>
    <row r="9" spans="2:17" ht="15" customHeight="1" x14ac:dyDescent="0.35">
      <c r="B9" s="10">
        <v>5</v>
      </c>
      <c r="C9" s="34" t="s">
        <v>822</v>
      </c>
      <c r="D9" s="63" t="s">
        <v>951</v>
      </c>
      <c r="E9" s="63">
        <v>134858</v>
      </c>
      <c r="F9" s="42" t="s">
        <v>1683</v>
      </c>
      <c r="G9" s="36" t="s">
        <v>2448</v>
      </c>
      <c r="H9" s="36"/>
      <c r="I9" s="229">
        <v>1100</v>
      </c>
      <c r="J9" s="12" t="s">
        <v>53</v>
      </c>
      <c r="K9" s="97">
        <v>46177</v>
      </c>
      <c r="L9" s="95">
        <v>30</v>
      </c>
      <c r="M9" s="96">
        <v>46206</v>
      </c>
      <c r="N9" s="11">
        <f t="shared" si="0"/>
        <v>29</v>
      </c>
      <c r="O9" s="32" t="str">
        <f t="shared" si="1"/>
        <v>Yes</v>
      </c>
    </row>
    <row r="10" spans="2:17" ht="15" customHeight="1" x14ac:dyDescent="0.35">
      <c r="B10" s="10">
        <v>6</v>
      </c>
      <c r="C10" s="34" t="s">
        <v>822</v>
      </c>
      <c r="D10" s="63" t="s">
        <v>952</v>
      </c>
      <c r="E10" s="63">
        <v>134858</v>
      </c>
      <c r="F10" s="42" t="s">
        <v>1684</v>
      </c>
      <c r="G10" s="36" t="s">
        <v>2448</v>
      </c>
      <c r="H10" s="36"/>
      <c r="I10" s="229">
        <v>1100</v>
      </c>
      <c r="J10" s="12" t="s">
        <v>53</v>
      </c>
      <c r="K10" s="97">
        <v>46177</v>
      </c>
      <c r="L10" s="95">
        <v>30</v>
      </c>
      <c r="M10" s="96">
        <v>46205</v>
      </c>
      <c r="N10" s="11">
        <f t="shared" si="0"/>
        <v>28</v>
      </c>
      <c r="O10" s="32" t="str">
        <f t="shared" si="1"/>
        <v>Yes</v>
      </c>
    </row>
    <row r="11" spans="2:17" ht="15" customHeight="1" x14ac:dyDescent="0.35">
      <c r="B11" s="10">
        <v>7</v>
      </c>
      <c r="C11" s="34" t="s">
        <v>822</v>
      </c>
      <c r="D11" s="63" t="s">
        <v>953</v>
      </c>
      <c r="E11" s="63">
        <v>134858</v>
      </c>
      <c r="F11" s="42" t="s">
        <v>1685</v>
      </c>
      <c r="G11" s="36" t="s">
        <v>2448</v>
      </c>
      <c r="H11" s="36"/>
      <c r="I11" s="229">
        <v>1100</v>
      </c>
      <c r="J11" s="12" t="s">
        <v>53</v>
      </c>
      <c r="K11" s="97">
        <v>46177</v>
      </c>
      <c r="L11" s="95">
        <v>30</v>
      </c>
      <c r="M11" s="96">
        <v>46213</v>
      </c>
      <c r="N11" s="11">
        <f t="shared" si="0"/>
        <v>36</v>
      </c>
      <c r="O11" s="32" t="str">
        <f t="shared" si="1"/>
        <v>No</v>
      </c>
    </row>
    <row r="12" spans="2:17" ht="15" customHeight="1" x14ac:dyDescent="0.35">
      <c r="B12" s="10">
        <v>8</v>
      </c>
      <c r="C12" s="34" t="s">
        <v>822</v>
      </c>
      <c r="D12" s="63" t="s">
        <v>954</v>
      </c>
      <c r="E12" s="63">
        <v>134643</v>
      </c>
      <c r="F12" s="42" t="s">
        <v>1686</v>
      </c>
      <c r="G12" s="36" t="s">
        <v>655</v>
      </c>
      <c r="H12" s="36"/>
      <c r="I12" s="229">
        <v>1717.5</v>
      </c>
      <c r="J12" s="12" t="s">
        <v>53</v>
      </c>
      <c r="K12" s="97">
        <v>46177</v>
      </c>
      <c r="L12" s="95">
        <v>30</v>
      </c>
      <c r="M12" s="96">
        <v>46212</v>
      </c>
      <c r="N12" s="11">
        <f t="shared" si="0"/>
        <v>35</v>
      </c>
      <c r="O12" s="32" t="str">
        <f t="shared" si="1"/>
        <v>No</v>
      </c>
    </row>
    <row r="13" spans="2:17" ht="15" customHeight="1" x14ac:dyDescent="0.35">
      <c r="B13" s="10">
        <v>9</v>
      </c>
      <c r="C13" s="34" t="s">
        <v>822</v>
      </c>
      <c r="D13" s="63" t="s">
        <v>955</v>
      </c>
      <c r="E13" s="63">
        <v>134638</v>
      </c>
      <c r="F13" s="42" t="s">
        <v>1687</v>
      </c>
      <c r="G13" s="36" t="s">
        <v>655</v>
      </c>
      <c r="H13" s="36"/>
      <c r="I13" s="229">
        <v>1804.18</v>
      </c>
      <c r="J13" s="12" t="s">
        <v>53</v>
      </c>
      <c r="K13" s="97">
        <v>46177</v>
      </c>
      <c r="L13" s="95">
        <v>30</v>
      </c>
      <c r="M13" s="96">
        <v>46205</v>
      </c>
      <c r="N13" s="11">
        <f t="shared" si="0"/>
        <v>28</v>
      </c>
      <c r="O13" s="32" t="str">
        <f t="shared" si="1"/>
        <v>Yes</v>
      </c>
    </row>
    <row r="14" spans="2:17" ht="15" customHeight="1" x14ac:dyDescent="0.35">
      <c r="B14" s="10">
        <v>10</v>
      </c>
      <c r="C14" s="34" t="s">
        <v>822</v>
      </c>
      <c r="D14" s="63" t="s">
        <v>956</v>
      </c>
      <c r="E14" s="63">
        <v>133870</v>
      </c>
      <c r="F14" s="42" t="s">
        <v>1688</v>
      </c>
      <c r="G14" s="36" t="s">
        <v>655</v>
      </c>
      <c r="H14" s="36"/>
      <c r="I14" s="229">
        <v>1495</v>
      </c>
      <c r="J14" s="12" t="s">
        <v>53</v>
      </c>
      <c r="K14" s="97">
        <v>46177</v>
      </c>
      <c r="L14" s="95">
        <v>30</v>
      </c>
      <c r="M14" s="96">
        <v>46202</v>
      </c>
      <c r="N14" s="11">
        <f t="shared" si="0"/>
        <v>25</v>
      </c>
      <c r="O14" s="32" t="str">
        <f t="shared" si="1"/>
        <v>Yes</v>
      </c>
    </row>
    <row r="15" spans="2:17" ht="15" customHeight="1" x14ac:dyDescent="0.35">
      <c r="B15" s="10">
        <v>11</v>
      </c>
      <c r="C15" s="34" t="s">
        <v>822</v>
      </c>
      <c r="D15" s="63" t="s">
        <v>957</v>
      </c>
      <c r="E15" s="63">
        <v>134956</v>
      </c>
      <c r="F15" s="42" t="s">
        <v>1689</v>
      </c>
      <c r="G15" s="36" t="s">
        <v>655</v>
      </c>
      <c r="H15" s="36"/>
      <c r="I15" s="229">
        <v>496.16664583333329</v>
      </c>
      <c r="J15" s="12" t="s">
        <v>53</v>
      </c>
      <c r="K15" s="97">
        <v>46190</v>
      </c>
      <c r="L15" s="95">
        <v>30</v>
      </c>
      <c r="M15" s="96">
        <v>46216</v>
      </c>
      <c r="N15" s="11">
        <f t="shared" si="0"/>
        <v>26</v>
      </c>
      <c r="O15" s="32" t="str">
        <f t="shared" si="1"/>
        <v>Yes</v>
      </c>
    </row>
    <row r="16" spans="2:17" ht="15" customHeight="1" x14ac:dyDescent="0.35">
      <c r="B16" s="10">
        <v>12</v>
      </c>
      <c r="C16" s="34" t="s">
        <v>822</v>
      </c>
      <c r="D16" s="63" t="s">
        <v>958</v>
      </c>
      <c r="E16" s="63">
        <v>135154</v>
      </c>
      <c r="F16" s="42" t="s">
        <v>1690</v>
      </c>
      <c r="G16" s="36" t="s">
        <v>632</v>
      </c>
      <c r="H16" s="36"/>
      <c r="I16" s="229">
        <v>6414.5837499999998</v>
      </c>
      <c r="J16" s="12" t="s">
        <v>53</v>
      </c>
      <c r="K16" s="97">
        <v>46197</v>
      </c>
      <c r="L16" s="95">
        <v>30</v>
      </c>
      <c r="M16" s="96">
        <v>46222</v>
      </c>
      <c r="N16" s="11">
        <f t="shared" si="0"/>
        <v>25</v>
      </c>
      <c r="O16" s="32" t="str">
        <f t="shared" si="1"/>
        <v>Yes</v>
      </c>
    </row>
    <row r="17" spans="2:15" ht="15" customHeight="1" x14ac:dyDescent="0.35">
      <c r="B17" s="10">
        <v>13</v>
      </c>
      <c r="C17" s="34" t="s">
        <v>822</v>
      </c>
      <c r="D17" s="63" t="s">
        <v>959</v>
      </c>
      <c r="E17" s="63">
        <v>135275</v>
      </c>
      <c r="F17" s="42" t="s">
        <v>1691</v>
      </c>
      <c r="G17" s="36" t="s">
        <v>632</v>
      </c>
      <c r="H17" s="36"/>
      <c r="I17" s="229">
        <v>1135.4167500000001</v>
      </c>
      <c r="J17" s="12" t="s">
        <v>53</v>
      </c>
      <c r="K17" s="97">
        <v>46197</v>
      </c>
      <c r="L17" s="95">
        <v>30</v>
      </c>
      <c r="M17" s="96">
        <v>46225</v>
      </c>
      <c r="N17" s="11">
        <f t="shared" si="0"/>
        <v>28</v>
      </c>
      <c r="O17" s="32" t="str">
        <f t="shared" si="1"/>
        <v>Yes</v>
      </c>
    </row>
    <row r="18" spans="2:15" ht="15" customHeight="1" x14ac:dyDescent="0.35">
      <c r="B18" s="10">
        <v>14</v>
      </c>
      <c r="C18" s="34" t="s">
        <v>822</v>
      </c>
      <c r="D18" s="63" t="s">
        <v>960</v>
      </c>
      <c r="E18" s="63">
        <v>135331</v>
      </c>
      <c r="F18" s="42" t="s">
        <v>1692</v>
      </c>
      <c r="G18" s="36" t="s">
        <v>632</v>
      </c>
      <c r="H18" s="36"/>
      <c r="I18" s="229">
        <v>1135.4167500000001</v>
      </c>
      <c r="J18" s="12" t="s">
        <v>53</v>
      </c>
      <c r="K18" s="97">
        <v>46198</v>
      </c>
      <c r="L18" s="95">
        <v>30</v>
      </c>
      <c r="M18" s="96">
        <v>46235</v>
      </c>
      <c r="N18" s="11">
        <f t="shared" si="0"/>
        <v>37</v>
      </c>
      <c r="O18" s="32" t="str">
        <f t="shared" si="1"/>
        <v>No</v>
      </c>
    </row>
    <row r="19" spans="2:15" ht="15" customHeight="1" x14ac:dyDescent="0.35">
      <c r="B19" s="10">
        <v>15</v>
      </c>
      <c r="C19" s="34" t="s">
        <v>822</v>
      </c>
      <c r="D19" s="63">
        <v>134962</v>
      </c>
      <c r="E19" s="63">
        <v>134962</v>
      </c>
      <c r="F19" s="42" t="s">
        <v>1693</v>
      </c>
      <c r="G19" s="36" t="s">
        <v>2449</v>
      </c>
      <c r="H19" s="36"/>
      <c r="I19" s="229">
        <v>496.875</v>
      </c>
      <c r="J19" s="12" t="s">
        <v>53</v>
      </c>
      <c r="K19" s="97">
        <v>46196</v>
      </c>
      <c r="L19" s="95">
        <v>30</v>
      </c>
      <c r="M19" s="96">
        <v>46227</v>
      </c>
      <c r="N19" s="11">
        <f t="shared" si="0"/>
        <v>31</v>
      </c>
      <c r="O19" s="32" t="str">
        <f t="shared" si="1"/>
        <v>No</v>
      </c>
    </row>
    <row r="20" spans="2:15" ht="15" customHeight="1" x14ac:dyDescent="0.35">
      <c r="B20" s="10">
        <v>16</v>
      </c>
      <c r="C20" s="34" t="s">
        <v>822</v>
      </c>
      <c r="D20" s="63" t="s">
        <v>961</v>
      </c>
      <c r="E20" s="63">
        <v>135446</v>
      </c>
      <c r="F20" s="42" t="s">
        <v>1694</v>
      </c>
      <c r="G20" s="36" t="s">
        <v>2450</v>
      </c>
      <c r="H20" s="36"/>
      <c r="I20" s="229">
        <v>1041.6666666666667</v>
      </c>
      <c r="J20" s="12" t="s">
        <v>53</v>
      </c>
      <c r="K20" s="97">
        <v>46204</v>
      </c>
      <c r="L20" s="95">
        <v>30</v>
      </c>
      <c r="M20" s="96">
        <v>46236</v>
      </c>
      <c r="N20" s="11">
        <f t="shared" si="0"/>
        <v>32</v>
      </c>
      <c r="O20" s="32" t="str">
        <f t="shared" si="1"/>
        <v>No</v>
      </c>
    </row>
    <row r="21" spans="2:15" ht="15" customHeight="1" x14ac:dyDescent="0.35">
      <c r="B21" s="10">
        <v>17</v>
      </c>
      <c r="C21" s="34" t="s">
        <v>822</v>
      </c>
      <c r="D21" s="63" t="s">
        <v>962</v>
      </c>
      <c r="E21" s="63">
        <v>135531</v>
      </c>
      <c r="F21" s="42" t="s">
        <v>1695</v>
      </c>
      <c r="G21" s="36" t="s">
        <v>2451</v>
      </c>
      <c r="H21" s="36"/>
      <c r="I21" s="229">
        <v>381.25</v>
      </c>
      <c r="J21" s="12" t="s">
        <v>53</v>
      </c>
      <c r="K21" s="97">
        <v>46259</v>
      </c>
      <c r="L21" s="95">
        <v>30</v>
      </c>
      <c r="M21" s="96">
        <v>46262</v>
      </c>
      <c r="N21" s="11">
        <f t="shared" si="0"/>
        <v>3</v>
      </c>
      <c r="O21" s="32" t="str">
        <f t="shared" si="1"/>
        <v>Yes</v>
      </c>
    </row>
    <row r="22" spans="2:15" ht="15" customHeight="1" x14ac:dyDescent="0.35">
      <c r="B22" s="10">
        <v>18</v>
      </c>
      <c r="C22" s="34" t="s">
        <v>822</v>
      </c>
      <c r="D22" s="63" t="s">
        <v>963</v>
      </c>
      <c r="E22" s="63">
        <v>135805</v>
      </c>
      <c r="F22" s="42" t="s">
        <v>1696</v>
      </c>
      <c r="G22" s="36" t="s">
        <v>2452</v>
      </c>
      <c r="H22" s="36"/>
      <c r="I22" s="229">
        <v>2604.1666666666665</v>
      </c>
      <c r="J22" s="12" t="s">
        <v>53</v>
      </c>
      <c r="K22" s="97">
        <v>46216</v>
      </c>
      <c r="L22" s="95">
        <v>30</v>
      </c>
      <c r="M22" s="96">
        <v>46239</v>
      </c>
      <c r="N22" s="11">
        <f t="shared" si="0"/>
        <v>23</v>
      </c>
      <c r="O22" s="32" t="str">
        <f t="shared" si="1"/>
        <v>Yes</v>
      </c>
    </row>
    <row r="23" spans="2:15" ht="15" customHeight="1" x14ac:dyDescent="0.35">
      <c r="B23" s="10">
        <v>19</v>
      </c>
      <c r="C23" s="34" t="s">
        <v>822</v>
      </c>
      <c r="D23" s="63" t="s">
        <v>964</v>
      </c>
      <c r="E23" s="63">
        <v>135260</v>
      </c>
      <c r="F23" s="42" t="s">
        <v>1697</v>
      </c>
      <c r="G23" s="36" t="s">
        <v>612</v>
      </c>
      <c r="H23" s="36"/>
      <c r="I23" s="229">
        <v>-71.875</v>
      </c>
      <c r="J23" s="12" t="s">
        <v>53</v>
      </c>
      <c r="K23" s="97">
        <v>46209</v>
      </c>
      <c r="L23" s="95">
        <v>30</v>
      </c>
      <c r="M23" s="96">
        <v>46238</v>
      </c>
      <c r="N23" s="11">
        <f t="shared" si="0"/>
        <v>29</v>
      </c>
      <c r="O23" s="32" t="str">
        <f t="shared" si="1"/>
        <v>Yes</v>
      </c>
    </row>
    <row r="24" spans="2:15" ht="15" customHeight="1" x14ac:dyDescent="0.35">
      <c r="B24" s="10">
        <v>20</v>
      </c>
      <c r="C24" s="34" t="s">
        <v>822</v>
      </c>
      <c r="D24" s="63" t="s">
        <v>965</v>
      </c>
      <c r="E24" s="63">
        <v>136051</v>
      </c>
      <c r="F24" s="42" t="s">
        <v>1698</v>
      </c>
      <c r="G24" s="36" t="s">
        <v>2453</v>
      </c>
      <c r="H24" s="36"/>
      <c r="I24" s="229">
        <v>156.25</v>
      </c>
      <c r="J24" s="12" t="s">
        <v>53</v>
      </c>
      <c r="K24" s="97">
        <v>46237</v>
      </c>
      <c r="L24" s="95">
        <v>30</v>
      </c>
      <c r="M24" s="96">
        <v>46238</v>
      </c>
      <c r="N24" s="11">
        <f t="shared" si="0"/>
        <v>1</v>
      </c>
      <c r="O24" s="32" t="str">
        <f t="shared" si="1"/>
        <v>Yes</v>
      </c>
    </row>
    <row r="25" spans="2:15" ht="15" customHeight="1" x14ac:dyDescent="0.35">
      <c r="B25" s="10">
        <v>21</v>
      </c>
      <c r="C25" s="34" t="s">
        <v>822</v>
      </c>
      <c r="D25" s="63" t="s">
        <v>966</v>
      </c>
      <c r="E25" s="63">
        <v>135894</v>
      </c>
      <c r="F25" s="42" t="s">
        <v>1699</v>
      </c>
      <c r="G25" s="36" t="s">
        <v>2454</v>
      </c>
      <c r="H25" s="36"/>
      <c r="I25" s="229">
        <v>1085.2522083333333</v>
      </c>
      <c r="J25" s="12" t="s">
        <v>53</v>
      </c>
      <c r="K25" s="97">
        <v>46188</v>
      </c>
      <c r="L25" s="95">
        <v>30</v>
      </c>
      <c r="M25" s="96">
        <v>46223</v>
      </c>
      <c r="N25" s="11">
        <f t="shared" si="0"/>
        <v>35</v>
      </c>
      <c r="O25" s="32" t="str">
        <f t="shared" si="1"/>
        <v>No</v>
      </c>
    </row>
    <row r="26" spans="2:15" ht="15" customHeight="1" x14ac:dyDescent="0.35">
      <c r="B26" s="10">
        <v>22</v>
      </c>
      <c r="C26" s="34" t="s">
        <v>822</v>
      </c>
      <c r="D26" s="63" t="s">
        <v>963</v>
      </c>
      <c r="E26" s="63">
        <v>135885</v>
      </c>
      <c r="F26" s="42" t="s">
        <v>1700</v>
      </c>
      <c r="G26" s="36" t="s">
        <v>2455</v>
      </c>
      <c r="H26" s="36"/>
      <c r="I26" s="229">
        <v>1250</v>
      </c>
      <c r="J26" s="12" t="s">
        <v>53</v>
      </c>
      <c r="K26" s="97">
        <v>46216</v>
      </c>
      <c r="L26" s="95">
        <v>30</v>
      </c>
      <c r="M26" s="96">
        <v>46240</v>
      </c>
      <c r="N26" s="11">
        <f t="shared" si="0"/>
        <v>24</v>
      </c>
      <c r="O26" s="32" t="str">
        <f t="shared" si="1"/>
        <v>Yes</v>
      </c>
    </row>
    <row r="27" spans="2:15" ht="15" customHeight="1" x14ac:dyDescent="0.35">
      <c r="B27" s="10">
        <v>23</v>
      </c>
      <c r="C27" s="34" t="s">
        <v>822</v>
      </c>
      <c r="D27" s="63" t="s">
        <v>967</v>
      </c>
      <c r="E27" s="63">
        <v>129775</v>
      </c>
      <c r="F27" s="42" t="s">
        <v>1701</v>
      </c>
      <c r="G27" s="36" t="s">
        <v>2456</v>
      </c>
      <c r="H27" s="36"/>
      <c r="I27" s="229">
        <v>729.16666666666663</v>
      </c>
      <c r="J27" s="12" t="s">
        <v>53</v>
      </c>
      <c r="K27" s="97">
        <v>46180</v>
      </c>
      <c r="L27" s="95">
        <v>30</v>
      </c>
      <c r="M27" s="96">
        <v>46215</v>
      </c>
      <c r="N27" s="11">
        <f t="shared" si="0"/>
        <v>35</v>
      </c>
      <c r="O27" s="32" t="str">
        <f t="shared" si="1"/>
        <v>No</v>
      </c>
    </row>
    <row r="28" spans="2:15" ht="15" customHeight="1" x14ac:dyDescent="0.35">
      <c r="B28" s="10">
        <v>24</v>
      </c>
      <c r="C28" s="34" t="s">
        <v>822</v>
      </c>
      <c r="D28" s="63" t="s">
        <v>968</v>
      </c>
      <c r="E28" s="63">
        <v>123187</v>
      </c>
      <c r="F28" s="42" t="s">
        <v>1702</v>
      </c>
      <c r="G28" s="36" t="s">
        <v>608</v>
      </c>
      <c r="H28" s="36"/>
      <c r="I28" s="229">
        <v>387.5</v>
      </c>
      <c r="J28" s="12" t="s">
        <v>53</v>
      </c>
      <c r="K28" s="97">
        <v>46205</v>
      </c>
      <c r="L28" s="95">
        <v>30</v>
      </c>
      <c r="M28" s="96">
        <v>46241</v>
      </c>
      <c r="N28" s="11">
        <f t="shared" si="0"/>
        <v>36</v>
      </c>
      <c r="O28" s="32" t="str">
        <f t="shared" si="1"/>
        <v>No</v>
      </c>
    </row>
    <row r="29" spans="2:15" ht="15" customHeight="1" x14ac:dyDescent="0.35">
      <c r="B29" s="10">
        <v>25</v>
      </c>
      <c r="C29" s="34" t="s">
        <v>822</v>
      </c>
      <c r="D29" s="63" t="s">
        <v>969</v>
      </c>
      <c r="E29" s="63">
        <v>133746</v>
      </c>
      <c r="F29" s="42" t="s">
        <v>1703</v>
      </c>
      <c r="G29" s="36" t="s">
        <v>608</v>
      </c>
      <c r="H29" s="36"/>
      <c r="I29" s="229">
        <v>330</v>
      </c>
      <c r="J29" s="12" t="s">
        <v>53</v>
      </c>
      <c r="K29" s="97">
        <v>46205</v>
      </c>
      <c r="L29" s="95">
        <v>30</v>
      </c>
      <c r="M29" s="96">
        <v>46241</v>
      </c>
      <c r="N29" s="11">
        <f t="shared" si="0"/>
        <v>36</v>
      </c>
      <c r="O29" s="32" t="str">
        <f t="shared" si="1"/>
        <v>No</v>
      </c>
    </row>
    <row r="30" spans="2:15" ht="15" customHeight="1" x14ac:dyDescent="0.35">
      <c r="B30" s="10">
        <v>26</v>
      </c>
      <c r="C30" s="34" t="s">
        <v>822</v>
      </c>
      <c r="D30" s="63" t="s">
        <v>970</v>
      </c>
      <c r="E30" s="63">
        <v>133716</v>
      </c>
      <c r="F30" s="42" t="s">
        <v>1704</v>
      </c>
      <c r="G30" s="36" t="s">
        <v>608</v>
      </c>
      <c r="H30" s="36"/>
      <c r="I30" s="229">
        <v>412.5</v>
      </c>
      <c r="J30" s="12" t="s">
        <v>53</v>
      </c>
      <c r="K30" s="97">
        <v>46205</v>
      </c>
      <c r="L30" s="95">
        <v>30</v>
      </c>
      <c r="M30" s="96">
        <v>46240</v>
      </c>
      <c r="N30" s="11">
        <f t="shared" si="0"/>
        <v>35</v>
      </c>
      <c r="O30" s="32" t="str">
        <f t="shared" si="1"/>
        <v>No</v>
      </c>
    </row>
    <row r="31" spans="2:15" ht="15" customHeight="1" x14ac:dyDescent="0.35">
      <c r="B31" s="10">
        <v>27</v>
      </c>
      <c r="C31" s="34" t="s">
        <v>822</v>
      </c>
      <c r="D31" s="63" t="s">
        <v>971</v>
      </c>
      <c r="E31" s="63">
        <v>133746</v>
      </c>
      <c r="F31" s="42" t="s">
        <v>1705</v>
      </c>
      <c r="G31" s="36" t="s">
        <v>608</v>
      </c>
      <c r="H31" s="36"/>
      <c r="I31" s="229">
        <v>18.75</v>
      </c>
      <c r="J31" s="12" t="s">
        <v>53</v>
      </c>
      <c r="K31" s="97">
        <v>46205</v>
      </c>
      <c r="L31" s="95">
        <v>30</v>
      </c>
      <c r="M31" s="96">
        <v>46234</v>
      </c>
      <c r="N31" s="11">
        <f t="shared" si="0"/>
        <v>29</v>
      </c>
      <c r="O31" s="32" t="str">
        <f t="shared" si="1"/>
        <v>Yes</v>
      </c>
    </row>
    <row r="32" spans="2:15" ht="15" customHeight="1" x14ac:dyDescent="0.35">
      <c r="B32" s="10">
        <v>28</v>
      </c>
      <c r="C32" s="34" t="s">
        <v>822</v>
      </c>
      <c r="D32" s="63" t="s">
        <v>972</v>
      </c>
      <c r="E32" s="63">
        <v>123187</v>
      </c>
      <c r="F32" s="42" t="s">
        <v>1706</v>
      </c>
      <c r="G32" s="36" t="s">
        <v>608</v>
      </c>
      <c r="H32" s="36"/>
      <c r="I32" s="229">
        <v>101.75</v>
      </c>
      <c r="J32" s="12" t="s">
        <v>53</v>
      </c>
      <c r="K32" s="97">
        <v>46205</v>
      </c>
      <c r="L32" s="95">
        <v>30</v>
      </c>
      <c r="M32" s="96">
        <v>46240</v>
      </c>
      <c r="N32" s="11">
        <f t="shared" si="0"/>
        <v>35</v>
      </c>
      <c r="O32" s="32" t="str">
        <f t="shared" si="1"/>
        <v>No</v>
      </c>
    </row>
    <row r="33" spans="2:15" ht="15" customHeight="1" x14ac:dyDescent="0.35">
      <c r="B33" s="10">
        <v>29</v>
      </c>
      <c r="C33" s="34" t="s">
        <v>822</v>
      </c>
      <c r="D33" s="63" t="s">
        <v>973</v>
      </c>
      <c r="E33" s="63">
        <v>135434</v>
      </c>
      <c r="F33" s="42" t="s">
        <v>1707</v>
      </c>
      <c r="G33" s="36" t="s">
        <v>608</v>
      </c>
      <c r="H33" s="36"/>
      <c r="I33" s="229">
        <v>1832.1244479166667</v>
      </c>
      <c r="J33" s="12" t="s">
        <v>53</v>
      </c>
      <c r="K33" s="97">
        <v>46219</v>
      </c>
      <c r="L33" s="95">
        <v>30</v>
      </c>
      <c r="M33" s="96">
        <v>46248</v>
      </c>
      <c r="N33" s="11">
        <f t="shared" si="0"/>
        <v>29</v>
      </c>
      <c r="O33" s="32" t="str">
        <f t="shared" si="1"/>
        <v>Yes</v>
      </c>
    </row>
    <row r="34" spans="2:15" ht="15" customHeight="1" x14ac:dyDescent="0.35">
      <c r="B34" s="10">
        <v>30</v>
      </c>
      <c r="C34" s="34" t="s">
        <v>822</v>
      </c>
      <c r="D34" s="63" t="s">
        <v>974</v>
      </c>
      <c r="E34" s="63">
        <v>133712</v>
      </c>
      <c r="F34" s="42" t="s">
        <v>1708</v>
      </c>
      <c r="G34" s="36" t="s">
        <v>608</v>
      </c>
      <c r="H34" s="36"/>
      <c r="I34" s="229">
        <v>1540</v>
      </c>
      <c r="J34" s="12" t="s">
        <v>53</v>
      </c>
      <c r="K34" s="97">
        <v>46205</v>
      </c>
      <c r="L34" s="95">
        <v>30</v>
      </c>
      <c r="M34" s="96">
        <v>46241</v>
      </c>
      <c r="N34" s="11">
        <f t="shared" si="0"/>
        <v>36</v>
      </c>
      <c r="O34" s="32" t="str">
        <f t="shared" si="1"/>
        <v>No</v>
      </c>
    </row>
    <row r="35" spans="2:15" ht="15" customHeight="1" x14ac:dyDescent="0.35">
      <c r="B35" s="10">
        <v>31</v>
      </c>
      <c r="C35" s="34" t="s">
        <v>822</v>
      </c>
      <c r="D35" s="63" t="s">
        <v>975</v>
      </c>
      <c r="E35" s="63">
        <v>134718</v>
      </c>
      <c r="F35" s="42" t="s">
        <v>1709</v>
      </c>
      <c r="G35" s="36" t="s">
        <v>608</v>
      </c>
      <c r="H35" s="36"/>
      <c r="I35" s="229">
        <v>880</v>
      </c>
      <c r="J35" s="12" t="s">
        <v>53</v>
      </c>
      <c r="K35" s="97">
        <v>46205</v>
      </c>
      <c r="L35" s="95">
        <v>30</v>
      </c>
      <c r="M35" s="96">
        <v>46230</v>
      </c>
      <c r="N35" s="11">
        <f t="shared" si="0"/>
        <v>25</v>
      </c>
      <c r="O35" s="32" t="str">
        <f t="shared" si="1"/>
        <v>Yes</v>
      </c>
    </row>
    <row r="36" spans="2:15" ht="15" customHeight="1" x14ac:dyDescent="0.35">
      <c r="B36" s="10">
        <v>32</v>
      </c>
      <c r="C36" s="34" t="s">
        <v>822</v>
      </c>
      <c r="D36" s="63" t="s">
        <v>976</v>
      </c>
      <c r="E36" s="63">
        <v>130997</v>
      </c>
      <c r="F36" s="42" t="s">
        <v>1710</v>
      </c>
      <c r="G36" s="36" t="s">
        <v>608</v>
      </c>
      <c r="H36" s="36"/>
      <c r="I36" s="229">
        <v>92.5</v>
      </c>
      <c r="J36" s="12" t="s">
        <v>53</v>
      </c>
      <c r="K36" s="97">
        <v>46192</v>
      </c>
      <c r="L36" s="95">
        <v>30</v>
      </c>
      <c r="M36" s="96">
        <v>46227</v>
      </c>
      <c r="N36" s="11">
        <f t="shared" si="0"/>
        <v>35</v>
      </c>
      <c r="O36" s="32" t="str">
        <f t="shared" si="1"/>
        <v>No</v>
      </c>
    </row>
    <row r="37" spans="2:15" ht="15" customHeight="1" x14ac:dyDescent="0.35">
      <c r="B37" s="10">
        <v>33</v>
      </c>
      <c r="C37" s="34" t="s">
        <v>822</v>
      </c>
      <c r="D37" s="63" t="s">
        <v>977</v>
      </c>
      <c r="E37" s="63">
        <v>130997</v>
      </c>
      <c r="F37" s="42" t="s">
        <v>1711</v>
      </c>
      <c r="G37" s="36" t="s">
        <v>608</v>
      </c>
      <c r="H37" s="36"/>
      <c r="I37" s="229">
        <v>257.5</v>
      </c>
      <c r="J37" s="12" t="s">
        <v>53</v>
      </c>
      <c r="K37" s="97">
        <v>46192</v>
      </c>
      <c r="L37" s="95">
        <v>30</v>
      </c>
      <c r="M37" s="96">
        <v>46228</v>
      </c>
      <c r="N37" s="11">
        <f t="shared" si="0"/>
        <v>36</v>
      </c>
      <c r="O37" s="32" t="str">
        <f t="shared" si="1"/>
        <v>No</v>
      </c>
    </row>
    <row r="38" spans="2:15" ht="15" customHeight="1" x14ac:dyDescent="0.35">
      <c r="B38" s="10">
        <v>34</v>
      </c>
      <c r="C38" s="34" t="s">
        <v>822</v>
      </c>
      <c r="D38" s="63" t="s">
        <v>978</v>
      </c>
      <c r="E38" s="63">
        <v>133662</v>
      </c>
      <c r="F38" s="42" t="s">
        <v>1712</v>
      </c>
      <c r="G38" s="36" t="s">
        <v>608</v>
      </c>
      <c r="H38" s="36"/>
      <c r="I38" s="229">
        <v>153.75</v>
      </c>
      <c r="J38" s="12" t="s">
        <v>53</v>
      </c>
      <c r="K38" s="97">
        <v>46205</v>
      </c>
      <c r="L38" s="95">
        <v>30</v>
      </c>
      <c r="M38" s="96">
        <v>46235</v>
      </c>
      <c r="N38" s="11">
        <f t="shared" si="0"/>
        <v>30</v>
      </c>
      <c r="O38" s="32" t="str">
        <f t="shared" si="1"/>
        <v>Yes</v>
      </c>
    </row>
    <row r="39" spans="2:15" ht="15" customHeight="1" x14ac:dyDescent="0.35">
      <c r="B39" s="10">
        <v>35</v>
      </c>
      <c r="C39" s="34" t="s">
        <v>822</v>
      </c>
      <c r="D39" s="63" t="s">
        <v>979</v>
      </c>
      <c r="E39" s="63">
        <v>127982</v>
      </c>
      <c r="F39" s="42" t="s">
        <v>1713</v>
      </c>
      <c r="G39" s="36" t="s">
        <v>608</v>
      </c>
      <c r="H39" s="36"/>
      <c r="I39" s="229">
        <v>159.625</v>
      </c>
      <c r="J39" s="12" t="s">
        <v>53</v>
      </c>
      <c r="K39" s="97">
        <v>46192</v>
      </c>
      <c r="L39" s="95">
        <v>30</v>
      </c>
      <c r="M39" s="96">
        <v>46219</v>
      </c>
      <c r="N39" s="11">
        <f t="shared" si="0"/>
        <v>27</v>
      </c>
      <c r="O39" s="32" t="str">
        <f t="shared" si="1"/>
        <v>Yes</v>
      </c>
    </row>
    <row r="40" spans="2:15" ht="15" customHeight="1" x14ac:dyDescent="0.35">
      <c r="B40" s="10">
        <v>36</v>
      </c>
      <c r="C40" s="34" t="s">
        <v>822</v>
      </c>
      <c r="D40" s="63" t="s">
        <v>980</v>
      </c>
      <c r="E40" s="63">
        <v>127982</v>
      </c>
      <c r="F40" s="42" t="s">
        <v>1714</v>
      </c>
      <c r="G40" s="36" t="s">
        <v>608</v>
      </c>
      <c r="H40" s="36"/>
      <c r="I40" s="229">
        <v>210.5</v>
      </c>
      <c r="J40" s="12" t="s">
        <v>53</v>
      </c>
      <c r="K40" s="97">
        <v>46192</v>
      </c>
      <c r="L40" s="95">
        <v>30</v>
      </c>
      <c r="M40" s="96">
        <v>46220</v>
      </c>
      <c r="N40" s="11">
        <f t="shared" si="0"/>
        <v>28</v>
      </c>
      <c r="O40" s="32" t="str">
        <f t="shared" si="1"/>
        <v>Yes</v>
      </c>
    </row>
    <row r="41" spans="2:15" ht="15" customHeight="1" x14ac:dyDescent="0.35">
      <c r="B41" s="10">
        <v>37</v>
      </c>
      <c r="C41" s="34" t="s">
        <v>822</v>
      </c>
      <c r="D41" s="63" t="s">
        <v>981</v>
      </c>
      <c r="E41" s="63">
        <v>127981</v>
      </c>
      <c r="F41" s="42" t="s">
        <v>1715</v>
      </c>
      <c r="G41" s="36" t="s">
        <v>608</v>
      </c>
      <c r="H41" s="36"/>
      <c r="I41" s="229">
        <v>306.25</v>
      </c>
      <c r="J41" s="12" t="s">
        <v>53</v>
      </c>
      <c r="K41" s="97">
        <v>46192</v>
      </c>
      <c r="L41" s="95">
        <v>30</v>
      </c>
      <c r="M41" s="96">
        <v>46219</v>
      </c>
      <c r="N41" s="11">
        <f t="shared" si="0"/>
        <v>27</v>
      </c>
      <c r="O41" s="32" t="str">
        <f t="shared" si="1"/>
        <v>Yes</v>
      </c>
    </row>
    <row r="42" spans="2:15" ht="15" customHeight="1" x14ac:dyDescent="0.35">
      <c r="B42" s="10">
        <v>38</v>
      </c>
      <c r="C42" s="34" t="s">
        <v>822</v>
      </c>
      <c r="D42" s="63" t="s">
        <v>982</v>
      </c>
      <c r="E42" s="63">
        <v>127980</v>
      </c>
      <c r="F42" s="42" t="s">
        <v>1716</v>
      </c>
      <c r="G42" s="36" t="s">
        <v>608</v>
      </c>
      <c r="H42" s="36"/>
      <c r="I42" s="229">
        <v>37.5</v>
      </c>
      <c r="J42" s="12" t="s">
        <v>53</v>
      </c>
      <c r="K42" s="97">
        <v>46192</v>
      </c>
      <c r="L42" s="95">
        <v>30</v>
      </c>
      <c r="M42" s="96">
        <v>46228</v>
      </c>
      <c r="N42" s="11">
        <f t="shared" si="0"/>
        <v>36</v>
      </c>
      <c r="O42" s="32" t="str">
        <f t="shared" si="1"/>
        <v>No</v>
      </c>
    </row>
    <row r="43" spans="2:15" ht="15" customHeight="1" x14ac:dyDescent="0.35">
      <c r="B43" s="10">
        <v>39</v>
      </c>
      <c r="C43" s="34" t="s">
        <v>822</v>
      </c>
      <c r="D43" s="63" t="s">
        <v>983</v>
      </c>
      <c r="E43" s="63">
        <v>127980</v>
      </c>
      <c r="F43" s="42" t="s">
        <v>1717</v>
      </c>
      <c r="G43" s="36" t="s">
        <v>608</v>
      </c>
      <c r="H43" s="36"/>
      <c r="I43" s="229">
        <v>590.75</v>
      </c>
      <c r="J43" s="12" t="s">
        <v>53</v>
      </c>
      <c r="K43" s="97">
        <v>46192</v>
      </c>
      <c r="L43" s="95">
        <v>30</v>
      </c>
      <c r="M43" s="96">
        <v>46220</v>
      </c>
      <c r="N43" s="11">
        <f t="shared" si="0"/>
        <v>28</v>
      </c>
      <c r="O43" s="32" t="str">
        <f t="shared" si="1"/>
        <v>Yes</v>
      </c>
    </row>
    <row r="44" spans="2:15" ht="15" customHeight="1" x14ac:dyDescent="0.35">
      <c r="B44" s="10">
        <v>40</v>
      </c>
      <c r="C44" s="34" t="s">
        <v>822</v>
      </c>
      <c r="D44" s="63" t="s">
        <v>984</v>
      </c>
      <c r="E44" s="63">
        <v>127980</v>
      </c>
      <c r="F44" s="42" t="s">
        <v>1718</v>
      </c>
      <c r="G44" s="36" t="s">
        <v>608</v>
      </c>
      <c r="H44" s="36"/>
      <c r="I44" s="229">
        <v>922</v>
      </c>
      <c r="J44" s="12" t="s">
        <v>53</v>
      </c>
      <c r="K44" s="97">
        <v>46192</v>
      </c>
      <c r="L44" s="95">
        <v>30</v>
      </c>
      <c r="M44" s="96">
        <v>46227</v>
      </c>
      <c r="N44" s="11">
        <f t="shared" si="0"/>
        <v>35</v>
      </c>
      <c r="O44" s="32" t="str">
        <f t="shared" si="1"/>
        <v>No</v>
      </c>
    </row>
    <row r="45" spans="2:15" ht="15" customHeight="1" x14ac:dyDescent="0.35">
      <c r="B45" s="10">
        <v>41</v>
      </c>
      <c r="C45" s="34" t="s">
        <v>822</v>
      </c>
      <c r="D45" s="63" t="s">
        <v>985</v>
      </c>
      <c r="E45" s="63">
        <v>127980</v>
      </c>
      <c r="F45" s="42" t="s">
        <v>1719</v>
      </c>
      <c r="G45" s="36" t="s">
        <v>608</v>
      </c>
      <c r="H45" s="36"/>
      <c r="I45" s="229">
        <v>532.5</v>
      </c>
      <c r="J45" s="12" t="s">
        <v>53</v>
      </c>
      <c r="K45" s="97">
        <v>46192</v>
      </c>
      <c r="L45" s="95">
        <v>30</v>
      </c>
      <c r="M45" s="96">
        <v>46228</v>
      </c>
      <c r="N45" s="11">
        <f t="shared" si="0"/>
        <v>36</v>
      </c>
      <c r="O45" s="32" t="str">
        <f t="shared" si="1"/>
        <v>No</v>
      </c>
    </row>
    <row r="46" spans="2:15" ht="15" customHeight="1" x14ac:dyDescent="0.35">
      <c r="B46" s="10">
        <v>42</v>
      </c>
      <c r="C46" s="34" t="s">
        <v>822</v>
      </c>
      <c r="D46" s="63" t="s">
        <v>986</v>
      </c>
      <c r="E46" s="63">
        <v>127976</v>
      </c>
      <c r="F46" s="42" t="s">
        <v>1720</v>
      </c>
      <c r="G46" s="36" t="s">
        <v>608</v>
      </c>
      <c r="H46" s="36"/>
      <c r="I46" s="229">
        <v>157.5</v>
      </c>
      <c r="J46" s="12" t="s">
        <v>53</v>
      </c>
      <c r="K46" s="97">
        <v>46192</v>
      </c>
      <c r="L46" s="95">
        <v>30</v>
      </c>
      <c r="M46" s="96">
        <v>46221</v>
      </c>
      <c r="N46" s="11">
        <f t="shared" si="0"/>
        <v>29</v>
      </c>
      <c r="O46" s="32" t="str">
        <f t="shared" si="1"/>
        <v>Yes</v>
      </c>
    </row>
    <row r="47" spans="2:15" ht="15" customHeight="1" x14ac:dyDescent="0.35">
      <c r="B47" s="10">
        <v>43</v>
      </c>
      <c r="C47" s="34" t="s">
        <v>822</v>
      </c>
      <c r="D47" s="63" t="s">
        <v>987</v>
      </c>
      <c r="E47" s="63">
        <v>128028</v>
      </c>
      <c r="F47" s="42" t="s">
        <v>1721</v>
      </c>
      <c r="G47" s="36" t="s">
        <v>608</v>
      </c>
      <c r="H47" s="36"/>
      <c r="I47" s="229">
        <v>70</v>
      </c>
      <c r="J47" s="12" t="s">
        <v>53</v>
      </c>
      <c r="K47" s="97">
        <v>46192</v>
      </c>
      <c r="L47" s="95">
        <v>30</v>
      </c>
      <c r="M47" s="96">
        <v>46221</v>
      </c>
      <c r="N47" s="11">
        <f t="shared" si="0"/>
        <v>29</v>
      </c>
      <c r="O47" s="32" t="str">
        <f t="shared" si="1"/>
        <v>Yes</v>
      </c>
    </row>
    <row r="48" spans="2:15" ht="15" customHeight="1" x14ac:dyDescent="0.35">
      <c r="B48" s="10">
        <v>44</v>
      </c>
      <c r="C48" s="34" t="s">
        <v>822</v>
      </c>
      <c r="D48" s="63" t="s">
        <v>988</v>
      </c>
      <c r="E48" s="63">
        <v>128028</v>
      </c>
      <c r="F48" s="42" t="s">
        <v>1722</v>
      </c>
      <c r="G48" s="36" t="s">
        <v>608</v>
      </c>
      <c r="H48" s="36"/>
      <c r="I48" s="229">
        <v>224.375</v>
      </c>
      <c r="J48" s="12" t="s">
        <v>53</v>
      </c>
      <c r="K48" s="97">
        <v>46192</v>
      </c>
      <c r="L48" s="95">
        <v>30</v>
      </c>
      <c r="M48" s="96">
        <v>46220</v>
      </c>
      <c r="N48" s="11">
        <f t="shared" si="0"/>
        <v>28</v>
      </c>
      <c r="O48" s="32" t="str">
        <f t="shared" si="1"/>
        <v>Yes</v>
      </c>
    </row>
    <row r="49" spans="1:15" ht="15" customHeight="1" x14ac:dyDescent="0.35">
      <c r="B49" s="10">
        <v>45</v>
      </c>
      <c r="C49" s="34" t="s">
        <v>822</v>
      </c>
      <c r="D49" s="63" t="s">
        <v>989</v>
      </c>
      <c r="E49" s="63">
        <v>128027</v>
      </c>
      <c r="F49" s="42" t="s">
        <v>1723</v>
      </c>
      <c r="G49" s="36" t="s">
        <v>608</v>
      </c>
      <c r="H49" s="36"/>
      <c r="I49" s="229">
        <v>298.25</v>
      </c>
      <c r="J49" s="12" t="s">
        <v>53</v>
      </c>
      <c r="K49" s="97">
        <v>46192</v>
      </c>
      <c r="L49" s="95">
        <v>30</v>
      </c>
      <c r="M49" s="96">
        <v>46220</v>
      </c>
      <c r="N49" s="11">
        <f t="shared" si="0"/>
        <v>28</v>
      </c>
      <c r="O49" s="32" t="str">
        <f t="shared" si="1"/>
        <v>Yes</v>
      </c>
    </row>
    <row r="50" spans="1:15" ht="15" customHeight="1" x14ac:dyDescent="0.35">
      <c r="B50" s="10">
        <v>46</v>
      </c>
      <c r="C50" s="34" t="s">
        <v>822</v>
      </c>
      <c r="D50" s="63" t="s">
        <v>990</v>
      </c>
      <c r="E50" s="63">
        <v>128032</v>
      </c>
      <c r="F50" s="42" t="s">
        <v>1724</v>
      </c>
      <c r="G50" s="36" t="s">
        <v>608</v>
      </c>
      <c r="H50" s="36"/>
      <c r="I50" s="229">
        <v>263.19974999999999</v>
      </c>
      <c r="J50" s="12" t="s">
        <v>53</v>
      </c>
      <c r="K50" s="97">
        <v>46192</v>
      </c>
      <c r="L50" s="95">
        <v>30</v>
      </c>
      <c r="M50" s="96">
        <v>46229</v>
      </c>
      <c r="N50" s="11">
        <f t="shared" si="0"/>
        <v>37</v>
      </c>
      <c r="O50" s="32" t="str">
        <f t="shared" si="1"/>
        <v>No</v>
      </c>
    </row>
    <row r="51" spans="1:15" ht="15" customHeight="1" x14ac:dyDescent="0.35">
      <c r="B51" s="10">
        <v>47</v>
      </c>
      <c r="C51" s="34" t="s">
        <v>822</v>
      </c>
      <c r="D51" s="63" t="s">
        <v>991</v>
      </c>
      <c r="E51" s="63">
        <v>133753</v>
      </c>
      <c r="F51" s="42" t="s">
        <v>1725</v>
      </c>
      <c r="G51" s="36" t="s">
        <v>608</v>
      </c>
      <c r="H51" s="36"/>
      <c r="I51" s="229">
        <v>202.5</v>
      </c>
      <c r="J51" s="12" t="s">
        <v>53</v>
      </c>
      <c r="K51" s="97">
        <v>46192</v>
      </c>
      <c r="L51" s="95">
        <v>30</v>
      </c>
      <c r="M51" s="96">
        <v>46221</v>
      </c>
      <c r="N51" s="11">
        <f t="shared" si="0"/>
        <v>29</v>
      </c>
      <c r="O51" s="32" t="str">
        <f t="shared" si="1"/>
        <v>Yes</v>
      </c>
    </row>
    <row r="52" spans="1:15" ht="15" customHeight="1" x14ac:dyDescent="0.35">
      <c r="B52" s="10">
        <v>48</v>
      </c>
      <c r="C52" s="34" t="s">
        <v>822</v>
      </c>
      <c r="D52" s="63" t="s">
        <v>992</v>
      </c>
      <c r="E52" s="63">
        <v>127989</v>
      </c>
      <c r="F52" s="42" t="s">
        <v>1726</v>
      </c>
      <c r="G52" s="36" t="s">
        <v>608</v>
      </c>
      <c r="H52" s="36"/>
      <c r="I52" s="229">
        <v>6</v>
      </c>
      <c r="J52" s="12" t="s">
        <v>53</v>
      </c>
      <c r="K52" s="97">
        <v>46192</v>
      </c>
      <c r="L52" s="95">
        <v>30</v>
      </c>
      <c r="M52" s="96">
        <v>46228</v>
      </c>
      <c r="N52" s="11">
        <f t="shared" si="0"/>
        <v>36</v>
      </c>
      <c r="O52" s="32" t="str">
        <f t="shared" si="1"/>
        <v>No</v>
      </c>
    </row>
    <row r="53" spans="1:15" ht="14.5" customHeight="1" x14ac:dyDescent="0.35">
      <c r="B53" s="10">
        <v>49</v>
      </c>
      <c r="C53" s="34" t="s">
        <v>822</v>
      </c>
      <c r="D53" s="63" t="s">
        <v>993</v>
      </c>
      <c r="E53" s="63">
        <v>135382</v>
      </c>
      <c r="F53" s="42" t="s">
        <v>1727</v>
      </c>
      <c r="G53" s="36" t="s">
        <v>749</v>
      </c>
      <c r="H53" s="36"/>
      <c r="I53" s="229">
        <v>1062.5</v>
      </c>
      <c r="J53" s="12" t="s">
        <v>53</v>
      </c>
      <c r="K53" s="97">
        <v>46225</v>
      </c>
      <c r="L53" s="95">
        <v>30</v>
      </c>
      <c r="M53" s="96">
        <v>46244</v>
      </c>
      <c r="N53" s="11">
        <f t="shared" si="0"/>
        <v>19</v>
      </c>
      <c r="O53" s="32" t="str">
        <f t="shared" si="1"/>
        <v>Yes</v>
      </c>
    </row>
    <row r="54" spans="1:15" ht="14.5" customHeight="1" x14ac:dyDescent="0.35">
      <c r="B54" s="10">
        <v>50</v>
      </c>
      <c r="C54" s="34" t="s">
        <v>822</v>
      </c>
      <c r="D54" s="63" t="s">
        <v>994</v>
      </c>
      <c r="E54" s="63">
        <v>135648</v>
      </c>
      <c r="F54" s="42" t="s">
        <v>1728</v>
      </c>
      <c r="G54" s="36" t="s">
        <v>749</v>
      </c>
      <c r="H54" s="36"/>
      <c r="I54" s="229">
        <v>37.5</v>
      </c>
      <c r="J54" s="12" t="s">
        <v>53</v>
      </c>
      <c r="K54" s="97">
        <v>46216</v>
      </c>
      <c r="L54" s="95">
        <v>30</v>
      </c>
      <c r="M54" s="96">
        <v>46244</v>
      </c>
      <c r="N54" s="11">
        <f t="shared" si="0"/>
        <v>28</v>
      </c>
      <c r="O54" s="32" t="str">
        <f t="shared" si="1"/>
        <v>Yes</v>
      </c>
    </row>
    <row r="55" spans="1:15" ht="14.5" customHeight="1" x14ac:dyDescent="0.35">
      <c r="B55" s="10">
        <v>51</v>
      </c>
      <c r="C55" s="34" t="s">
        <v>822</v>
      </c>
      <c r="D55" s="63" t="s">
        <v>995</v>
      </c>
      <c r="E55" s="63">
        <v>135376</v>
      </c>
      <c r="F55" s="42" t="s">
        <v>1729</v>
      </c>
      <c r="G55" s="36" t="s">
        <v>749</v>
      </c>
      <c r="H55" s="36"/>
      <c r="I55" s="229">
        <v>1250</v>
      </c>
      <c r="J55" s="12" t="s">
        <v>53</v>
      </c>
      <c r="K55" s="97">
        <v>46217</v>
      </c>
      <c r="L55" s="95">
        <v>30</v>
      </c>
      <c r="M55" s="96">
        <v>46244</v>
      </c>
      <c r="N55" s="11">
        <f t="shared" si="0"/>
        <v>27</v>
      </c>
      <c r="O55" s="32" t="str">
        <f t="shared" si="1"/>
        <v>Yes</v>
      </c>
    </row>
    <row r="56" spans="1:15" ht="14.5" customHeight="1" x14ac:dyDescent="0.35">
      <c r="B56" s="10">
        <v>52</v>
      </c>
      <c r="C56" s="34" t="s">
        <v>822</v>
      </c>
      <c r="D56" s="63" t="s">
        <v>996</v>
      </c>
      <c r="E56" s="63">
        <v>135390</v>
      </c>
      <c r="F56" s="42" t="s">
        <v>1730</v>
      </c>
      <c r="G56" s="36" t="s">
        <v>2457</v>
      </c>
      <c r="H56" s="36"/>
      <c r="I56" s="229">
        <v>1917.5</v>
      </c>
      <c r="J56" s="12" t="s">
        <v>53</v>
      </c>
      <c r="K56" s="97">
        <v>46225</v>
      </c>
      <c r="L56" s="95">
        <v>30</v>
      </c>
      <c r="M56" s="96">
        <v>46248</v>
      </c>
      <c r="N56" s="11">
        <f t="shared" si="0"/>
        <v>23</v>
      </c>
      <c r="O56" s="32" t="str">
        <f t="shared" si="1"/>
        <v>Yes</v>
      </c>
    </row>
    <row r="57" spans="1:15" ht="14.5" customHeight="1" x14ac:dyDescent="0.35">
      <c r="B57" s="10">
        <v>53</v>
      </c>
      <c r="C57" s="34" t="s">
        <v>822</v>
      </c>
      <c r="D57" s="63" t="s">
        <v>997</v>
      </c>
      <c r="E57" s="63">
        <v>135710</v>
      </c>
      <c r="F57" s="42" t="s">
        <v>1731</v>
      </c>
      <c r="G57" s="36" t="s">
        <v>2457</v>
      </c>
      <c r="H57" s="36"/>
      <c r="I57" s="229">
        <v>1003.125</v>
      </c>
      <c r="J57" s="12" t="s">
        <v>53</v>
      </c>
      <c r="K57" s="97">
        <v>46224</v>
      </c>
      <c r="L57" s="95">
        <v>30</v>
      </c>
      <c r="M57" s="96">
        <v>46248</v>
      </c>
      <c r="N57" s="11">
        <f t="shared" si="0"/>
        <v>24</v>
      </c>
      <c r="O57" s="32" t="str">
        <f t="shared" si="1"/>
        <v>Yes</v>
      </c>
    </row>
    <row r="58" spans="1:15" ht="14.5" customHeight="1" x14ac:dyDescent="0.35">
      <c r="B58" s="10">
        <v>54</v>
      </c>
      <c r="C58" s="34" t="s">
        <v>822</v>
      </c>
      <c r="D58" s="63" t="s">
        <v>998</v>
      </c>
      <c r="E58" s="63">
        <v>134660</v>
      </c>
      <c r="F58" s="42" t="s">
        <v>1732</v>
      </c>
      <c r="G58" s="36" t="s">
        <v>2457</v>
      </c>
      <c r="H58" s="36"/>
      <c r="I58" s="229">
        <v>1003.125</v>
      </c>
      <c r="J58" s="12" t="s">
        <v>53</v>
      </c>
      <c r="K58" s="97">
        <v>46216</v>
      </c>
      <c r="L58" s="95">
        <v>30</v>
      </c>
      <c r="M58" s="96">
        <v>46248</v>
      </c>
      <c r="N58" s="11">
        <f t="shared" si="0"/>
        <v>32</v>
      </c>
      <c r="O58" s="32" t="str">
        <f t="shared" si="1"/>
        <v>No</v>
      </c>
    </row>
    <row r="59" spans="1:15" ht="14.5" customHeight="1" x14ac:dyDescent="0.35">
      <c r="B59" s="10">
        <v>55</v>
      </c>
      <c r="C59" s="34" t="s">
        <v>822</v>
      </c>
      <c r="D59" s="63" t="s">
        <v>999</v>
      </c>
      <c r="E59" s="63">
        <v>135865</v>
      </c>
      <c r="F59" s="42" t="s">
        <v>1733</v>
      </c>
      <c r="G59" s="36" t="s">
        <v>2458</v>
      </c>
      <c r="H59" s="36"/>
      <c r="I59" s="229">
        <v>36137.954624999998</v>
      </c>
      <c r="J59" s="12" t="s">
        <v>53</v>
      </c>
      <c r="K59" s="97">
        <v>46226</v>
      </c>
      <c r="L59" s="95">
        <v>30</v>
      </c>
      <c r="M59" s="96">
        <v>46256</v>
      </c>
      <c r="N59" s="11">
        <f t="shared" si="0"/>
        <v>30</v>
      </c>
      <c r="O59" s="32" t="str">
        <f t="shared" si="1"/>
        <v>Yes</v>
      </c>
    </row>
    <row r="60" spans="1:15" ht="14.5" customHeight="1" x14ac:dyDescent="0.35">
      <c r="B60" s="10">
        <v>56</v>
      </c>
      <c r="C60" s="34" t="s">
        <v>822</v>
      </c>
      <c r="D60" s="63" t="s">
        <v>1000</v>
      </c>
      <c r="E60" s="63">
        <v>131912</v>
      </c>
      <c r="F60" s="42" t="s">
        <v>1734</v>
      </c>
      <c r="G60" s="36" t="s">
        <v>774</v>
      </c>
      <c r="H60" s="36"/>
      <c r="I60" s="229">
        <v>1375</v>
      </c>
      <c r="J60" s="12" t="s">
        <v>53</v>
      </c>
      <c r="K60" s="97">
        <v>46205</v>
      </c>
      <c r="L60" s="95">
        <v>30</v>
      </c>
      <c r="M60" s="96">
        <v>46230</v>
      </c>
      <c r="N60" s="11">
        <f t="shared" si="0"/>
        <v>25</v>
      </c>
      <c r="O60" s="32" t="str">
        <f t="shared" si="1"/>
        <v>Yes</v>
      </c>
    </row>
    <row r="61" spans="1:15" ht="14.5" customHeight="1" x14ac:dyDescent="0.35">
      <c r="B61" s="10">
        <v>57</v>
      </c>
      <c r="C61" s="34" t="s">
        <v>822</v>
      </c>
      <c r="D61" s="63">
        <v>2605621</v>
      </c>
      <c r="E61" s="63">
        <v>135989</v>
      </c>
      <c r="F61" s="42" t="s">
        <v>1735</v>
      </c>
      <c r="G61" s="36" t="s">
        <v>2459</v>
      </c>
      <c r="H61" s="36"/>
      <c r="I61" s="229">
        <v>13900.424999999999</v>
      </c>
      <c r="J61" s="12" t="s">
        <v>53</v>
      </c>
      <c r="K61" s="97">
        <v>46231</v>
      </c>
      <c r="L61" s="95">
        <v>30</v>
      </c>
      <c r="M61" s="96">
        <v>46251</v>
      </c>
      <c r="N61" s="11">
        <f t="shared" si="0"/>
        <v>20</v>
      </c>
      <c r="O61" s="32" t="str">
        <f t="shared" si="1"/>
        <v>Yes</v>
      </c>
    </row>
    <row r="62" spans="1:15" ht="14.5" customHeight="1" x14ac:dyDescent="0.35">
      <c r="B62" s="10">
        <v>58</v>
      </c>
      <c r="C62" s="34" t="s">
        <v>822</v>
      </c>
      <c r="D62" s="63" t="s">
        <v>1001</v>
      </c>
      <c r="E62" s="63">
        <v>134293</v>
      </c>
      <c r="F62" s="42" t="s">
        <v>1736</v>
      </c>
      <c r="G62" s="36" t="s">
        <v>2460</v>
      </c>
      <c r="H62" s="36"/>
      <c r="I62" s="229">
        <v>1662.5</v>
      </c>
      <c r="J62" s="12" t="s">
        <v>53</v>
      </c>
      <c r="K62" s="97">
        <v>46170</v>
      </c>
      <c r="L62" s="95">
        <v>30</v>
      </c>
      <c r="M62" s="96">
        <v>46206</v>
      </c>
      <c r="N62" s="11">
        <f t="shared" si="0"/>
        <v>36</v>
      </c>
      <c r="O62" s="32" t="str">
        <f t="shared" si="1"/>
        <v>No</v>
      </c>
    </row>
    <row r="63" spans="1:15" ht="14.5" customHeight="1" x14ac:dyDescent="0.35">
      <c r="B63" s="10">
        <v>59</v>
      </c>
      <c r="C63" s="34" t="s">
        <v>822</v>
      </c>
      <c r="D63" s="63" t="s">
        <v>1002</v>
      </c>
      <c r="E63" s="63">
        <v>134293</v>
      </c>
      <c r="F63" s="42" t="s">
        <v>1737</v>
      </c>
      <c r="G63" s="36" t="s">
        <v>2460</v>
      </c>
      <c r="H63" s="36"/>
      <c r="I63" s="229">
        <v>3368.75</v>
      </c>
      <c r="J63" s="12" t="s">
        <v>53</v>
      </c>
      <c r="K63" s="97">
        <v>46170</v>
      </c>
      <c r="L63" s="95">
        <v>30</v>
      </c>
      <c r="M63" s="96">
        <v>46207</v>
      </c>
      <c r="N63" s="11">
        <f t="shared" si="0"/>
        <v>37</v>
      </c>
      <c r="O63" s="32" t="str">
        <f t="shared" si="1"/>
        <v>No</v>
      </c>
    </row>
    <row r="64" spans="1:15" ht="14.5" customHeight="1" x14ac:dyDescent="0.35">
      <c r="A64" s="163"/>
      <c r="B64" s="10">
        <v>60</v>
      </c>
      <c r="C64" s="34" t="s">
        <v>822</v>
      </c>
      <c r="D64" s="164" t="s">
        <v>1003</v>
      </c>
      <c r="E64" s="63">
        <v>134293</v>
      </c>
      <c r="F64" s="42" t="s">
        <v>1737</v>
      </c>
      <c r="G64" s="36" t="s">
        <v>2460</v>
      </c>
      <c r="H64" s="36"/>
      <c r="I64" s="229">
        <v>1711.7625</v>
      </c>
      <c r="J64" s="12" t="s">
        <v>53</v>
      </c>
      <c r="K64" s="97">
        <v>46170</v>
      </c>
      <c r="L64" s="95">
        <v>30</v>
      </c>
      <c r="M64" s="96">
        <v>46199</v>
      </c>
      <c r="N64" s="11">
        <f t="shared" si="0"/>
        <v>29</v>
      </c>
      <c r="O64" s="32" t="str">
        <f t="shared" si="1"/>
        <v>Yes</v>
      </c>
    </row>
    <row r="65" spans="2:15" ht="14.5" customHeight="1" x14ac:dyDescent="0.35">
      <c r="B65" s="10">
        <v>61</v>
      </c>
      <c r="C65" s="34" t="s">
        <v>822</v>
      </c>
      <c r="D65" s="63" t="s">
        <v>1004</v>
      </c>
      <c r="E65" s="63">
        <v>134293</v>
      </c>
      <c r="F65" s="42" t="s">
        <v>1738</v>
      </c>
      <c r="G65" s="36" t="s">
        <v>2460</v>
      </c>
      <c r="H65" s="36"/>
      <c r="I65" s="229">
        <v>1050</v>
      </c>
      <c r="J65" s="12" t="s">
        <v>53</v>
      </c>
      <c r="K65" s="97">
        <v>46170</v>
      </c>
      <c r="L65" s="95">
        <v>30</v>
      </c>
      <c r="M65" s="96">
        <v>46205</v>
      </c>
      <c r="N65" s="11">
        <f t="shared" si="0"/>
        <v>35</v>
      </c>
      <c r="O65" s="32" t="str">
        <f t="shared" si="1"/>
        <v>No</v>
      </c>
    </row>
    <row r="66" spans="2:15" ht="14.5" customHeight="1" x14ac:dyDescent="0.35">
      <c r="B66" s="10">
        <v>62</v>
      </c>
      <c r="C66" s="34" t="s">
        <v>822</v>
      </c>
      <c r="D66" s="63" t="s">
        <v>1005</v>
      </c>
      <c r="E66" s="63">
        <v>134293</v>
      </c>
      <c r="F66" s="42" t="s">
        <v>1739</v>
      </c>
      <c r="G66" s="36" t="s">
        <v>2460</v>
      </c>
      <c r="H66" s="36"/>
      <c r="I66" s="229">
        <v>1618.75</v>
      </c>
      <c r="J66" s="12" t="s">
        <v>53</v>
      </c>
      <c r="K66" s="97">
        <v>46170</v>
      </c>
      <c r="L66" s="95">
        <v>30</v>
      </c>
      <c r="M66" s="96">
        <v>46200</v>
      </c>
      <c r="N66" s="11">
        <f t="shared" si="0"/>
        <v>30</v>
      </c>
      <c r="O66" s="32" t="str">
        <f t="shared" si="1"/>
        <v>Yes</v>
      </c>
    </row>
    <row r="67" spans="2:15" ht="14.5" customHeight="1" x14ac:dyDescent="0.35">
      <c r="B67" s="10">
        <v>63</v>
      </c>
      <c r="C67" s="34" t="s">
        <v>822</v>
      </c>
      <c r="D67" s="63" t="s">
        <v>1006</v>
      </c>
      <c r="E67" s="63">
        <v>134293</v>
      </c>
      <c r="F67" s="42" t="s">
        <v>1740</v>
      </c>
      <c r="G67" s="36" t="s">
        <v>2460</v>
      </c>
      <c r="H67" s="36"/>
      <c r="I67" s="229">
        <v>960</v>
      </c>
      <c r="J67" s="12" t="s">
        <v>53</v>
      </c>
      <c r="K67" s="97">
        <v>46170</v>
      </c>
      <c r="L67" s="95">
        <v>30</v>
      </c>
      <c r="M67" s="96">
        <v>46200</v>
      </c>
      <c r="N67" s="11">
        <f t="shared" si="0"/>
        <v>30</v>
      </c>
      <c r="O67" s="32" t="str">
        <f t="shared" si="1"/>
        <v>Yes</v>
      </c>
    </row>
    <row r="68" spans="2:15" ht="14.5" customHeight="1" x14ac:dyDescent="0.35">
      <c r="B68" s="10">
        <v>64</v>
      </c>
      <c r="C68" s="34" t="s">
        <v>822</v>
      </c>
      <c r="D68" s="63" t="s">
        <v>1007</v>
      </c>
      <c r="E68" s="63">
        <v>134293</v>
      </c>
      <c r="F68" s="42" t="s">
        <v>1741</v>
      </c>
      <c r="G68" s="36" t="s">
        <v>2460</v>
      </c>
      <c r="H68" s="36"/>
      <c r="I68" s="229">
        <v>3062.5</v>
      </c>
      <c r="J68" s="12" t="s">
        <v>53</v>
      </c>
      <c r="K68" s="97">
        <v>46170</v>
      </c>
      <c r="L68" s="95">
        <v>30</v>
      </c>
      <c r="M68" s="96">
        <v>46196</v>
      </c>
      <c r="N68" s="11">
        <f t="shared" si="0"/>
        <v>26</v>
      </c>
      <c r="O68" s="32" t="str">
        <f t="shared" si="1"/>
        <v>Yes</v>
      </c>
    </row>
    <row r="69" spans="2:15" ht="14.5" customHeight="1" x14ac:dyDescent="0.35">
      <c r="B69" s="10">
        <v>65</v>
      </c>
      <c r="C69" s="34" t="s">
        <v>822</v>
      </c>
      <c r="D69" s="63" t="s">
        <v>1008</v>
      </c>
      <c r="E69" s="63">
        <v>134573</v>
      </c>
      <c r="F69" s="42" t="s">
        <v>1742</v>
      </c>
      <c r="G69" s="36" t="s">
        <v>656</v>
      </c>
      <c r="H69" s="36"/>
      <c r="I69" s="229">
        <v>1072.9166666666667</v>
      </c>
      <c r="J69" s="12" t="s">
        <v>53</v>
      </c>
      <c r="K69" s="97">
        <v>46168</v>
      </c>
      <c r="L69" s="95">
        <v>30</v>
      </c>
      <c r="M69" s="96">
        <v>46195</v>
      </c>
      <c r="N69" s="11">
        <f t="shared" ref="N69:N132" si="2">IF(OR(M69="", K69=""),"", M69- K69)</f>
        <v>27</v>
      </c>
      <c r="O69" s="32" t="str">
        <f t="shared" ref="O69:O132" si="3">IF(OR(M69="", K69="", L69=""), "", IF((M69 - K69) &gt; L69, "No", "Yes"))</f>
        <v>Yes</v>
      </c>
    </row>
    <row r="70" spans="2:15" ht="14.5" customHeight="1" x14ac:dyDescent="0.35">
      <c r="B70" s="10">
        <v>66</v>
      </c>
      <c r="C70" s="34" t="s">
        <v>822</v>
      </c>
      <c r="D70" s="63">
        <v>4057247</v>
      </c>
      <c r="E70" s="63">
        <v>132063</v>
      </c>
      <c r="F70" s="42" t="s">
        <v>1743</v>
      </c>
      <c r="G70" s="36" t="s">
        <v>2461</v>
      </c>
      <c r="H70" s="36"/>
      <c r="I70" s="229">
        <v>4000</v>
      </c>
      <c r="J70" s="12" t="s">
        <v>53</v>
      </c>
      <c r="K70" s="97">
        <v>46220</v>
      </c>
      <c r="L70" s="95">
        <v>30</v>
      </c>
      <c r="M70" s="96">
        <v>46248</v>
      </c>
      <c r="N70" s="11">
        <f t="shared" si="2"/>
        <v>28</v>
      </c>
      <c r="O70" s="32" t="str">
        <f t="shared" si="3"/>
        <v>Yes</v>
      </c>
    </row>
    <row r="71" spans="2:15" ht="14.5" customHeight="1" x14ac:dyDescent="0.35">
      <c r="B71" s="10">
        <v>67</v>
      </c>
      <c r="C71" s="34" t="s">
        <v>822</v>
      </c>
      <c r="D71" s="63" t="s">
        <v>1009</v>
      </c>
      <c r="E71" s="63">
        <v>133504</v>
      </c>
      <c r="F71" s="42" t="s">
        <v>1744</v>
      </c>
      <c r="G71" s="36" t="s">
        <v>609</v>
      </c>
      <c r="H71" s="36"/>
      <c r="I71" s="229">
        <v>3339.8625000000002</v>
      </c>
      <c r="J71" s="12" t="s">
        <v>53</v>
      </c>
      <c r="K71" s="97">
        <v>46220</v>
      </c>
      <c r="L71" s="95">
        <v>30</v>
      </c>
      <c r="M71" s="96">
        <v>46248</v>
      </c>
      <c r="N71" s="11">
        <f t="shared" si="2"/>
        <v>28</v>
      </c>
      <c r="O71" s="32" t="str">
        <f t="shared" si="3"/>
        <v>Yes</v>
      </c>
    </row>
    <row r="72" spans="2:15" ht="14.5" customHeight="1" x14ac:dyDescent="0.35">
      <c r="B72" s="10">
        <v>68</v>
      </c>
      <c r="C72" s="34" t="s">
        <v>822</v>
      </c>
      <c r="D72" s="63" t="s">
        <v>1010</v>
      </c>
      <c r="E72" s="63">
        <v>135234</v>
      </c>
      <c r="F72" s="42" t="s">
        <v>1745</v>
      </c>
      <c r="G72" s="36" t="s">
        <v>609</v>
      </c>
      <c r="H72" s="36"/>
      <c r="I72" s="229">
        <v>6075</v>
      </c>
      <c r="J72" s="12" t="s">
        <v>53</v>
      </c>
      <c r="K72" s="97">
        <v>46202</v>
      </c>
      <c r="L72" s="95">
        <v>30</v>
      </c>
      <c r="M72" s="96">
        <v>46239</v>
      </c>
      <c r="N72" s="11">
        <f t="shared" si="2"/>
        <v>37</v>
      </c>
      <c r="O72" s="32" t="str">
        <f t="shared" si="3"/>
        <v>No</v>
      </c>
    </row>
    <row r="73" spans="2:15" ht="14.5" customHeight="1" x14ac:dyDescent="0.35">
      <c r="B73" s="10">
        <v>69</v>
      </c>
      <c r="C73" s="34" t="s">
        <v>822</v>
      </c>
      <c r="D73" s="63" t="s">
        <v>1011</v>
      </c>
      <c r="E73" s="63">
        <v>135232</v>
      </c>
      <c r="F73" s="42" t="s">
        <v>1746</v>
      </c>
      <c r="G73" s="36" t="s">
        <v>609</v>
      </c>
      <c r="H73" s="36"/>
      <c r="I73" s="229">
        <v>10125</v>
      </c>
      <c r="J73" s="12" t="s">
        <v>53</v>
      </c>
      <c r="K73" s="97">
        <v>46202</v>
      </c>
      <c r="L73" s="95">
        <v>30</v>
      </c>
      <c r="M73" s="96">
        <v>46238</v>
      </c>
      <c r="N73" s="11">
        <f t="shared" si="2"/>
        <v>36</v>
      </c>
      <c r="O73" s="32" t="str">
        <f t="shared" si="3"/>
        <v>No</v>
      </c>
    </row>
    <row r="74" spans="2:15" ht="14.5" customHeight="1" x14ac:dyDescent="0.35">
      <c r="B74" s="10">
        <v>70</v>
      </c>
      <c r="C74" s="34" t="s">
        <v>822</v>
      </c>
      <c r="D74" s="63" t="s">
        <v>1012</v>
      </c>
      <c r="E74" s="63">
        <v>135231</v>
      </c>
      <c r="F74" s="42" t="s">
        <v>1747</v>
      </c>
      <c r="G74" s="36" t="s">
        <v>609</v>
      </c>
      <c r="H74" s="36"/>
      <c r="I74" s="229">
        <v>8100</v>
      </c>
      <c r="J74" s="12" t="s">
        <v>53</v>
      </c>
      <c r="K74" s="97">
        <v>46202</v>
      </c>
      <c r="L74" s="95">
        <v>30</v>
      </c>
      <c r="M74" s="96">
        <v>46229</v>
      </c>
      <c r="N74" s="11">
        <f t="shared" si="2"/>
        <v>27</v>
      </c>
      <c r="O74" s="32" t="str">
        <f t="shared" si="3"/>
        <v>Yes</v>
      </c>
    </row>
    <row r="75" spans="2:15" ht="14.5" customHeight="1" x14ac:dyDescent="0.35">
      <c r="B75" s="10">
        <v>71</v>
      </c>
      <c r="C75" s="34" t="s">
        <v>822</v>
      </c>
      <c r="D75" s="63" t="s">
        <v>1013</v>
      </c>
      <c r="E75" s="63">
        <v>134724</v>
      </c>
      <c r="F75" s="42" t="s">
        <v>1748</v>
      </c>
      <c r="G75" s="36" t="s">
        <v>609</v>
      </c>
      <c r="H75" s="36"/>
      <c r="I75" s="229">
        <v>3400</v>
      </c>
      <c r="J75" s="12" t="s">
        <v>53</v>
      </c>
      <c r="K75" s="97">
        <v>46198</v>
      </c>
      <c r="L75" s="95">
        <v>30</v>
      </c>
      <c r="M75" s="96">
        <v>46235</v>
      </c>
      <c r="N75" s="11">
        <f t="shared" si="2"/>
        <v>37</v>
      </c>
      <c r="O75" s="32" t="str">
        <f t="shared" si="3"/>
        <v>No</v>
      </c>
    </row>
    <row r="76" spans="2:15" ht="14.5" customHeight="1" x14ac:dyDescent="0.35">
      <c r="B76" s="10">
        <v>72</v>
      </c>
      <c r="C76" s="34" t="s">
        <v>822</v>
      </c>
      <c r="D76" s="63" t="s">
        <v>1014</v>
      </c>
      <c r="E76" s="63">
        <v>135375</v>
      </c>
      <c r="F76" s="42" t="s">
        <v>1749</v>
      </c>
      <c r="G76" s="36" t="s">
        <v>790</v>
      </c>
      <c r="H76" s="36"/>
      <c r="I76" s="229">
        <v>523.95833333333337</v>
      </c>
      <c r="J76" s="12" t="s">
        <v>53</v>
      </c>
      <c r="K76" s="97">
        <v>46217</v>
      </c>
      <c r="L76" s="95">
        <v>30</v>
      </c>
      <c r="M76" s="96">
        <v>46249</v>
      </c>
      <c r="N76" s="11">
        <f t="shared" si="2"/>
        <v>32</v>
      </c>
      <c r="O76" s="32" t="str">
        <f t="shared" si="3"/>
        <v>No</v>
      </c>
    </row>
    <row r="77" spans="2:15" ht="14.5" customHeight="1" x14ac:dyDescent="0.35">
      <c r="B77" s="10">
        <v>73</v>
      </c>
      <c r="C77" s="34" t="s">
        <v>822</v>
      </c>
      <c r="D77" s="63" t="s">
        <v>1015</v>
      </c>
      <c r="E77" s="63">
        <v>134878</v>
      </c>
      <c r="F77" s="42" t="s">
        <v>1749</v>
      </c>
      <c r="G77" s="36" t="s">
        <v>790</v>
      </c>
      <c r="H77" s="36"/>
      <c r="I77" s="229">
        <v>406.25</v>
      </c>
      <c r="J77" s="12" t="s">
        <v>53</v>
      </c>
      <c r="K77" s="97">
        <v>46217</v>
      </c>
      <c r="L77" s="95">
        <v>30</v>
      </c>
      <c r="M77" s="96">
        <v>46246</v>
      </c>
      <c r="N77" s="11">
        <f t="shared" si="2"/>
        <v>29</v>
      </c>
      <c r="O77" s="32" t="str">
        <f t="shared" si="3"/>
        <v>Yes</v>
      </c>
    </row>
    <row r="78" spans="2:15" ht="14.5" customHeight="1" x14ac:dyDescent="0.35">
      <c r="B78" s="10">
        <v>74</v>
      </c>
      <c r="C78" s="34" t="s">
        <v>822</v>
      </c>
      <c r="D78" s="63" t="s">
        <v>1016</v>
      </c>
      <c r="E78" s="63">
        <v>135572</v>
      </c>
      <c r="F78" s="42" t="s">
        <v>1750</v>
      </c>
      <c r="G78" s="36" t="s">
        <v>2462</v>
      </c>
      <c r="H78" s="36"/>
      <c r="I78" s="229">
        <v>1066.5</v>
      </c>
      <c r="J78" s="12" t="s">
        <v>53</v>
      </c>
      <c r="K78" s="97">
        <v>46224</v>
      </c>
      <c r="L78" s="95">
        <v>30</v>
      </c>
      <c r="M78" s="96">
        <v>46251</v>
      </c>
      <c r="N78" s="11">
        <f t="shared" si="2"/>
        <v>27</v>
      </c>
      <c r="O78" s="32" t="str">
        <f t="shared" si="3"/>
        <v>Yes</v>
      </c>
    </row>
    <row r="79" spans="2:15" ht="14.5" customHeight="1" x14ac:dyDescent="0.35">
      <c r="B79" s="10">
        <v>75</v>
      </c>
      <c r="C79" s="34" t="s">
        <v>822</v>
      </c>
      <c r="D79" s="63" t="s">
        <v>1017</v>
      </c>
      <c r="E79" s="63">
        <v>135462</v>
      </c>
      <c r="F79" s="42" t="s">
        <v>1751</v>
      </c>
      <c r="G79" s="36" t="s">
        <v>2463</v>
      </c>
      <c r="H79" s="36"/>
      <c r="I79" s="229">
        <v>24</v>
      </c>
      <c r="J79" s="12" t="s">
        <v>53</v>
      </c>
      <c r="K79" s="97">
        <v>46212</v>
      </c>
      <c r="L79" s="95">
        <v>30</v>
      </c>
      <c r="M79" s="96">
        <v>46243</v>
      </c>
      <c r="N79" s="11">
        <f t="shared" si="2"/>
        <v>31</v>
      </c>
      <c r="O79" s="32" t="str">
        <f t="shared" si="3"/>
        <v>No</v>
      </c>
    </row>
    <row r="80" spans="2:15" ht="14.5" customHeight="1" x14ac:dyDescent="0.35">
      <c r="B80" s="10">
        <v>76</v>
      </c>
      <c r="C80" s="34" t="s">
        <v>822</v>
      </c>
      <c r="D80" s="63" t="s">
        <v>1018</v>
      </c>
      <c r="E80" s="63">
        <v>135588</v>
      </c>
      <c r="F80" s="42" t="s">
        <v>1752</v>
      </c>
      <c r="G80" s="36" t="s">
        <v>2463</v>
      </c>
      <c r="H80" s="36"/>
      <c r="I80" s="229">
        <v>10</v>
      </c>
      <c r="J80" s="12" t="s">
        <v>53</v>
      </c>
      <c r="K80" s="97">
        <v>46212</v>
      </c>
      <c r="L80" s="95">
        <v>30</v>
      </c>
      <c r="M80" s="96">
        <v>46244</v>
      </c>
      <c r="N80" s="11">
        <f t="shared" si="2"/>
        <v>32</v>
      </c>
      <c r="O80" s="32" t="str">
        <f t="shared" si="3"/>
        <v>No</v>
      </c>
    </row>
    <row r="81" spans="2:15" ht="14.5" customHeight="1" x14ac:dyDescent="0.35">
      <c r="B81" s="10">
        <v>77</v>
      </c>
      <c r="C81" s="34" t="s">
        <v>822</v>
      </c>
      <c r="D81" s="63" t="s">
        <v>1019</v>
      </c>
      <c r="E81" s="63">
        <v>135717</v>
      </c>
      <c r="F81" s="42" t="s">
        <v>1753</v>
      </c>
      <c r="G81" s="36" t="s">
        <v>772</v>
      </c>
      <c r="H81" s="36"/>
      <c r="I81" s="229">
        <v>79.939845833333337</v>
      </c>
      <c r="J81" s="12" t="s">
        <v>53</v>
      </c>
      <c r="K81" s="97">
        <v>46204</v>
      </c>
      <c r="L81" s="95">
        <v>30</v>
      </c>
      <c r="M81" s="96">
        <v>46239</v>
      </c>
      <c r="N81" s="11">
        <f t="shared" si="2"/>
        <v>35</v>
      </c>
      <c r="O81" s="32" t="str">
        <f t="shared" si="3"/>
        <v>No</v>
      </c>
    </row>
    <row r="82" spans="2:15" ht="14.5" customHeight="1" x14ac:dyDescent="0.35">
      <c r="B82" s="10">
        <v>78</v>
      </c>
      <c r="C82" s="34" t="s">
        <v>822</v>
      </c>
      <c r="D82" s="63" t="s">
        <v>1020</v>
      </c>
      <c r="E82" s="63">
        <v>135849</v>
      </c>
      <c r="F82" s="42" t="s">
        <v>1754</v>
      </c>
      <c r="G82" s="36" t="s">
        <v>751</v>
      </c>
      <c r="H82" s="36"/>
      <c r="I82" s="229">
        <v>3125</v>
      </c>
      <c r="J82" s="12" t="s">
        <v>53</v>
      </c>
      <c r="K82" s="97">
        <v>46224</v>
      </c>
      <c r="L82" s="95">
        <v>30</v>
      </c>
      <c r="M82" s="96">
        <v>46244</v>
      </c>
      <c r="N82" s="11">
        <f t="shared" si="2"/>
        <v>20</v>
      </c>
      <c r="O82" s="32" t="str">
        <f t="shared" si="3"/>
        <v>Yes</v>
      </c>
    </row>
    <row r="83" spans="2:15" ht="14.5" customHeight="1" x14ac:dyDescent="0.35">
      <c r="B83" s="10">
        <v>79</v>
      </c>
      <c r="C83" s="34" t="s">
        <v>822</v>
      </c>
      <c r="D83" s="63" t="s">
        <v>1021</v>
      </c>
      <c r="E83" s="63">
        <v>134997</v>
      </c>
      <c r="F83" s="42" t="s">
        <v>1755</v>
      </c>
      <c r="G83" s="36" t="s">
        <v>751</v>
      </c>
      <c r="H83" s="36"/>
      <c r="I83" s="229">
        <v>13985.25</v>
      </c>
      <c r="J83" s="12" t="s">
        <v>53</v>
      </c>
      <c r="K83" s="97">
        <v>46182</v>
      </c>
      <c r="L83" s="95">
        <v>30</v>
      </c>
      <c r="M83" s="96">
        <v>46217</v>
      </c>
      <c r="N83" s="11">
        <f t="shared" si="2"/>
        <v>35</v>
      </c>
      <c r="O83" s="32" t="str">
        <f t="shared" si="3"/>
        <v>No</v>
      </c>
    </row>
    <row r="84" spans="2:15" ht="14.5" customHeight="1" x14ac:dyDescent="0.35">
      <c r="B84" s="10">
        <v>80</v>
      </c>
      <c r="C84" s="34" t="s">
        <v>822</v>
      </c>
      <c r="D84" s="63" t="s">
        <v>1022</v>
      </c>
      <c r="E84" s="63">
        <v>133447</v>
      </c>
      <c r="F84" s="42" t="s">
        <v>1756</v>
      </c>
      <c r="G84" s="36" t="s">
        <v>686</v>
      </c>
      <c r="H84" s="36"/>
      <c r="I84" s="229">
        <v>18600</v>
      </c>
      <c r="J84" s="12" t="s">
        <v>53</v>
      </c>
      <c r="K84" s="97">
        <v>46220</v>
      </c>
      <c r="L84" s="95">
        <v>30</v>
      </c>
      <c r="M84" s="96">
        <v>46248</v>
      </c>
      <c r="N84" s="11">
        <f t="shared" si="2"/>
        <v>28</v>
      </c>
      <c r="O84" s="32" t="str">
        <f t="shared" si="3"/>
        <v>Yes</v>
      </c>
    </row>
    <row r="85" spans="2:15" ht="14.5" customHeight="1" x14ac:dyDescent="0.35">
      <c r="B85" s="10">
        <v>81</v>
      </c>
      <c r="C85" s="34" t="s">
        <v>822</v>
      </c>
      <c r="D85" s="63" t="s">
        <v>1023</v>
      </c>
      <c r="E85" s="63">
        <v>135711</v>
      </c>
      <c r="F85" s="42" t="s">
        <v>1757</v>
      </c>
      <c r="G85" s="36" t="s">
        <v>686</v>
      </c>
      <c r="H85" s="36"/>
      <c r="I85" s="229">
        <v>7372</v>
      </c>
      <c r="J85" s="12" t="s">
        <v>53</v>
      </c>
      <c r="K85" s="97">
        <v>46232</v>
      </c>
      <c r="L85" s="95">
        <v>30</v>
      </c>
      <c r="M85" s="96">
        <v>46253</v>
      </c>
      <c r="N85" s="11">
        <f t="shared" si="2"/>
        <v>21</v>
      </c>
      <c r="O85" s="32" t="str">
        <f t="shared" si="3"/>
        <v>Yes</v>
      </c>
    </row>
    <row r="86" spans="2:15" ht="14.5" customHeight="1" x14ac:dyDescent="0.35">
      <c r="B86" s="10">
        <v>82</v>
      </c>
      <c r="C86" s="34" t="s">
        <v>822</v>
      </c>
      <c r="D86" s="63">
        <v>134923</v>
      </c>
      <c r="E86" s="63">
        <v>134923</v>
      </c>
      <c r="F86" s="42" t="s">
        <v>1758</v>
      </c>
      <c r="G86" s="36" t="s">
        <v>2464</v>
      </c>
      <c r="H86" s="36"/>
      <c r="I86" s="229">
        <v>520.83333333333337</v>
      </c>
      <c r="J86" s="12" t="s">
        <v>53</v>
      </c>
      <c r="K86" s="97">
        <v>46180</v>
      </c>
      <c r="L86" s="95">
        <v>30</v>
      </c>
      <c r="M86" s="96">
        <v>46216</v>
      </c>
      <c r="N86" s="11">
        <f t="shared" si="2"/>
        <v>36</v>
      </c>
      <c r="O86" s="32" t="str">
        <f t="shared" si="3"/>
        <v>No</v>
      </c>
    </row>
    <row r="87" spans="2:15" ht="14.5" customHeight="1" x14ac:dyDescent="0.35">
      <c r="B87" s="10">
        <v>83</v>
      </c>
      <c r="C87" s="34" t="s">
        <v>822</v>
      </c>
      <c r="D87" s="63" t="s">
        <v>1024</v>
      </c>
      <c r="E87" s="63">
        <v>135111</v>
      </c>
      <c r="F87" s="42" t="s">
        <v>1759</v>
      </c>
      <c r="G87" s="36" t="s">
        <v>2465</v>
      </c>
      <c r="H87" s="36"/>
      <c r="I87" s="229">
        <v>958.33333333333337</v>
      </c>
      <c r="J87" s="12" t="s">
        <v>53</v>
      </c>
      <c r="K87" s="97">
        <v>46188</v>
      </c>
      <c r="L87" s="95">
        <v>30</v>
      </c>
      <c r="M87" s="96">
        <v>46224</v>
      </c>
      <c r="N87" s="11">
        <f t="shared" si="2"/>
        <v>36</v>
      </c>
      <c r="O87" s="32" t="str">
        <f t="shared" si="3"/>
        <v>No</v>
      </c>
    </row>
    <row r="88" spans="2:15" ht="14.5" customHeight="1" x14ac:dyDescent="0.35">
      <c r="B88" s="10">
        <v>84</v>
      </c>
      <c r="C88" s="34" t="s">
        <v>822</v>
      </c>
      <c r="D88" s="63" t="s">
        <v>1025</v>
      </c>
      <c r="E88" s="63">
        <v>135813</v>
      </c>
      <c r="F88" s="42" t="s">
        <v>1760</v>
      </c>
      <c r="G88" s="36" t="s">
        <v>2465</v>
      </c>
      <c r="H88" s="36"/>
      <c r="I88" s="229">
        <v>1502.0833333333333</v>
      </c>
      <c r="J88" s="12" t="s">
        <v>53</v>
      </c>
      <c r="K88" s="97">
        <v>46220</v>
      </c>
      <c r="L88" s="95">
        <v>30</v>
      </c>
      <c r="M88" s="96">
        <v>46255</v>
      </c>
      <c r="N88" s="11">
        <f t="shared" si="2"/>
        <v>35</v>
      </c>
      <c r="O88" s="32" t="str">
        <f t="shared" si="3"/>
        <v>No</v>
      </c>
    </row>
    <row r="89" spans="2:15" ht="14.5" customHeight="1" x14ac:dyDescent="0.35">
      <c r="B89" s="10">
        <v>85</v>
      </c>
      <c r="C89" s="34" t="s">
        <v>822</v>
      </c>
      <c r="D89" s="63">
        <v>4260623033</v>
      </c>
      <c r="E89" s="63">
        <v>135215</v>
      </c>
      <c r="F89" s="42" t="s">
        <v>1761</v>
      </c>
      <c r="G89" s="36" t="s">
        <v>2466</v>
      </c>
      <c r="H89" s="36"/>
      <c r="I89" s="229">
        <v>4293.6284999999998</v>
      </c>
      <c r="J89" s="12" t="s">
        <v>53</v>
      </c>
      <c r="K89" s="97">
        <v>46202</v>
      </c>
      <c r="L89" s="95">
        <v>30</v>
      </c>
      <c r="M89" s="96">
        <v>46237</v>
      </c>
      <c r="N89" s="11">
        <f t="shared" si="2"/>
        <v>35</v>
      </c>
      <c r="O89" s="32" t="str">
        <f t="shared" si="3"/>
        <v>No</v>
      </c>
    </row>
    <row r="90" spans="2:15" ht="14.5" customHeight="1" x14ac:dyDescent="0.35">
      <c r="B90" s="10">
        <v>86</v>
      </c>
      <c r="C90" s="34" t="s">
        <v>822</v>
      </c>
      <c r="D90" s="63">
        <v>4260622030</v>
      </c>
      <c r="E90" s="63">
        <v>135781</v>
      </c>
      <c r="F90" s="42" t="s">
        <v>1762</v>
      </c>
      <c r="G90" s="36" t="s">
        <v>2466</v>
      </c>
      <c r="H90" s="36"/>
      <c r="I90" s="229">
        <v>83.333333333333329</v>
      </c>
      <c r="J90" s="12" t="s">
        <v>53</v>
      </c>
      <c r="K90" s="97">
        <v>46230</v>
      </c>
      <c r="L90" s="95">
        <v>30</v>
      </c>
      <c r="M90" s="96">
        <v>46248</v>
      </c>
      <c r="N90" s="11">
        <f t="shared" si="2"/>
        <v>18</v>
      </c>
      <c r="O90" s="32" t="str">
        <f t="shared" si="3"/>
        <v>Yes</v>
      </c>
    </row>
    <row r="91" spans="2:15" ht="14.5" customHeight="1" x14ac:dyDescent="0.35">
      <c r="B91" s="10">
        <v>87</v>
      </c>
      <c r="C91" s="34" t="s">
        <v>822</v>
      </c>
      <c r="D91" s="63">
        <v>4260624035</v>
      </c>
      <c r="E91" s="63">
        <v>135779</v>
      </c>
      <c r="F91" s="42" t="s">
        <v>1763</v>
      </c>
      <c r="G91" s="36" t="s">
        <v>2466</v>
      </c>
      <c r="H91" s="36"/>
      <c r="I91" s="229">
        <v>266.685</v>
      </c>
      <c r="J91" s="12" t="s">
        <v>53</v>
      </c>
      <c r="K91" s="97">
        <v>46230</v>
      </c>
      <c r="L91" s="95">
        <v>30</v>
      </c>
      <c r="M91" s="96">
        <v>46248</v>
      </c>
      <c r="N91" s="11">
        <f t="shared" si="2"/>
        <v>18</v>
      </c>
      <c r="O91" s="32" t="str">
        <f t="shared" si="3"/>
        <v>Yes</v>
      </c>
    </row>
    <row r="92" spans="2:15" ht="14.5" customHeight="1" x14ac:dyDescent="0.35">
      <c r="B92" s="10">
        <v>88</v>
      </c>
      <c r="C92" s="34" t="s">
        <v>822</v>
      </c>
      <c r="D92" s="63">
        <v>4260624036</v>
      </c>
      <c r="E92" s="63">
        <v>135816</v>
      </c>
      <c r="F92" s="42" t="s">
        <v>1764</v>
      </c>
      <c r="G92" s="36" t="s">
        <v>2466</v>
      </c>
      <c r="H92" s="36"/>
      <c r="I92" s="229">
        <v>390.62812500000001</v>
      </c>
      <c r="J92" s="12" t="s">
        <v>53</v>
      </c>
      <c r="K92" s="97">
        <v>46219</v>
      </c>
      <c r="L92" s="95">
        <v>30</v>
      </c>
      <c r="M92" s="96">
        <v>46248</v>
      </c>
      <c r="N92" s="11">
        <f t="shared" si="2"/>
        <v>29</v>
      </c>
      <c r="O92" s="32" t="str">
        <f t="shared" si="3"/>
        <v>Yes</v>
      </c>
    </row>
    <row r="93" spans="2:15" ht="14.5" customHeight="1" x14ac:dyDescent="0.35">
      <c r="B93" s="10">
        <v>89</v>
      </c>
      <c r="C93" s="34" t="s">
        <v>822</v>
      </c>
      <c r="D93" s="63" t="s">
        <v>1026</v>
      </c>
      <c r="E93" s="63">
        <v>135870</v>
      </c>
      <c r="F93" s="42" t="s">
        <v>1765</v>
      </c>
      <c r="G93" s="36" t="s">
        <v>2467</v>
      </c>
      <c r="H93" s="36"/>
      <c r="I93" s="229">
        <v>18.208333333333332</v>
      </c>
      <c r="J93" s="12" t="s">
        <v>53</v>
      </c>
      <c r="K93" s="97">
        <v>46185</v>
      </c>
      <c r="L93" s="95">
        <v>30</v>
      </c>
      <c r="M93" s="96">
        <v>46222</v>
      </c>
      <c r="N93" s="11">
        <f t="shared" si="2"/>
        <v>37</v>
      </c>
      <c r="O93" s="32" t="str">
        <f t="shared" si="3"/>
        <v>No</v>
      </c>
    </row>
    <row r="94" spans="2:15" ht="14.5" customHeight="1" x14ac:dyDescent="0.35">
      <c r="B94" s="10">
        <v>90</v>
      </c>
      <c r="C94" s="34" t="s">
        <v>822</v>
      </c>
      <c r="D94" s="63" t="s">
        <v>1027</v>
      </c>
      <c r="E94" s="63">
        <v>135870</v>
      </c>
      <c r="F94" s="42" t="s">
        <v>1766</v>
      </c>
      <c r="G94" s="36" t="s">
        <v>2467</v>
      </c>
      <c r="H94" s="36"/>
      <c r="I94" s="229">
        <v>260.41666666666669</v>
      </c>
      <c r="J94" s="12" t="s">
        <v>53</v>
      </c>
      <c r="K94" s="97">
        <v>46185</v>
      </c>
      <c r="L94" s="95">
        <v>30</v>
      </c>
      <c r="M94" s="96">
        <v>46212</v>
      </c>
      <c r="N94" s="11">
        <f t="shared" si="2"/>
        <v>27</v>
      </c>
      <c r="O94" s="32" t="str">
        <f t="shared" si="3"/>
        <v>Yes</v>
      </c>
    </row>
    <row r="95" spans="2:15" ht="14.5" customHeight="1" x14ac:dyDescent="0.35">
      <c r="B95" s="10">
        <v>91</v>
      </c>
      <c r="C95" s="34" t="s">
        <v>822</v>
      </c>
      <c r="D95" s="63">
        <v>2</v>
      </c>
      <c r="E95" s="63">
        <v>135852</v>
      </c>
      <c r="F95" s="42" t="s">
        <v>1767</v>
      </c>
      <c r="G95" s="36" t="s">
        <v>2468</v>
      </c>
      <c r="H95" s="36"/>
      <c r="I95" s="229">
        <v>479.16666666666669</v>
      </c>
      <c r="J95" s="12" t="s">
        <v>53</v>
      </c>
      <c r="K95" s="97">
        <v>46226</v>
      </c>
      <c r="L95" s="95">
        <v>30</v>
      </c>
      <c r="M95" s="96">
        <v>46241</v>
      </c>
      <c r="N95" s="11">
        <f t="shared" si="2"/>
        <v>15</v>
      </c>
      <c r="O95" s="32" t="str">
        <f t="shared" si="3"/>
        <v>Yes</v>
      </c>
    </row>
    <row r="96" spans="2:15" ht="14.5" customHeight="1" x14ac:dyDescent="0.35">
      <c r="B96" s="10">
        <v>92</v>
      </c>
      <c r="C96" s="34" t="s">
        <v>822</v>
      </c>
      <c r="D96" s="63" t="s">
        <v>1028</v>
      </c>
      <c r="E96" s="63">
        <v>135565</v>
      </c>
      <c r="F96" s="42" t="s">
        <v>293</v>
      </c>
      <c r="G96" s="36" t="s">
        <v>2469</v>
      </c>
      <c r="H96" s="36"/>
      <c r="I96" s="229">
        <v>831</v>
      </c>
      <c r="J96" s="12" t="s">
        <v>53</v>
      </c>
      <c r="K96" s="97">
        <v>46212</v>
      </c>
      <c r="L96" s="95">
        <v>30</v>
      </c>
      <c r="M96" s="96">
        <v>46243</v>
      </c>
      <c r="N96" s="11">
        <f t="shared" si="2"/>
        <v>31</v>
      </c>
      <c r="O96" s="32" t="str">
        <f t="shared" si="3"/>
        <v>No</v>
      </c>
    </row>
    <row r="97" spans="2:15" ht="14.5" customHeight="1" x14ac:dyDescent="0.35">
      <c r="B97" s="10">
        <v>93</v>
      </c>
      <c r="C97" s="34" t="s">
        <v>822</v>
      </c>
      <c r="D97" s="63" t="s">
        <v>1029</v>
      </c>
      <c r="E97" s="63">
        <v>135679</v>
      </c>
      <c r="F97" s="42" t="s">
        <v>1768</v>
      </c>
      <c r="G97" s="36" t="s">
        <v>2470</v>
      </c>
      <c r="H97" s="36"/>
      <c r="I97" s="229">
        <v>104.16666666666667</v>
      </c>
      <c r="J97" s="12" t="s">
        <v>53</v>
      </c>
      <c r="K97" s="97">
        <v>46218</v>
      </c>
      <c r="L97" s="95">
        <v>30</v>
      </c>
      <c r="M97" s="96">
        <v>46244</v>
      </c>
      <c r="N97" s="11">
        <f t="shared" si="2"/>
        <v>26</v>
      </c>
      <c r="O97" s="32" t="str">
        <f t="shared" si="3"/>
        <v>Yes</v>
      </c>
    </row>
    <row r="98" spans="2:15" ht="14.5" customHeight="1" x14ac:dyDescent="0.35">
      <c r="B98" s="10">
        <v>94</v>
      </c>
      <c r="C98" s="34" t="s">
        <v>822</v>
      </c>
      <c r="D98" s="63" t="s">
        <v>1030</v>
      </c>
      <c r="E98" s="63">
        <v>135439</v>
      </c>
      <c r="F98" s="42" t="s">
        <v>1769</v>
      </c>
      <c r="G98" s="36" t="s">
        <v>2470</v>
      </c>
      <c r="H98" s="36"/>
      <c r="I98" s="229">
        <v>239.58333333333334</v>
      </c>
      <c r="J98" s="12" t="s">
        <v>53</v>
      </c>
      <c r="K98" s="97">
        <v>46211</v>
      </c>
      <c r="L98" s="95">
        <v>30</v>
      </c>
      <c r="M98" s="96">
        <v>46241</v>
      </c>
      <c r="N98" s="11">
        <f t="shared" si="2"/>
        <v>30</v>
      </c>
      <c r="O98" s="32" t="str">
        <f t="shared" si="3"/>
        <v>Yes</v>
      </c>
    </row>
    <row r="99" spans="2:15" ht="14.5" customHeight="1" x14ac:dyDescent="0.35">
      <c r="B99" s="10">
        <v>95</v>
      </c>
      <c r="C99" s="34" t="s">
        <v>822</v>
      </c>
      <c r="D99" s="63">
        <v>20261668</v>
      </c>
      <c r="E99" s="63">
        <v>135134</v>
      </c>
      <c r="F99" s="42" t="s">
        <v>1770</v>
      </c>
      <c r="G99" s="36" t="s">
        <v>2471</v>
      </c>
      <c r="H99" s="36"/>
      <c r="I99" s="229">
        <v>333.72645833333331</v>
      </c>
      <c r="J99" s="12" t="s">
        <v>53</v>
      </c>
      <c r="K99" s="97">
        <v>46216</v>
      </c>
      <c r="L99" s="95">
        <v>30</v>
      </c>
      <c r="M99" s="96">
        <v>46244</v>
      </c>
      <c r="N99" s="11">
        <f t="shared" si="2"/>
        <v>28</v>
      </c>
      <c r="O99" s="32" t="str">
        <f t="shared" si="3"/>
        <v>Yes</v>
      </c>
    </row>
    <row r="100" spans="2:15" ht="14.5" customHeight="1" x14ac:dyDescent="0.35">
      <c r="B100" s="10">
        <v>96</v>
      </c>
      <c r="C100" s="34" t="s">
        <v>822</v>
      </c>
      <c r="D100" s="63">
        <v>20261666</v>
      </c>
      <c r="E100" s="63">
        <v>135134</v>
      </c>
      <c r="F100" s="42" t="s">
        <v>1770</v>
      </c>
      <c r="G100" s="36" t="s">
        <v>2471</v>
      </c>
      <c r="H100" s="36"/>
      <c r="I100" s="229">
        <v>342.99645833333335</v>
      </c>
      <c r="J100" s="12" t="s">
        <v>53</v>
      </c>
      <c r="K100" s="97">
        <v>46216</v>
      </c>
      <c r="L100" s="95">
        <v>30</v>
      </c>
      <c r="M100" s="96">
        <v>46244</v>
      </c>
      <c r="N100" s="11">
        <f t="shared" si="2"/>
        <v>28</v>
      </c>
      <c r="O100" s="32" t="str">
        <f t="shared" si="3"/>
        <v>Yes</v>
      </c>
    </row>
    <row r="101" spans="2:15" ht="14.5" customHeight="1" x14ac:dyDescent="0.35">
      <c r="B101" s="10">
        <v>97</v>
      </c>
      <c r="C101" s="34" t="s">
        <v>822</v>
      </c>
      <c r="D101" s="63" t="s">
        <v>1031</v>
      </c>
      <c r="E101" s="63">
        <v>135395</v>
      </c>
      <c r="F101" s="42" t="s">
        <v>1771</v>
      </c>
      <c r="G101" s="36" t="s">
        <v>706</v>
      </c>
      <c r="H101" s="36"/>
      <c r="I101" s="229">
        <v>95.832916666666662</v>
      </c>
      <c r="J101" s="12" t="s">
        <v>53</v>
      </c>
      <c r="K101" s="97">
        <v>46202</v>
      </c>
      <c r="L101" s="95">
        <v>30</v>
      </c>
      <c r="M101" s="96">
        <v>46228</v>
      </c>
      <c r="N101" s="11">
        <f t="shared" si="2"/>
        <v>26</v>
      </c>
      <c r="O101" s="32" t="str">
        <f t="shared" si="3"/>
        <v>Yes</v>
      </c>
    </row>
    <row r="102" spans="2:15" ht="14.5" customHeight="1" x14ac:dyDescent="0.35">
      <c r="B102" s="10">
        <v>98</v>
      </c>
      <c r="C102" s="34" t="s">
        <v>822</v>
      </c>
      <c r="D102" s="63" t="s">
        <v>1032</v>
      </c>
      <c r="E102" s="63">
        <v>134865</v>
      </c>
      <c r="F102" s="42" t="s">
        <v>1772</v>
      </c>
      <c r="G102" s="36" t="s">
        <v>2472</v>
      </c>
      <c r="H102" s="36"/>
      <c r="I102" s="229">
        <v>1171.33825</v>
      </c>
      <c r="J102" s="12" t="s">
        <v>53</v>
      </c>
      <c r="K102" s="97">
        <v>46209</v>
      </c>
      <c r="L102" s="95">
        <v>30</v>
      </c>
      <c r="M102" s="96">
        <v>46244</v>
      </c>
      <c r="N102" s="11">
        <f t="shared" si="2"/>
        <v>35</v>
      </c>
      <c r="O102" s="32" t="str">
        <f t="shared" si="3"/>
        <v>No</v>
      </c>
    </row>
    <row r="103" spans="2:15" ht="14.5" customHeight="1" x14ac:dyDescent="0.35">
      <c r="B103" s="10">
        <v>99</v>
      </c>
      <c r="C103" s="34" t="s">
        <v>822</v>
      </c>
      <c r="D103" s="63" t="s">
        <v>1033</v>
      </c>
      <c r="E103" s="63">
        <v>134865</v>
      </c>
      <c r="F103" s="42" t="s">
        <v>1772</v>
      </c>
      <c r="G103" s="36" t="s">
        <v>2472</v>
      </c>
      <c r="H103" s="36"/>
      <c r="I103" s="229">
        <v>1171.33825</v>
      </c>
      <c r="J103" s="12" t="s">
        <v>53</v>
      </c>
      <c r="K103" s="97">
        <v>46209</v>
      </c>
      <c r="L103" s="95">
        <v>30</v>
      </c>
      <c r="M103" s="96">
        <v>46237</v>
      </c>
      <c r="N103" s="11">
        <f t="shared" si="2"/>
        <v>28</v>
      </c>
      <c r="O103" s="32" t="str">
        <f t="shared" si="3"/>
        <v>Yes</v>
      </c>
    </row>
    <row r="104" spans="2:15" ht="14.5" customHeight="1" x14ac:dyDescent="0.35">
      <c r="B104" s="10">
        <v>100</v>
      </c>
      <c r="C104" s="34" t="s">
        <v>822</v>
      </c>
      <c r="D104" s="63" t="s">
        <v>1034</v>
      </c>
      <c r="E104" s="63">
        <v>134557</v>
      </c>
      <c r="F104" s="42" t="s">
        <v>1773</v>
      </c>
      <c r="G104" s="36" t="s">
        <v>2472</v>
      </c>
      <c r="H104" s="36"/>
      <c r="I104" s="229">
        <v>825</v>
      </c>
      <c r="J104" s="12" t="s">
        <v>53</v>
      </c>
      <c r="K104" s="97">
        <v>46161</v>
      </c>
      <c r="L104" s="95">
        <v>30</v>
      </c>
      <c r="M104" s="96">
        <v>46189</v>
      </c>
      <c r="N104" s="11">
        <f t="shared" si="2"/>
        <v>28</v>
      </c>
      <c r="O104" s="32" t="str">
        <f t="shared" si="3"/>
        <v>Yes</v>
      </c>
    </row>
    <row r="105" spans="2:15" ht="14.5" customHeight="1" x14ac:dyDescent="0.35">
      <c r="B105" s="10">
        <v>101</v>
      </c>
      <c r="C105" s="34" t="s">
        <v>822</v>
      </c>
      <c r="D105" s="63" t="s">
        <v>1035</v>
      </c>
      <c r="E105" s="63">
        <v>134557</v>
      </c>
      <c r="F105" s="42" t="s">
        <v>1772</v>
      </c>
      <c r="G105" s="36" t="s">
        <v>2472</v>
      </c>
      <c r="H105" s="36"/>
      <c r="I105" s="229">
        <v>675</v>
      </c>
      <c r="J105" s="12" t="s">
        <v>53</v>
      </c>
      <c r="K105" s="97">
        <v>46161</v>
      </c>
      <c r="L105" s="95">
        <v>30</v>
      </c>
      <c r="M105" s="96">
        <v>46188</v>
      </c>
      <c r="N105" s="11">
        <f t="shared" si="2"/>
        <v>27</v>
      </c>
      <c r="O105" s="32" t="str">
        <f t="shared" si="3"/>
        <v>Yes</v>
      </c>
    </row>
    <row r="106" spans="2:15" ht="14.5" customHeight="1" x14ac:dyDescent="0.35">
      <c r="B106" s="10">
        <v>102</v>
      </c>
      <c r="C106" s="34" t="s">
        <v>822</v>
      </c>
      <c r="D106" s="63" t="s">
        <v>1036</v>
      </c>
      <c r="E106" s="63">
        <v>134557</v>
      </c>
      <c r="F106" s="42" t="s">
        <v>1772</v>
      </c>
      <c r="G106" s="36" t="s">
        <v>2472</v>
      </c>
      <c r="H106" s="36"/>
      <c r="I106" s="229">
        <v>618.75</v>
      </c>
      <c r="J106" s="12" t="s">
        <v>53</v>
      </c>
      <c r="K106" s="97">
        <v>46161</v>
      </c>
      <c r="L106" s="95">
        <v>30</v>
      </c>
      <c r="M106" s="96">
        <v>46196</v>
      </c>
      <c r="N106" s="11">
        <f t="shared" si="2"/>
        <v>35</v>
      </c>
      <c r="O106" s="32" t="str">
        <f t="shared" si="3"/>
        <v>No</v>
      </c>
    </row>
    <row r="107" spans="2:15" ht="14.5" customHeight="1" x14ac:dyDescent="0.35">
      <c r="B107" s="10">
        <v>103</v>
      </c>
      <c r="C107" s="34" t="s">
        <v>822</v>
      </c>
      <c r="D107" s="63" t="s">
        <v>1037</v>
      </c>
      <c r="E107" s="63">
        <v>134557</v>
      </c>
      <c r="F107" s="42" t="s">
        <v>1772</v>
      </c>
      <c r="G107" s="36" t="s">
        <v>2472</v>
      </c>
      <c r="H107" s="36"/>
      <c r="I107" s="229">
        <v>1856.25</v>
      </c>
      <c r="J107" s="12" t="s">
        <v>53</v>
      </c>
      <c r="K107" s="97">
        <v>46161</v>
      </c>
      <c r="L107" s="95">
        <v>30</v>
      </c>
      <c r="M107" s="96">
        <v>46191</v>
      </c>
      <c r="N107" s="11">
        <f t="shared" si="2"/>
        <v>30</v>
      </c>
      <c r="O107" s="32" t="str">
        <f t="shared" si="3"/>
        <v>Yes</v>
      </c>
    </row>
    <row r="108" spans="2:15" ht="14.5" customHeight="1" x14ac:dyDescent="0.35">
      <c r="B108" s="10">
        <v>104</v>
      </c>
      <c r="C108" s="34" t="s">
        <v>822</v>
      </c>
      <c r="D108" s="63" t="s">
        <v>1038</v>
      </c>
      <c r="E108" s="63">
        <v>135003</v>
      </c>
      <c r="F108" s="42" t="s">
        <v>1774</v>
      </c>
      <c r="G108" s="36" t="s">
        <v>2472</v>
      </c>
      <c r="H108" s="36"/>
      <c r="I108" s="229">
        <v>6178.72</v>
      </c>
      <c r="J108" s="12" t="s">
        <v>53</v>
      </c>
      <c r="K108" s="97">
        <v>46190</v>
      </c>
      <c r="L108" s="95">
        <v>30</v>
      </c>
      <c r="M108" s="96">
        <v>46225</v>
      </c>
      <c r="N108" s="11">
        <f t="shared" si="2"/>
        <v>35</v>
      </c>
      <c r="O108" s="32" t="str">
        <f t="shared" si="3"/>
        <v>No</v>
      </c>
    </row>
    <row r="109" spans="2:15" ht="14.5" customHeight="1" x14ac:dyDescent="0.35">
      <c r="B109" s="10">
        <v>105</v>
      </c>
      <c r="C109" s="34" t="s">
        <v>822</v>
      </c>
      <c r="D109" s="63">
        <v>135754</v>
      </c>
      <c r="E109" s="63">
        <v>135754</v>
      </c>
      <c r="F109" s="42" t="s">
        <v>1775</v>
      </c>
      <c r="G109" s="36" t="s">
        <v>2473</v>
      </c>
      <c r="H109" s="36"/>
      <c r="I109" s="229">
        <v>520.83333333333337</v>
      </c>
      <c r="J109" s="12" t="s">
        <v>53</v>
      </c>
      <c r="K109" s="97">
        <v>46224</v>
      </c>
      <c r="L109" s="95">
        <v>30</v>
      </c>
      <c r="M109" s="96">
        <v>46244</v>
      </c>
      <c r="N109" s="11">
        <f t="shared" si="2"/>
        <v>20</v>
      </c>
      <c r="O109" s="32" t="str">
        <f t="shared" si="3"/>
        <v>Yes</v>
      </c>
    </row>
    <row r="110" spans="2:15" ht="14.5" customHeight="1" x14ac:dyDescent="0.35">
      <c r="B110" s="10">
        <v>106</v>
      </c>
      <c r="C110" s="34" t="s">
        <v>822</v>
      </c>
      <c r="D110" s="63" t="s">
        <v>1039</v>
      </c>
      <c r="E110" s="63">
        <v>134231</v>
      </c>
      <c r="F110" s="42" t="s">
        <v>1776</v>
      </c>
      <c r="G110" s="36" t="s">
        <v>771</v>
      </c>
      <c r="H110" s="36"/>
      <c r="I110" s="229">
        <v>275</v>
      </c>
      <c r="J110" s="12" t="s">
        <v>53</v>
      </c>
      <c r="K110" s="97">
        <v>46189</v>
      </c>
      <c r="L110" s="95">
        <v>30</v>
      </c>
      <c r="M110" s="96">
        <v>46217</v>
      </c>
      <c r="N110" s="11">
        <f t="shared" si="2"/>
        <v>28</v>
      </c>
      <c r="O110" s="32" t="str">
        <f t="shared" si="3"/>
        <v>Yes</v>
      </c>
    </row>
    <row r="111" spans="2:15" ht="14.5" customHeight="1" x14ac:dyDescent="0.35">
      <c r="B111" s="10">
        <v>107</v>
      </c>
      <c r="C111" s="34" t="s">
        <v>822</v>
      </c>
      <c r="D111" s="63" t="s">
        <v>1040</v>
      </c>
      <c r="E111" s="63">
        <v>134866</v>
      </c>
      <c r="F111" s="42" t="s">
        <v>1777</v>
      </c>
      <c r="G111" s="36" t="s">
        <v>797</v>
      </c>
      <c r="H111" s="36"/>
      <c r="I111" s="229">
        <v>374.4</v>
      </c>
      <c r="J111" s="12" t="s">
        <v>53</v>
      </c>
      <c r="K111" s="97">
        <v>46177</v>
      </c>
      <c r="L111" s="95">
        <v>30</v>
      </c>
      <c r="M111" s="96">
        <v>46205</v>
      </c>
      <c r="N111" s="11">
        <f t="shared" si="2"/>
        <v>28</v>
      </c>
      <c r="O111" s="32" t="str">
        <f t="shared" si="3"/>
        <v>Yes</v>
      </c>
    </row>
    <row r="112" spans="2:15" ht="14.5" customHeight="1" x14ac:dyDescent="0.35">
      <c r="B112" s="10">
        <v>108</v>
      </c>
      <c r="C112" s="34" t="s">
        <v>822</v>
      </c>
      <c r="D112" s="63" t="s">
        <v>1041</v>
      </c>
      <c r="E112" s="63">
        <v>134866</v>
      </c>
      <c r="F112" s="42" t="s">
        <v>1777</v>
      </c>
      <c r="G112" s="36" t="s">
        <v>797</v>
      </c>
      <c r="H112" s="36"/>
      <c r="I112" s="229">
        <v>374.4</v>
      </c>
      <c r="J112" s="12" t="s">
        <v>53</v>
      </c>
      <c r="K112" s="97">
        <v>46177</v>
      </c>
      <c r="L112" s="95">
        <v>30</v>
      </c>
      <c r="M112" s="96">
        <v>46202</v>
      </c>
      <c r="N112" s="11">
        <f t="shared" si="2"/>
        <v>25</v>
      </c>
      <c r="O112" s="32" t="str">
        <f t="shared" si="3"/>
        <v>Yes</v>
      </c>
    </row>
    <row r="113" spans="2:15" ht="14.5" customHeight="1" x14ac:dyDescent="0.35">
      <c r="B113" s="10">
        <v>109</v>
      </c>
      <c r="C113" s="34" t="s">
        <v>822</v>
      </c>
      <c r="D113" s="63" t="s">
        <v>1042</v>
      </c>
      <c r="E113" s="63">
        <v>134866</v>
      </c>
      <c r="F113" s="42" t="s">
        <v>1778</v>
      </c>
      <c r="G113" s="36" t="s">
        <v>797</v>
      </c>
      <c r="H113" s="36"/>
      <c r="I113" s="229">
        <v>374.4</v>
      </c>
      <c r="J113" s="12" t="s">
        <v>53</v>
      </c>
      <c r="K113" s="97">
        <v>46177</v>
      </c>
      <c r="L113" s="95">
        <v>30</v>
      </c>
      <c r="M113" s="96">
        <v>46214</v>
      </c>
      <c r="N113" s="11">
        <f t="shared" si="2"/>
        <v>37</v>
      </c>
      <c r="O113" s="32" t="str">
        <f t="shared" si="3"/>
        <v>No</v>
      </c>
    </row>
    <row r="114" spans="2:15" ht="14.5" customHeight="1" x14ac:dyDescent="0.35">
      <c r="B114" s="10">
        <v>110</v>
      </c>
      <c r="C114" s="34" t="s">
        <v>822</v>
      </c>
      <c r="D114" s="63" t="s">
        <v>1043</v>
      </c>
      <c r="E114" s="63">
        <v>134866</v>
      </c>
      <c r="F114" s="42" t="s">
        <v>1779</v>
      </c>
      <c r="G114" s="36" t="s">
        <v>797</v>
      </c>
      <c r="H114" s="36"/>
      <c r="I114" s="229">
        <v>748.8</v>
      </c>
      <c r="J114" s="12" t="s">
        <v>53</v>
      </c>
      <c r="K114" s="97">
        <v>46177</v>
      </c>
      <c r="L114" s="95">
        <v>30</v>
      </c>
      <c r="M114" s="96">
        <v>46213</v>
      </c>
      <c r="N114" s="11">
        <f t="shared" si="2"/>
        <v>36</v>
      </c>
      <c r="O114" s="32" t="str">
        <f t="shared" si="3"/>
        <v>No</v>
      </c>
    </row>
    <row r="115" spans="2:15" ht="14.5" customHeight="1" x14ac:dyDescent="0.35">
      <c r="B115" s="10">
        <v>111</v>
      </c>
      <c r="C115" s="34" t="s">
        <v>822</v>
      </c>
      <c r="D115" s="63" t="s">
        <v>1044</v>
      </c>
      <c r="E115" s="63">
        <v>134866</v>
      </c>
      <c r="F115" s="42" t="s">
        <v>1780</v>
      </c>
      <c r="G115" s="36" t="s">
        <v>797</v>
      </c>
      <c r="H115" s="36"/>
      <c r="I115" s="229">
        <v>1056</v>
      </c>
      <c r="J115" s="12" t="s">
        <v>53</v>
      </c>
      <c r="K115" s="97">
        <v>46177</v>
      </c>
      <c r="L115" s="95">
        <v>30</v>
      </c>
      <c r="M115" s="96">
        <v>46212</v>
      </c>
      <c r="N115" s="11">
        <f t="shared" si="2"/>
        <v>35</v>
      </c>
      <c r="O115" s="32" t="str">
        <f t="shared" si="3"/>
        <v>No</v>
      </c>
    </row>
    <row r="116" spans="2:15" ht="14.5" customHeight="1" x14ac:dyDescent="0.35">
      <c r="B116" s="10">
        <v>112</v>
      </c>
      <c r="C116" s="34" t="s">
        <v>822</v>
      </c>
      <c r="D116" s="63" t="s">
        <v>1045</v>
      </c>
      <c r="E116" s="63">
        <v>134866</v>
      </c>
      <c r="F116" s="42" t="s">
        <v>1781</v>
      </c>
      <c r="G116" s="36" t="s">
        <v>797</v>
      </c>
      <c r="H116" s="36"/>
      <c r="I116" s="229">
        <v>297.91666666666669</v>
      </c>
      <c r="J116" s="12" t="s">
        <v>53</v>
      </c>
      <c r="K116" s="97">
        <v>46177</v>
      </c>
      <c r="L116" s="95">
        <v>30</v>
      </c>
      <c r="M116" s="96">
        <v>46212</v>
      </c>
      <c r="N116" s="11">
        <f t="shared" si="2"/>
        <v>35</v>
      </c>
      <c r="O116" s="32" t="str">
        <f t="shared" si="3"/>
        <v>No</v>
      </c>
    </row>
    <row r="117" spans="2:15" ht="14.5" customHeight="1" x14ac:dyDescent="0.35">
      <c r="B117" s="10">
        <v>113</v>
      </c>
      <c r="C117" s="34" t="s">
        <v>822</v>
      </c>
      <c r="D117" s="63" t="s">
        <v>1046</v>
      </c>
      <c r="E117" s="63">
        <v>134866</v>
      </c>
      <c r="F117" s="42" t="s">
        <v>1782</v>
      </c>
      <c r="G117" s="36" t="s">
        <v>797</v>
      </c>
      <c r="H117" s="36"/>
      <c r="I117" s="229">
        <v>297.91666666666669</v>
      </c>
      <c r="J117" s="12" t="s">
        <v>53</v>
      </c>
      <c r="K117" s="97">
        <v>46177</v>
      </c>
      <c r="L117" s="95">
        <v>30</v>
      </c>
      <c r="M117" s="96">
        <v>46206</v>
      </c>
      <c r="N117" s="11">
        <f t="shared" si="2"/>
        <v>29</v>
      </c>
      <c r="O117" s="32" t="str">
        <f t="shared" si="3"/>
        <v>Yes</v>
      </c>
    </row>
    <row r="118" spans="2:15" ht="14.5" customHeight="1" x14ac:dyDescent="0.35">
      <c r="B118" s="10">
        <v>114</v>
      </c>
      <c r="C118" s="34" t="s">
        <v>822</v>
      </c>
      <c r="D118" s="63" t="s">
        <v>1047</v>
      </c>
      <c r="E118" s="63">
        <v>134866</v>
      </c>
      <c r="F118" s="42" t="s">
        <v>1781</v>
      </c>
      <c r="G118" s="36" t="s">
        <v>797</v>
      </c>
      <c r="H118" s="36"/>
      <c r="I118" s="229">
        <v>297.91666666666669</v>
      </c>
      <c r="J118" s="12" t="s">
        <v>53</v>
      </c>
      <c r="K118" s="97">
        <v>46177</v>
      </c>
      <c r="L118" s="95">
        <v>30</v>
      </c>
      <c r="M118" s="96">
        <v>46204</v>
      </c>
      <c r="N118" s="11">
        <f t="shared" si="2"/>
        <v>27</v>
      </c>
      <c r="O118" s="32" t="str">
        <f t="shared" si="3"/>
        <v>Yes</v>
      </c>
    </row>
    <row r="119" spans="2:15" ht="14.5" customHeight="1" x14ac:dyDescent="0.35">
      <c r="B119" s="10">
        <v>115</v>
      </c>
      <c r="C119" s="34" t="s">
        <v>822</v>
      </c>
      <c r="D119" s="63" t="s">
        <v>1048</v>
      </c>
      <c r="E119" s="63">
        <v>134866</v>
      </c>
      <c r="F119" s="42" t="s">
        <v>1781</v>
      </c>
      <c r="G119" s="36" t="s">
        <v>797</v>
      </c>
      <c r="H119" s="36"/>
      <c r="I119" s="229">
        <v>338.75</v>
      </c>
      <c r="J119" s="12" t="s">
        <v>53</v>
      </c>
      <c r="K119" s="97">
        <v>46177</v>
      </c>
      <c r="L119" s="95">
        <v>30</v>
      </c>
      <c r="M119" s="96">
        <v>46206</v>
      </c>
      <c r="N119" s="11">
        <f t="shared" si="2"/>
        <v>29</v>
      </c>
      <c r="O119" s="32" t="str">
        <f t="shared" si="3"/>
        <v>Yes</v>
      </c>
    </row>
    <row r="120" spans="2:15" ht="14.5" customHeight="1" x14ac:dyDescent="0.35">
      <c r="B120" s="10">
        <v>116</v>
      </c>
      <c r="C120" s="34" t="s">
        <v>822</v>
      </c>
      <c r="D120" s="63" t="s">
        <v>1049</v>
      </c>
      <c r="E120" s="63">
        <v>134866</v>
      </c>
      <c r="F120" s="42" t="s">
        <v>1780</v>
      </c>
      <c r="G120" s="36" t="s">
        <v>797</v>
      </c>
      <c r="H120" s="36"/>
      <c r="I120" s="229">
        <v>13.541666666666666</v>
      </c>
      <c r="J120" s="12" t="s">
        <v>53</v>
      </c>
      <c r="K120" s="97">
        <v>46177</v>
      </c>
      <c r="L120" s="95">
        <v>30</v>
      </c>
      <c r="M120" s="96">
        <v>46205</v>
      </c>
      <c r="N120" s="11">
        <f t="shared" si="2"/>
        <v>28</v>
      </c>
      <c r="O120" s="32" t="str">
        <f t="shared" si="3"/>
        <v>Yes</v>
      </c>
    </row>
    <row r="121" spans="2:15" ht="14.5" customHeight="1" x14ac:dyDescent="0.35">
      <c r="B121" s="10">
        <v>117</v>
      </c>
      <c r="C121" s="34" t="s">
        <v>822</v>
      </c>
      <c r="D121" s="63" t="s">
        <v>1050</v>
      </c>
      <c r="E121" s="63">
        <v>134866</v>
      </c>
      <c r="F121" s="42" t="s">
        <v>1783</v>
      </c>
      <c r="G121" s="36" t="s">
        <v>797</v>
      </c>
      <c r="H121" s="36"/>
      <c r="I121" s="229">
        <v>27.083333333333332</v>
      </c>
      <c r="J121" s="12" t="s">
        <v>53</v>
      </c>
      <c r="K121" s="97">
        <v>46177</v>
      </c>
      <c r="L121" s="95">
        <v>30</v>
      </c>
      <c r="M121" s="96">
        <v>46213</v>
      </c>
      <c r="N121" s="11">
        <f t="shared" si="2"/>
        <v>36</v>
      </c>
      <c r="O121" s="32" t="str">
        <f t="shared" si="3"/>
        <v>No</v>
      </c>
    </row>
    <row r="122" spans="2:15" ht="14.5" customHeight="1" x14ac:dyDescent="0.35">
      <c r="B122" s="10">
        <v>118</v>
      </c>
      <c r="C122" s="34" t="s">
        <v>822</v>
      </c>
      <c r="D122" s="63" t="s">
        <v>1051</v>
      </c>
      <c r="E122" s="63">
        <v>134866</v>
      </c>
      <c r="F122" s="42" t="s">
        <v>1784</v>
      </c>
      <c r="G122" s="36" t="s">
        <v>797</v>
      </c>
      <c r="H122" s="36"/>
      <c r="I122" s="229">
        <v>420</v>
      </c>
      <c r="J122" s="12" t="s">
        <v>53</v>
      </c>
      <c r="K122" s="97">
        <v>46177</v>
      </c>
      <c r="L122" s="95">
        <v>30</v>
      </c>
      <c r="M122" s="96">
        <v>46213</v>
      </c>
      <c r="N122" s="11">
        <f t="shared" si="2"/>
        <v>36</v>
      </c>
      <c r="O122" s="32" t="str">
        <f t="shared" si="3"/>
        <v>No</v>
      </c>
    </row>
    <row r="123" spans="2:15" ht="14.5" customHeight="1" x14ac:dyDescent="0.35">
      <c r="B123" s="10">
        <v>119</v>
      </c>
      <c r="C123" s="34" t="s">
        <v>822</v>
      </c>
      <c r="D123" s="63" t="s">
        <v>1052</v>
      </c>
      <c r="E123" s="63">
        <v>134866</v>
      </c>
      <c r="F123" s="42" t="s">
        <v>1785</v>
      </c>
      <c r="G123" s="36" t="s">
        <v>797</v>
      </c>
      <c r="H123" s="36"/>
      <c r="I123" s="229">
        <v>297.91666666666669</v>
      </c>
      <c r="J123" s="12" t="s">
        <v>53</v>
      </c>
      <c r="K123" s="97">
        <v>46177</v>
      </c>
      <c r="L123" s="95">
        <v>30</v>
      </c>
      <c r="M123" s="96">
        <v>46202</v>
      </c>
      <c r="N123" s="11">
        <f t="shared" si="2"/>
        <v>25</v>
      </c>
      <c r="O123" s="32" t="str">
        <f t="shared" si="3"/>
        <v>Yes</v>
      </c>
    </row>
    <row r="124" spans="2:15" ht="14.5" customHeight="1" x14ac:dyDescent="0.35">
      <c r="B124" s="10">
        <v>120</v>
      </c>
      <c r="C124" s="34" t="s">
        <v>822</v>
      </c>
      <c r="D124" s="63" t="s">
        <v>1053</v>
      </c>
      <c r="E124" s="63">
        <v>134866</v>
      </c>
      <c r="F124" s="42" t="s">
        <v>1783</v>
      </c>
      <c r="G124" s="36" t="s">
        <v>797</v>
      </c>
      <c r="H124" s="36"/>
      <c r="I124" s="229">
        <v>297.91666666666669</v>
      </c>
      <c r="J124" s="12" t="s">
        <v>53</v>
      </c>
      <c r="K124" s="97">
        <v>46177</v>
      </c>
      <c r="L124" s="95">
        <v>30</v>
      </c>
      <c r="M124" s="96">
        <v>46205</v>
      </c>
      <c r="N124" s="11">
        <f t="shared" si="2"/>
        <v>28</v>
      </c>
      <c r="O124" s="32" t="str">
        <f t="shared" si="3"/>
        <v>Yes</v>
      </c>
    </row>
    <row r="125" spans="2:15" ht="14.5" customHeight="1" x14ac:dyDescent="0.35">
      <c r="B125" s="10">
        <v>121</v>
      </c>
      <c r="C125" s="34" t="s">
        <v>822</v>
      </c>
      <c r="D125" s="63" t="s">
        <v>1054</v>
      </c>
      <c r="E125" s="63">
        <v>134866</v>
      </c>
      <c r="F125" s="42" t="s">
        <v>1786</v>
      </c>
      <c r="G125" s="36" t="s">
        <v>797</v>
      </c>
      <c r="H125" s="36"/>
      <c r="I125" s="229">
        <v>27.083333333333332</v>
      </c>
      <c r="J125" s="12" t="s">
        <v>53</v>
      </c>
      <c r="K125" s="97">
        <v>46177</v>
      </c>
      <c r="L125" s="95">
        <v>30</v>
      </c>
      <c r="M125" s="96">
        <v>46207</v>
      </c>
      <c r="N125" s="11">
        <f t="shared" si="2"/>
        <v>30</v>
      </c>
      <c r="O125" s="32" t="str">
        <f t="shared" si="3"/>
        <v>Yes</v>
      </c>
    </row>
    <row r="126" spans="2:15" ht="14.5" customHeight="1" x14ac:dyDescent="0.35">
      <c r="B126" s="10">
        <v>122</v>
      </c>
      <c r="C126" s="34" t="s">
        <v>822</v>
      </c>
      <c r="D126" s="63" t="s">
        <v>1055</v>
      </c>
      <c r="E126" s="63">
        <v>134866</v>
      </c>
      <c r="F126" s="42" t="s">
        <v>1787</v>
      </c>
      <c r="G126" s="36" t="s">
        <v>797</v>
      </c>
      <c r="H126" s="36"/>
      <c r="I126" s="229">
        <v>297.91666666666669</v>
      </c>
      <c r="J126" s="12" t="s">
        <v>53</v>
      </c>
      <c r="K126" s="97">
        <v>46177</v>
      </c>
      <c r="L126" s="95">
        <v>30</v>
      </c>
      <c r="M126" s="96">
        <v>46212</v>
      </c>
      <c r="N126" s="11">
        <f t="shared" si="2"/>
        <v>35</v>
      </c>
      <c r="O126" s="32" t="str">
        <f t="shared" si="3"/>
        <v>No</v>
      </c>
    </row>
    <row r="127" spans="2:15" ht="14.5" customHeight="1" x14ac:dyDescent="0.35">
      <c r="B127" s="10">
        <v>123</v>
      </c>
      <c r="C127" s="34" t="s">
        <v>822</v>
      </c>
      <c r="D127" s="63" t="s">
        <v>1056</v>
      </c>
      <c r="E127" s="63">
        <v>134866</v>
      </c>
      <c r="F127" s="42" t="s">
        <v>1786</v>
      </c>
      <c r="G127" s="36" t="s">
        <v>797</v>
      </c>
      <c r="H127" s="36"/>
      <c r="I127" s="229">
        <v>297.91666666666669</v>
      </c>
      <c r="J127" s="12" t="s">
        <v>53</v>
      </c>
      <c r="K127" s="97">
        <v>46177</v>
      </c>
      <c r="L127" s="95">
        <v>30</v>
      </c>
      <c r="M127" s="96">
        <v>46203</v>
      </c>
      <c r="N127" s="11">
        <f t="shared" si="2"/>
        <v>26</v>
      </c>
      <c r="O127" s="32" t="str">
        <f t="shared" si="3"/>
        <v>Yes</v>
      </c>
    </row>
    <row r="128" spans="2:15" ht="14.5" customHeight="1" x14ac:dyDescent="0.35">
      <c r="B128" s="10">
        <v>124</v>
      </c>
      <c r="C128" s="34" t="s">
        <v>822</v>
      </c>
      <c r="D128" s="63" t="s">
        <v>1057</v>
      </c>
      <c r="E128" s="63">
        <v>134866</v>
      </c>
      <c r="F128" s="42" t="s">
        <v>1786</v>
      </c>
      <c r="G128" s="36" t="s">
        <v>797</v>
      </c>
      <c r="H128" s="36"/>
      <c r="I128" s="229">
        <v>297.91666666666669</v>
      </c>
      <c r="J128" s="12" t="s">
        <v>53</v>
      </c>
      <c r="K128" s="97">
        <v>46177</v>
      </c>
      <c r="L128" s="95">
        <v>30</v>
      </c>
      <c r="M128" s="96">
        <v>46212</v>
      </c>
      <c r="N128" s="11">
        <f t="shared" si="2"/>
        <v>35</v>
      </c>
      <c r="O128" s="32" t="str">
        <f t="shared" si="3"/>
        <v>No</v>
      </c>
    </row>
    <row r="129" spans="2:15" ht="14.5" customHeight="1" x14ac:dyDescent="0.35">
      <c r="B129" s="10">
        <v>125</v>
      </c>
      <c r="C129" s="34" t="s">
        <v>822</v>
      </c>
      <c r="D129" s="63" t="s">
        <v>1058</v>
      </c>
      <c r="E129" s="63">
        <v>134866</v>
      </c>
      <c r="F129" s="42" t="s">
        <v>1786</v>
      </c>
      <c r="G129" s="36" t="s">
        <v>797</v>
      </c>
      <c r="H129" s="36"/>
      <c r="I129" s="229">
        <v>13.541666666666666</v>
      </c>
      <c r="J129" s="12" t="s">
        <v>53</v>
      </c>
      <c r="K129" s="97">
        <v>46177</v>
      </c>
      <c r="L129" s="95">
        <v>30</v>
      </c>
      <c r="M129" s="96">
        <v>46214</v>
      </c>
      <c r="N129" s="11">
        <f t="shared" si="2"/>
        <v>37</v>
      </c>
      <c r="O129" s="32" t="str">
        <f t="shared" si="3"/>
        <v>No</v>
      </c>
    </row>
    <row r="130" spans="2:15" ht="14.5" customHeight="1" x14ac:dyDescent="0.35">
      <c r="B130" s="10">
        <v>126</v>
      </c>
      <c r="C130" s="34" t="s">
        <v>822</v>
      </c>
      <c r="D130" s="63" t="s">
        <v>1059</v>
      </c>
      <c r="E130" s="63">
        <v>134866</v>
      </c>
      <c r="F130" s="42" t="s">
        <v>1788</v>
      </c>
      <c r="G130" s="36" t="s">
        <v>797</v>
      </c>
      <c r="H130" s="36"/>
      <c r="I130" s="229">
        <v>297.91666666666669</v>
      </c>
      <c r="J130" s="12" t="s">
        <v>53</v>
      </c>
      <c r="K130" s="97">
        <v>46177</v>
      </c>
      <c r="L130" s="95">
        <v>30</v>
      </c>
      <c r="M130" s="96">
        <v>46212</v>
      </c>
      <c r="N130" s="11">
        <f t="shared" si="2"/>
        <v>35</v>
      </c>
      <c r="O130" s="32" t="str">
        <f t="shared" si="3"/>
        <v>No</v>
      </c>
    </row>
    <row r="131" spans="2:15" ht="14.5" customHeight="1" x14ac:dyDescent="0.35">
      <c r="B131" s="10">
        <v>127</v>
      </c>
      <c r="C131" s="34" t="s">
        <v>822</v>
      </c>
      <c r="D131" s="63" t="s">
        <v>1060</v>
      </c>
      <c r="E131" s="63">
        <v>134866</v>
      </c>
      <c r="F131" s="42" t="s">
        <v>1788</v>
      </c>
      <c r="G131" s="36" t="s">
        <v>797</v>
      </c>
      <c r="H131" s="36"/>
      <c r="I131" s="229">
        <v>297.91666666666669</v>
      </c>
      <c r="J131" s="12" t="s">
        <v>53</v>
      </c>
      <c r="K131" s="97">
        <v>46177</v>
      </c>
      <c r="L131" s="95">
        <v>30</v>
      </c>
      <c r="M131" s="96">
        <v>46203</v>
      </c>
      <c r="N131" s="11">
        <f t="shared" si="2"/>
        <v>26</v>
      </c>
      <c r="O131" s="32" t="str">
        <f t="shared" si="3"/>
        <v>Yes</v>
      </c>
    </row>
    <row r="132" spans="2:15" ht="14.5" customHeight="1" x14ac:dyDescent="0.35">
      <c r="B132" s="10">
        <v>128</v>
      </c>
      <c r="C132" s="34" t="s">
        <v>822</v>
      </c>
      <c r="D132" s="63" t="s">
        <v>1061</v>
      </c>
      <c r="E132" s="63">
        <v>134866</v>
      </c>
      <c r="F132" s="42" t="s">
        <v>1788</v>
      </c>
      <c r="G132" s="36" t="s">
        <v>797</v>
      </c>
      <c r="H132" s="36"/>
      <c r="I132" s="229">
        <v>297.91666666666669</v>
      </c>
      <c r="J132" s="12" t="s">
        <v>53</v>
      </c>
      <c r="K132" s="97">
        <v>46177</v>
      </c>
      <c r="L132" s="95">
        <v>30</v>
      </c>
      <c r="M132" s="96">
        <v>46205</v>
      </c>
      <c r="N132" s="11">
        <f t="shared" si="2"/>
        <v>28</v>
      </c>
      <c r="O132" s="32" t="str">
        <f t="shared" si="3"/>
        <v>Yes</v>
      </c>
    </row>
    <row r="133" spans="2:15" ht="14.5" customHeight="1" x14ac:dyDescent="0.35">
      <c r="B133" s="10">
        <v>129</v>
      </c>
      <c r="C133" s="34" t="s">
        <v>822</v>
      </c>
      <c r="D133" s="63" t="s">
        <v>1062</v>
      </c>
      <c r="E133" s="63">
        <v>134866</v>
      </c>
      <c r="F133" s="42" t="s">
        <v>1788</v>
      </c>
      <c r="G133" s="36" t="s">
        <v>797</v>
      </c>
      <c r="H133" s="36"/>
      <c r="I133" s="229">
        <v>297.91666666666669</v>
      </c>
      <c r="J133" s="12" t="s">
        <v>53</v>
      </c>
      <c r="K133" s="97">
        <v>46177</v>
      </c>
      <c r="L133" s="95">
        <v>30</v>
      </c>
      <c r="M133" s="96">
        <v>46214</v>
      </c>
      <c r="N133" s="11">
        <f t="shared" ref="N133:N196" si="4">IF(OR(M133="", K133=""),"", M133- K133)</f>
        <v>37</v>
      </c>
      <c r="O133" s="32" t="str">
        <f t="shared" ref="O133:O196" si="5">IF(OR(M133="", K133="", L133=""), "", IF((M133 - K133) &gt; L133, "No", "Yes"))</f>
        <v>No</v>
      </c>
    </row>
    <row r="134" spans="2:15" ht="14.5" customHeight="1" x14ac:dyDescent="0.35">
      <c r="B134" s="10">
        <v>130</v>
      </c>
      <c r="C134" s="34" t="s">
        <v>822</v>
      </c>
      <c r="D134" s="63" t="s">
        <v>1063</v>
      </c>
      <c r="E134" s="63">
        <v>134866</v>
      </c>
      <c r="F134" s="42" t="s">
        <v>1788</v>
      </c>
      <c r="G134" s="36" t="s">
        <v>797</v>
      </c>
      <c r="H134" s="36"/>
      <c r="I134" s="229">
        <v>297.91666666666669</v>
      </c>
      <c r="J134" s="12" t="s">
        <v>53</v>
      </c>
      <c r="K134" s="97">
        <v>46177</v>
      </c>
      <c r="L134" s="95">
        <v>30</v>
      </c>
      <c r="M134" s="96">
        <v>46204</v>
      </c>
      <c r="N134" s="11">
        <f t="shared" si="4"/>
        <v>27</v>
      </c>
      <c r="O134" s="32" t="str">
        <f t="shared" si="5"/>
        <v>Yes</v>
      </c>
    </row>
    <row r="135" spans="2:15" ht="14.5" customHeight="1" x14ac:dyDescent="0.35">
      <c r="B135" s="10">
        <v>131</v>
      </c>
      <c r="C135" s="34" t="s">
        <v>822</v>
      </c>
      <c r="D135" s="63" t="s">
        <v>1064</v>
      </c>
      <c r="E135" s="63">
        <v>134866</v>
      </c>
      <c r="F135" s="42" t="s">
        <v>1789</v>
      </c>
      <c r="G135" s="36" t="s">
        <v>797</v>
      </c>
      <c r="H135" s="36"/>
      <c r="I135" s="229">
        <v>297.91666666666669</v>
      </c>
      <c r="J135" s="12" t="s">
        <v>53</v>
      </c>
      <c r="K135" s="97">
        <v>46177</v>
      </c>
      <c r="L135" s="95">
        <v>30</v>
      </c>
      <c r="M135" s="96">
        <v>46204</v>
      </c>
      <c r="N135" s="11">
        <f t="shared" si="4"/>
        <v>27</v>
      </c>
      <c r="O135" s="32" t="str">
        <f t="shared" si="5"/>
        <v>Yes</v>
      </c>
    </row>
    <row r="136" spans="2:15" ht="14.5" customHeight="1" x14ac:dyDescent="0.35">
      <c r="B136" s="10">
        <v>132</v>
      </c>
      <c r="C136" s="34" t="s">
        <v>822</v>
      </c>
      <c r="D136" s="63" t="s">
        <v>1065</v>
      </c>
      <c r="E136" s="63">
        <v>134581</v>
      </c>
      <c r="F136" s="42" t="s">
        <v>1790</v>
      </c>
      <c r="G136" s="36" t="s">
        <v>797</v>
      </c>
      <c r="H136" s="36"/>
      <c r="I136" s="229">
        <v>833.33333333333337</v>
      </c>
      <c r="J136" s="12" t="s">
        <v>53</v>
      </c>
      <c r="K136" s="97">
        <v>46157</v>
      </c>
      <c r="L136" s="95">
        <v>30</v>
      </c>
      <c r="M136" s="96">
        <v>46185</v>
      </c>
      <c r="N136" s="11">
        <f t="shared" si="4"/>
        <v>28</v>
      </c>
      <c r="O136" s="32" t="str">
        <f t="shared" si="5"/>
        <v>Yes</v>
      </c>
    </row>
    <row r="137" spans="2:15" ht="14.5" customHeight="1" x14ac:dyDescent="0.35">
      <c r="B137" s="10">
        <v>133</v>
      </c>
      <c r="C137" s="34" t="s">
        <v>822</v>
      </c>
      <c r="D137" s="63">
        <v>2</v>
      </c>
      <c r="E137" s="63">
        <v>134522</v>
      </c>
      <c r="F137" s="42" t="s">
        <v>1791</v>
      </c>
      <c r="G137" s="36" t="s">
        <v>2474</v>
      </c>
      <c r="H137" s="36"/>
      <c r="I137" s="229">
        <v>312.5</v>
      </c>
      <c r="J137" s="12" t="s">
        <v>53</v>
      </c>
      <c r="K137" s="97">
        <v>46180</v>
      </c>
      <c r="L137" s="95">
        <v>30</v>
      </c>
      <c r="M137" s="96">
        <v>46208</v>
      </c>
      <c r="N137" s="11">
        <f t="shared" si="4"/>
        <v>28</v>
      </c>
      <c r="O137" s="32" t="str">
        <f t="shared" si="5"/>
        <v>Yes</v>
      </c>
    </row>
    <row r="138" spans="2:15" ht="26.5" customHeight="1" x14ac:dyDescent="0.35">
      <c r="B138" s="10">
        <v>134</v>
      </c>
      <c r="C138" s="34" t="s">
        <v>822</v>
      </c>
      <c r="D138" s="63">
        <v>4</v>
      </c>
      <c r="E138" s="63">
        <v>134522</v>
      </c>
      <c r="F138" s="42" t="s">
        <v>1792</v>
      </c>
      <c r="G138" s="36" t="s">
        <v>2474</v>
      </c>
      <c r="H138" s="36"/>
      <c r="I138" s="229">
        <v>312.5</v>
      </c>
      <c r="J138" s="12" t="s">
        <v>53</v>
      </c>
      <c r="K138" s="97">
        <v>46180</v>
      </c>
      <c r="L138" s="95">
        <v>30</v>
      </c>
      <c r="M138" s="96">
        <v>46217</v>
      </c>
      <c r="N138" s="11">
        <f t="shared" si="4"/>
        <v>37</v>
      </c>
      <c r="O138" s="32" t="str">
        <f t="shared" si="5"/>
        <v>No</v>
      </c>
    </row>
    <row r="139" spans="2:15" ht="14.5" customHeight="1" x14ac:dyDescent="0.35">
      <c r="B139" s="10">
        <v>135</v>
      </c>
      <c r="C139" s="34" t="s">
        <v>822</v>
      </c>
      <c r="D139" s="63">
        <v>3</v>
      </c>
      <c r="E139" s="63">
        <v>134522</v>
      </c>
      <c r="F139" s="42" t="s">
        <v>1793</v>
      </c>
      <c r="G139" s="36" t="s">
        <v>2474</v>
      </c>
      <c r="H139" s="36"/>
      <c r="I139" s="229">
        <v>312.5</v>
      </c>
      <c r="J139" s="12" t="s">
        <v>53</v>
      </c>
      <c r="K139" s="97">
        <v>46180</v>
      </c>
      <c r="L139" s="95">
        <v>30</v>
      </c>
      <c r="M139" s="96">
        <v>46207</v>
      </c>
      <c r="N139" s="11">
        <f t="shared" si="4"/>
        <v>27</v>
      </c>
      <c r="O139" s="32" t="str">
        <f t="shared" si="5"/>
        <v>Yes</v>
      </c>
    </row>
    <row r="140" spans="2:15" ht="14.5" customHeight="1" x14ac:dyDescent="0.35">
      <c r="B140" s="10">
        <v>136</v>
      </c>
      <c r="C140" s="34" t="s">
        <v>822</v>
      </c>
      <c r="D140" s="63" t="s">
        <v>1066</v>
      </c>
      <c r="E140" s="63">
        <v>134479</v>
      </c>
      <c r="F140" s="42" t="s">
        <v>1794</v>
      </c>
      <c r="G140" s="36" t="s">
        <v>2475</v>
      </c>
      <c r="H140" s="36"/>
      <c r="I140" s="229">
        <v>101</v>
      </c>
      <c r="J140" s="12" t="s">
        <v>53</v>
      </c>
      <c r="K140" s="97">
        <v>46147</v>
      </c>
      <c r="L140" s="95">
        <v>30</v>
      </c>
      <c r="M140" s="96">
        <v>46172</v>
      </c>
      <c r="N140" s="11">
        <f t="shared" si="4"/>
        <v>25</v>
      </c>
      <c r="O140" s="32" t="str">
        <f t="shared" si="5"/>
        <v>Yes</v>
      </c>
    </row>
    <row r="141" spans="2:15" ht="14.5" customHeight="1" x14ac:dyDescent="0.35">
      <c r="B141" s="10">
        <v>137</v>
      </c>
      <c r="C141" s="34" t="s">
        <v>822</v>
      </c>
      <c r="D141" s="63" t="s">
        <v>1067</v>
      </c>
      <c r="E141" s="63">
        <v>135684</v>
      </c>
      <c r="F141" s="42" t="s">
        <v>1795</v>
      </c>
      <c r="G141" s="36" t="s">
        <v>619</v>
      </c>
      <c r="H141" s="36"/>
      <c r="I141" s="229">
        <v>1666.6666666666667</v>
      </c>
      <c r="J141" s="12" t="s">
        <v>53</v>
      </c>
      <c r="K141" s="97">
        <v>46218</v>
      </c>
      <c r="L141" s="95">
        <v>30</v>
      </c>
      <c r="M141" s="96">
        <v>46244</v>
      </c>
      <c r="N141" s="11">
        <f t="shared" si="4"/>
        <v>26</v>
      </c>
      <c r="O141" s="32" t="str">
        <f t="shared" si="5"/>
        <v>Yes</v>
      </c>
    </row>
    <row r="142" spans="2:15" ht="14.5" customHeight="1" x14ac:dyDescent="0.35">
      <c r="B142" s="10">
        <v>138</v>
      </c>
      <c r="C142" s="34" t="s">
        <v>822</v>
      </c>
      <c r="D142" s="63" t="s">
        <v>1068</v>
      </c>
      <c r="E142" s="63">
        <v>135684</v>
      </c>
      <c r="F142" s="42" t="s">
        <v>1796</v>
      </c>
      <c r="G142" s="36" t="s">
        <v>619</v>
      </c>
      <c r="H142" s="36"/>
      <c r="I142" s="229">
        <v>3125</v>
      </c>
      <c r="J142" s="12" t="s">
        <v>53</v>
      </c>
      <c r="K142" s="97">
        <v>46218</v>
      </c>
      <c r="L142" s="95">
        <v>30</v>
      </c>
      <c r="M142" s="96">
        <v>46244</v>
      </c>
      <c r="N142" s="11">
        <f t="shared" si="4"/>
        <v>26</v>
      </c>
      <c r="O142" s="32" t="str">
        <f t="shared" si="5"/>
        <v>Yes</v>
      </c>
    </row>
    <row r="143" spans="2:15" ht="14.5" customHeight="1" x14ac:dyDescent="0.35">
      <c r="B143" s="10">
        <v>139</v>
      </c>
      <c r="C143" s="34" t="s">
        <v>822</v>
      </c>
      <c r="D143" s="63" t="s">
        <v>1069</v>
      </c>
      <c r="E143" s="63">
        <v>135018</v>
      </c>
      <c r="F143" s="42" t="s">
        <v>1797</v>
      </c>
      <c r="G143" s="36" t="s">
        <v>2476</v>
      </c>
      <c r="H143" s="36"/>
      <c r="I143" s="229">
        <v>1250</v>
      </c>
      <c r="J143" s="12" t="s">
        <v>53</v>
      </c>
      <c r="K143" s="97">
        <v>46182</v>
      </c>
      <c r="L143" s="95">
        <v>30</v>
      </c>
      <c r="M143" s="96">
        <v>46211</v>
      </c>
      <c r="N143" s="11">
        <f t="shared" si="4"/>
        <v>29</v>
      </c>
      <c r="O143" s="32" t="str">
        <f t="shared" si="5"/>
        <v>Yes</v>
      </c>
    </row>
    <row r="144" spans="2:15" ht="14.5" customHeight="1" x14ac:dyDescent="0.35">
      <c r="B144" s="10">
        <v>140</v>
      </c>
      <c r="C144" s="34" t="s">
        <v>822</v>
      </c>
      <c r="D144" s="63" t="s">
        <v>1070</v>
      </c>
      <c r="E144" s="63">
        <v>134311</v>
      </c>
      <c r="F144" s="42" t="s">
        <v>1798</v>
      </c>
      <c r="G144" s="36" t="s">
        <v>810</v>
      </c>
      <c r="H144" s="36"/>
      <c r="I144" s="229">
        <v>10625</v>
      </c>
      <c r="J144" s="12" t="s">
        <v>53</v>
      </c>
      <c r="K144" s="97">
        <v>46217</v>
      </c>
      <c r="L144" s="95">
        <v>30</v>
      </c>
      <c r="M144" s="96">
        <v>46244</v>
      </c>
      <c r="N144" s="11">
        <f t="shared" si="4"/>
        <v>27</v>
      </c>
      <c r="O144" s="32" t="str">
        <f t="shared" si="5"/>
        <v>Yes</v>
      </c>
    </row>
    <row r="145" spans="2:15" ht="14.5" customHeight="1" x14ac:dyDescent="0.35">
      <c r="B145" s="10">
        <v>141</v>
      </c>
      <c r="C145" s="34" t="s">
        <v>822</v>
      </c>
      <c r="D145" s="63" t="s">
        <v>1071</v>
      </c>
      <c r="E145" s="63">
        <v>135765</v>
      </c>
      <c r="F145" s="42" t="s">
        <v>1799</v>
      </c>
      <c r="G145" s="36" t="s">
        <v>2477</v>
      </c>
      <c r="H145" s="36"/>
      <c r="I145" s="229">
        <v>570.83333333333337</v>
      </c>
      <c r="J145" s="12" t="s">
        <v>53</v>
      </c>
      <c r="K145" s="97">
        <v>46224</v>
      </c>
      <c r="L145" s="95">
        <v>30</v>
      </c>
      <c r="M145" s="96">
        <v>46248</v>
      </c>
      <c r="N145" s="11">
        <f t="shared" si="4"/>
        <v>24</v>
      </c>
      <c r="O145" s="32" t="str">
        <f t="shared" si="5"/>
        <v>Yes</v>
      </c>
    </row>
    <row r="146" spans="2:15" ht="14.5" customHeight="1" x14ac:dyDescent="0.35">
      <c r="B146" s="10">
        <v>142</v>
      </c>
      <c r="C146" s="34" t="s">
        <v>822</v>
      </c>
      <c r="D146" s="63" t="s">
        <v>1072</v>
      </c>
      <c r="E146" s="63">
        <v>134788</v>
      </c>
      <c r="F146" s="42" t="s">
        <v>1800</v>
      </c>
      <c r="G146" s="36" t="s">
        <v>695</v>
      </c>
      <c r="H146" s="36"/>
      <c r="I146" s="229">
        <v>33.75</v>
      </c>
      <c r="J146" s="12" t="s">
        <v>53</v>
      </c>
      <c r="K146" s="97">
        <v>46185</v>
      </c>
      <c r="L146" s="95">
        <v>30</v>
      </c>
      <c r="M146" s="96">
        <v>46221</v>
      </c>
      <c r="N146" s="11">
        <f t="shared" si="4"/>
        <v>36</v>
      </c>
      <c r="O146" s="32" t="str">
        <f t="shared" si="5"/>
        <v>No</v>
      </c>
    </row>
    <row r="147" spans="2:15" ht="14.5" customHeight="1" x14ac:dyDescent="0.35">
      <c r="B147" s="10">
        <v>143</v>
      </c>
      <c r="C147" s="34" t="s">
        <v>822</v>
      </c>
      <c r="D147" s="63" t="s">
        <v>1073</v>
      </c>
      <c r="E147" s="63">
        <v>134958</v>
      </c>
      <c r="F147" s="42" t="s">
        <v>1801</v>
      </c>
      <c r="G147" s="36" t="s">
        <v>695</v>
      </c>
      <c r="H147" s="36"/>
      <c r="I147" s="229">
        <v>59.0625</v>
      </c>
      <c r="J147" s="12" t="s">
        <v>53</v>
      </c>
      <c r="K147" s="97">
        <v>46185</v>
      </c>
      <c r="L147" s="95">
        <v>30</v>
      </c>
      <c r="M147" s="96">
        <v>46220</v>
      </c>
      <c r="N147" s="11">
        <f t="shared" si="4"/>
        <v>35</v>
      </c>
      <c r="O147" s="32" t="str">
        <f t="shared" si="5"/>
        <v>No</v>
      </c>
    </row>
    <row r="148" spans="2:15" ht="14.5" customHeight="1" x14ac:dyDescent="0.35">
      <c r="B148" s="10">
        <v>144</v>
      </c>
      <c r="C148" s="34" t="s">
        <v>822</v>
      </c>
      <c r="D148" s="63" t="s">
        <v>1074</v>
      </c>
      <c r="E148" s="63">
        <v>134249</v>
      </c>
      <c r="F148" s="42" t="s">
        <v>1802</v>
      </c>
      <c r="G148" s="36" t="s">
        <v>695</v>
      </c>
      <c r="H148" s="36"/>
      <c r="I148" s="229">
        <v>101.25</v>
      </c>
      <c r="J148" s="12" t="s">
        <v>53</v>
      </c>
      <c r="K148" s="97">
        <v>46169</v>
      </c>
      <c r="L148" s="95">
        <v>30</v>
      </c>
      <c r="M148" s="96">
        <v>46196</v>
      </c>
      <c r="N148" s="11">
        <f t="shared" si="4"/>
        <v>27</v>
      </c>
      <c r="O148" s="32" t="str">
        <f t="shared" si="5"/>
        <v>Yes</v>
      </c>
    </row>
    <row r="149" spans="2:15" ht="14.5" customHeight="1" x14ac:dyDescent="0.35">
      <c r="B149" s="10">
        <v>145</v>
      </c>
      <c r="C149" s="34" t="s">
        <v>822</v>
      </c>
      <c r="D149" s="63" t="s">
        <v>1075</v>
      </c>
      <c r="E149" s="63">
        <v>124234</v>
      </c>
      <c r="F149" s="42" t="s">
        <v>1803</v>
      </c>
      <c r="G149" s="36" t="s">
        <v>695</v>
      </c>
      <c r="H149" s="36"/>
      <c r="I149" s="229">
        <v>140</v>
      </c>
      <c r="J149" s="12" t="s">
        <v>53</v>
      </c>
      <c r="K149" s="97">
        <v>46225</v>
      </c>
      <c r="L149" s="95">
        <v>30</v>
      </c>
      <c r="M149" s="96">
        <v>46244</v>
      </c>
      <c r="N149" s="11">
        <f t="shared" si="4"/>
        <v>19</v>
      </c>
      <c r="O149" s="32" t="str">
        <f t="shared" si="5"/>
        <v>Yes</v>
      </c>
    </row>
    <row r="150" spans="2:15" ht="14.5" customHeight="1" x14ac:dyDescent="0.35">
      <c r="B150" s="10">
        <v>146</v>
      </c>
      <c r="C150" s="34" t="s">
        <v>822</v>
      </c>
      <c r="D150" s="63" t="s">
        <v>1076</v>
      </c>
      <c r="E150" s="63">
        <v>135601</v>
      </c>
      <c r="F150" s="42" t="s">
        <v>1804</v>
      </c>
      <c r="G150" s="36" t="s">
        <v>2478</v>
      </c>
      <c r="H150" s="36"/>
      <c r="I150" s="229">
        <v>625</v>
      </c>
      <c r="J150" s="12" t="s">
        <v>53</v>
      </c>
      <c r="K150" s="97">
        <v>46212</v>
      </c>
      <c r="L150" s="95">
        <v>30</v>
      </c>
      <c r="M150" s="96">
        <v>46242</v>
      </c>
      <c r="N150" s="11">
        <f t="shared" si="4"/>
        <v>30</v>
      </c>
      <c r="O150" s="32" t="str">
        <f t="shared" si="5"/>
        <v>Yes</v>
      </c>
    </row>
    <row r="151" spans="2:15" ht="14.5" customHeight="1" x14ac:dyDescent="0.35">
      <c r="B151" s="10">
        <v>147</v>
      </c>
      <c r="C151" s="34" t="s">
        <v>822</v>
      </c>
      <c r="D151" s="63" t="s">
        <v>1077</v>
      </c>
      <c r="E151" s="63">
        <v>135601</v>
      </c>
      <c r="F151" s="42" t="s">
        <v>1805</v>
      </c>
      <c r="G151" s="36" t="s">
        <v>2478</v>
      </c>
      <c r="H151" s="36"/>
      <c r="I151" s="229">
        <v>1875</v>
      </c>
      <c r="J151" s="12" t="s">
        <v>53</v>
      </c>
      <c r="K151" s="97">
        <v>46212</v>
      </c>
      <c r="L151" s="95">
        <v>30</v>
      </c>
      <c r="M151" s="96">
        <v>46244</v>
      </c>
      <c r="N151" s="11">
        <f t="shared" si="4"/>
        <v>32</v>
      </c>
      <c r="O151" s="32" t="str">
        <f t="shared" si="5"/>
        <v>No</v>
      </c>
    </row>
    <row r="152" spans="2:15" ht="14.5" customHeight="1" x14ac:dyDescent="0.35">
      <c r="B152" s="10">
        <v>148</v>
      </c>
      <c r="C152" s="34" t="s">
        <v>822</v>
      </c>
      <c r="D152" s="63">
        <v>135601</v>
      </c>
      <c r="E152" s="63">
        <v>135601</v>
      </c>
      <c r="F152" s="42" t="s">
        <v>1806</v>
      </c>
      <c r="G152" s="36" t="s">
        <v>2478</v>
      </c>
      <c r="H152" s="36"/>
      <c r="I152" s="229">
        <v>312.5</v>
      </c>
      <c r="J152" s="12" t="s">
        <v>53</v>
      </c>
      <c r="K152" s="97">
        <v>46212</v>
      </c>
      <c r="L152" s="95">
        <v>30</v>
      </c>
      <c r="M152" s="96">
        <v>46240</v>
      </c>
      <c r="N152" s="11">
        <f t="shared" si="4"/>
        <v>28</v>
      </c>
      <c r="O152" s="32" t="str">
        <f t="shared" si="5"/>
        <v>Yes</v>
      </c>
    </row>
    <row r="153" spans="2:15" ht="14.5" customHeight="1" x14ac:dyDescent="0.35">
      <c r="B153" s="10">
        <v>149</v>
      </c>
      <c r="C153" s="34" t="s">
        <v>822</v>
      </c>
      <c r="D153" s="63">
        <v>135595</v>
      </c>
      <c r="E153" s="63">
        <v>135595</v>
      </c>
      <c r="F153" s="42" t="s">
        <v>1807</v>
      </c>
      <c r="G153" s="36" t="s">
        <v>2478</v>
      </c>
      <c r="H153" s="36"/>
      <c r="I153" s="229">
        <v>2500</v>
      </c>
      <c r="J153" s="12" t="s">
        <v>53</v>
      </c>
      <c r="K153" s="97">
        <v>46212</v>
      </c>
      <c r="L153" s="95">
        <v>30</v>
      </c>
      <c r="M153" s="96">
        <v>46247</v>
      </c>
      <c r="N153" s="11">
        <f t="shared" si="4"/>
        <v>35</v>
      </c>
      <c r="O153" s="32" t="str">
        <f t="shared" si="5"/>
        <v>No</v>
      </c>
    </row>
    <row r="154" spans="2:15" ht="14.5" customHeight="1" x14ac:dyDescent="0.35">
      <c r="B154" s="10">
        <v>150</v>
      </c>
      <c r="C154" s="34" t="s">
        <v>822</v>
      </c>
      <c r="D154" s="63">
        <v>135595</v>
      </c>
      <c r="E154" s="63">
        <v>135595</v>
      </c>
      <c r="F154" s="42" t="s">
        <v>1808</v>
      </c>
      <c r="G154" s="36" t="s">
        <v>2478</v>
      </c>
      <c r="H154" s="36"/>
      <c r="I154" s="229">
        <v>1875</v>
      </c>
      <c r="J154" s="12" t="s">
        <v>53</v>
      </c>
      <c r="K154" s="97">
        <v>46212</v>
      </c>
      <c r="L154" s="95">
        <v>30</v>
      </c>
      <c r="M154" s="96">
        <v>46242</v>
      </c>
      <c r="N154" s="11">
        <f t="shared" si="4"/>
        <v>30</v>
      </c>
      <c r="O154" s="32" t="str">
        <f t="shared" si="5"/>
        <v>Yes</v>
      </c>
    </row>
    <row r="155" spans="2:15" ht="14.5" customHeight="1" x14ac:dyDescent="0.35">
      <c r="B155" s="10">
        <v>151</v>
      </c>
      <c r="C155" s="34" t="s">
        <v>822</v>
      </c>
      <c r="D155" s="63" t="s">
        <v>1078</v>
      </c>
      <c r="E155" s="63">
        <v>134222</v>
      </c>
      <c r="F155" s="42" t="s">
        <v>1809</v>
      </c>
      <c r="G155" s="36" t="s">
        <v>616</v>
      </c>
      <c r="H155" s="36"/>
      <c r="I155" s="229">
        <v>7281.25</v>
      </c>
      <c r="J155" s="12" t="s">
        <v>53</v>
      </c>
      <c r="K155" s="97">
        <v>46185</v>
      </c>
      <c r="L155" s="95">
        <v>30</v>
      </c>
      <c r="M155" s="96">
        <v>46220</v>
      </c>
      <c r="N155" s="11">
        <f t="shared" si="4"/>
        <v>35</v>
      </c>
      <c r="O155" s="32" t="str">
        <f t="shared" si="5"/>
        <v>No</v>
      </c>
    </row>
    <row r="156" spans="2:15" ht="14.5" customHeight="1" x14ac:dyDescent="0.35">
      <c r="B156" s="10">
        <v>152</v>
      </c>
      <c r="C156" s="34" t="s">
        <v>822</v>
      </c>
      <c r="D156" s="63" t="s">
        <v>1079</v>
      </c>
      <c r="E156" s="63">
        <v>134222</v>
      </c>
      <c r="F156" s="42" t="s">
        <v>1809</v>
      </c>
      <c r="G156" s="36" t="s">
        <v>616</v>
      </c>
      <c r="H156" s="36"/>
      <c r="I156" s="229">
        <v>14425</v>
      </c>
      <c r="J156" s="12" t="s">
        <v>53</v>
      </c>
      <c r="K156" s="97">
        <v>46185</v>
      </c>
      <c r="L156" s="95">
        <v>30</v>
      </c>
      <c r="M156" s="96">
        <v>46211</v>
      </c>
      <c r="N156" s="11">
        <f t="shared" si="4"/>
        <v>26</v>
      </c>
      <c r="O156" s="32" t="str">
        <f t="shared" si="5"/>
        <v>Yes</v>
      </c>
    </row>
    <row r="157" spans="2:15" ht="14.5" customHeight="1" x14ac:dyDescent="0.35">
      <c r="B157" s="10">
        <v>153</v>
      </c>
      <c r="C157" s="34" t="s">
        <v>822</v>
      </c>
      <c r="D157" s="63">
        <v>135755</v>
      </c>
      <c r="E157" s="63">
        <v>135755</v>
      </c>
      <c r="F157" s="42" t="s">
        <v>1810</v>
      </c>
      <c r="G157" s="36" t="s">
        <v>2479</v>
      </c>
      <c r="H157" s="36"/>
      <c r="I157" s="229">
        <v>625</v>
      </c>
      <c r="J157" s="12" t="s">
        <v>53</v>
      </c>
      <c r="K157" s="97">
        <v>46224</v>
      </c>
      <c r="L157" s="95">
        <v>30</v>
      </c>
      <c r="M157" s="96">
        <v>46244</v>
      </c>
      <c r="N157" s="11">
        <f t="shared" si="4"/>
        <v>20</v>
      </c>
      <c r="O157" s="32" t="str">
        <f t="shared" si="5"/>
        <v>Yes</v>
      </c>
    </row>
    <row r="158" spans="2:15" ht="14.5" customHeight="1" x14ac:dyDescent="0.35">
      <c r="B158" s="10">
        <v>154</v>
      </c>
      <c r="C158" s="34" t="s">
        <v>822</v>
      </c>
      <c r="D158" s="63">
        <v>170326</v>
      </c>
      <c r="E158" s="63">
        <v>135443</v>
      </c>
      <c r="F158" s="42" t="s">
        <v>1811</v>
      </c>
      <c r="G158" s="36" t="s">
        <v>2480</v>
      </c>
      <c r="H158" s="36"/>
      <c r="I158" s="229">
        <v>2083.3333333333335</v>
      </c>
      <c r="J158" s="12" t="s">
        <v>53</v>
      </c>
      <c r="K158" s="97">
        <v>46209</v>
      </c>
      <c r="L158" s="95">
        <v>30</v>
      </c>
      <c r="M158" s="96">
        <v>46237</v>
      </c>
      <c r="N158" s="11">
        <f t="shared" si="4"/>
        <v>28</v>
      </c>
      <c r="O158" s="32" t="str">
        <f t="shared" si="5"/>
        <v>Yes</v>
      </c>
    </row>
    <row r="159" spans="2:15" ht="14.5" customHeight="1" x14ac:dyDescent="0.35">
      <c r="B159" s="10">
        <v>155</v>
      </c>
      <c r="C159" s="34" t="s">
        <v>822</v>
      </c>
      <c r="D159" s="63" t="s">
        <v>1080</v>
      </c>
      <c r="E159" s="63">
        <v>135602</v>
      </c>
      <c r="F159" s="42" t="s">
        <v>1812</v>
      </c>
      <c r="G159" s="36" t="s">
        <v>2481</v>
      </c>
      <c r="H159" s="36"/>
      <c r="I159" s="229">
        <v>1250</v>
      </c>
      <c r="J159" s="12" t="s">
        <v>53</v>
      </c>
      <c r="K159" s="97">
        <v>46217</v>
      </c>
      <c r="L159" s="95">
        <v>30</v>
      </c>
      <c r="M159" s="96">
        <v>46246</v>
      </c>
      <c r="N159" s="11">
        <f t="shared" si="4"/>
        <v>29</v>
      </c>
      <c r="O159" s="32" t="str">
        <f t="shared" si="5"/>
        <v>Yes</v>
      </c>
    </row>
    <row r="160" spans="2:15" ht="14.5" customHeight="1" x14ac:dyDescent="0.35">
      <c r="B160" s="10">
        <v>156</v>
      </c>
      <c r="C160" s="34" t="s">
        <v>822</v>
      </c>
      <c r="D160" s="63" t="s">
        <v>1081</v>
      </c>
      <c r="E160" s="63">
        <v>135602</v>
      </c>
      <c r="F160" s="42" t="s">
        <v>1813</v>
      </c>
      <c r="G160" s="36" t="s">
        <v>2481</v>
      </c>
      <c r="H160" s="36"/>
      <c r="I160" s="229">
        <v>312.5</v>
      </c>
      <c r="J160" s="12" t="s">
        <v>53</v>
      </c>
      <c r="K160" s="97">
        <v>46217</v>
      </c>
      <c r="L160" s="95">
        <v>30</v>
      </c>
      <c r="M160" s="96">
        <v>46246</v>
      </c>
      <c r="N160" s="11">
        <f t="shared" si="4"/>
        <v>29</v>
      </c>
      <c r="O160" s="32" t="str">
        <f t="shared" si="5"/>
        <v>Yes</v>
      </c>
    </row>
    <row r="161" spans="2:15" ht="14.5" customHeight="1" x14ac:dyDescent="0.35">
      <c r="B161" s="10">
        <v>157</v>
      </c>
      <c r="C161" s="34" t="s">
        <v>822</v>
      </c>
      <c r="D161" s="63">
        <v>135602</v>
      </c>
      <c r="E161" s="63">
        <v>135602</v>
      </c>
      <c r="F161" s="42" t="s">
        <v>1814</v>
      </c>
      <c r="G161" s="36" t="s">
        <v>2481</v>
      </c>
      <c r="H161" s="36"/>
      <c r="I161" s="229">
        <v>1562.5</v>
      </c>
      <c r="J161" s="12" t="s">
        <v>53</v>
      </c>
      <c r="K161" s="97">
        <v>46217</v>
      </c>
      <c r="L161" s="95">
        <v>30</v>
      </c>
      <c r="M161" s="96">
        <v>46246</v>
      </c>
      <c r="N161" s="11">
        <f t="shared" si="4"/>
        <v>29</v>
      </c>
      <c r="O161" s="32" t="str">
        <f t="shared" si="5"/>
        <v>Yes</v>
      </c>
    </row>
    <row r="162" spans="2:15" ht="14.5" customHeight="1" x14ac:dyDescent="0.35">
      <c r="B162" s="10">
        <v>158</v>
      </c>
      <c r="C162" s="34" t="s">
        <v>822</v>
      </c>
      <c r="D162" s="63" t="s">
        <v>1082</v>
      </c>
      <c r="E162" s="63">
        <v>134987</v>
      </c>
      <c r="F162" s="42" t="s">
        <v>1815</v>
      </c>
      <c r="G162" s="36" t="s">
        <v>712</v>
      </c>
      <c r="H162" s="36"/>
      <c r="I162" s="229">
        <v>1427.9904374999999</v>
      </c>
      <c r="J162" s="12" t="s">
        <v>53</v>
      </c>
      <c r="K162" s="97">
        <v>46182</v>
      </c>
      <c r="L162" s="95">
        <v>30</v>
      </c>
      <c r="M162" s="96">
        <v>46208</v>
      </c>
      <c r="N162" s="11">
        <f t="shared" si="4"/>
        <v>26</v>
      </c>
      <c r="O162" s="32" t="str">
        <f t="shared" si="5"/>
        <v>Yes</v>
      </c>
    </row>
    <row r="163" spans="2:15" ht="14.5" customHeight="1" x14ac:dyDescent="0.35">
      <c r="B163" s="10">
        <v>159</v>
      </c>
      <c r="C163" s="34" t="s">
        <v>822</v>
      </c>
      <c r="D163" s="63" t="s">
        <v>1083</v>
      </c>
      <c r="E163" s="63">
        <v>134948</v>
      </c>
      <c r="F163" s="42" t="s">
        <v>1816</v>
      </c>
      <c r="G163" s="36" t="s">
        <v>712</v>
      </c>
      <c r="H163" s="36"/>
      <c r="I163" s="229">
        <v>212.96250000000001</v>
      </c>
      <c r="J163" s="12" t="s">
        <v>53</v>
      </c>
      <c r="K163" s="97">
        <v>46182</v>
      </c>
      <c r="L163" s="95">
        <v>30</v>
      </c>
      <c r="M163" s="96">
        <v>46217</v>
      </c>
      <c r="N163" s="11">
        <f t="shared" si="4"/>
        <v>35</v>
      </c>
      <c r="O163" s="32" t="str">
        <f t="shared" si="5"/>
        <v>No</v>
      </c>
    </row>
    <row r="164" spans="2:15" ht="14.5" customHeight="1" x14ac:dyDescent="0.35">
      <c r="B164" s="10">
        <v>160</v>
      </c>
      <c r="C164" s="34" t="s">
        <v>822</v>
      </c>
      <c r="D164" s="63" t="s">
        <v>1084</v>
      </c>
      <c r="E164" s="63">
        <v>134991</v>
      </c>
      <c r="F164" s="42" t="s">
        <v>1817</v>
      </c>
      <c r="G164" s="36" t="s">
        <v>712</v>
      </c>
      <c r="H164" s="36"/>
      <c r="I164" s="229">
        <v>1695.5325</v>
      </c>
      <c r="J164" s="12" t="s">
        <v>53</v>
      </c>
      <c r="K164" s="97">
        <v>46211</v>
      </c>
      <c r="L164" s="95">
        <v>30</v>
      </c>
      <c r="M164" s="96">
        <v>46248</v>
      </c>
      <c r="N164" s="11">
        <f t="shared" si="4"/>
        <v>37</v>
      </c>
      <c r="O164" s="32" t="str">
        <f t="shared" si="5"/>
        <v>No</v>
      </c>
    </row>
    <row r="165" spans="2:15" ht="14.5" customHeight="1" x14ac:dyDescent="0.35">
      <c r="B165" s="10">
        <v>161</v>
      </c>
      <c r="C165" s="34" t="s">
        <v>822</v>
      </c>
      <c r="D165" s="63" t="s">
        <v>1085</v>
      </c>
      <c r="E165" s="63">
        <v>135868</v>
      </c>
      <c r="F165" s="42" t="s">
        <v>1818</v>
      </c>
      <c r="G165" s="36" t="s">
        <v>2482</v>
      </c>
      <c r="H165" s="36"/>
      <c r="I165" s="229">
        <v>176.875</v>
      </c>
      <c r="J165" s="12" t="s">
        <v>53</v>
      </c>
      <c r="K165" s="97">
        <v>46226</v>
      </c>
      <c r="L165" s="95">
        <v>30</v>
      </c>
      <c r="M165" s="96">
        <v>46247</v>
      </c>
      <c r="N165" s="11">
        <f t="shared" si="4"/>
        <v>21</v>
      </c>
      <c r="O165" s="32" t="str">
        <f t="shared" si="5"/>
        <v>Yes</v>
      </c>
    </row>
    <row r="166" spans="2:15" ht="14.5" customHeight="1" x14ac:dyDescent="0.35">
      <c r="B166" s="10">
        <v>162</v>
      </c>
      <c r="C166" s="34" t="s">
        <v>822</v>
      </c>
      <c r="D166" s="63" t="s">
        <v>1086</v>
      </c>
      <c r="E166" s="63">
        <v>134266</v>
      </c>
      <c r="F166" s="42" t="s">
        <v>1819</v>
      </c>
      <c r="G166" s="36" t="s">
        <v>738</v>
      </c>
      <c r="H166" s="36"/>
      <c r="I166" s="229">
        <v>23.750024999999997</v>
      </c>
      <c r="J166" s="12" t="s">
        <v>53</v>
      </c>
      <c r="K166" s="97">
        <v>46192</v>
      </c>
      <c r="L166" s="95">
        <v>30</v>
      </c>
      <c r="M166" s="96">
        <v>46227</v>
      </c>
      <c r="N166" s="11">
        <f t="shared" si="4"/>
        <v>35</v>
      </c>
      <c r="O166" s="32" t="str">
        <f t="shared" si="5"/>
        <v>No</v>
      </c>
    </row>
    <row r="167" spans="2:15" ht="14.5" customHeight="1" x14ac:dyDescent="0.35">
      <c r="B167" s="10">
        <v>163</v>
      </c>
      <c r="C167" s="34" t="s">
        <v>822</v>
      </c>
      <c r="D167" s="63" t="s">
        <v>1087</v>
      </c>
      <c r="E167" s="63">
        <v>134558</v>
      </c>
      <c r="F167" s="42" t="s">
        <v>1087</v>
      </c>
      <c r="G167" s="36" t="s">
        <v>2448</v>
      </c>
      <c r="H167" s="36"/>
      <c r="I167" s="229">
        <v>1340</v>
      </c>
      <c r="J167" s="12" t="s">
        <v>53</v>
      </c>
      <c r="K167" s="97">
        <v>46216</v>
      </c>
      <c r="L167" s="95">
        <v>30</v>
      </c>
      <c r="M167" s="96">
        <v>46246</v>
      </c>
      <c r="N167" s="11">
        <f t="shared" si="4"/>
        <v>30</v>
      </c>
      <c r="O167" s="32" t="str">
        <f t="shared" si="5"/>
        <v>Yes</v>
      </c>
    </row>
    <row r="168" spans="2:15" ht="14.5" customHeight="1" x14ac:dyDescent="0.35">
      <c r="B168" s="10">
        <v>164</v>
      </c>
      <c r="C168" s="34" t="s">
        <v>822</v>
      </c>
      <c r="D168" s="63" t="s">
        <v>1088</v>
      </c>
      <c r="E168" s="63">
        <v>129192</v>
      </c>
      <c r="F168" s="42" t="s">
        <v>1820</v>
      </c>
      <c r="G168" s="36" t="s">
        <v>2448</v>
      </c>
      <c r="H168" s="36"/>
      <c r="I168" s="229">
        <v>832.5</v>
      </c>
      <c r="J168" s="12" t="s">
        <v>53</v>
      </c>
      <c r="K168" s="97">
        <v>46216</v>
      </c>
      <c r="L168" s="95">
        <v>30</v>
      </c>
      <c r="M168" s="96">
        <v>46250</v>
      </c>
      <c r="N168" s="11">
        <f t="shared" si="4"/>
        <v>34</v>
      </c>
      <c r="O168" s="32" t="str">
        <f t="shared" si="5"/>
        <v>No</v>
      </c>
    </row>
    <row r="169" spans="2:15" ht="14.5" customHeight="1" x14ac:dyDescent="0.35">
      <c r="B169" s="10">
        <v>165</v>
      </c>
      <c r="C169" s="34" t="s">
        <v>822</v>
      </c>
      <c r="D169" s="63" t="s">
        <v>1089</v>
      </c>
      <c r="E169" s="63">
        <v>129192</v>
      </c>
      <c r="F169" s="42" t="s">
        <v>1821</v>
      </c>
      <c r="G169" s="36" t="s">
        <v>2448</v>
      </c>
      <c r="H169" s="36"/>
      <c r="I169" s="229">
        <v>2715</v>
      </c>
      <c r="J169" s="12" t="s">
        <v>53</v>
      </c>
      <c r="K169" s="97">
        <v>46216</v>
      </c>
      <c r="L169" s="95">
        <v>30</v>
      </c>
      <c r="M169" s="96">
        <v>46245</v>
      </c>
      <c r="N169" s="11">
        <f t="shared" si="4"/>
        <v>29</v>
      </c>
      <c r="O169" s="32" t="str">
        <f t="shared" si="5"/>
        <v>Yes</v>
      </c>
    </row>
    <row r="170" spans="2:15" ht="14.5" customHeight="1" x14ac:dyDescent="0.35">
      <c r="B170" s="10">
        <v>166</v>
      </c>
      <c r="C170" s="34" t="s">
        <v>822</v>
      </c>
      <c r="D170" s="63" t="s">
        <v>1090</v>
      </c>
      <c r="E170" s="63">
        <v>129192</v>
      </c>
      <c r="F170" s="42" t="s">
        <v>1822</v>
      </c>
      <c r="G170" s="36" t="s">
        <v>2448</v>
      </c>
      <c r="H170" s="36"/>
      <c r="I170" s="229">
        <v>1785</v>
      </c>
      <c r="J170" s="12" t="s">
        <v>53</v>
      </c>
      <c r="K170" s="97">
        <v>46216</v>
      </c>
      <c r="L170" s="95">
        <v>30</v>
      </c>
      <c r="M170" s="96">
        <v>46251</v>
      </c>
      <c r="N170" s="11">
        <f t="shared" si="4"/>
        <v>35</v>
      </c>
      <c r="O170" s="32" t="str">
        <f t="shared" si="5"/>
        <v>No</v>
      </c>
    </row>
    <row r="171" spans="2:15" ht="14.5" customHeight="1" x14ac:dyDescent="0.35">
      <c r="B171" s="10">
        <v>167</v>
      </c>
      <c r="C171" s="34" t="s">
        <v>822</v>
      </c>
      <c r="D171" s="63" t="s">
        <v>1091</v>
      </c>
      <c r="E171" s="63">
        <v>134558</v>
      </c>
      <c r="F171" s="42" t="s">
        <v>1823</v>
      </c>
      <c r="G171" s="36" t="s">
        <v>2448</v>
      </c>
      <c r="H171" s="36"/>
      <c r="I171" s="229">
        <v>5675</v>
      </c>
      <c r="J171" s="12" t="s">
        <v>53</v>
      </c>
      <c r="K171" s="97">
        <v>46216</v>
      </c>
      <c r="L171" s="95">
        <v>30</v>
      </c>
      <c r="M171" s="96">
        <v>46247</v>
      </c>
      <c r="N171" s="11">
        <f t="shared" si="4"/>
        <v>31</v>
      </c>
      <c r="O171" s="32" t="str">
        <f t="shared" si="5"/>
        <v>No</v>
      </c>
    </row>
    <row r="172" spans="2:15" ht="14.5" customHeight="1" x14ac:dyDescent="0.35">
      <c r="B172" s="10">
        <v>168</v>
      </c>
      <c r="C172" s="34" t="s">
        <v>822</v>
      </c>
      <c r="D172" s="63" t="s">
        <v>1092</v>
      </c>
      <c r="E172" s="63">
        <v>135598</v>
      </c>
      <c r="F172" s="42" t="s">
        <v>1824</v>
      </c>
      <c r="G172" s="36" t="s">
        <v>2448</v>
      </c>
      <c r="H172" s="36"/>
      <c r="I172" s="229">
        <v>187.5</v>
      </c>
      <c r="J172" s="12" t="s">
        <v>53</v>
      </c>
      <c r="K172" s="97">
        <v>46216</v>
      </c>
      <c r="L172" s="95">
        <v>30</v>
      </c>
      <c r="M172" s="96">
        <v>46246</v>
      </c>
      <c r="N172" s="11">
        <f t="shared" si="4"/>
        <v>30</v>
      </c>
      <c r="O172" s="32" t="str">
        <f t="shared" si="5"/>
        <v>Yes</v>
      </c>
    </row>
    <row r="173" spans="2:15" ht="14.5" customHeight="1" x14ac:dyDescent="0.35">
      <c r="B173" s="10">
        <v>169</v>
      </c>
      <c r="C173" s="34" t="s">
        <v>822</v>
      </c>
      <c r="D173" s="63" t="s">
        <v>1093</v>
      </c>
      <c r="E173" s="63">
        <v>135590</v>
      </c>
      <c r="F173" s="42" t="s">
        <v>1825</v>
      </c>
      <c r="G173" s="36" t="s">
        <v>2448</v>
      </c>
      <c r="H173" s="36"/>
      <c r="I173" s="229">
        <v>75</v>
      </c>
      <c r="J173" s="12" t="s">
        <v>53</v>
      </c>
      <c r="K173" s="97">
        <v>46216</v>
      </c>
      <c r="L173" s="95">
        <v>30</v>
      </c>
      <c r="M173" s="96">
        <v>46247</v>
      </c>
      <c r="N173" s="11">
        <f t="shared" si="4"/>
        <v>31</v>
      </c>
      <c r="O173" s="32" t="str">
        <f t="shared" si="5"/>
        <v>No</v>
      </c>
    </row>
    <row r="174" spans="2:15" ht="14.5" customHeight="1" x14ac:dyDescent="0.35">
      <c r="B174" s="10">
        <v>170</v>
      </c>
      <c r="C174" s="34" t="s">
        <v>822</v>
      </c>
      <c r="D174" s="63" t="s">
        <v>1094</v>
      </c>
      <c r="E174" s="63">
        <v>135583</v>
      </c>
      <c r="F174" s="42" t="s">
        <v>1826</v>
      </c>
      <c r="G174" s="36" t="s">
        <v>2448</v>
      </c>
      <c r="H174" s="36"/>
      <c r="I174" s="229">
        <v>182.5</v>
      </c>
      <c r="J174" s="12" t="s">
        <v>53</v>
      </c>
      <c r="K174" s="97">
        <v>46216</v>
      </c>
      <c r="L174" s="95">
        <v>30</v>
      </c>
      <c r="M174" s="96">
        <v>46250</v>
      </c>
      <c r="N174" s="11">
        <f t="shared" si="4"/>
        <v>34</v>
      </c>
      <c r="O174" s="32" t="str">
        <f t="shared" si="5"/>
        <v>No</v>
      </c>
    </row>
    <row r="175" spans="2:15" ht="14.5" customHeight="1" x14ac:dyDescent="0.35">
      <c r="B175" s="10">
        <v>171</v>
      </c>
      <c r="C175" s="34" t="s">
        <v>822</v>
      </c>
      <c r="D175" s="63" t="s">
        <v>1095</v>
      </c>
      <c r="E175" s="63">
        <v>134858</v>
      </c>
      <c r="F175" s="42" t="s">
        <v>1827</v>
      </c>
      <c r="G175" s="36" t="s">
        <v>2448</v>
      </c>
      <c r="H175" s="36"/>
      <c r="I175" s="229">
        <v>1100</v>
      </c>
      <c r="J175" s="12" t="s">
        <v>53</v>
      </c>
      <c r="K175" s="97">
        <v>46177</v>
      </c>
      <c r="L175" s="95">
        <v>30</v>
      </c>
      <c r="M175" s="96">
        <v>46213</v>
      </c>
      <c r="N175" s="11">
        <f t="shared" si="4"/>
        <v>36</v>
      </c>
      <c r="O175" s="32" t="str">
        <f t="shared" si="5"/>
        <v>No</v>
      </c>
    </row>
    <row r="176" spans="2:15" ht="14.5" customHeight="1" x14ac:dyDescent="0.35">
      <c r="B176" s="10">
        <v>172</v>
      </c>
      <c r="C176" s="34" t="s">
        <v>822</v>
      </c>
      <c r="D176" s="63" t="s">
        <v>1096</v>
      </c>
      <c r="E176" s="63">
        <v>134858</v>
      </c>
      <c r="F176" s="42" t="s">
        <v>1828</v>
      </c>
      <c r="G176" s="36" t="s">
        <v>2448</v>
      </c>
      <c r="H176" s="36"/>
      <c r="I176" s="229">
        <v>1100</v>
      </c>
      <c r="J176" s="12" t="s">
        <v>53</v>
      </c>
      <c r="K176" s="97">
        <v>46177</v>
      </c>
      <c r="L176" s="95">
        <v>30</v>
      </c>
      <c r="M176" s="96">
        <v>46203</v>
      </c>
      <c r="N176" s="11">
        <f t="shared" si="4"/>
        <v>26</v>
      </c>
      <c r="O176" s="32" t="str">
        <f t="shared" si="5"/>
        <v>Yes</v>
      </c>
    </row>
    <row r="177" spans="2:15" ht="14.5" customHeight="1" x14ac:dyDescent="0.35">
      <c r="B177" s="10">
        <v>173</v>
      </c>
      <c r="C177" s="34" t="s">
        <v>822</v>
      </c>
      <c r="D177" s="63" t="s">
        <v>1097</v>
      </c>
      <c r="E177" s="63">
        <v>126616</v>
      </c>
      <c r="F177" s="42" t="s">
        <v>1829</v>
      </c>
      <c r="G177" s="36" t="s">
        <v>739</v>
      </c>
      <c r="H177" s="36"/>
      <c r="I177" s="229">
        <v>323.625</v>
      </c>
      <c r="J177" s="12" t="s">
        <v>53</v>
      </c>
      <c r="K177" s="97">
        <v>46220</v>
      </c>
      <c r="L177" s="95">
        <v>30</v>
      </c>
      <c r="M177" s="96">
        <v>46248</v>
      </c>
      <c r="N177" s="11">
        <f t="shared" si="4"/>
        <v>28</v>
      </c>
      <c r="O177" s="32" t="str">
        <f t="shared" si="5"/>
        <v>Yes</v>
      </c>
    </row>
    <row r="178" spans="2:15" ht="14.5" customHeight="1" x14ac:dyDescent="0.35">
      <c r="B178" s="10">
        <v>174</v>
      </c>
      <c r="C178" s="34" t="s">
        <v>822</v>
      </c>
      <c r="D178" s="63" t="s">
        <v>1098</v>
      </c>
      <c r="E178" s="63">
        <v>126616</v>
      </c>
      <c r="F178" s="42" t="s">
        <v>1830</v>
      </c>
      <c r="G178" s="36" t="s">
        <v>739</v>
      </c>
      <c r="H178" s="36"/>
      <c r="I178" s="229">
        <v>462</v>
      </c>
      <c r="J178" s="12" t="s">
        <v>53</v>
      </c>
      <c r="K178" s="97">
        <v>46220</v>
      </c>
      <c r="L178" s="95">
        <v>30</v>
      </c>
      <c r="M178" s="96">
        <v>46248</v>
      </c>
      <c r="N178" s="11">
        <f t="shared" si="4"/>
        <v>28</v>
      </c>
      <c r="O178" s="32" t="str">
        <f t="shared" si="5"/>
        <v>Yes</v>
      </c>
    </row>
    <row r="179" spans="2:15" ht="14.5" customHeight="1" x14ac:dyDescent="0.35">
      <c r="B179" s="10">
        <v>175</v>
      </c>
      <c r="C179" s="34" t="s">
        <v>822</v>
      </c>
      <c r="D179" s="63" t="s">
        <v>1099</v>
      </c>
      <c r="E179" s="63">
        <v>126616</v>
      </c>
      <c r="F179" s="42" t="s">
        <v>1831</v>
      </c>
      <c r="G179" s="36" t="s">
        <v>739</v>
      </c>
      <c r="H179" s="36"/>
      <c r="I179" s="229">
        <v>161.8125</v>
      </c>
      <c r="J179" s="12" t="s">
        <v>53</v>
      </c>
      <c r="K179" s="97">
        <v>46220</v>
      </c>
      <c r="L179" s="95">
        <v>30</v>
      </c>
      <c r="M179" s="96">
        <v>46248</v>
      </c>
      <c r="N179" s="11">
        <f t="shared" si="4"/>
        <v>28</v>
      </c>
      <c r="O179" s="32" t="str">
        <f t="shared" si="5"/>
        <v>Yes</v>
      </c>
    </row>
    <row r="180" spans="2:15" ht="14.5" customHeight="1" x14ac:dyDescent="0.35">
      <c r="B180" s="10">
        <v>176</v>
      </c>
      <c r="C180" s="34" t="s">
        <v>822</v>
      </c>
      <c r="D180" s="63" t="s">
        <v>1100</v>
      </c>
      <c r="E180" s="63">
        <v>126616</v>
      </c>
      <c r="F180" s="42" t="s">
        <v>1832</v>
      </c>
      <c r="G180" s="36" t="s">
        <v>739</v>
      </c>
      <c r="H180" s="36"/>
      <c r="I180" s="229">
        <v>231</v>
      </c>
      <c r="J180" s="12" t="s">
        <v>53</v>
      </c>
      <c r="K180" s="97">
        <v>46220</v>
      </c>
      <c r="L180" s="95">
        <v>30</v>
      </c>
      <c r="M180" s="96">
        <v>46248</v>
      </c>
      <c r="N180" s="11">
        <f t="shared" si="4"/>
        <v>28</v>
      </c>
      <c r="O180" s="32" t="str">
        <f t="shared" si="5"/>
        <v>Yes</v>
      </c>
    </row>
    <row r="181" spans="2:15" ht="14.5" customHeight="1" x14ac:dyDescent="0.35">
      <c r="B181" s="10">
        <v>177</v>
      </c>
      <c r="C181" s="34" t="s">
        <v>822</v>
      </c>
      <c r="D181" s="63" t="s">
        <v>1101</v>
      </c>
      <c r="E181" s="63">
        <v>133047</v>
      </c>
      <c r="F181" s="42" t="s">
        <v>1833</v>
      </c>
      <c r="G181" s="36" t="s">
        <v>739</v>
      </c>
      <c r="H181" s="36"/>
      <c r="I181" s="229">
        <v>100.1</v>
      </c>
      <c r="J181" s="12" t="s">
        <v>53</v>
      </c>
      <c r="K181" s="97">
        <v>46220</v>
      </c>
      <c r="L181" s="95">
        <v>30</v>
      </c>
      <c r="M181" s="96">
        <v>46248</v>
      </c>
      <c r="N181" s="11">
        <f t="shared" si="4"/>
        <v>28</v>
      </c>
      <c r="O181" s="32" t="str">
        <f t="shared" si="5"/>
        <v>Yes</v>
      </c>
    </row>
    <row r="182" spans="2:15" ht="14.5" customHeight="1" x14ac:dyDescent="0.35">
      <c r="B182" s="10">
        <v>178</v>
      </c>
      <c r="C182" s="34" t="s">
        <v>822</v>
      </c>
      <c r="D182" s="63" t="s">
        <v>1102</v>
      </c>
      <c r="E182" s="63">
        <v>126616</v>
      </c>
      <c r="F182" s="42" t="s">
        <v>1834</v>
      </c>
      <c r="G182" s="36" t="s">
        <v>739</v>
      </c>
      <c r="H182" s="36"/>
      <c r="I182" s="229">
        <v>462</v>
      </c>
      <c r="J182" s="12" t="s">
        <v>53</v>
      </c>
      <c r="K182" s="97">
        <v>46220</v>
      </c>
      <c r="L182" s="95">
        <v>30</v>
      </c>
      <c r="M182" s="96">
        <v>46254</v>
      </c>
      <c r="N182" s="11">
        <f t="shared" si="4"/>
        <v>34</v>
      </c>
      <c r="O182" s="32" t="str">
        <f t="shared" si="5"/>
        <v>No</v>
      </c>
    </row>
    <row r="183" spans="2:15" ht="14.5" customHeight="1" x14ac:dyDescent="0.35">
      <c r="B183" s="10">
        <v>179</v>
      </c>
      <c r="C183" s="34" t="s">
        <v>822</v>
      </c>
      <c r="D183" s="63" t="s">
        <v>1103</v>
      </c>
      <c r="E183" s="63">
        <v>134220</v>
      </c>
      <c r="F183" s="42" t="s">
        <v>1835</v>
      </c>
      <c r="G183" s="36" t="s">
        <v>2483</v>
      </c>
      <c r="H183" s="36"/>
      <c r="I183" s="229">
        <v>194.79175000000001</v>
      </c>
      <c r="J183" s="12" t="s">
        <v>53</v>
      </c>
      <c r="K183" s="97">
        <v>46220</v>
      </c>
      <c r="L183" s="95">
        <v>30</v>
      </c>
      <c r="M183" s="96">
        <v>46254</v>
      </c>
      <c r="N183" s="11">
        <f t="shared" si="4"/>
        <v>34</v>
      </c>
      <c r="O183" s="32" t="str">
        <f t="shared" si="5"/>
        <v>No</v>
      </c>
    </row>
    <row r="184" spans="2:15" ht="14.5" customHeight="1" x14ac:dyDescent="0.35">
      <c r="B184" s="10">
        <v>180</v>
      </c>
      <c r="C184" s="34" t="s">
        <v>822</v>
      </c>
      <c r="D184" s="63">
        <v>135543</v>
      </c>
      <c r="E184" s="63">
        <v>135543</v>
      </c>
      <c r="F184" s="42" t="s">
        <v>1836</v>
      </c>
      <c r="G184" s="36" t="s">
        <v>2484</v>
      </c>
      <c r="H184" s="36"/>
      <c r="I184" s="229">
        <v>312.5</v>
      </c>
      <c r="J184" s="12" t="s">
        <v>53</v>
      </c>
      <c r="K184" s="97">
        <v>46212</v>
      </c>
      <c r="L184" s="95">
        <v>30</v>
      </c>
      <c r="M184" s="96">
        <v>46244</v>
      </c>
      <c r="N184" s="11">
        <f t="shared" si="4"/>
        <v>32</v>
      </c>
      <c r="O184" s="32" t="str">
        <f t="shared" si="5"/>
        <v>No</v>
      </c>
    </row>
    <row r="185" spans="2:15" ht="14.5" customHeight="1" x14ac:dyDescent="0.35">
      <c r="B185" s="10">
        <v>181</v>
      </c>
      <c r="C185" s="34" t="s">
        <v>822</v>
      </c>
      <c r="D185" s="63" t="s">
        <v>1104</v>
      </c>
      <c r="E185" s="63">
        <v>135107</v>
      </c>
      <c r="F185" s="42" t="s">
        <v>1837</v>
      </c>
      <c r="G185" s="36" t="s">
        <v>2485</v>
      </c>
      <c r="H185" s="36"/>
      <c r="I185" s="229">
        <v>83.333333333333329</v>
      </c>
      <c r="J185" s="12" t="s">
        <v>53</v>
      </c>
      <c r="K185" s="97">
        <v>46185</v>
      </c>
      <c r="L185" s="95">
        <v>30</v>
      </c>
      <c r="M185" s="96">
        <v>46211</v>
      </c>
      <c r="N185" s="11">
        <f t="shared" si="4"/>
        <v>26</v>
      </c>
      <c r="O185" s="32" t="str">
        <f t="shared" si="5"/>
        <v>Yes</v>
      </c>
    </row>
    <row r="186" spans="2:15" ht="14.5" customHeight="1" x14ac:dyDescent="0.35">
      <c r="B186" s="10">
        <v>182</v>
      </c>
      <c r="C186" s="34" t="s">
        <v>822</v>
      </c>
      <c r="D186" s="63">
        <v>134950</v>
      </c>
      <c r="E186" s="63">
        <v>134950</v>
      </c>
      <c r="F186" s="42" t="s">
        <v>293</v>
      </c>
      <c r="G186" s="36" t="s">
        <v>2486</v>
      </c>
      <c r="H186" s="36"/>
      <c r="I186" s="229">
        <v>1666.6666666666667</v>
      </c>
      <c r="J186" s="12" t="s">
        <v>53</v>
      </c>
      <c r="K186" s="97">
        <v>46216</v>
      </c>
      <c r="L186" s="95">
        <v>30</v>
      </c>
      <c r="M186" s="96">
        <v>46245</v>
      </c>
      <c r="N186" s="11">
        <f t="shared" si="4"/>
        <v>29</v>
      </c>
      <c r="O186" s="32" t="str">
        <f t="shared" si="5"/>
        <v>Yes</v>
      </c>
    </row>
    <row r="187" spans="2:15" ht="14.5" customHeight="1" x14ac:dyDescent="0.35">
      <c r="B187" s="10">
        <v>183</v>
      </c>
      <c r="C187" s="34" t="s">
        <v>822</v>
      </c>
      <c r="D187" s="63" t="s">
        <v>1105</v>
      </c>
      <c r="E187" s="63">
        <v>134682</v>
      </c>
      <c r="F187" s="42" t="s">
        <v>1838</v>
      </c>
      <c r="G187" s="36" t="s">
        <v>622</v>
      </c>
      <c r="H187" s="36"/>
      <c r="I187" s="229">
        <v>415.625</v>
      </c>
      <c r="J187" s="12" t="s">
        <v>53</v>
      </c>
      <c r="K187" s="97">
        <v>46220</v>
      </c>
      <c r="L187" s="95">
        <v>30</v>
      </c>
      <c r="M187" s="96">
        <v>46248</v>
      </c>
      <c r="N187" s="11">
        <f t="shared" si="4"/>
        <v>28</v>
      </c>
      <c r="O187" s="32" t="str">
        <f t="shared" si="5"/>
        <v>Yes</v>
      </c>
    </row>
    <row r="188" spans="2:15" ht="14.5" customHeight="1" x14ac:dyDescent="0.35">
      <c r="B188" s="10">
        <v>184</v>
      </c>
      <c r="C188" s="34" t="s">
        <v>822</v>
      </c>
      <c r="D188" s="63" t="s">
        <v>1106</v>
      </c>
      <c r="E188" s="63">
        <v>132911</v>
      </c>
      <c r="F188" s="42" t="s">
        <v>1839</v>
      </c>
      <c r="G188" s="36" t="s">
        <v>622</v>
      </c>
      <c r="H188" s="36"/>
      <c r="I188" s="229">
        <v>729.16666666666663</v>
      </c>
      <c r="J188" s="12" t="s">
        <v>53</v>
      </c>
      <c r="K188" s="97">
        <v>46220</v>
      </c>
      <c r="L188" s="95">
        <v>30</v>
      </c>
      <c r="M188" s="96">
        <v>46252</v>
      </c>
      <c r="N188" s="11">
        <f t="shared" si="4"/>
        <v>32</v>
      </c>
      <c r="O188" s="32" t="str">
        <f t="shared" si="5"/>
        <v>No</v>
      </c>
    </row>
    <row r="189" spans="2:15" ht="14.5" customHeight="1" x14ac:dyDescent="0.35">
      <c r="B189" s="10">
        <v>185</v>
      </c>
      <c r="C189" s="34" t="s">
        <v>822</v>
      </c>
      <c r="D189" s="63">
        <v>2605013</v>
      </c>
      <c r="E189" s="63">
        <v>133623</v>
      </c>
      <c r="F189" s="42" t="s">
        <v>1840</v>
      </c>
      <c r="G189" s="36" t="s">
        <v>2487</v>
      </c>
      <c r="H189" s="36"/>
      <c r="I189" s="229">
        <v>4264.2730000000001</v>
      </c>
      <c r="J189" s="12" t="s">
        <v>53</v>
      </c>
      <c r="K189" s="97">
        <v>46184</v>
      </c>
      <c r="L189" s="95">
        <v>30</v>
      </c>
      <c r="M189" s="96">
        <v>46209</v>
      </c>
      <c r="N189" s="11">
        <f t="shared" si="4"/>
        <v>25</v>
      </c>
      <c r="O189" s="32" t="str">
        <f t="shared" si="5"/>
        <v>Yes</v>
      </c>
    </row>
    <row r="190" spans="2:15" ht="14.5" customHeight="1" x14ac:dyDescent="0.35">
      <c r="B190" s="10">
        <v>186</v>
      </c>
      <c r="C190" s="34" t="s">
        <v>822</v>
      </c>
      <c r="D190" s="63">
        <v>2605005</v>
      </c>
      <c r="E190" s="63">
        <v>133623</v>
      </c>
      <c r="F190" s="42" t="s">
        <v>1841</v>
      </c>
      <c r="G190" s="36" t="s">
        <v>2487</v>
      </c>
      <c r="H190" s="36"/>
      <c r="I190" s="229">
        <v>359.3895</v>
      </c>
      <c r="J190" s="12" t="s">
        <v>53</v>
      </c>
      <c r="K190" s="97">
        <v>46174</v>
      </c>
      <c r="L190" s="95">
        <v>30</v>
      </c>
      <c r="M190" s="96">
        <v>46203</v>
      </c>
      <c r="N190" s="11">
        <f t="shared" si="4"/>
        <v>29</v>
      </c>
      <c r="O190" s="32" t="str">
        <f t="shared" si="5"/>
        <v>Yes</v>
      </c>
    </row>
    <row r="191" spans="2:15" ht="14.5" customHeight="1" x14ac:dyDescent="0.35">
      <c r="B191" s="10">
        <v>187</v>
      </c>
      <c r="C191" s="34" t="s">
        <v>822</v>
      </c>
      <c r="D191" s="63" t="s">
        <v>1107</v>
      </c>
      <c r="E191" s="63">
        <v>135043</v>
      </c>
      <c r="F191" s="42" t="s">
        <v>1842</v>
      </c>
      <c r="G191" s="36" t="s">
        <v>2488</v>
      </c>
      <c r="H191" s="36"/>
      <c r="I191" s="229">
        <v>161.30000000000001</v>
      </c>
      <c r="J191" s="12" t="s">
        <v>53</v>
      </c>
      <c r="K191" s="97">
        <v>46182</v>
      </c>
      <c r="L191" s="95">
        <v>30</v>
      </c>
      <c r="M191" s="96">
        <v>46212</v>
      </c>
      <c r="N191" s="11">
        <f t="shared" si="4"/>
        <v>30</v>
      </c>
      <c r="O191" s="32" t="str">
        <f t="shared" si="5"/>
        <v>Yes</v>
      </c>
    </row>
    <row r="192" spans="2:15" ht="14.5" customHeight="1" x14ac:dyDescent="0.35">
      <c r="B192" s="10">
        <v>188</v>
      </c>
      <c r="C192" s="34" t="s">
        <v>822</v>
      </c>
      <c r="D192" s="63" t="s">
        <v>1108</v>
      </c>
      <c r="E192" s="63">
        <v>128514</v>
      </c>
      <c r="F192" s="42" t="s">
        <v>1843</v>
      </c>
      <c r="G192" s="36" t="s">
        <v>2489</v>
      </c>
      <c r="H192" s="36"/>
      <c r="I192" s="229">
        <v>352.48500000000001</v>
      </c>
      <c r="J192" s="12" t="s">
        <v>53</v>
      </c>
      <c r="K192" s="97">
        <v>46220</v>
      </c>
      <c r="L192" s="95">
        <v>30</v>
      </c>
      <c r="M192" s="96">
        <v>46247</v>
      </c>
      <c r="N192" s="11">
        <f t="shared" si="4"/>
        <v>27</v>
      </c>
      <c r="O192" s="32" t="str">
        <f t="shared" si="5"/>
        <v>Yes</v>
      </c>
    </row>
    <row r="193" spans="2:15" ht="14.5" customHeight="1" x14ac:dyDescent="0.35">
      <c r="B193" s="10">
        <v>189</v>
      </c>
      <c r="C193" s="34" t="s">
        <v>822</v>
      </c>
      <c r="D193" s="63" t="s">
        <v>1109</v>
      </c>
      <c r="E193" s="63">
        <v>135449</v>
      </c>
      <c r="F193" s="42" t="s">
        <v>1844</v>
      </c>
      <c r="G193" s="36" t="s">
        <v>767</v>
      </c>
      <c r="H193" s="36"/>
      <c r="I193" s="229">
        <v>5208.333333333333</v>
      </c>
      <c r="J193" s="12" t="s">
        <v>53</v>
      </c>
      <c r="K193" s="97">
        <v>46209</v>
      </c>
      <c r="L193" s="95">
        <v>30</v>
      </c>
      <c r="M193" s="96">
        <v>46239</v>
      </c>
      <c r="N193" s="11">
        <f t="shared" si="4"/>
        <v>30</v>
      </c>
      <c r="O193" s="32" t="str">
        <f t="shared" si="5"/>
        <v>Yes</v>
      </c>
    </row>
    <row r="194" spans="2:15" ht="14.5" customHeight="1" x14ac:dyDescent="0.35">
      <c r="B194" s="10">
        <v>190</v>
      </c>
      <c r="C194" s="34" t="s">
        <v>822</v>
      </c>
      <c r="D194" s="63" t="s">
        <v>1110</v>
      </c>
      <c r="E194" s="63">
        <v>134158</v>
      </c>
      <c r="F194" s="42" t="s">
        <v>1845</v>
      </c>
      <c r="G194" s="36" t="s">
        <v>2490</v>
      </c>
      <c r="H194" s="36"/>
      <c r="I194" s="229">
        <v>145.83333333333334</v>
      </c>
      <c r="J194" s="12" t="s">
        <v>53</v>
      </c>
      <c r="K194" s="97">
        <v>46226</v>
      </c>
      <c r="L194" s="95">
        <v>30</v>
      </c>
      <c r="M194" s="96">
        <v>46247</v>
      </c>
      <c r="N194" s="11">
        <f t="shared" si="4"/>
        <v>21</v>
      </c>
      <c r="O194" s="32" t="str">
        <f t="shared" si="5"/>
        <v>Yes</v>
      </c>
    </row>
    <row r="195" spans="2:15" ht="14.5" customHeight="1" x14ac:dyDescent="0.35">
      <c r="B195" s="10">
        <v>191</v>
      </c>
      <c r="C195" s="34" t="s">
        <v>822</v>
      </c>
      <c r="D195" s="63" t="s">
        <v>1111</v>
      </c>
      <c r="E195" s="63">
        <v>134158</v>
      </c>
      <c r="F195" s="42" t="s">
        <v>1845</v>
      </c>
      <c r="G195" s="36" t="s">
        <v>2490</v>
      </c>
      <c r="H195" s="36"/>
      <c r="I195" s="229">
        <v>479.16666666666669</v>
      </c>
      <c r="J195" s="12" t="s">
        <v>53</v>
      </c>
      <c r="K195" s="97">
        <v>46226</v>
      </c>
      <c r="L195" s="95">
        <v>30</v>
      </c>
      <c r="M195" s="96">
        <v>46247</v>
      </c>
      <c r="N195" s="11">
        <f t="shared" si="4"/>
        <v>21</v>
      </c>
      <c r="O195" s="32" t="str">
        <f t="shared" si="5"/>
        <v>Yes</v>
      </c>
    </row>
    <row r="196" spans="2:15" ht="14.5" customHeight="1" x14ac:dyDescent="0.35">
      <c r="B196" s="10">
        <v>192</v>
      </c>
      <c r="C196" s="34" t="s">
        <v>822</v>
      </c>
      <c r="D196" s="63" t="s">
        <v>1112</v>
      </c>
      <c r="E196" s="63">
        <v>134158</v>
      </c>
      <c r="F196" s="42" t="s">
        <v>1846</v>
      </c>
      <c r="G196" s="36" t="s">
        <v>2490</v>
      </c>
      <c r="H196" s="36"/>
      <c r="I196" s="229">
        <v>2566.6666666666665</v>
      </c>
      <c r="J196" s="12" t="s">
        <v>53</v>
      </c>
      <c r="K196" s="97">
        <v>46226</v>
      </c>
      <c r="L196" s="95">
        <v>30</v>
      </c>
      <c r="M196" s="96">
        <v>46248</v>
      </c>
      <c r="N196" s="11">
        <f t="shared" si="4"/>
        <v>22</v>
      </c>
      <c r="O196" s="32" t="str">
        <f t="shared" si="5"/>
        <v>Yes</v>
      </c>
    </row>
    <row r="197" spans="2:15" ht="14.5" customHeight="1" x14ac:dyDescent="0.35">
      <c r="B197" s="10">
        <v>193</v>
      </c>
      <c r="C197" s="34" t="s">
        <v>822</v>
      </c>
      <c r="D197" s="63" t="s">
        <v>1113</v>
      </c>
      <c r="E197" s="63">
        <v>134158</v>
      </c>
      <c r="F197" s="42" t="s">
        <v>1847</v>
      </c>
      <c r="G197" s="36" t="s">
        <v>2490</v>
      </c>
      <c r="H197" s="36"/>
      <c r="I197" s="229">
        <v>2566.6666666666665</v>
      </c>
      <c r="J197" s="12" t="s">
        <v>53</v>
      </c>
      <c r="K197" s="97">
        <v>46209</v>
      </c>
      <c r="L197" s="95">
        <v>30</v>
      </c>
      <c r="M197" s="96">
        <v>46244</v>
      </c>
      <c r="N197" s="11">
        <f t="shared" ref="N197:N260" si="6">IF(OR(M197="", K197=""),"", M197- K197)</f>
        <v>35</v>
      </c>
      <c r="O197" s="32" t="str">
        <f t="shared" ref="O197:O260" si="7">IF(OR(M197="", K197="", L197=""), "", IF((M197 - K197) &gt; L197, "No", "Yes"))</f>
        <v>No</v>
      </c>
    </row>
    <row r="198" spans="2:15" ht="14.5" customHeight="1" x14ac:dyDescent="0.35">
      <c r="B198" s="10">
        <v>194</v>
      </c>
      <c r="C198" s="34" t="s">
        <v>822</v>
      </c>
      <c r="D198" s="63" t="s">
        <v>1114</v>
      </c>
      <c r="E198" s="63">
        <v>134158</v>
      </c>
      <c r="F198" s="42" t="s">
        <v>1847</v>
      </c>
      <c r="G198" s="36" t="s">
        <v>2490</v>
      </c>
      <c r="H198" s="36"/>
      <c r="I198" s="229">
        <v>479.16666666666669</v>
      </c>
      <c r="J198" s="12" t="s">
        <v>53</v>
      </c>
      <c r="K198" s="97">
        <v>46181</v>
      </c>
      <c r="L198" s="95">
        <v>30</v>
      </c>
      <c r="M198" s="96">
        <v>46217</v>
      </c>
      <c r="N198" s="11">
        <f t="shared" si="6"/>
        <v>36</v>
      </c>
      <c r="O198" s="32" t="str">
        <f t="shared" si="7"/>
        <v>No</v>
      </c>
    </row>
    <row r="199" spans="2:15" ht="14.5" customHeight="1" x14ac:dyDescent="0.35">
      <c r="B199" s="10">
        <v>195</v>
      </c>
      <c r="C199" s="34" t="s">
        <v>822</v>
      </c>
      <c r="D199" s="63" t="s">
        <v>1115</v>
      </c>
      <c r="E199" s="63">
        <v>134158</v>
      </c>
      <c r="F199" s="42" t="s">
        <v>1848</v>
      </c>
      <c r="G199" s="36" t="s">
        <v>2490</v>
      </c>
      <c r="H199" s="36"/>
      <c r="I199" s="229">
        <v>854.16666666666663</v>
      </c>
      <c r="J199" s="12" t="s">
        <v>53</v>
      </c>
      <c r="K199" s="97">
        <v>46209</v>
      </c>
      <c r="L199" s="95">
        <v>30</v>
      </c>
      <c r="M199" s="96">
        <v>46241</v>
      </c>
      <c r="N199" s="11">
        <f t="shared" si="6"/>
        <v>32</v>
      </c>
      <c r="O199" s="32" t="str">
        <f t="shared" si="7"/>
        <v>No</v>
      </c>
    </row>
    <row r="200" spans="2:15" ht="14.5" customHeight="1" x14ac:dyDescent="0.35">
      <c r="B200" s="10">
        <v>196</v>
      </c>
      <c r="C200" s="34" t="s">
        <v>822</v>
      </c>
      <c r="D200" s="63" t="s">
        <v>1116</v>
      </c>
      <c r="E200" s="63">
        <v>134158</v>
      </c>
      <c r="F200" s="42" t="s">
        <v>1849</v>
      </c>
      <c r="G200" s="36" t="s">
        <v>2490</v>
      </c>
      <c r="H200" s="36"/>
      <c r="I200" s="229">
        <v>933.33333333333337</v>
      </c>
      <c r="J200" s="12" t="s">
        <v>53</v>
      </c>
      <c r="K200" s="97">
        <v>46209</v>
      </c>
      <c r="L200" s="95">
        <v>30</v>
      </c>
      <c r="M200" s="96">
        <v>46243</v>
      </c>
      <c r="N200" s="11">
        <f t="shared" si="6"/>
        <v>34</v>
      </c>
      <c r="O200" s="32" t="str">
        <f t="shared" si="7"/>
        <v>No</v>
      </c>
    </row>
    <row r="201" spans="2:15" ht="14.5" customHeight="1" x14ac:dyDescent="0.35">
      <c r="B201" s="10">
        <v>197</v>
      </c>
      <c r="C201" s="34" t="s">
        <v>822</v>
      </c>
      <c r="D201" s="63" t="s">
        <v>1117</v>
      </c>
      <c r="E201" s="63">
        <v>134157</v>
      </c>
      <c r="F201" s="42" t="s">
        <v>1850</v>
      </c>
      <c r="G201" s="36" t="s">
        <v>806</v>
      </c>
      <c r="H201" s="36"/>
      <c r="I201" s="229">
        <v>847.91666666666663</v>
      </c>
      <c r="J201" s="12" t="s">
        <v>53</v>
      </c>
      <c r="K201" s="97">
        <v>46209</v>
      </c>
      <c r="L201" s="95">
        <v>30</v>
      </c>
      <c r="M201" s="96">
        <v>46244</v>
      </c>
      <c r="N201" s="11">
        <f t="shared" si="6"/>
        <v>35</v>
      </c>
      <c r="O201" s="32" t="str">
        <f t="shared" si="7"/>
        <v>No</v>
      </c>
    </row>
    <row r="202" spans="2:15" ht="14.5" customHeight="1" x14ac:dyDescent="0.35">
      <c r="B202" s="10">
        <v>198</v>
      </c>
      <c r="C202" s="34" t="s">
        <v>822</v>
      </c>
      <c r="D202" s="63" t="s">
        <v>1118</v>
      </c>
      <c r="E202" s="63">
        <v>134157</v>
      </c>
      <c r="F202" s="42" t="s">
        <v>1851</v>
      </c>
      <c r="G202" s="36" t="s">
        <v>806</v>
      </c>
      <c r="H202" s="36"/>
      <c r="I202" s="229">
        <v>22.916666666666668</v>
      </c>
      <c r="J202" s="12" t="s">
        <v>53</v>
      </c>
      <c r="K202" s="97">
        <v>46209</v>
      </c>
      <c r="L202" s="95">
        <v>30</v>
      </c>
      <c r="M202" s="96">
        <v>46244</v>
      </c>
      <c r="N202" s="11">
        <f t="shared" si="6"/>
        <v>35</v>
      </c>
      <c r="O202" s="32" t="str">
        <f t="shared" si="7"/>
        <v>No</v>
      </c>
    </row>
    <row r="203" spans="2:15" ht="14.5" customHeight="1" x14ac:dyDescent="0.35">
      <c r="B203" s="10">
        <v>199</v>
      </c>
      <c r="C203" s="34" t="s">
        <v>822</v>
      </c>
      <c r="D203" s="63" t="s">
        <v>1119</v>
      </c>
      <c r="E203" s="63">
        <v>134157</v>
      </c>
      <c r="F203" s="42" t="s">
        <v>1852</v>
      </c>
      <c r="G203" s="36" t="s">
        <v>806</v>
      </c>
      <c r="H203" s="36"/>
      <c r="I203" s="229">
        <v>22.916666666666668</v>
      </c>
      <c r="J203" s="12" t="s">
        <v>53</v>
      </c>
      <c r="K203" s="97">
        <v>46209</v>
      </c>
      <c r="L203" s="95">
        <v>30</v>
      </c>
      <c r="M203" s="96">
        <v>46238</v>
      </c>
      <c r="N203" s="11">
        <f t="shared" si="6"/>
        <v>29</v>
      </c>
      <c r="O203" s="32" t="str">
        <f t="shared" si="7"/>
        <v>Yes</v>
      </c>
    </row>
    <row r="204" spans="2:15" ht="14.5" customHeight="1" x14ac:dyDescent="0.35">
      <c r="B204" s="10">
        <v>200</v>
      </c>
      <c r="C204" s="34" t="s">
        <v>822</v>
      </c>
      <c r="D204" s="63" t="s">
        <v>1120</v>
      </c>
      <c r="E204" s="63">
        <v>134157</v>
      </c>
      <c r="F204" s="42" t="s">
        <v>1853</v>
      </c>
      <c r="G204" s="36" t="s">
        <v>806</v>
      </c>
      <c r="H204" s="36"/>
      <c r="I204" s="229">
        <v>710.41666666666663</v>
      </c>
      <c r="J204" s="12" t="s">
        <v>53</v>
      </c>
      <c r="K204" s="97">
        <v>46209</v>
      </c>
      <c r="L204" s="95">
        <v>30</v>
      </c>
      <c r="M204" s="96">
        <v>46240</v>
      </c>
      <c r="N204" s="11">
        <f t="shared" si="6"/>
        <v>31</v>
      </c>
      <c r="O204" s="32" t="str">
        <f t="shared" si="7"/>
        <v>No</v>
      </c>
    </row>
    <row r="205" spans="2:15" ht="14.5" customHeight="1" x14ac:dyDescent="0.35">
      <c r="B205" s="10">
        <v>201</v>
      </c>
      <c r="C205" s="34" t="s">
        <v>822</v>
      </c>
      <c r="D205" s="63" t="s">
        <v>1121</v>
      </c>
      <c r="E205" s="63">
        <v>134157</v>
      </c>
      <c r="F205" s="42" t="s">
        <v>1854</v>
      </c>
      <c r="G205" s="36" t="s">
        <v>806</v>
      </c>
      <c r="H205" s="36"/>
      <c r="I205" s="229">
        <v>62.5</v>
      </c>
      <c r="J205" s="12" t="s">
        <v>53</v>
      </c>
      <c r="K205" s="97">
        <v>46209</v>
      </c>
      <c r="L205" s="95">
        <v>30</v>
      </c>
      <c r="M205" s="96">
        <v>46240</v>
      </c>
      <c r="N205" s="11">
        <f t="shared" si="6"/>
        <v>31</v>
      </c>
      <c r="O205" s="32" t="str">
        <f t="shared" si="7"/>
        <v>No</v>
      </c>
    </row>
    <row r="206" spans="2:15" ht="14.5" customHeight="1" x14ac:dyDescent="0.35">
      <c r="B206" s="10">
        <v>202</v>
      </c>
      <c r="C206" s="34" t="s">
        <v>822</v>
      </c>
      <c r="D206" s="63" t="s">
        <v>1122</v>
      </c>
      <c r="E206" s="63">
        <v>134157</v>
      </c>
      <c r="F206" s="42" t="s">
        <v>1855</v>
      </c>
      <c r="G206" s="36" t="s">
        <v>806</v>
      </c>
      <c r="H206" s="36"/>
      <c r="I206" s="229">
        <v>62.5</v>
      </c>
      <c r="J206" s="12" t="s">
        <v>53</v>
      </c>
      <c r="K206" s="97">
        <v>46209</v>
      </c>
      <c r="L206" s="95">
        <v>30</v>
      </c>
      <c r="M206" s="96">
        <v>46244</v>
      </c>
      <c r="N206" s="11">
        <f t="shared" si="6"/>
        <v>35</v>
      </c>
      <c r="O206" s="32" t="str">
        <f t="shared" si="7"/>
        <v>No</v>
      </c>
    </row>
    <row r="207" spans="2:15" ht="14.5" customHeight="1" x14ac:dyDescent="0.35">
      <c r="B207" s="10">
        <v>203</v>
      </c>
      <c r="C207" s="34" t="s">
        <v>822</v>
      </c>
      <c r="D207" s="63" t="s">
        <v>1123</v>
      </c>
      <c r="E207" s="63">
        <v>134157</v>
      </c>
      <c r="F207" s="42" t="s">
        <v>1856</v>
      </c>
      <c r="G207" s="36" t="s">
        <v>806</v>
      </c>
      <c r="H207" s="36"/>
      <c r="I207" s="229">
        <v>504.16666666666669</v>
      </c>
      <c r="J207" s="12" t="s">
        <v>53</v>
      </c>
      <c r="K207" s="97">
        <v>46226</v>
      </c>
      <c r="L207" s="95">
        <v>30</v>
      </c>
      <c r="M207" s="96">
        <v>46248</v>
      </c>
      <c r="N207" s="11">
        <f t="shared" si="6"/>
        <v>22</v>
      </c>
      <c r="O207" s="32" t="str">
        <f t="shared" si="7"/>
        <v>Yes</v>
      </c>
    </row>
    <row r="208" spans="2:15" ht="14.5" customHeight="1" x14ac:dyDescent="0.35">
      <c r="B208" s="10">
        <v>204</v>
      </c>
      <c r="C208" s="34" t="s">
        <v>822</v>
      </c>
      <c r="D208" s="63" t="s">
        <v>1124</v>
      </c>
      <c r="E208" s="63">
        <v>134157</v>
      </c>
      <c r="F208" s="42" t="s">
        <v>1857</v>
      </c>
      <c r="G208" s="36" t="s">
        <v>806</v>
      </c>
      <c r="H208" s="36"/>
      <c r="I208" s="229">
        <v>45.833333333333336</v>
      </c>
      <c r="J208" s="12" t="s">
        <v>53</v>
      </c>
      <c r="K208" s="97">
        <v>46226</v>
      </c>
      <c r="L208" s="95">
        <v>30</v>
      </c>
      <c r="M208" s="96">
        <v>46248</v>
      </c>
      <c r="N208" s="11">
        <f t="shared" si="6"/>
        <v>22</v>
      </c>
      <c r="O208" s="32" t="str">
        <f t="shared" si="7"/>
        <v>Yes</v>
      </c>
    </row>
    <row r="209" spans="2:15" ht="14.5" customHeight="1" x14ac:dyDescent="0.35">
      <c r="B209" s="10">
        <v>205</v>
      </c>
      <c r="C209" s="34" t="s">
        <v>822</v>
      </c>
      <c r="D209" s="63" t="s">
        <v>1125</v>
      </c>
      <c r="E209" s="63">
        <v>134157</v>
      </c>
      <c r="F209" s="42" t="s">
        <v>1849</v>
      </c>
      <c r="G209" s="36" t="s">
        <v>806</v>
      </c>
      <c r="H209" s="36"/>
      <c r="I209" s="229">
        <v>66.666666666666671</v>
      </c>
      <c r="J209" s="12" t="s">
        <v>53</v>
      </c>
      <c r="K209" s="97">
        <v>46226</v>
      </c>
      <c r="L209" s="95">
        <v>30</v>
      </c>
      <c r="M209" s="96">
        <v>46248</v>
      </c>
      <c r="N209" s="11">
        <f t="shared" si="6"/>
        <v>22</v>
      </c>
      <c r="O209" s="32" t="str">
        <f t="shared" si="7"/>
        <v>Yes</v>
      </c>
    </row>
    <row r="210" spans="2:15" ht="14.5" customHeight="1" x14ac:dyDescent="0.35">
      <c r="B210" s="10">
        <v>206</v>
      </c>
      <c r="C210" s="34" t="s">
        <v>822</v>
      </c>
      <c r="D210" s="63" t="s">
        <v>1126</v>
      </c>
      <c r="E210" s="63">
        <v>134157</v>
      </c>
      <c r="F210" s="42" t="s">
        <v>1858</v>
      </c>
      <c r="G210" s="36" t="s">
        <v>806</v>
      </c>
      <c r="H210" s="36"/>
      <c r="I210" s="229">
        <v>562.5</v>
      </c>
      <c r="J210" s="12" t="s">
        <v>53</v>
      </c>
      <c r="K210" s="97">
        <v>46226</v>
      </c>
      <c r="L210" s="95">
        <v>30</v>
      </c>
      <c r="M210" s="96">
        <v>46248</v>
      </c>
      <c r="N210" s="11">
        <f t="shared" si="6"/>
        <v>22</v>
      </c>
      <c r="O210" s="32" t="str">
        <f t="shared" si="7"/>
        <v>Yes</v>
      </c>
    </row>
    <row r="211" spans="2:15" ht="14.5" customHeight="1" x14ac:dyDescent="0.35">
      <c r="B211" s="10">
        <v>207</v>
      </c>
      <c r="C211" s="34" t="s">
        <v>822</v>
      </c>
      <c r="D211" s="63" t="s">
        <v>1127</v>
      </c>
      <c r="E211" s="63">
        <v>134157</v>
      </c>
      <c r="F211" s="42" t="s">
        <v>1859</v>
      </c>
      <c r="G211" s="36" t="s">
        <v>806</v>
      </c>
      <c r="H211" s="36"/>
      <c r="I211" s="229">
        <v>320.83333333333331</v>
      </c>
      <c r="J211" s="12" t="s">
        <v>53</v>
      </c>
      <c r="K211" s="97">
        <v>46226</v>
      </c>
      <c r="L211" s="95">
        <v>30</v>
      </c>
      <c r="M211" s="96">
        <v>46248</v>
      </c>
      <c r="N211" s="11">
        <f t="shared" si="6"/>
        <v>22</v>
      </c>
      <c r="O211" s="32" t="str">
        <f t="shared" si="7"/>
        <v>Yes</v>
      </c>
    </row>
    <row r="212" spans="2:15" ht="14.5" customHeight="1" x14ac:dyDescent="0.35">
      <c r="B212" s="10">
        <v>208</v>
      </c>
      <c r="C212" s="34" t="s">
        <v>822</v>
      </c>
      <c r="D212" s="63" t="s">
        <v>1128</v>
      </c>
      <c r="E212" s="63">
        <v>134157</v>
      </c>
      <c r="F212" s="42" t="s">
        <v>1860</v>
      </c>
      <c r="G212" s="36" t="s">
        <v>806</v>
      </c>
      <c r="H212" s="36"/>
      <c r="I212" s="229">
        <v>22.916666666666668</v>
      </c>
      <c r="J212" s="12" t="s">
        <v>53</v>
      </c>
      <c r="K212" s="97">
        <v>46226</v>
      </c>
      <c r="L212" s="95">
        <v>30</v>
      </c>
      <c r="M212" s="96">
        <v>46248</v>
      </c>
      <c r="N212" s="11">
        <f t="shared" si="6"/>
        <v>22</v>
      </c>
      <c r="O212" s="32" t="str">
        <f t="shared" si="7"/>
        <v>Yes</v>
      </c>
    </row>
    <row r="213" spans="2:15" ht="14.5" customHeight="1" x14ac:dyDescent="0.35">
      <c r="B213" s="10">
        <v>209</v>
      </c>
      <c r="C213" s="34" t="s">
        <v>822</v>
      </c>
      <c r="D213" s="63" t="s">
        <v>1129</v>
      </c>
      <c r="E213" s="63">
        <v>134157</v>
      </c>
      <c r="F213" s="42" t="s">
        <v>1861</v>
      </c>
      <c r="G213" s="36" t="s">
        <v>806</v>
      </c>
      <c r="H213" s="36"/>
      <c r="I213" s="229">
        <v>458.33333333333331</v>
      </c>
      <c r="J213" s="12" t="s">
        <v>53</v>
      </c>
      <c r="K213" s="97">
        <v>46226</v>
      </c>
      <c r="L213" s="95">
        <v>30</v>
      </c>
      <c r="M213" s="96">
        <v>46248</v>
      </c>
      <c r="N213" s="11">
        <f t="shared" si="6"/>
        <v>22</v>
      </c>
      <c r="O213" s="32" t="str">
        <f t="shared" si="7"/>
        <v>Yes</v>
      </c>
    </row>
    <row r="214" spans="2:15" ht="14.5" customHeight="1" x14ac:dyDescent="0.35">
      <c r="B214" s="10">
        <v>210</v>
      </c>
      <c r="C214" s="34" t="s">
        <v>822</v>
      </c>
      <c r="D214" s="63">
        <v>2026033002</v>
      </c>
      <c r="E214" s="63">
        <v>135579</v>
      </c>
      <c r="F214" s="42" t="s">
        <v>1862</v>
      </c>
      <c r="G214" s="36" t="s">
        <v>2491</v>
      </c>
      <c r="H214" s="36"/>
      <c r="I214" s="229">
        <v>11458.333333333334</v>
      </c>
      <c r="J214" s="12" t="s">
        <v>53</v>
      </c>
      <c r="K214" s="97">
        <v>46211</v>
      </c>
      <c r="L214" s="95">
        <v>30</v>
      </c>
      <c r="M214" s="96">
        <v>46239</v>
      </c>
      <c r="N214" s="11">
        <f t="shared" si="6"/>
        <v>28</v>
      </c>
      <c r="O214" s="32" t="str">
        <f t="shared" si="7"/>
        <v>Yes</v>
      </c>
    </row>
    <row r="215" spans="2:15" ht="14.5" customHeight="1" x14ac:dyDescent="0.35">
      <c r="B215" s="10">
        <v>211</v>
      </c>
      <c r="C215" s="34" t="s">
        <v>822</v>
      </c>
      <c r="D215" s="63">
        <v>2026033001</v>
      </c>
      <c r="E215" s="63">
        <v>135579</v>
      </c>
      <c r="F215" s="42" t="s">
        <v>1863</v>
      </c>
      <c r="G215" s="36" t="s">
        <v>2491</v>
      </c>
      <c r="H215" s="36"/>
      <c r="I215" s="229">
        <v>11458.333333333334</v>
      </c>
      <c r="J215" s="12" t="s">
        <v>53</v>
      </c>
      <c r="K215" s="97">
        <v>46211</v>
      </c>
      <c r="L215" s="95">
        <v>30</v>
      </c>
      <c r="M215" s="96">
        <v>46246</v>
      </c>
      <c r="N215" s="11">
        <f t="shared" si="6"/>
        <v>35</v>
      </c>
      <c r="O215" s="32" t="str">
        <f t="shared" si="7"/>
        <v>No</v>
      </c>
    </row>
    <row r="216" spans="2:15" ht="14.5" customHeight="1" x14ac:dyDescent="0.35">
      <c r="B216" s="10">
        <v>212</v>
      </c>
      <c r="C216" s="34" t="s">
        <v>822</v>
      </c>
      <c r="D216" s="63">
        <v>2026061701</v>
      </c>
      <c r="E216" s="63">
        <v>135587</v>
      </c>
      <c r="F216" s="42" t="s">
        <v>1864</v>
      </c>
      <c r="G216" s="36" t="s">
        <v>2491</v>
      </c>
      <c r="H216" s="36"/>
      <c r="I216" s="229">
        <v>937.5</v>
      </c>
      <c r="J216" s="12" t="s">
        <v>53</v>
      </c>
      <c r="K216" s="97">
        <v>46211</v>
      </c>
      <c r="L216" s="95">
        <v>30</v>
      </c>
      <c r="M216" s="96">
        <v>46239</v>
      </c>
      <c r="N216" s="11">
        <f t="shared" si="6"/>
        <v>28</v>
      </c>
      <c r="O216" s="32" t="str">
        <f t="shared" si="7"/>
        <v>Yes</v>
      </c>
    </row>
    <row r="217" spans="2:15" ht="14.5" customHeight="1" x14ac:dyDescent="0.35">
      <c r="B217" s="10">
        <v>213</v>
      </c>
      <c r="C217" s="34" t="s">
        <v>822</v>
      </c>
      <c r="D217" s="63" t="s">
        <v>1130</v>
      </c>
      <c r="E217" s="63">
        <v>135007</v>
      </c>
      <c r="F217" s="42" t="s">
        <v>1865</v>
      </c>
      <c r="G217" s="36" t="s">
        <v>2492</v>
      </c>
      <c r="H217" s="36"/>
      <c r="I217" s="229">
        <v>416.66666666666669</v>
      </c>
      <c r="J217" s="12" t="s">
        <v>53</v>
      </c>
      <c r="K217" s="97">
        <v>46216</v>
      </c>
      <c r="L217" s="95">
        <v>30</v>
      </c>
      <c r="M217" s="96">
        <v>46244</v>
      </c>
      <c r="N217" s="11">
        <f t="shared" si="6"/>
        <v>28</v>
      </c>
      <c r="O217" s="32" t="str">
        <f t="shared" si="7"/>
        <v>Yes</v>
      </c>
    </row>
    <row r="218" spans="2:15" ht="14.5" customHeight="1" x14ac:dyDescent="0.35">
      <c r="B218" s="10">
        <v>214</v>
      </c>
      <c r="C218" s="34" t="s">
        <v>822</v>
      </c>
      <c r="D218" s="63" t="s">
        <v>1131</v>
      </c>
      <c r="E218" s="63">
        <v>134582</v>
      </c>
      <c r="F218" s="42" t="s">
        <v>1866</v>
      </c>
      <c r="G218" s="36" t="s">
        <v>795</v>
      </c>
      <c r="H218" s="36"/>
      <c r="I218" s="229">
        <v>833.33333333333337</v>
      </c>
      <c r="J218" s="12" t="s">
        <v>53</v>
      </c>
      <c r="K218" s="97">
        <v>46188</v>
      </c>
      <c r="L218" s="95">
        <v>30</v>
      </c>
      <c r="M218" s="96">
        <v>46224</v>
      </c>
      <c r="N218" s="11">
        <f t="shared" si="6"/>
        <v>36</v>
      </c>
      <c r="O218" s="32" t="str">
        <f t="shared" si="7"/>
        <v>No</v>
      </c>
    </row>
    <row r="219" spans="2:15" ht="14.5" customHeight="1" x14ac:dyDescent="0.35">
      <c r="B219" s="10">
        <v>215</v>
      </c>
      <c r="C219" s="34" t="s">
        <v>822</v>
      </c>
      <c r="D219" s="63" t="s">
        <v>1132</v>
      </c>
      <c r="E219" s="63">
        <v>134582</v>
      </c>
      <c r="F219" s="42" t="s">
        <v>1867</v>
      </c>
      <c r="G219" s="36" t="s">
        <v>795</v>
      </c>
      <c r="H219" s="36"/>
      <c r="I219" s="229">
        <v>833.33333333333337</v>
      </c>
      <c r="J219" s="12" t="s">
        <v>53</v>
      </c>
      <c r="K219" s="97">
        <v>46188</v>
      </c>
      <c r="L219" s="95">
        <v>30</v>
      </c>
      <c r="M219" s="96">
        <v>46213</v>
      </c>
      <c r="N219" s="11">
        <f t="shared" si="6"/>
        <v>25</v>
      </c>
      <c r="O219" s="32" t="str">
        <f t="shared" si="7"/>
        <v>Yes</v>
      </c>
    </row>
    <row r="220" spans="2:15" ht="14.5" customHeight="1" x14ac:dyDescent="0.35">
      <c r="B220" s="10">
        <v>216</v>
      </c>
      <c r="C220" s="34" t="s">
        <v>822</v>
      </c>
      <c r="D220" s="63" t="s">
        <v>1133</v>
      </c>
      <c r="E220" s="63">
        <v>134582</v>
      </c>
      <c r="F220" s="42" t="s">
        <v>1868</v>
      </c>
      <c r="G220" s="36" t="s">
        <v>795</v>
      </c>
      <c r="H220" s="36"/>
      <c r="I220" s="229">
        <v>833.33333333333337</v>
      </c>
      <c r="J220" s="12" t="s">
        <v>53</v>
      </c>
      <c r="K220" s="97">
        <v>46188</v>
      </c>
      <c r="L220" s="95">
        <v>30</v>
      </c>
      <c r="M220" s="96">
        <v>46215</v>
      </c>
      <c r="N220" s="11">
        <f t="shared" si="6"/>
        <v>27</v>
      </c>
      <c r="O220" s="32" t="str">
        <f t="shared" si="7"/>
        <v>Yes</v>
      </c>
    </row>
    <row r="221" spans="2:15" ht="14.5" customHeight="1" x14ac:dyDescent="0.35">
      <c r="B221" s="10">
        <v>217</v>
      </c>
      <c r="C221" s="34" t="s">
        <v>822</v>
      </c>
      <c r="D221" s="63" t="s">
        <v>1134</v>
      </c>
      <c r="E221" s="63">
        <v>134582</v>
      </c>
      <c r="F221" s="42" t="s">
        <v>1869</v>
      </c>
      <c r="G221" s="36" t="s">
        <v>795</v>
      </c>
      <c r="H221" s="36"/>
      <c r="I221" s="229">
        <v>833.33333333333337</v>
      </c>
      <c r="J221" s="12" t="s">
        <v>53</v>
      </c>
      <c r="K221" s="97">
        <v>46188</v>
      </c>
      <c r="L221" s="95">
        <v>30</v>
      </c>
      <c r="M221" s="96">
        <v>46224</v>
      </c>
      <c r="N221" s="11">
        <f t="shared" si="6"/>
        <v>36</v>
      </c>
      <c r="O221" s="32" t="str">
        <f t="shared" si="7"/>
        <v>No</v>
      </c>
    </row>
    <row r="222" spans="2:15" ht="14.5" customHeight="1" x14ac:dyDescent="0.35">
      <c r="B222" s="10">
        <v>218</v>
      </c>
      <c r="C222" s="34" t="s">
        <v>822</v>
      </c>
      <c r="D222" s="63" t="s">
        <v>1135</v>
      </c>
      <c r="E222" s="63">
        <v>134582</v>
      </c>
      <c r="F222" s="42" t="s">
        <v>1870</v>
      </c>
      <c r="G222" s="36" t="s">
        <v>795</v>
      </c>
      <c r="H222" s="36"/>
      <c r="I222" s="229">
        <v>833.33333333333337</v>
      </c>
      <c r="J222" s="12" t="s">
        <v>53</v>
      </c>
      <c r="K222" s="97">
        <v>46188</v>
      </c>
      <c r="L222" s="95">
        <v>30</v>
      </c>
      <c r="M222" s="96">
        <v>46218</v>
      </c>
      <c r="N222" s="11">
        <f t="shared" si="6"/>
        <v>30</v>
      </c>
      <c r="O222" s="32" t="str">
        <f t="shared" si="7"/>
        <v>Yes</v>
      </c>
    </row>
    <row r="223" spans="2:15" ht="14.5" customHeight="1" x14ac:dyDescent="0.35">
      <c r="B223" s="10">
        <v>219</v>
      </c>
      <c r="C223" s="34" t="s">
        <v>822</v>
      </c>
      <c r="D223" s="63">
        <v>135616</v>
      </c>
      <c r="E223" s="63">
        <v>135616</v>
      </c>
      <c r="F223" s="42" t="s">
        <v>1871</v>
      </c>
      <c r="G223" s="36" t="s">
        <v>2493</v>
      </c>
      <c r="H223" s="36"/>
      <c r="I223" s="229">
        <v>4166.666666666667</v>
      </c>
      <c r="J223" s="12" t="s">
        <v>53</v>
      </c>
      <c r="K223" s="97">
        <v>46212</v>
      </c>
      <c r="L223" s="95">
        <v>30</v>
      </c>
      <c r="M223" s="96">
        <v>46246</v>
      </c>
      <c r="N223" s="11">
        <f t="shared" si="6"/>
        <v>34</v>
      </c>
      <c r="O223" s="32" t="str">
        <f t="shared" si="7"/>
        <v>No</v>
      </c>
    </row>
    <row r="224" spans="2:15" ht="14.5" customHeight="1" x14ac:dyDescent="0.35">
      <c r="B224" s="10">
        <v>220</v>
      </c>
      <c r="C224" s="34" t="s">
        <v>822</v>
      </c>
      <c r="D224" s="63" t="s">
        <v>1136</v>
      </c>
      <c r="E224" s="63">
        <v>135205</v>
      </c>
      <c r="F224" s="42" t="s">
        <v>1872</v>
      </c>
      <c r="G224" s="36" t="s">
        <v>2494</v>
      </c>
      <c r="H224" s="36"/>
      <c r="I224" s="229">
        <v>416.66666666666669</v>
      </c>
      <c r="J224" s="12" t="s">
        <v>53</v>
      </c>
      <c r="K224" s="97">
        <v>46206</v>
      </c>
      <c r="L224" s="95">
        <v>30</v>
      </c>
      <c r="M224" s="96">
        <v>46242</v>
      </c>
      <c r="N224" s="11">
        <f t="shared" si="6"/>
        <v>36</v>
      </c>
      <c r="O224" s="32" t="str">
        <f t="shared" si="7"/>
        <v>No</v>
      </c>
    </row>
    <row r="225" spans="2:15" ht="14.5" customHeight="1" x14ac:dyDescent="0.35">
      <c r="B225" s="10">
        <v>221</v>
      </c>
      <c r="C225" s="34" t="s">
        <v>822</v>
      </c>
      <c r="D225" s="63" t="s">
        <v>1137</v>
      </c>
      <c r="E225" s="63">
        <v>135701</v>
      </c>
      <c r="F225" s="42" t="s">
        <v>1873</v>
      </c>
      <c r="G225" s="36" t="s">
        <v>2495</v>
      </c>
      <c r="H225" s="36"/>
      <c r="I225" s="229">
        <v>5385.4167499999994</v>
      </c>
      <c r="J225" s="12" t="s">
        <v>53</v>
      </c>
      <c r="K225" s="97">
        <v>46225</v>
      </c>
      <c r="L225" s="95">
        <v>30</v>
      </c>
      <c r="M225" s="96">
        <v>46247</v>
      </c>
      <c r="N225" s="11">
        <f t="shared" si="6"/>
        <v>22</v>
      </c>
      <c r="O225" s="32" t="str">
        <f t="shared" si="7"/>
        <v>Yes</v>
      </c>
    </row>
    <row r="226" spans="2:15" ht="14.5" customHeight="1" x14ac:dyDescent="0.35">
      <c r="B226" s="10">
        <v>222</v>
      </c>
      <c r="C226" s="34" t="s">
        <v>822</v>
      </c>
      <c r="D226" s="63" t="s">
        <v>1138</v>
      </c>
      <c r="E226" s="63">
        <v>134418</v>
      </c>
      <c r="F226" s="42" t="s">
        <v>1874</v>
      </c>
      <c r="G226" s="36" t="s">
        <v>650</v>
      </c>
      <c r="H226" s="36"/>
      <c r="I226" s="229">
        <v>15116.25</v>
      </c>
      <c r="J226" s="12" t="s">
        <v>53</v>
      </c>
      <c r="K226" s="97">
        <v>46198</v>
      </c>
      <c r="L226" s="95">
        <v>30</v>
      </c>
      <c r="M226" s="96">
        <v>46235</v>
      </c>
      <c r="N226" s="11">
        <f t="shared" si="6"/>
        <v>37</v>
      </c>
      <c r="O226" s="32" t="str">
        <f t="shared" si="7"/>
        <v>No</v>
      </c>
    </row>
    <row r="227" spans="2:15" ht="14.5" customHeight="1" x14ac:dyDescent="0.35">
      <c r="B227" s="10">
        <v>223</v>
      </c>
      <c r="C227" s="34" t="s">
        <v>822</v>
      </c>
      <c r="D227" s="63" t="s">
        <v>1139</v>
      </c>
      <c r="E227" s="63">
        <v>134512</v>
      </c>
      <c r="F227" s="42" t="s">
        <v>1875</v>
      </c>
      <c r="G227" s="36" t="s">
        <v>650</v>
      </c>
      <c r="H227" s="36"/>
      <c r="I227" s="229">
        <v>2624</v>
      </c>
      <c r="J227" s="12" t="s">
        <v>53</v>
      </c>
      <c r="K227" s="97">
        <v>46190</v>
      </c>
      <c r="L227" s="95">
        <v>30</v>
      </c>
      <c r="M227" s="96">
        <v>46219</v>
      </c>
      <c r="N227" s="11">
        <f t="shared" si="6"/>
        <v>29</v>
      </c>
      <c r="O227" s="32" t="str">
        <f t="shared" si="7"/>
        <v>Yes</v>
      </c>
    </row>
    <row r="228" spans="2:15" ht="14.5" customHeight="1" x14ac:dyDescent="0.35">
      <c r="B228" s="10">
        <v>224</v>
      </c>
      <c r="C228" s="34" t="s">
        <v>822</v>
      </c>
      <c r="D228" s="63" t="s">
        <v>1140</v>
      </c>
      <c r="E228" s="63">
        <v>135597</v>
      </c>
      <c r="F228" s="42" t="s">
        <v>1876</v>
      </c>
      <c r="G228" s="36" t="s">
        <v>633</v>
      </c>
      <c r="H228" s="36"/>
      <c r="I228" s="229">
        <v>29.883199999999999</v>
      </c>
      <c r="J228" s="12" t="s">
        <v>53</v>
      </c>
      <c r="K228" s="97">
        <v>46217</v>
      </c>
      <c r="L228" s="95">
        <v>30</v>
      </c>
      <c r="M228" s="96">
        <v>46248</v>
      </c>
      <c r="N228" s="11">
        <f t="shared" si="6"/>
        <v>31</v>
      </c>
      <c r="O228" s="32" t="str">
        <f t="shared" si="7"/>
        <v>No</v>
      </c>
    </row>
    <row r="229" spans="2:15" ht="14.5" customHeight="1" x14ac:dyDescent="0.35">
      <c r="B229" s="10">
        <v>225</v>
      </c>
      <c r="C229" s="34" t="s">
        <v>822</v>
      </c>
      <c r="D229" s="63" t="s">
        <v>1141</v>
      </c>
      <c r="E229" s="63">
        <v>135580</v>
      </c>
      <c r="F229" s="42" t="s">
        <v>1877</v>
      </c>
      <c r="G229" s="36" t="s">
        <v>633</v>
      </c>
      <c r="H229" s="36"/>
      <c r="I229" s="229">
        <v>656.25</v>
      </c>
      <c r="J229" s="12" t="s">
        <v>53</v>
      </c>
      <c r="K229" s="97">
        <v>46203</v>
      </c>
      <c r="L229" s="95">
        <v>30</v>
      </c>
      <c r="M229" s="96">
        <v>46230</v>
      </c>
      <c r="N229" s="11">
        <f t="shared" si="6"/>
        <v>27</v>
      </c>
      <c r="O229" s="32" t="str">
        <f t="shared" si="7"/>
        <v>Yes</v>
      </c>
    </row>
    <row r="230" spans="2:15" ht="14.5" customHeight="1" x14ac:dyDescent="0.35">
      <c r="B230" s="10">
        <v>226</v>
      </c>
      <c r="C230" s="34" t="s">
        <v>822</v>
      </c>
      <c r="D230" s="63">
        <v>44</v>
      </c>
      <c r="E230" s="63">
        <v>134931</v>
      </c>
      <c r="F230" s="42" t="s">
        <v>1878</v>
      </c>
      <c r="G230" s="36" t="s">
        <v>2496</v>
      </c>
      <c r="H230" s="36"/>
      <c r="I230" s="229">
        <v>192.29166666666666</v>
      </c>
      <c r="J230" s="12" t="s">
        <v>53</v>
      </c>
      <c r="K230" s="97">
        <v>46188</v>
      </c>
      <c r="L230" s="95">
        <v>30</v>
      </c>
      <c r="M230" s="96">
        <v>46214</v>
      </c>
      <c r="N230" s="11">
        <f t="shared" si="6"/>
        <v>26</v>
      </c>
      <c r="O230" s="32" t="str">
        <f t="shared" si="7"/>
        <v>Yes</v>
      </c>
    </row>
    <row r="231" spans="2:15" ht="14.5" customHeight="1" x14ac:dyDescent="0.35">
      <c r="B231" s="10">
        <v>227</v>
      </c>
      <c r="C231" s="34" t="s">
        <v>822</v>
      </c>
      <c r="D231" s="63">
        <v>43</v>
      </c>
      <c r="E231" s="63">
        <v>134931</v>
      </c>
      <c r="F231" s="42" t="s">
        <v>1879</v>
      </c>
      <c r="G231" s="36" t="s">
        <v>2496</v>
      </c>
      <c r="H231" s="36"/>
      <c r="I231" s="229">
        <v>94.791666666666671</v>
      </c>
      <c r="J231" s="12" t="s">
        <v>53</v>
      </c>
      <c r="K231" s="97">
        <v>46188</v>
      </c>
      <c r="L231" s="95">
        <v>30</v>
      </c>
      <c r="M231" s="96">
        <v>46216</v>
      </c>
      <c r="N231" s="11">
        <f t="shared" si="6"/>
        <v>28</v>
      </c>
      <c r="O231" s="32" t="str">
        <f t="shared" si="7"/>
        <v>Yes</v>
      </c>
    </row>
    <row r="232" spans="2:15" ht="14.5" customHeight="1" x14ac:dyDescent="0.35">
      <c r="B232" s="10">
        <v>228</v>
      </c>
      <c r="C232" s="34" t="s">
        <v>822</v>
      </c>
      <c r="D232" s="63">
        <v>42</v>
      </c>
      <c r="E232" s="63">
        <v>134931</v>
      </c>
      <c r="F232" s="42" t="s">
        <v>1880</v>
      </c>
      <c r="G232" s="36" t="s">
        <v>2496</v>
      </c>
      <c r="H232" s="36"/>
      <c r="I232" s="229">
        <v>206.25</v>
      </c>
      <c r="J232" s="12" t="s">
        <v>53</v>
      </c>
      <c r="K232" s="97">
        <v>46188</v>
      </c>
      <c r="L232" s="95">
        <v>30</v>
      </c>
      <c r="M232" s="96">
        <v>46217</v>
      </c>
      <c r="N232" s="11">
        <f t="shared" si="6"/>
        <v>29</v>
      </c>
      <c r="O232" s="32" t="str">
        <f t="shared" si="7"/>
        <v>Yes</v>
      </c>
    </row>
    <row r="233" spans="2:15" ht="14.5" customHeight="1" x14ac:dyDescent="0.35">
      <c r="B233" s="10">
        <v>229</v>
      </c>
      <c r="C233" s="34" t="s">
        <v>822</v>
      </c>
      <c r="D233" s="63">
        <v>41</v>
      </c>
      <c r="E233" s="63">
        <v>134931</v>
      </c>
      <c r="F233" s="42" t="s">
        <v>1881</v>
      </c>
      <c r="G233" s="36" t="s">
        <v>2496</v>
      </c>
      <c r="H233" s="36"/>
      <c r="I233" s="229">
        <v>138.54166666666666</v>
      </c>
      <c r="J233" s="12" t="s">
        <v>53</v>
      </c>
      <c r="K233" s="97">
        <v>46188</v>
      </c>
      <c r="L233" s="95">
        <v>30</v>
      </c>
      <c r="M233" s="96">
        <v>46214</v>
      </c>
      <c r="N233" s="11">
        <f t="shared" si="6"/>
        <v>26</v>
      </c>
      <c r="O233" s="32" t="str">
        <f t="shared" si="7"/>
        <v>Yes</v>
      </c>
    </row>
    <row r="234" spans="2:15" ht="14.5" customHeight="1" x14ac:dyDescent="0.35">
      <c r="B234" s="10">
        <v>230</v>
      </c>
      <c r="C234" s="34" t="s">
        <v>822</v>
      </c>
      <c r="D234" s="63" t="s">
        <v>1142</v>
      </c>
      <c r="E234" s="63">
        <v>135853</v>
      </c>
      <c r="F234" s="42" t="s">
        <v>1882</v>
      </c>
      <c r="G234" s="36" t="s">
        <v>2497</v>
      </c>
      <c r="H234" s="36"/>
      <c r="I234" s="229">
        <v>1458.3333333333333</v>
      </c>
      <c r="J234" s="12" t="s">
        <v>53</v>
      </c>
      <c r="K234" s="97">
        <v>46226</v>
      </c>
      <c r="L234" s="95">
        <v>30</v>
      </c>
      <c r="M234" s="96">
        <v>46251</v>
      </c>
      <c r="N234" s="11">
        <f t="shared" si="6"/>
        <v>25</v>
      </c>
      <c r="O234" s="32" t="str">
        <f t="shared" si="7"/>
        <v>Yes</v>
      </c>
    </row>
    <row r="235" spans="2:15" ht="14.5" customHeight="1" x14ac:dyDescent="0.35">
      <c r="B235" s="10">
        <v>231</v>
      </c>
      <c r="C235" s="34" t="s">
        <v>822</v>
      </c>
      <c r="D235" s="63" t="s">
        <v>1143</v>
      </c>
      <c r="E235" s="63">
        <v>135450</v>
      </c>
      <c r="F235" s="42" t="s">
        <v>1883</v>
      </c>
      <c r="G235" s="36" t="s">
        <v>2498</v>
      </c>
      <c r="H235" s="36"/>
      <c r="I235" s="229">
        <v>2083.3333333333335</v>
      </c>
      <c r="J235" s="12" t="s">
        <v>53</v>
      </c>
      <c r="K235" s="97">
        <v>46209</v>
      </c>
      <c r="L235" s="95">
        <v>30</v>
      </c>
      <c r="M235" s="96">
        <v>46240</v>
      </c>
      <c r="N235" s="11">
        <f t="shared" si="6"/>
        <v>31</v>
      </c>
      <c r="O235" s="32" t="str">
        <f t="shared" si="7"/>
        <v>No</v>
      </c>
    </row>
    <row r="236" spans="2:15" ht="14.5" customHeight="1" x14ac:dyDescent="0.35">
      <c r="B236" s="10">
        <v>232</v>
      </c>
      <c r="C236" s="34" t="s">
        <v>822</v>
      </c>
      <c r="D236" s="63" t="s">
        <v>1144</v>
      </c>
      <c r="E236" s="63">
        <v>135715</v>
      </c>
      <c r="F236" s="42" t="s">
        <v>1884</v>
      </c>
      <c r="G236" s="36" t="s">
        <v>651</v>
      </c>
      <c r="H236" s="36"/>
      <c r="I236" s="229">
        <v>71.645829166666658</v>
      </c>
      <c r="J236" s="12" t="s">
        <v>53</v>
      </c>
      <c r="K236" s="97">
        <v>46225</v>
      </c>
      <c r="L236" s="95">
        <v>30</v>
      </c>
      <c r="M236" s="96">
        <v>46248</v>
      </c>
      <c r="N236" s="11">
        <f t="shared" si="6"/>
        <v>23</v>
      </c>
      <c r="O236" s="32" t="str">
        <f t="shared" si="7"/>
        <v>Yes</v>
      </c>
    </row>
    <row r="237" spans="2:15" ht="14.5" customHeight="1" x14ac:dyDescent="0.35">
      <c r="B237" s="10">
        <v>233</v>
      </c>
      <c r="C237" s="34" t="s">
        <v>822</v>
      </c>
      <c r="D237" s="63" t="s">
        <v>1145</v>
      </c>
      <c r="E237" s="63">
        <v>135628</v>
      </c>
      <c r="F237" s="42" t="s">
        <v>1885</v>
      </c>
      <c r="G237" s="36" t="s">
        <v>651</v>
      </c>
      <c r="H237" s="36"/>
      <c r="I237" s="229">
        <v>339.58333333333331</v>
      </c>
      <c r="J237" s="12" t="s">
        <v>53</v>
      </c>
      <c r="K237" s="97">
        <v>46212</v>
      </c>
      <c r="L237" s="95">
        <v>30</v>
      </c>
      <c r="M237" s="96">
        <v>46241</v>
      </c>
      <c r="N237" s="11">
        <f t="shared" si="6"/>
        <v>29</v>
      </c>
      <c r="O237" s="32" t="str">
        <f t="shared" si="7"/>
        <v>Yes</v>
      </c>
    </row>
    <row r="238" spans="2:15" ht="14.5" customHeight="1" x14ac:dyDescent="0.35">
      <c r="B238" s="10">
        <v>234</v>
      </c>
      <c r="C238" s="34" t="s">
        <v>822</v>
      </c>
      <c r="D238" s="63" t="s">
        <v>1146</v>
      </c>
      <c r="E238" s="63">
        <v>135507</v>
      </c>
      <c r="F238" s="42" t="s">
        <v>1886</v>
      </c>
      <c r="G238" s="36" t="s">
        <v>651</v>
      </c>
      <c r="H238" s="36"/>
      <c r="I238" s="229">
        <v>486</v>
      </c>
      <c r="J238" s="12" t="s">
        <v>53</v>
      </c>
      <c r="K238" s="97">
        <v>46219</v>
      </c>
      <c r="L238" s="95">
        <v>30</v>
      </c>
      <c r="M238" s="96">
        <v>46248</v>
      </c>
      <c r="N238" s="11">
        <f t="shared" si="6"/>
        <v>29</v>
      </c>
      <c r="O238" s="32" t="str">
        <f t="shared" si="7"/>
        <v>Yes</v>
      </c>
    </row>
    <row r="239" spans="2:15" ht="14.5" customHeight="1" x14ac:dyDescent="0.35">
      <c r="B239" s="10">
        <v>235</v>
      </c>
      <c r="C239" s="34" t="s">
        <v>822</v>
      </c>
      <c r="D239" s="63" t="s">
        <v>1147</v>
      </c>
      <c r="E239" s="63">
        <v>135284</v>
      </c>
      <c r="F239" s="42" t="s">
        <v>1887</v>
      </c>
      <c r="G239" s="36" t="s">
        <v>651</v>
      </c>
      <c r="H239" s="36"/>
      <c r="I239" s="229">
        <v>957.79166666666663</v>
      </c>
      <c r="J239" s="12" t="s">
        <v>53</v>
      </c>
      <c r="K239" s="97">
        <v>46212</v>
      </c>
      <c r="L239" s="95">
        <v>30</v>
      </c>
      <c r="M239" s="96">
        <v>46245</v>
      </c>
      <c r="N239" s="11">
        <f t="shared" si="6"/>
        <v>33</v>
      </c>
      <c r="O239" s="32" t="str">
        <f t="shared" si="7"/>
        <v>No</v>
      </c>
    </row>
    <row r="240" spans="2:15" ht="14.5" customHeight="1" x14ac:dyDescent="0.35">
      <c r="B240" s="10">
        <v>236</v>
      </c>
      <c r="C240" s="34" t="s">
        <v>822</v>
      </c>
      <c r="D240" s="63" t="s">
        <v>1148</v>
      </c>
      <c r="E240" s="63">
        <v>135295</v>
      </c>
      <c r="F240" s="42" t="s">
        <v>1888</v>
      </c>
      <c r="G240" s="36" t="s">
        <v>651</v>
      </c>
      <c r="H240" s="36"/>
      <c r="I240" s="229">
        <v>499.9375</v>
      </c>
      <c r="J240" s="12" t="s">
        <v>53</v>
      </c>
      <c r="K240" s="97">
        <v>46212</v>
      </c>
      <c r="L240" s="95">
        <v>30</v>
      </c>
      <c r="M240" s="96">
        <v>46242</v>
      </c>
      <c r="N240" s="11">
        <f t="shared" si="6"/>
        <v>30</v>
      </c>
      <c r="O240" s="32" t="str">
        <f t="shared" si="7"/>
        <v>Yes</v>
      </c>
    </row>
    <row r="241" spans="2:15" ht="14.5" customHeight="1" x14ac:dyDescent="0.35">
      <c r="B241" s="10">
        <v>237</v>
      </c>
      <c r="C241" s="34" t="s">
        <v>822</v>
      </c>
      <c r="D241" s="63" t="s">
        <v>1149</v>
      </c>
      <c r="E241" s="63">
        <v>135495</v>
      </c>
      <c r="F241" s="42" t="s">
        <v>1889</v>
      </c>
      <c r="G241" s="36" t="s">
        <v>651</v>
      </c>
      <c r="H241" s="36"/>
      <c r="I241" s="229">
        <v>247.72916666666666</v>
      </c>
      <c r="J241" s="12" t="s">
        <v>53</v>
      </c>
      <c r="K241" s="97">
        <v>46212</v>
      </c>
      <c r="L241" s="95">
        <v>30</v>
      </c>
      <c r="M241" s="96">
        <v>46245</v>
      </c>
      <c r="N241" s="11">
        <f t="shared" si="6"/>
        <v>33</v>
      </c>
      <c r="O241" s="32" t="str">
        <f t="shared" si="7"/>
        <v>No</v>
      </c>
    </row>
    <row r="242" spans="2:15" ht="14.5" customHeight="1" x14ac:dyDescent="0.35">
      <c r="B242" s="10">
        <v>238</v>
      </c>
      <c r="C242" s="34" t="s">
        <v>822</v>
      </c>
      <c r="D242" s="63" t="s">
        <v>1150</v>
      </c>
      <c r="E242" s="63">
        <v>135332</v>
      </c>
      <c r="F242" s="42" t="s">
        <v>1890</v>
      </c>
      <c r="G242" s="36" t="s">
        <v>651</v>
      </c>
      <c r="H242" s="36"/>
      <c r="I242" s="229">
        <v>626.16666666666663</v>
      </c>
      <c r="J242" s="12" t="s">
        <v>53</v>
      </c>
      <c r="K242" s="97">
        <v>46212</v>
      </c>
      <c r="L242" s="95">
        <v>30</v>
      </c>
      <c r="M242" s="96">
        <v>46241</v>
      </c>
      <c r="N242" s="11">
        <f t="shared" si="6"/>
        <v>29</v>
      </c>
      <c r="O242" s="32" t="str">
        <f t="shared" si="7"/>
        <v>Yes</v>
      </c>
    </row>
    <row r="243" spans="2:15" ht="14.5" customHeight="1" x14ac:dyDescent="0.35">
      <c r="B243" s="10">
        <v>239</v>
      </c>
      <c r="C243" s="34" t="s">
        <v>822</v>
      </c>
      <c r="D243" s="63" t="s">
        <v>1151</v>
      </c>
      <c r="E243" s="63">
        <v>135173</v>
      </c>
      <c r="F243" s="42" t="s">
        <v>1891</v>
      </c>
      <c r="G243" s="36" t="s">
        <v>651</v>
      </c>
      <c r="H243" s="36"/>
      <c r="I243" s="229">
        <v>427</v>
      </c>
      <c r="J243" s="12" t="s">
        <v>53</v>
      </c>
      <c r="K243" s="97">
        <v>46210</v>
      </c>
      <c r="L243" s="95">
        <v>30</v>
      </c>
      <c r="M243" s="96">
        <v>46242</v>
      </c>
      <c r="N243" s="11">
        <f t="shared" si="6"/>
        <v>32</v>
      </c>
      <c r="O243" s="32" t="str">
        <f t="shared" si="7"/>
        <v>No</v>
      </c>
    </row>
    <row r="244" spans="2:15" ht="14.5" customHeight="1" x14ac:dyDescent="0.35">
      <c r="B244" s="10">
        <v>240</v>
      </c>
      <c r="C244" s="34" t="s">
        <v>822</v>
      </c>
      <c r="D244" s="63" t="s">
        <v>1152</v>
      </c>
      <c r="E244" s="63">
        <v>134885</v>
      </c>
      <c r="F244" s="42" t="s">
        <v>1892</v>
      </c>
      <c r="G244" s="36" t="s">
        <v>651</v>
      </c>
      <c r="H244" s="36"/>
      <c r="I244" s="229">
        <v>348.33333333333331</v>
      </c>
      <c r="J244" s="12" t="s">
        <v>53</v>
      </c>
      <c r="K244" s="97">
        <v>46183</v>
      </c>
      <c r="L244" s="95">
        <v>30</v>
      </c>
      <c r="M244" s="96">
        <v>46219</v>
      </c>
      <c r="N244" s="11">
        <f t="shared" si="6"/>
        <v>36</v>
      </c>
      <c r="O244" s="32" t="str">
        <f t="shared" si="7"/>
        <v>No</v>
      </c>
    </row>
    <row r="245" spans="2:15" ht="14.5" customHeight="1" x14ac:dyDescent="0.35">
      <c r="B245" s="10">
        <v>241</v>
      </c>
      <c r="C245" s="34" t="s">
        <v>822</v>
      </c>
      <c r="D245" s="63" t="s">
        <v>1153</v>
      </c>
      <c r="E245" s="63">
        <v>135259</v>
      </c>
      <c r="F245" s="42" t="s">
        <v>1893</v>
      </c>
      <c r="G245" s="36" t="s">
        <v>651</v>
      </c>
      <c r="H245" s="36"/>
      <c r="I245" s="229">
        <v>326.18747083333335</v>
      </c>
      <c r="J245" s="12" t="s">
        <v>53</v>
      </c>
      <c r="K245" s="97">
        <v>46212</v>
      </c>
      <c r="L245" s="95">
        <v>30</v>
      </c>
      <c r="M245" s="96">
        <v>46242</v>
      </c>
      <c r="N245" s="11">
        <f t="shared" si="6"/>
        <v>30</v>
      </c>
      <c r="O245" s="32" t="str">
        <f t="shared" si="7"/>
        <v>Yes</v>
      </c>
    </row>
    <row r="246" spans="2:15" ht="14.5" customHeight="1" x14ac:dyDescent="0.35">
      <c r="B246" s="10">
        <v>242</v>
      </c>
      <c r="C246" s="34" t="s">
        <v>822</v>
      </c>
      <c r="D246" s="63" t="s">
        <v>1154</v>
      </c>
      <c r="E246" s="63">
        <v>135815</v>
      </c>
      <c r="F246" s="42" t="s">
        <v>1894</v>
      </c>
      <c r="G246" s="36" t="s">
        <v>2499</v>
      </c>
      <c r="H246" s="36"/>
      <c r="I246" s="229">
        <v>333.33333333333331</v>
      </c>
      <c r="J246" s="12" t="s">
        <v>53</v>
      </c>
      <c r="K246" s="97">
        <v>46219</v>
      </c>
      <c r="L246" s="95">
        <v>30</v>
      </c>
      <c r="M246" s="96">
        <v>46248</v>
      </c>
      <c r="N246" s="11">
        <f t="shared" si="6"/>
        <v>29</v>
      </c>
      <c r="O246" s="32" t="str">
        <f t="shared" si="7"/>
        <v>Yes</v>
      </c>
    </row>
    <row r="247" spans="2:15" ht="14.5" customHeight="1" x14ac:dyDescent="0.35">
      <c r="B247" s="10">
        <v>243</v>
      </c>
      <c r="C247" s="34" t="s">
        <v>822</v>
      </c>
      <c r="D247" s="63" t="s">
        <v>1155</v>
      </c>
      <c r="E247" s="63">
        <v>135092</v>
      </c>
      <c r="F247" s="42" t="s">
        <v>1895</v>
      </c>
      <c r="G247" s="36" t="s">
        <v>2500</v>
      </c>
      <c r="H247" s="36"/>
      <c r="I247" s="229">
        <v>387.5</v>
      </c>
      <c r="J247" s="12" t="s">
        <v>53</v>
      </c>
      <c r="K247" s="97">
        <v>46190</v>
      </c>
      <c r="L247" s="95">
        <v>30</v>
      </c>
      <c r="M247" s="96">
        <v>46226</v>
      </c>
      <c r="N247" s="11">
        <f t="shared" si="6"/>
        <v>36</v>
      </c>
      <c r="O247" s="32" t="str">
        <f t="shared" si="7"/>
        <v>No</v>
      </c>
    </row>
    <row r="248" spans="2:15" ht="14.5" customHeight="1" x14ac:dyDescent="0.35">
      <c r="B248" s="10">
        <v>244</v>
      </c>
      <c r="C248" s="34" t="s">
        <v>822</v>
      </c>
      <c r="D248" s="63" t="s">
        <v>1156</v>
      </c>
      <c r="E248" s="63">
        <v>135411</v>
      </c>
      <c r="F248" s="42" t="s">
        <v>1896</v>
      </c>
      <c r="G248" s="36" t="s">
        <v>2501</v>
      </c>
      <c r="H248" s="36"/>
      <c r="I248" s="229">
        <v>1250</v>
      </c>
      <c r="J248" s="12" t="s">
        <v>53</v>
      </c>
      <c r="K248" s="97">
        <v>46224</v>
      </c>
      <c r="L248" s="95">
        <v>30</v>
      </c>
      <c r="M248" s="96">
        <v>46248</v>
      </c>
      <c r="N248" s="11">
        <f t="shared" si="6"/>
        <v>24</v>
      </c>
      <c r="O248" s="32" t="str">
        <f t="shared" si="7"/>
        <v>Yes</v>
      </c>
    </row>
    <row r="249" spans="2:15" ht="14.5" customHeight="1" x14ac:dyDescent="0.35">
      <c r="B249" s="10">
        <v>245</v>
      </c>
      <c r="C249" s="34" t="s">
        <v>822</v>
      </c>
      <c r="D249" s="63" t="s">
        <v>1157</v>
      </c>
      <c r="E249" s="63">
        <v>135337</v>
      </c>
      <c r="F249" s="42" t="s">
        <v>1897</v>
      </c>
      <c r="G249" s="36" t="s">
        <v>2501</v>
      </c>
      <c r="H249" s="36"/>
      <c r="I249" s="229">
        <v>2083.3333333333335</v>
      </c>
      <c r="J249" s="12" t="s">
        <v>53</v>
      </c>
      <c r="K249" s="97">
        <v>46224</v>
      </c>
      <c r="L249" s="95">
        <v>30</v>
      </c>
      <c r="M249" s="96">
        <v>46248</v>
      </c>
      <c r="N249" s="11">
        <f t="shared" si="6"/>
        <v>24</v>
      </c>
      <c r="O249" s="32" t="str">
        <f t="shared" si="7"/>
        <v>Yes</v>
      </c>
    </row>
    <row r="250" spans="2:15" ht="14.5" customHeight="1" x14ac:dyDescent="0.35">
      <c r="B250" s="10">
        <v>246</v>
      </c>
      <c r="C250" s="34" t="s">
        <v>822</v>
      </c>
      <c r="D250" s="63">
        <v>261190</v>
      </c>
      <c r="E250" s="63">
        <v>132870</v>
      </c>
      <c r="F250" s="42" t="s">
        <v>1898</v>
      </c>
      <c r="G250" s="36" t="s">
        <v>645</v>
      </c>
      <c r="H250" s="36"/>
      <c r="I250" s="229">
        <v>985.5</v>
      </c>
      <c r="J250" s="12" t="s">
        <v>53</v>
      </c>
      <c r="K250" s="97">
        <v>46220</v>
      </c>
      <c r="L250" s="95">
        <v>30</v>
      </c>
      <c r="M250" s="96">
        <v>46252</v>
      </c>
      <c r="N250" s="11">
        <f t="shared" si="6"/>
        <v>32</v>
      </c>
      <c r="O250" s="32" t="str">
        <f t="shared" si="7"/>
        <v>No</v>
      </c>
    </row>
    <row r="251" spans="2:15" ht="14.5" customHeight="1" x14ac:dyDescent="0.35">
      <c r="B251" s="10">
        <v>247</v>
      </c>
      <c r="C251" s="34" t="s">
        <v>822</v>
      </c>
      <c r="D251" s="63">
        <v>261191</v>
      </c>
      <c r="E251" s="63">
        <v>132870</v>
      </c>
      <c r="F251" s="42" t="s">
        <v>1899</v>
      </c>
      <c r="G251" s="36" t="s">
        <v>645</v>
      </c>
      <c r="H251" s="36"/>
      <c r="I251" s="229">
        <v>9073.5</v>
      </c>
      <c r="J251" s="12" t="s">
        <v>53</v>
      </c>
      <c r="K251" s="97">
        <v>46220</v>
      </c>
      <c r="L251" s="95">
        <v>30</v>
      </c>
      <c r="M251" s="96">
        <v>46250</v>
      </c>
      <c r="N251" s="11">
        <f t="shared" si="6"/>
        <v>30</v>
      </c>
      <c r="O251" s="32" t="str">
        <f t="shared" si="7"/>
        <v>Yes</v>
      </c>
    </row>
    <row r="252" spans="2:15" ht="14.5" customHeight="1" x14ac:dyDescent="0.35">
      <c r="B252" s="10">
        <v>248</v>
      </c>
      <c r="C252" s="34" t="s">
        <v>822</v>
      </c>
      <c r="D252" s="63">
        <v>261189</v>
      </c>
      <c r="E252" s="63">
        <v>132870</v>
      </c>
      <c r="F252" s="42" t="s">
        <v>1900</v>
      </c>
      <c r="G252" s="36" t="s">
        <v>645</v>
      </c>
      <c r="H252" s="36"/>
      <c r="I252" s="229">
        <v>319</v>
      </c>
      <c r="J252" s="12" t="s">
        <v>53</v>
      </c>
      <c r="K252" s="97">
        <v>46220</v>
      </c>
      <c r="L252" s="95">
        <v>30</v>
      </c>
      <c r="M252" s="96">
        <v>46251</v>
      </c>
      <c r="N252" s="11">
        <f t="shared" si="6"/>
        <v>31</v>
      </c>
      <c r="O252" s="32" t="str">
        <f t="shared" si="7"/>
        <v>No</v>
      </c>
    </row>
    <row r="253" spans="2:15" ht="14.5" customHeight="1" x14ac:dyDescent="0.35">
      <c r="B253" s="10">
        <v>249</v>
      </c>
      <c r="C253" s="34" t="s">
        <v>822</v>
      </c>
      <c r="D253" s="63">
        <v>261022</v>
      </c>
      <c r="E253" s="63">
        <v>132870</v>
      </c>
      <c r="F253" s="42" t="s">
        <v>1901</v>
      </c>
      <c r="G253" s="36" t="s">
        <v>645</v>
      </c>
      <c r="H253" s="36"/>
      <c r="I253" s="229">
        <v>164.25</v>
      </c>
      <c r="J253" s="12" t="s">
        <v>53</v>
      </c>
      <c r="K253" s="97">
        <v>46220</v>
      </c>
      <c r="L253" s="95">
        <v>30</v>
      </c>
      <c r="M253" s="96">
        <v>46248</v>
      </c>
      <c r="N253" s="11">
        <f t="shared" si="6"/>
        <v>28</v>
      </c>
      <c r="O253" s="32" t="str">
        <f t="shared" si="7"/>
        <v>Yes</v>
      </c>
    </row>
    <row r="254" spans="2:15" ht="14.5" customHeight="1" x14ac:dyDescent="0.35">
      <c r="B254" s="10">
        <v>250</v>
      </c>
      <c r="C254" s="34" t="s">
        <v>822</v>
      </c>
      <c r="D254" s="63">
        <v>261023</v>
      </c>
      <c r="E254" s="63">
        <v>132870</v>
      </c>
      <c r="F254" s="42" t="s">
        <v>1902</v>
      </c>
      <c r="G254" s="36" t="s">
        <v>645</v>
      </c>
      <c r="H254" s="36"/>
      <c r="I254" s="229">
        <v>1775.25</v>
      </c>
      <c r="J254" s="12" t="s">
        <v>53</v>
      </c>
      <c r="K254" s="97">
        <v>46220</v>
      </c>
      <c r="L254" s="95">
        <v>30</v>
      </c>
      <c r="M254" s="96">
        <v>46252</v>
      </c>
      <c r="N254" s="11">
        <f t="shared" si="6"/>
        <v>32</v>
      </c>
      <c r="O254" s="32" t="str">
        <f t="shared" si="7"/>
        <v>No</v>
      </c>
    </row>
    <row r="255" spans="2:15" ht="14.5" customHeight="1" x14ac:dyDescent="0.35">
      <c r="B255" s="10">
        <v>251</v>
      </c>
      <c r="C255" s="34" t="s">
        <v>822</v>
      </c>
      <c r="D255" s="63">
        <v>260546</v>
      </c>
      <c r="E255" s="63">
        <v>134391</v>
      </c>
      <c r="F255" s="42" t="s">
        <v>1903</v>
      </c>
      <c r="G255" s="36" t="s">
        <v>645</v>
      </c>
      <c r="H255" s="36"/>
      <c r="I255" s="229">
        <v>533.98752083333341</v>
      </c>
      <c r="J255" s="12" t="s">
        <v>53</v>
      </c>
      <c r="K255" s="97">
        <v>46220</v>
      </c>
      <c r="L255" s="95">
        <v>30</v>
      </c>
      <c r="M255" s="96">
        <v>46249</v>
      </c>
      <c r="N255" s="11">
        <f t="shared" si="6"/>
        <v>29</v>
      </c>
      <c r="O255" s="32" t="str">
        <f t="shared" si="7"/>
        <v>Yes</v>
      </c>
    </row>
    <row r="256" spans="2:15" ht="14.5" customHeight="1" x14ac:dyDescent="0.35">
      <c r="B256" s="10">
        <v>252</v>
      </c>
      <c r="C256" s="34" t="s">
        <v>822</v>
      </c>
      <c r="D256" s="63">
        <v>260549</v>
      </c>
      <c r="E256" s="63">
        <v>134391</v>
      </c>
      <c r="F256" s="42" t="s">
        <v>1904</v>
      </c>
      <c r="G256" s="36" t="s">
        <v>645</v>
      </c>
      <c r="H256" s="36"/>
      <c r="I256" s="229">
        <v>661.03972291666662</v>
      </c>
      <c r="J256" s="12" t="s">
        <v>53</v>
      </c>
      <c r="K256" s="97">
        <v>46220</v>
      </c>
      <c r="L256" s="95">
        <v>30</v>
      </c>
      <c r="M256" s="96">
        <v>46253</v>
      </c>
      <c r="N256" s="11">
        <f t="shared" si="6"/>
        <v>33</v>
      </c>
      <c r="O256" s="32" t="str">
        <f t="shared" si="7"/>
        <v>No</v>
      </c>
    </row>
    <row r="257" spans="2:15" ht="14.5" customHeight="1" x14ac:dyDescent="0.35">
      <c r="B257" s="10">
        <v>253</v>
      </c>
      <c r="C257" s="34" t="s">
        <v>822</v>
      </c>
      <c r="D257" s="63">
        <v>260551</v>
      </c>
      <c r="E257" s="63">
        <v>134391</v>
      </c>
      <c r="F257" s="42" t="s">
        <v>1905</v>
      </c>
      <c r="G257" s="36" t="s">
        <v>645</v>
      </c>
      <c r="H257" s="36"/>
      <c r="I257" s="229">
        <v>1905.7830458333331</v>
      </c>
      <c r="J257" s="12" t="s">
        <v>53</v>
      </c>
      <c r="K257" s="97">
        <v>46220</v>
      </c>
      <c r="L257" s="95">
        <v>30</v>
      </c>
      <c r="M257" s="96">
        <v>46253</v>
      </c>
      <c r="N257" s="11">
        <f t="shared" si="6"/>
        <v>33</v>
      </c>
      <c r="O257" s="32" t="str">
        <f t="shared" si="7"/>
        <v>No</v>
      </c>
    </row>
    <row r="258" spans="2:15" ht="14.5" customHeight="1" x14ac:dyDescent="0.35">
      <c r="B258" s="10">
        <v>254</v>
      </c>
      <c r="C258" s="34" t="s">
        <v>822</v>
      </c>
      <c r="D258" s="63">
        <v>260552</v>
      </c>
      <c r="E258" s="63">
        <v>134391</v>
      </c>
      <c r="F258" s="42" t="s">
        <v>1906</v>
      </c>
      <c r="G258" s="36" t="s">
        <v>645</v>
      </c>
      <c r="H258" s="36"/>
      <c r="I258" s="229">
        <v>727.04416249999997</v>
      </c>
      <c r="J258" s="12" t="s">
        <v>53</v>
      </c>
      <c r="K258" s="97">
        <v>46220</v>
      </c>
      <c r="L258" s="95">
        <v>30</v>
      </c>
      <c r="M258" s="96">
        <v>46252</v>
      </c>
      <c r="N258" s="11">
        <f t="shared" si="6"/>
        <v>32</v>
      </c>
      <c r="O258" s="32" t="str">
        <f t="shared" si="7"/>
        <v>No</v>
      </c>
    </row>
    <row r="259" spans="2:15" ht="14.5" customHeight="1" x14ac:dyDescent="0.35">
      <c r="B259" s="10">
        <v>255</v>
      </c>
      <c r="C259" s="34" t="s">
        <v>822</v>
      </c>
      <c r="D259" s="63">
        <v>260557</v>
      </c>
      <c r="E259" s="63">
        <v>134391</v>
      </c>
      <c r="F259" s="42" t="s">
        <v>1907</v>
      </c>
      <c r="G259" s="36" t="s">
        <v>645</v>
      </c>
      <c r="H259" s="36"/>
      <c r="I259" s="229">
        <v>855.34607291666669</v>
      </c>
      <c r="J259" s="12" t="s">
        <v>53</v>
      </c>
      <c r="K259" s="97">
        <v>46220</v>
      </c>
      <c r="L259" s="95">
        <v>30</v>
      </c>
      <c r="M259" s="96">
        <v>46255</v>
      </c>
      <c r="N259" s="11">
        <f t="shared" si="6"/>
        <v>35</v>
      </c>
      <c r="O259" s="32" t="str">
        <f t="shared" si="7"/>
        <v>No</v>
      </c>
    </row>
    <row r="260" spans="2:15" ht="14.5" customHeight="1" x14ac:dyDescent="0.35">
      <c r="B260" s="10">
        <v>256</v>
      </c>
      <c r="C260" s="34" t="s">
        <v>822</v>
      </c>
      <c r="D260" s="63">
        <v>260562</v>
      </c>
      <c r="E260" s="63">
        <v>134391</v>
      </c>
      <c r="F260" s="42" t="s">
        <v>1908</v>
      </c>
      <c r="G260" s="36" t="s">
        <v>645</v>
      </c>
      <c r="H260" s="36"/>
      <c r="I260" s="229">
        <v>2191.8243124999999</v>
      </c>
      <c r="J260" s="12" t="s">
        <v>53</v>
      </c>
      <c r="K260" s="97">
        <v>46220</v>
      </c>
      <c r="L260" s="95">
        <v>30</v>
      </c>
      <c r="M260" s="96">
        <v>46252</v>
      </c>
      <c r="N260" s="11">
        <f t="shared" si="6"/>
        <v>32</v>
      </c>
      <c r="O260" s="32" t="str">
        <f t="shared" si="7"/>
        <v>No</v>
      </c>
    </row>
    <row r="261" spans="2:15" ht="14.5" customHeight="1" x14ac:dyDescent="0.35">
      <c r="B261" s="10">
        <v>257</v>
      </c>
      <c r="C261" s="34" t="s">
        <v>822</v>
      </c>
      <c r="D261" s="63">
        <v>260569</v>
      </c>
      <c r="E261" s="63">
        <v>134391</v>
      </c>
      <c r="F261" s="42" t="s">
        <v>1909</v>
      </c>
      <c r="G261" s="36" t="s">
        <v>645</v>
      </c>
      <c r="H261" s="36"/>
      <c r="I261" s="229">
        <v>1544.1308520833334</v>
      </c>
      <c r="J261" s="12" t="s">
        <v>53</v>
      </c>
      <c r="K261" s="97">
        <v>46220</v>
      </c>
      <c r="L261" s="95">
        <v>30</v>
      </c>
      <c r="M261" s="96">
        <v>46254</v>
      </c>
      <c r="N261" s="11">
        <f t="shared" ref="N261:N324" si="8">IF(OR(M261="", K261=""),"", M261- K261)</f>
        <v>34</v>
      </c>
      <c r="O261" s="32" t="str">
        <f t="shared" ref="O261:O324" si="9">IF(OR(M261="", K261="", L261=""), "", IF((M261 - K261) &gt; L261, "No", "Yes"))</f>
        <v>No</v>
      </c>
    </row>
    <row r="262" spans="2:15" ht="14.5" customHeight="1" x14ac:dyDescent="0.35">
      <c r="B262" s="10">
        <v>258</v>
      </c>
      <c r="C262" s="34" t="s">
        <v>822</v>
      </c>
      <c r="D262" s="63">
        <v>260327</v>
      </c>
      <c r="E262" s="63">
        <v>134391</v>
      </c>
      <c r="F262" s="42" t="s">
        <v>1910</v>
      </c>
      <c r="G262" s="36" t="s">
        <v>645</v>
      </c>
      <c r="H262" s="36"/>
      <c r="I262" s="229">
        <v>1544.1308520833334</v>
      </c>
      <c r="J262" s="12" t="s">
        <v>53</v>
      </c>
      <c r="K262" s="97">
        <v>46220</v>
      </c>
      <c r="L262" s="95">
        <v>30</v>
      </c>
      <c r="M262" s="96">
        <v>46252</v>
      </c>
      <c r="N262" s="11">
        <f t="shared" si="8"/>
        <v>32</v>
      </c>
      <c r="O262" s="32" t="str">
        <f t="shared" si="9"/>
        <v>No</v>
      </c>
    </row>
    <row r="263" spans="2:15" ht="14.5" customHeight="1" x14ac:dyDescent="0.35">
      <c r="B263" s="10">
        <v>259</v>
      </c>
      <c r="C263" s="34" t="s">
        <v>822</v>
      </c>
      <c r="D263" s="63">
        <v>260318</v>
      </c>
      <c r="E263" s="63">
        <v>134391</v>
      </c>
      <c r="F263" s="42" t="s">
        <v>1911</v>
      </c>
      <c r="G263" s="36" t="s">
        <v>645</v>
      </c>
      <c r="H263" s="36"/>
      <c r="I263" s="229">
        <v>727.04416249999997</v>
      </c>
      <c r="J263" s="12" t="s">
        <v>53</v>
      </c>
      <c r="K263" s="97">
        <v>46220</v>
      </c>
      <c r="L263" s="95">
        <v>30</v>
      </c>
      <c r="M263" s="96">
        <v>46251</v>
      </c>
      <c r="N263" s="11">
        <f t="shared" si="8"/>
        <v>31</v>
      </c>
      <c r="O263" s="32" t="str">
        <f t="shared" si="9"/>
        <v>No</v>
      </c>
    </row>
    <row r="264" spans="2:15" ht="14.5" customHeight="1" x14ac:dyDescent="0.35">
      <c r="B264" s="10">
        <v>260</v>
      </c>
      <c r="C264" s="34" t="s">
        <v>822</v>
      </c>
      <c r="D264" s="63">
        <v>260320</v>
      </c>
      <c r="E264" s="63">
        <v>134391</v>
      </c>
      <c r="F264" s="42" t="s">
        <v>1912</v>
      </c>
      <c r="G264" s="36" t="s">
        <v>645</v>
      </c>
      <c r="H264" s="36"/>
      <c r="I264" s="229">
        <v>855.34607291666669</v>
      </c>
      <c r="J264" s="12" t="s">
        <v>53</v>
      </c>
      <c r="K264" s="97">
        <v>46220</v>
      </c>
      <c r="L264" s="95">
        <v>30</v>
      </c>
      <c r="M264" s="96">
        <v>46249</v>
      </c>
      <c r="N264" s="11">
        <f t="shared" si="8"/>
        <v>29</v>
      </c>
      <c r="O264" s="32" t="str">
        <f t="shared" si="9"/>
        <v>Yes</v>
      </c>
    </row>
    <row r="265" spans="2:15" ht="14.5" customHeight="1" x14ac:dyDescent="0.35">
      <c r="B265" s="10">
        <v>261</v>
      </c>
      <c r="C265" s="34" t="s">
        <v>822</v>
      </c>
      <c r="D265" s="63">
        <v>260325</v>
      </c>
      <c r="E265" s="63">
        <v>134391</v>
      </c>
      <c r="F265" s="42" t="s">
        <v>1913</v>
      </c>
      <c r="G265" s="36" t="s">
        <v>645</v>
      </c>
      <c r="H265" s="36"/>
      <c r="I265" s="229">
        <v>2191.8243124999999</v>
      </c>
      <c r="J265" s="12" t="s">
        <v>53</v>
      </c>
      <c r="K265" s="97">
        <v>46220</v>
      </c>
      <c r="L265" s="95">
        <v>30</v>
      </c>
      <c r="M265" s="96">
        <v>46255</v>
      </c>
      <c r="N265" s="11">
        <f t="shared" si="8"/>
        <v>35</v>
      </c>
      <c r="O265" s="32" t="str">
        <f t="shared" si="9"/>
        <v>No</v>
      </c>
    </row>
    <row r="266" spans="2:15" ht="14.5" customHeight="1" x14ac:dyDescent="0.35">
      <c r="B266" s="10">
        <v>262</v>
      </c>
      <c r="C266" s="34" t="s">
        <v>822</v>
      </c>
      <c r="D266" s="63">
        <v>260528</v>
      </c>
      <c r="E266" s="63">
        <v>134387</v>
      </c>
      <c r="F266" s="42" t="s">
        <v>1914</v>
      </c>
      <c r="G266" s="36" t="s">
        <v>645</v>
      </c>
      <c r="H266" s="36"/>
      <c r="I266" s="229">
        <v>7875</v>
      </c>
      <c r="J266" s="12" t="s">
        <v>53</v>
      </c>
      <c r="K266" s="97">
        <v>46220</v>
      </c>
      <c r="L266" s="95">
        <v>30</v>
      </c>
      <c r="M266" s="96">
        <v>46253</v>
      </c>
      <c r="N266" s="11">
        <f t="shared" si="8"/>
        <v>33</v>
      </c>
      <c r="O266" s="32" t="str">
        <f t="shared" si="9"/>
        <v>No</v>
      </c>
    </row>
    <row r="267" spans="2:15" ht="14.5" customHeight="1" x14ac:dyDescent="0.35">
      <c r="B267" s="10">
        <v>263</v>
      </c>
      <c r="C267" s="34" t="s">
        <v>822</v>
      </c>
      <c r="D267" s="63">
        <v>260529</v>
      </c>
      <c r="E267" s="63">
        <v>134387</v>
      </c>
      <c r="F267" s="42" t="s">
        <v>1915</v>
      </c>
      <c r="G267" s="36" t="s">
        <v>645</v>
      </c>
      <c r="H267" s="36"/>
      <c r="I267" s="229">
        <v>14875</v>
      </c>
      <c r="J267" s="12" t="s">
        <v>53</v>
      </c>
      <c r="K267" s="97">
        <v>46220</v>
      </c>
      <c r="L267" s="95">
        <v>30</v>
      </c>
      <c r="M267" s="96">
        <v>46253</v>
      </c>
      <c r="N267" s="11">
        <f t="shared" si="8"/>
        <v>33</v>
      </c>
      <c r="O267" s="32" t="str">
        <f t="shared" si="9"/>
        <v>No</v>
      </c>
    </row>
    <row r="268" spans="2:15" ht="14.5" customHeight="1" x14ac:dyDescent="0.35">
      <c r="B268" s="10">
        <v>264</v>
      </c>
      <c r="C268" s="34" t="s">
        <v>822</v>
      </c>
      <c r="D268" s="63">
        <v>260297</v>
      </c>
      <c r="E268" s="63">
        <v>134387</v>
      </c>
      <c r="F268" s="42" t="s">
        <v>1916</v>
      </c>
      <c r="G268" s="36" t="s">
        <v>645</v>
      </c>
      <c r="H268" s="36"/>
      <c r="I268" s="229">
        <v>2947</v>
      </c>
      <c r="J268" s="12" t="s">
        <v>53</v>
      </c>
      <c r="K268" s="97">
        <v>46220</v>
      </c>
      <c r="L268" s="95">
        <v>30</v>
      </c>
      <c r="M268" s="96">
        <v>46253</v>
      </c>
      <c r="N268" s="11">
        <f t="shared" si="8"/>
        <v>33</v>
      </c>
      <c r="O268" s="32" t="str">
        <f t="shared" si="9"/>
        <v>No</v>
      </c>
    </row>
    <row r="269" spans="2:15" ht="14.5" customHeight="1" x14ac:dyDescent="0.35">
      <c r="B269" s="10">
        <v>265</v>
      </c>
      <c r="C269" s="34" t="s">
        <v>822</v>
      </c>
      <c r="D269" s="63">
        <v>260317</v>
      </c>
      <c r="E269" s="63">
        <v>134391</v>
      </c>
      <c r="F269" s="42" t="s">
        <v>1917</v>
      </c>
      <c r="G269" s="36" t="s">
        <v>645</v>
      </c>
      <c r="H269" s="36"/>
      <c r="I269" s="229">
        <v>163.16399791664017</v>
      </c>
      <c r="J269" s="12" t="s">
        <v>53</v>
      </c>
      <c r="K269" s="97">
        <v>46220</v>
      </c>
      <c r="L269" s="95">
        <v>30</v>
      </c>
      <c r="M269" s="96">
        <v>46249</v>
      </c>
      <c r="N269" s="11">
        <f t="shared" si="8"/>
        <v>29</v>
      </c>
      <c r="O269" s="32" t="str">
        <f t="shared" si="9"/>
        <v>Yes</v>
      </c>
    </row>
    <row r="270" spans="2:15" ht="14.5" customHeight="1" x14ac:dyDescent="0.35">
      <c r="B270" s="10">
        <v>266</v>
      </c>
      <c r="C270" s="34" t="s">
        <v>822</v>
      </c>
      <c r="D270" s="63" t="s">
        <v>1158</v>
      </c>
      <c r="E270" s="63">
        <v>132744</v>
      </c>
      <c r="F270" s="42" t="s">
        <v>1918</v>
      </c>
      <c r="G270" s="36" t="s">
        <v>679</v>
      </c>
      <c r="H270" s="36"/>
      <c r="I270" s="229">
        <v>23547.975749999998</v>
      </c>
      <c r="J270" s="12" t="s">
        <v>53</v>
      </c>
      <c r="K270" s="97">
        <v>46209</v>
      </c>
      <c r="L270" s="95">
        <v>30</v>
      </c>
      <c r="M270" s="96">
        <v>46246</v>
      </c>
      <c r="N270" s="11">
        <f t="shared" si="8"/>
        <v>37</v>
      </c>
      <c r="O270" s="32" t="str">
        <f t="shared" si="9"/>
        <v>No</v>
      </c>
    </row>
    <row r="271" spans="2:15" ht="14.5" customHeight="1" x14ac:dyDescent="0.35">
      <c r="B271" s="10">
        <v>267</v>
      </c>
      <c r="C271" s="34" t="s">
        <v>822</v>
      </c>
      <c r="D271" s="63" t="s">
        <v>1159</v>
      </c>
      <c r="E271" s="63">
        <v>135473</v>
      </c>
      <c r="F271" s="42" t="s">
        <v>1919</v>
      </c>
      <c r="G271" s="36" t="s">
        <v>673</v>
      </c>
      <c r="H271" s="36"/>
      <c r="I271" s="229">
        <v>2228.4250000000002</v>
      </c>
      <c r="J271" s="12" t="s">
        <v>53</v>
      </c>
      <c r="K271" s="97">
        <v>46220</v>
      </c>
      <c r="L271" s="95">
        <v>30</v>
      </c>
      <c r="M271" s="96">
        <v>46250</v>
      </c>
      <c r="N271" s="11">
        <f t="shared" si="8"/>
        <v>30</v>
      </c>
      <c r="O271" s="32" t="str">
        <f t="shared" si="9"/>
        <v>Yes</v>
      </c>
    </row>
    <row r="272" spans="2:15" ht="14.5" customHeight="1" x14ac:dyDescent="0.35">
      <c r="B272" s="10">
        <v>268</v>
      </c>
      <c r="C272" s="34" t="s">
        <v>822</v>
      </c>
      <c r="D272" s="63" t="s">
        <v>1160</v>
      </c>
      <c r="E272" s="63">
        <v>133761</v>
      </c>
      <c r="F272" s="42" t="s">
        <v>1920</v>
      </c>
      <c r="G272" s="36" t="s">
        <v>673</v>
      </c>
      <c r="H272" s="36"/>
      <c r="I272" s="229">
        <v>103097.74188125</v>
      </c>
      <c r="J272" s="12" t="s">
        <v>53</v>
      </c>
      <c r="K272" s="97">
        <v>46184</v>
      </c>
      <c r="L272" s="95">
        <v>30</v>
      </c>
      <c r="M272" s="96">
        <v>46213</v>
      </c>
      <c r="N272" s="11">
        <f t="shared" si="8"/>
        <v>29</v>
      </c>
      <c r="O272" s="32" t="str">
        <f t="shared" si="9"/>
        <v>Yes</v>
      </c>
    </row>
    <row r="273" spans="2:15" ht="14.5" customHeight="1" x14ac:dyDescent="0.35">
      <c r="B273" s="10">
        <v>269</v>
      </c>
      <c r="C273" s="34" t="s">
        <v>822</v>
      </c>
      <c r="D273" s="63">
        <v>548</v>
      </c>
      <c r="E273" s="63">
        <v>134468</v>
      </c>
      <c r="F273" s="42" t="s">
        <v>1921</v>
      </c>
      <c r="G273" s="36" t="s">
        <v>2502</v>
      </c>
      <c r="H273" s="36"/>
      <c r="I273" s="229">
        <v>75</v>
      </c>
      <c r="J273" s="12" t="s">
        <v>53</v>
      </c>
      <c r="K273" s="97">
        <v>46175</v>
      </c>
      <c r="L273" s="95">
        <v>30</v>
      </c>
      <c r="M273" s="96">
        <v>46205</v>
      </c>
      <c r="N273" s="11">
        <f t="shared" si="8"/>
        <v>30</v>
      </c>
      <c r="O273" s="32" t="str">
        <f t="shared" si="9"/>
        <v>Yes</v>
      </c>
    </row>
    <row r="274" spans="2:15" ht="14.5" customHeight="1" x14ac:dyDescent="0.35">
      <c r="B274" s="10">
        <v>270</v>
      </c>
      <c r="C274" s="34" t="s">
        <v>822</v>
      </c>
      <c r="D274" s="63">
        <v>547</v>
      </c>
      <c r="E274" s="63">
        <v>134577</v>
      </c>
      <c r="F274" s="42" t="s">
        <v>1922</v>
      </c>
      <c r="G274" s="36" t="s">
        <v>2502</v>
      </c>
      <c r="H274" s="36"/>
      <c r="I274" s="229">
        <v>450</v>
      </c>
      <c r="J274" s="12" t="s">
        <v>53</v>
      </c>
      <c r="K274" s="97">
        <v>46175</v>
      </c>
      <c r="L274" s="95">
        <v>30</v>
      </c>
      <c r="M274" s="96">
        <v>46204</v>
      </c>
      <c r="N274" s="11">
        <f t="shared" si="8"/>
        <v>29</v>
      </c>
      <c r="O274" s="32" t="str">
        <f t="shared" si="9"/>
        <v>Yes</v>
      </c>
    </row>
    <row r="275" spans="2:15" ht="14.5" customHeight="1" x14ac:dyDescent="0.35">
      <c r="B275" s="10">
        <v>271</v>
      </c>
      <c r="C275" s="34" t="s">
        <v>822</v>
      </c>
      <c r="D275" s="63" t="s">
        <v>1161</v>
      </c>
      <c r="E275" s="63">
        <v>135603</v>
      </c>
      <c r="F275" s="42" t="s">
        <v>1923</v>
      </c>
      <c r="G275" s="36" t="s">
        <v>2503</v>
      </c>
      <c r="H275" s="36"/>
      <c r="I275" s="229">
        <v>5208.333333333333</v>
      </c>
      <c r="J275" s="12" t="s">
        <v>53</v>
      </c>
      <c r="K275" s="97">
        <v>46212</v>
      </c>
      <c r="L275" s="95">
        <v>30</v>
      </c>
      <c r="M275" s="96">
        <v>46244</v>
      </c>
      <c r="N275" s="11">
        <f t="shared" si="8"/>
        <v>32</v>
      </c>
      <c r="O275" s="32" t="str">
        <f t="shared" si="9"/>
        <v>No</v>
      </c>
    </row>
    <row r="276" spans="2:15" ht="14.5" customHeight="1" x14ac:dyDescent="0.35">
      <c r="B276" s="10">
        <v>272</v>
      </c>
      <c r="C276" s="34" t="s">
        <v>822</v>
      </c>
      <c r="D276" s="63" t="s">
        <v>1162</v>
      </c>
      <c r="E276" s="63">
        <v>135540</v>
      </c>
      <c r="F276" s="42" t="s">
        <v>1924</v>
      </c>
      <c r="G276" s="36" t="s">
        <v>2504</v>
      </c>
      <c r="H276" s="36"/>
      <c r="I276" s="229">
        <v>833.33333333333337</v>
      </c>
      <c r="J276" s="12" t="s">
        <v>53</v>
      </c>
      <c r="K276" s="97">
        <v>46212</v>
      </c>
      <c r="L276" s="95">
        <v>30</v>
      </c>
      <c r="M276" s="96">
        <v>46246</v>
      </c>
      <c r="N276" s="11">
        <f t="shared" si="8"/>
        <v>34</v>
      </c>
      <c r="O276" s="32" t="str">
        <f t="shared" si="9"/>
        <v>No</v>
      </c>
    </row>
    <row r="277" spans="2:15" ht="14.5" customHeight="1" x14ac:dyDescent="0.35">
      <c r="B277" s="10">
        <v>273</v>
      </c>
      <c r="C277" s="34" t="s">
        <v>822</v>
      </c>
      <c r="D277" s="63" t="s">
        <v>1163</v>
      </c>
      <c r="E277" s="63">
        <v>135677</v>
      </c>
      <c r="F277" s="42" t="s">
        <v>1925</v>
      </c>
      <c r="G277" s="36" t="s">
        <v>2447</v>
      </c>
      <c r="H277" s="36"/>
      <c r="I277" s="229">
        <v>483.33333333333331</v>
      </c>
      <c r="J277" s="12" t="s">
        <v>53</v>
      </c>
      <c r="K277" s="97">
        <v>46226</v>
      </c>
      <c r="L277" s="95">
        <v>30</v>
      </c>
      <c r="M277" s="96">
        <v>46251</v>
      </c>
      <c r="N277" s="11">
        <f t="shared" si="8"/>
        <v>25</v>
      </c>
      <c r="O277" s="32" t="str">
        <f t="shared" si="9"/>
        <v>Yes</v>
      </c>
    </row>
    <row r="278" spans="2:15" ht="14.5" customHeight="1" x14ac:dyDescent="0.35">
      <c r="B278" s="10">
        <v>274</v>
      </c>
      <c r="C278" s="34" t="s">
        <v>822</v>
      </c>
      <c r="D278" s="63" t="s">
        <v>1164</v>
      </c>
      <c r="E278" s="63">
        <v>134747</v>
      </c>
      <c r="F278" s="42" t="s">
        <v>1926</v>
      </c>
      <c r="G278" s="36" t="s">
        <v>2505</v>
      </c>
      <c r="H278" s="36"/>
      <c r="I278" s="229">
        <v>187.5</v>
      </c>
      <c r="J278" s="12" t="s">
        <v>53</v>
      </c>
      <c r="K278" s="97">
        <v>46178</v>
      </c>
      <c r="L278" s="95">
        <v>30</v>
      </c>
      <c r="M278" s="96">
        <v>46207</v>
      </c>
      <c r="N278" s="11">
        <f t="shared" si="8"/>
        <v>29</v>
      </c>
      <c r="O278" s="32" t="str">
        <f t="shared" si="9"/>
        <v>Yes</v>
      </c>
    </row>
    <row r="279" spans="2:15" ht="14.5" customHeight="1" x14ac:dyDescent="0.35">
      <c r="B279" s="10">
        <v>275</v>
      </c>
      <c r="C279" s="34" t="s">
        <v>822</v>
      </c>
      <c r="D279" s="63">
        <v>10</v>
      </c>
      <c r="E279" s="63">
        <v>135760</v>
      </c>
      <c r="F279" s="42" t="s">
        <v>1927</v>
      </c>
      <c r="G279" s="36" t="s">
        <v>2506</v>
      </c>
      <c r="H279" s="36"/>
      <c r="I279" s="229">
        <v>291.66666666666669</v>
      </c>
      <c r="J279" s="12" t="s">
        <v>53</v>
      </c>
      <c r="K279" s="97">
        <v>46226</v>
      </c>
      <c r="L279" s="95">
        <v>30</v>
      </c>
      <c r="M279" s="96">
        <v>46247</v>
      </c>
      <c r="N279" s="11">
        <f t="shared" si="8"/>
        <v>21</v>
      </c>
      <c r="O279" s="32" t="str">
        <f t="shared" si="9"/>
        <v>Yes</v>
      </c>
    </row>
    <row r="280" spans="2:15" ht="14.5" customHeight="1" x14ac:dyDescent="0.35">
      <c r="B280" s="10">
        <v>276</v>
      </c>
      <c r="C280" s="34" t="s">
        <v>822</v>
      </c>
      <c r="D280" s="63" t="s">
        <v>1165</v>
      </c>
      <c r="E280" s="63">
        <v>134122</v>
      </c>
      <c r="F280" s="42" t="s">
        <v>1928</v>
      </c>
      <c r="G280" s="36" t="s">
        <v>796</v>
      </c>
      <c r="H280" s="36"/>
      <c r="I280" s="229">
        <v>903.125</v>
      </c>
      <c r="J280" s="12" t="s">
        <v>53</v>
      </c>
      <c r="K280" s="97">
        <v>46220</v>
      </c>
      <c r="L280" s="95">
        <v>30</v>
      </c>
      <c r="M280" s="96">
        <v>46248</v>
      </c>
      <c r="N280" s="11">
        <f t="shared" si="8"/>
        <v>28</v>
      </c>
      <c r="O280" s="32" t="str">
        <f t="shared" si="9"/>
        <v>Yes</v>
      </c>
    </row>
    <row r="281" spans="2:15" ht="14.5" customHeight="1" x14ac:dyDescent="0.35">
      <c r="B281" s="10">
        <v>277</v>
      </c>
      <c r="C281" s="34" t="s">
        <v>822</v>
      </c>
      <c r="D281" s="63" t="s">
        <v>1166</v>
      </c>
      <c r="E281" s="63">
        <v>134122</v>
      </c>
      <c r="F281" s="42" t="s">
        <v>1929</v>
      </c>
      <c r="G281" s="36" t="s">
        <v>796</v>
      </c>
      <c r="H281" s="36"/>
      <c r="I281" s="229">
        <v>903.125</v>
      </c>
      <c r="J281" s="12" t="s">
        <v>53</v>
      </c>
      <c r="K281" s="97">
        <v>46220</v>
      </c>
      <c r="L281" s="95">
        <v>30</v>
      </c>
      <c r="M281" s="96">
        <v>46252</v>
      </c>
      <c r="N281" s="11">
        <f t="shared" si="8"/>
        <v>32</v>
      </c>
      <c r="O281" s="32" t="str">
        <f t="shared" si="9"/>
        <v>No</v>
      </c>
    </row>
    <row r="282" spans="2:15" ht="14.5" customHeight="1" x14ac:dyDescent="0.35">
      <c r="B282" s="10">
        <v>278</v>
      </c>
      <c r="C282" s="34" t="s">
        <v>822</v>
      </c>
      <c r="D282" s="63" t="s">
        <v>1167</v>
      </c>
      <c r="E282" s="63">
        <v>134122</v>
      </c>
      <c r="F282" s="42" t="s">
        <v>1930</v>
      </c>
      <c r="G282" s="36" t="s">
        <v>796</v>
      </c>
      <c r="H282" s="36"/>
      <c r="I282" s="229">
        <v>2231.25</v>
      </c>
      <c r="J282" s="12" t="s">
        <v>53</v>
      </c>
      <c r="K282" s="97">
        <v>46220</v>
      </c>
      <c r="L282" s="95">
        <v>30</v>
      </c>
      <c r="M282" s="96">
        <v>46255</v>
      </c>
      <c r="N282" s="11">
        <f t="shared" si="8"/>
        <v>35</v>
      </c>
      <c r="O282" s="32" t="str">
        <f t="shared" si="9"/>
        <v>No</v>
      </c>
    </row>
    <row r="283" spans="2:15" ht="14.5" customHeight="1" x14ac:dyDescent="0.35">
      <c r="B283" s="10">
        <v>279</v>
      </c>
      <c r="C283" s="34" t="s">
        <v>822</v>
      </c>
      <c r="D283" s="63" t="s">
        <v>1168</v>
      </c>
      <c r="E283" s="63">
        <v>134122</v>
      </c>
      <c r="F283" s="42" t="s">
        <v>1931</v>
      </c>
      <c r="G283" s="36" t="s">
        <v>796</v>
      </c>
      <c r="H283" s="36"/>
      <c r="I283" s="229">
        <v>77.916666666666671</v>
      </c>
      <c r="J283" s="12" t="s">
        <v>53</v>
      </c>
      <c r="K283" s="97">
        <v>46220</v>
      </c>
      <c r="L283" s="95">
        <v>30</v>
      </c>
      <c r="M283" s="96">
        <v>46248</v>
      </c>
      <c r="N283" s="11">
        <f t="shared" si="8"/>
        <v>28</v>
      </c>
      <c r="O283" s="32" t="str">
        <f t="shared" si="9"/>
        <v>Yes</v>
      </c>
    </row>
    <row r="284" spans="2:15" ht="14.5" customHeight="1" x14ac:dyDescent="0.35">
      <c r="B284" s="10">
        <v>280</v>
      </c>
      <c r="C284" s="34" t="s">
        <v>822</v>
      </c>
      <c r="D284" s="63" t="s">
        <v>1169</v>
      </c>
      <c r="E284" s="63">
        <v>134122</v>
      </c>
      <c r="F284" s="42" t="s">
        <v>1931</v>
      </c>
      <c r="G284" s="36" t="s">
        <v>796</v>
      </c>
      <c r="H284" s="36"/>
      <c r="I284" s="229">
        <v>903.125</v>
      </c>
      <c r="J284" s="12" t="s">
        <v>53</v>
      </c>
      <c r="K284" s="97">
        <v>46220</v>
      </c>
      <c r="L284" s="95">
        <v>30</v>
      </c>
      <c r="M284" s="96">
        <v>46250</v>
      </c>
      <c r="N284" s="11">
        <f t="shared" si="8"/>
        <v>30</v>
      </c>
      <c r="O284" s="32" t="str">
        <f t="shared" si="9"/>
        <v>Yes</v>
      </c>
    </row>
    <row r="285" spans="2:15" ht="14.5" customHeight="1" x14ac:dyDescent="0.35">
      <c r="B285" s="10">
        <v>281</v>
      </c>
      <c r="C285" s="34" t="s">
        <v>822</v>
      </c>
      <c r="D285" s="63" t="s">
        <v>1170</v>
      </c>
      <c r="E285" s="63">
        <v>134122</v>
      </c>
      <c r="F285" s="42" t="s">
        <v>1932</v>
      </c>
      <c r="G285" s="36" t="s">
        <v>796</v>
      </c>
      <c r="H285" s="36"/>
      <c r="I285" s="229">
        <v>233.75</v>
      </c>
      <c r="J285" s="12" t="s">
        <v>53</v>
      </c>
      <c r="K285" s="97">
        <v>46220</v>
      </c>
      <c r="L285" s="95">
        <v>30</v>
      </c>
      <c r="M285" s="96">
        <v>46250</v>
      </c>
      <c r="N285" s="11">
        <f t="shared" si="8"/>
        <v>30</v>
      </c>
      <c r="O285" s="32" t="str">
        <f t="shared" si="9"/>
        <v>Yes</v>
      </c>
    </row>
    <row r="286" spans="2:15" ht="14.5" customHeight="1" x14ac:dyDescent="0.35">
      <c r="B286" s="10">
        <v>282</v>
      </c>
      <c r="C286" s="34" t="s">
        <v>822</v>
      </c>
      <c r="D286" s="63" t="s">
        <v>1171</v>
      </c>
      <c r="E286" s="63">
        <v>134122</v>
      </c>
      <c r="F286" s="42" t="s">
        <v>1932</v>
      </c>
      <c r="G286" s="36" t="s">
        <v>796</v>
      </c>
      <c r="H286" s="36"/>
      <c r="I286" s="229">
        <v>2231.25</v>
      </c>
      <c r="J286" s="12" t="s">
        <v>53</v>
      </c>
      <c r="K286" s="97">
        <v>46220</v>
      </c>
      <c r="L286" s="95">
        <v>30</v>
      </c>
      <c r="M286" s="96">
        <v>46255</v>
      </c>
      <c r="N286" s="11">
        <f t="shared" si="8"/>
        <v>35</v>
      </c>
      <c r="O286" s="32" t="str">
        <f t="shared" si="9"/>
        <v>No</v>
      </c>
    </row>
    <row r="287" spans="2:15" ht="14.5" customHeight="1" x14ac:dyDescent="0.35">
      <c r="B287" s="10">
        <v>283</v>
      </c>
      <c r="C287" s="34" t="s">
        <v>822</v>
      </c>
      <c r="D287" s="63" t="s">
        <v>1172</v>
      </c>
      <c r="E287" s="63">
        <v>134122</v>
      </c>
      <c r="F287" s="42" t="s">
        <v>1933</v>
      </c>
      <c r="G287" s="36" t="s">
        <v>796</v>
      </c>
      <c r="H287" s="36"/>
      <c r="I287" s="229">
        <v>2231.25</v>
      </c>
      <c r="J287" s="12" t="s">
        <v>53</v>
      </c>
      <c r="K287" s="97">
        <v>46220</v>
      </c>
      <c r="L287" s="95">
        <v>30</v>
      </c>
      <c r="M287" s="96">
        <v>46252</v>
      </c>
      <c r="N287" s="11">
        <f t="shared" si="8"/>
        <v>32</v>
      </c>
      <c r="O287" s="32" t="str">
        <f t="shared" si="9"/>
        <v>No</v>
      </c>
    </row>
    <row r="288" spans="2:15" ht="14.5" customHeight="1" x14ac:dyDescent="0.35">
      <c r="B288" s="10">
        <v>284</v>
      </c>
      <c r="C288" s="34" t="s">
        <v>822</v>
      </c>
      <c r="D288" s="63" t="s">
        <v>1173</v>
      </c>
      <c r="E288" s="63">
        <v>134122</v>
      </c>
      <c r="F288" s="42" t="s">
        <v>1933</v>
      </c>
      <c r="G288" s="36" t="s">
        <v>796</v>
      </c>
      <c r="H288" s="36"/>
      <c r="I288" s="229">
        <v>233.75</v>
      </c>
      <c r="J288" s="12" t="s">
        <v>53</v>
      </c>
      <c r="K288" s="97">
        <v>46220</v>
      </c>
      <c r="L288" s="95">
        <v>30</v>
      </c>
      <c r="M288" s="96">
        <v>46249</v>
      </c>
      <c r="N288" s="11">
        <f t="shared" si="8"/>
        <v>29</v>
      </c>
      <c r="O288" s="32" t="str">
        <f t="shared" si="9"/>
        <v>Yes</v>
      </c>
    </row>
    <row r="289" spans="2:15" ht="14.5" customHeight="1" x14ac:dyDescent="0.35">
      <c r="B289" s="10">
        <v>285</v>
      </c>
      <c r="C289" s="34" t="s">
        <v>822</v>
      </c>
      <c r="D289" s="63" t="s">
        <v>1174</v>
      </c>
      <c r="E289" s="63">
        <v>134122</v>
      </c>
      <c r="F289" s="42" t="s">
        <v>1934</v>
      </c>
      <c r="G289" s="36" t="s">
        <v>796</v>
      </c>
      <c r="H289" s="36"/>
      <c r="I289" s="229">
        <v>233.75</v>
      </c>
      <c r="J289" s="12" t="s">
        <v>53</v>
      </c>
      <c r="K289" s="97">
        <v>46220</v>
      </c>
      <c r="L289" s="95">
        <v>30</v>
      </c>
      <c r="M289" s="96">
        <v>46253</v>
      </c>
      <c r="N289" s="11">
        <f t="shared" si="8"/>
        <v>33</v>
      </c>
      <c r="O289" s="32" t="str">
        <f t="shared" si="9"/>
        <v>No</v>
      </c>
    </row>
    <row r="290" spans="2:15" ht="14.5" customHeight="1" x14ac:dyDescent="0.35">
      <c r="B290" s="10">
        <v>286</v>
      </c>
      <c r="C290" s="34" t="s">
        <v>822</v>
      </c>
      <c r="D290" s="63">
        <v>7</v>
      </c>
      <c r="E290" s="63">
        <v>129266</v>
      </c>
      <c r="F290" s="42" t="s">
        <v>1935</v>
      </c>
      <c r="G290" s="36" t="s">
        <v>2507</v>
      </c>
      <c r="H290" s="36"/>
      <c r="I290" s="229">
        <v>3443.3333333333335</v>
      </c>
      <c r="J290" s="12" t="s">
        <v>53</v>
      </c>
      <c r="K290" s="97">
        <v>46220</v>
      </c>
      <c r="L290" s="95">
        <v>30</v>
      </c>
      <c r="M290" s="96">
        <v>46255</v>
      </c>
      <c r="N290" s="11">
        <f t="shared" si="8"/>
        <v>35</v>
      </c>
      <c r="O290" s="32" t="str">
        <f t="shared" si="9"/>
        <v>No</v>
      </c>
    </row>
    <row r="291" spans="2:15" ht="14.5" customHeight="1" x14ac:dyDescent="0.35">
      <c r="B291" s="10">
        <v>287</v>
      </c>
      <c r="C291" s="34" t="s">
        <v>822</v>
      </c>
      <c r="D291" s="63" t="s">
        <v>1175</v>
      </c>
      <c r="E291" s="63">
        <v>114752</v>
      </c>
      <c r="F291" s="42" t="s">
        <v>1936</v>
      </c>
      <c r="G291" s="36" t="s">
        <v>2508</v>
      </c>
      <c r="H291" s="36"/>
      <c r="I291" s="229">
        <v>1000</v>
      </c>
      <c r="J291" s="12" t="s">
        <v>53</v>
      </c>
      <c r="K291" s="97">
        <v>46184</v>
      </c>
      <c r="L291" s="95">
        <v>30</v>
      </c>
      <c r="M291" s="96">
        <v>46219</v>
      </c>
      <c r="N291" s="11">
        <f t="shared" si="8"/>
        <v>35</v>
      </c>
      <c r="O291" s="32" t="str">
        <f t="shared" si="9"/>
        <v>No</v>
      </c>
    </row>
    <row r="292" spans="2:15" ht="14.5" customHeight="1" x14ac:dyDescent="0.35">
      <c r="B292" s="10">
        <v>288</v>
      </c>
      <c r="C292" s="34" t="s">
        <v>822</v>
      </c>
      <c r="D292" s="63" t="s">
        <v>1176</v>
      </c>
      <c r="E292" s="63">
        <v>114752</v>
      </c>
      <c r="F292" s="42" t="s">
        <v>1937</v>
      </c>
      <c r="G292" s="36" t="s">
        <v>2508</v>
      </c>
      <c r="H292" s="36"/>
      <c r="I292" s="229">
        <v>500</v>
      </c>
      <c r="J292" s="12" t="s">
        <v>53</v>
      </c>
      <c r="K292" s="97">
        <v>46184</v>
      </c>
      <c r="L292" s="95">
        <v>30</v>
      </c>
      <c r="M292" s="96">
        <v>46211</v>
      </c>
      <c r="N292" s="11">
        <f t="shared" si="8"/>
        <v>27</v>
      </c>
      <c r="O292" s="32" t="str">
        <f t="shared" si="9"/>
        <v>Yes</v>
      </c>
    </row>
    <row r="293" spans="2:15" ht="14.5" customHeight="1" x14ac:dyDescent="0.35">
      <c r="B293" s="10">
        <v>289</v>
      </c>
      <c r="C293" s="34" t="s">
        <v>822</v>
      </c>
      <c r="D293" s="63" t="s">
        <v>1177</v>
      </c>
      <c r="E293" s="63">
        <v>114752</v>
      </c>
      <c r="F293" s="42" t="s">
        <v>1938</v>
      </c>
      <c r="G293" s="36" t="s">
        <v>2508</v>
      </c>
      <c r="H293" s="36"/>
      <c r="I293" s="229">
        <v>500</v>
      </c>
      <c r="J293" s="12" t="s">
        <v>53</v>
      </c>
      <c r="K293" s="97">
        <v>46184</v>
      </c>
      <c r="L293" s="95">
        <v>30</v>
      </c>
      <c r="M293" s="96">
        <v>46221</v>
      </c>
      <c r="N293" s="11">
        <f t="shared" si="8"/>
        <v>37</v>
      </c>
      <c r="O293" s="32" t="str">
        <f t="shared" si="9"/>
        <v>No</v>
      </c>
    </row>
    <row r="294" spans="2:15" ht="14.5" customHeight="1" x14ac:dyDescent="0.35">
      <c r="B294" s="10">
        <v>290</v>
      </c>
      <c r="C294" s="34" t="s">
        <v>822</v>
      </c>
      <c r="D294" s="63" t="s">
        <v>1178</v>
      </c>
      <c r="E294" s="63">
        <v>133921</v>
      </c>
      <c r="F294" s="42" t="s">
        <v>1939</v>
      </c>
      <c r="G294" s="36" t="s">
        <v>2509</v>
      </c>
      <c r="H294" s="36"/>
      <c r="I294" s="229">
        <v>125</v>
      </c>
      <c r="J294" s="12" t="s">
        <v>53</v>
      </c>
      <c r="K294" s="97">
        <v>46220</v>
      </c>
      <c r="L294" s="95">
        <v>30</v>
      </c>
      <c r="M294" s="96">
        <v>46252</v>
      </c>
      <c r="N294" s="11">
        <f t="shared" si="8"/>
        <v>32</v>
      </c>
      <c r="O294" s="32" t="str">
        <f t="shared" si="9"/>
        <v>No</v>
      </c>
    </row>
    <row r="295" spans="2:15" ht="14.5" customHeight="1" x14ac:dyDescent="0.35">
      <c r="B295" s="10">
        <v>291</v>
      </c>
      <c r="C295" s="34" t="s">
        <v>822</v>
      </c>
      <c r="D295" s="63" t="s">
        <v>1179</v>
      </c>
      <c r="E295" s="63">
        <v>133921</v>
      </c>
      <c r="F295" s="42" t="s">
        <v>1939</v>
      </c>
      <c r="G295" s="36" t="s">
        <v>2509</v>
      </c>
      <c r="H295" s="36"/>
      <c r="I295" s="229">
        <v>291.66666666666669</v>
      </c>
      <c r="J295" s="12" t="s">
        <v>53</v>
      </c>
      <c r="K295" s="97">
        <v>46220</v>
      </c>
      <c r="L295" s="95">
        <v>30</v>
      </c>
      <c r="M295" s="96">
        <v>46252</v>
      </c>
      <c r="N295" s="11">
        <f t="shared" si="8"/>
        <v>32</v>
      </c>
      <c r="O295" s="32" t="str">
        <f t="shared" si="9"/>
        <v>No</v>
      </c>
    </row>
    <row r="296" spans="2:15" ht="14.5" customHeight="1" x14ac:dyDescent="0.35">
      <c r="B296" s="10">
        <v>292</v>
      </c>
      <c r="C296" s="34" t="s">
        <v>822</v>
      </c>
      <c r="D296" s="63" t="s">
        <v>1180</v>
      </c>
      <c r="E296" s="63">
        <v>133921</v>
      </c>
      <c r="F296" s="42" t="s">
        <v>1866</v>
      </c>
      <c r="G296" s="36" t="s">
        <v>2509</v>
      </c>
      <c r="H296" s="36"/>
      <c r="I296" s="229">
        <v>291.66666666666669</v>
      </c>
      <c r="J296" s="12" t="s">
        <v>53</v>
      </c>
      <c r="K296" s="97">
        <v>46220</v>
      </c>
      <c r="L296" s="95">
        <v>30</v>
      </c>
      <c r="M296" s="96">
        <v>46251</v>
      </c>
      <c r="N296" s="11">
        <f t="shared" si="8"/>
        <v>31</v>
      </c>
      <c r="O296" s="32" t="str">
        <f t="shared" si="9"/>
        <v>No</v>
      </c>
    </row>
    <row r="297" spans="2:15" ht="14.5" customHeight="1" x14ac:dyDescent="0.35">
      <c r="B297" s="10">
        <v>293</v>
      </c>
      <c r="C297" s="34" t="s">
        <v>822</v>
      </c>
      <c r="D297" s="63" t="s">
        <v>1181</v>
      </c>
      <c r="E297" s="63">
        <v>133921</v>
      </c>
      <c r="F297" s="42" t="s">
        <v>1866</v>
      </c>
      <c r="G297" s="36" t="s">
        <v>2509</v>
      </c>
      <c r="H297" s="36"/>
      <c r="I297" s="229">
        <v>125</v>
      </c>
      <c r="J297" s="12" t="s">
        <v>53</v>
      </c>
      <c r="K297" s="97">
        <v>46220</v>
      </c>
      <c r="L297" s="95">
        <v>30</v>
      </c>
      <c r="M297" s="96">
        <v>46254</v>
      </c>
      <c r="N297" s="11">
        <f t="shared" si="8"/>
        <v>34</v>
      </c>
      <c r="O297" s="32" t="str">
        <f t="shared" si="9"/>
        <v>No</v>
      </c>
    </row>
    <row r="298" spans="2:15" ht="14.5" customHeight="1" x14ac:dyDescent="0.35">
      <c r="B298" s="10">
        <v>294</v>
      </c>
      <c r="C298" s="34" t="s">
        <v>822</v>
      </c>
      <c r="D298" s="63" t="s">
        <v>1182</v>
      </c>
      <c r="E298" s="63">
        <v>127316</v>
      </c>
      <c r="F298" s="42" t="s">
        <v>1940</v>
      </c>
      <c r="G298" s="36" t="s">
        <v>2510</v>
      </c>
      <c r="H298" s="36"/>
      <c r="I298" s="229">
        <v>2875</v>
      </c>
      <c r="J298" s="12" t="s">
        <v>53</v>
      </c>
      <c r="K298" s="97">
        <v>46198</v>
      </c>
      <c r="L298" s="95">
        <v>30</v>
      </c>
      <c r="M298" s="96">
        <v>46224</v>
      </c>
      <c r="N298" s="11">
        <f t="shared" si="8"/>
        <v>26</v>
      </c>
      <c r="O298" s="32" t="str">
        <f t="shared" si="9"/>
        <v>Yes</v>
      </c>
    </row>
    <row r="299" spans="2:15" ht="14.5" customHeight="1" x14ac:dyDescent="0.35">
      <c r="B299" s="10">
        <v>295</v>
      </c>
      <c r="C299" s="34" t="s">
        <v>822</v>
      </c>
      <c r="D299" s="63">
        <v>135860</v>
      </c>
      <c r="E299" s="63">
        <v>135860</v>
      </c>
      <c r="F299" s="42" t="s">
        <v>1941</v>
      </c>
      <c r="G299" s="36" t="s">
        <v>2511</v>
      </c>
      <c r="H299" s="36"/>
      <c r="I299" s="229">
        <v>520.83333333333337</v>
      </c>
      <c r="J299" s="12" t="s">
        <v>53</v>
      </c>
      <c r="K299" s="97">
        <v>46226</v>
      </c>
      <c r="L299" s="95">
        <v>30</v>
      </c>
      <c r="M299" s="96">
        <v>46247</v>
      </c>
      <c r="N299" s="11">
        <f t="shared" si="8"/>
        <v>21</v>
      </c>
      <c r="O299" s="32" t="str">
        <f t="shared" si="9"/>
        <v>Yes</v>
      </c>
    </row>
    <row r="300" spans="2:15" ht="14.5" customHeight="1" x14ac:dyDescent="0.35">
      <c r="B300" s="10">
        <v>296</v>
      </c>
      <c r="C300" s="34" t="s">
        <v>822</v>
      </c>
      <c r="D300" s="63" t="s">
        <v>1183</v>
      </c>
      <c r="E300" s="63">
        <v>134708</v>
      </c>
      <c r="F300" s="42" t="s">
        <v>1942</v>
      </c>
      <c r="G300" s="36" t="s">
        <v>2512</v>
      </c>
      <c r="H300" s="36"/>
      <c r="I300" s="229">
        <v>2316.6666666666665</v>
      </c>
      <c r="J300" s="12" t="s">
        <v>53</v>
      </c>
      <c r="K300" s="97">
        <v>46220</v>
      </c>
      <c r="L300" s="95">
        <v>30</v>
      </c>
      <c r="M300" s="96">
        <v>46246</v>
      </c>
      <c r="N300" s="11">
        <f t="shared" si="8"/>
        <v>26</v>
      </c>
      <c r="O300" s="32" t="str">
        <f t="shared" si="9"/>
        <v>Yes</v>
      </c>
    </row>
    <row r="301" spans="2:15" ht="14.5" customHeight="1" x14ac:dyDescent="0.35">
      <c r="B301" s="10">
        <v>297</v>
      </c>
      <c r="C301" s="34" t="s">
        <v>822</v>
      </c>
      <c r="D301" s="63" t="s">
        <v>1184</v>
      </c>
      <c r="E301" s="63">
        <v>134707</v>
      </c>
      <c r="F301" s="42" t="s">
        <v>1943</v>
      </c>
      <c r="G301" s="36" t="s">
        <v>2512</v>
      </c>
      <c r="H301" s="36"/>
      <c r="I301" s="229">
        <v>1451.0416666666667</v>
      </c>
      <c r="J301" s="12" t="s">
        <v>53</v>
      </c>
      <c r="K301" s="97">
        <v>46220</v>
      </c>
      <c r="L301" s="95">
        <v>30</v>
      </c>
      <c r="M301" s="96">
        <v>46246</v>
      </c>
      <c r="N301" s="11">
        <f t="shared" si="8"/>
        <v>26</v>
      </c>
      <c r="O301" s="32" t="str">
        <f t="shared" si="9"/>
        <v>Yes</v>
      </c>
    </row>
    <row r="302" spans="2:15" ht="14.5" customHeight="1" x14ac:dyDescent="0.35">
      <c r="B302" s="10">
        <v>298</v>
      </c>
      <c r="C302" s="34" t="s">
        <v>822</v>
      </c>
      <c r="D302" s="63" t="s">
        <v>1185</v>
      </c>
      <c r="E302" s="63">
        <v>134707</v>
      </c>
      <c r="F302" s="42" t="s">
        <v>1944</v>
      </c>
      <c r="G302" s="36" t="s">
        <v>2512</v>
      </c>
      <c r="H302" s="36"/>
      <c r="I302" s="229">
        <v>768.75</v>
      </c>
      <c r="J302" s="12" t="s">
        <v>53</v>
      </c>
      <c r="K302" s="97">
        <v>46220</v>
      </c>
      <c r="L302" s="95">
        <v>30</v>
      </c>
      <c r="M302" s="96">
        <v>46246</v>
      </c>
      <c r="N302" s="11">
        <f t="shared" si="8"/>
        <v>26</v>
      </c>
      <c r="O302" s="32" t="str">
        <f t="shared" si="9"/>
        <v>Yes</v>
      </c>
    </row>
    <row r="303" spans="2:15" ht="14.5" customHeight="1" x14ac:dyDescent="0.35">
      <c r="B303" s="10">
        <v>299</v>
      </c>
      <c r="C303" s="34" t="s">
        <v>822</v>
      </c>
      <c r="D303" s="63" t="s">
        <v>1186</v>
      </c>
      <c r="E303" s="63">
        <v>134707</v>
      </c>
      <c r="F303" s="42" t="s">
        <v>1945</v>
      </c>
      <c r="G303" s="36" t="s">
        <v>2512</v>
      </c>
      <c r="H303" s="36"/>
      <c r="I303" s="229">
        <v>1537.5</v>
      </c>
      <c r="J303" s="12" t="s">
        <v>53</v>
      </c>
      <c r="K303" s="97">
        <v>46220</v>
      </c>
      <c r="L303" s="95">
        <v>30</v>
      </c>
      <c r="M303" s="96">
        <v>46246</v>
      </c>
      <c r="N303" s="11">
        <f t="shared" si="8"/>
        <v>26</v>
      </c>
      <c r="O303" s="32" t="str">
        <f t="shared" si="9"/>
        <v>Yes</v>
      </c>
    </row>
    <row r="304" spans="2:15" ht="14.5" customHeight="1" x14ac:dyDescent="0.35">
      <c r="B304" s="10">
        <v>300</v>
      </c>
      <c r="C304" s="34" t="s">
        <v>822</v>
      </c>
      <c r="D304" s="63">
        <v>5400526</v>
      </c>
      <c r="E304" s="63">
        <v>134738</v>
      </c>
      <c r="F304" s="42" t="s">
        <v>1946</v>
      </c>
      <c r="G304" s="36" t="s">
        <v>659</v>
      </c>
      <c r="H304" s="36"/>
      <c r="I304" s="229">
        <v>393.75</v>
      </c>
      <c r="J304" s="12" t="s">
        <v>53</v>
      </c>
      <c r="K304" s="97">
        <v>46220</v>
      </c>
      <c r="L304" s="95">
        <v>30</v>
      </c>
      <c r="M304" s="96">
        <v>46247</v>
      </c>
      <c r="N304" s="11">
        <f t="shared" si="8"/>
        <v>27</v>
      </c>
      <c r="O304" s="32" t="str">
        <f t="shared" si="9"/>
        <v>Yes</v>
      </c>
    </row>
    <row r="305" spans="2:15" ht="14.5" customHeight="1" x14ac:dyDescent="0.35">
      <c r="B305" s="10">
        <v>301</v>
      </c>
      <c r="C305" s="34" t="s">
        <v>822</v>
      </c>
      <c r="D305" s="63">
        <v>16</v>
      </c>
      <c r="E305" s="63">
        <v>134821</v>
      </c>
      <c r="F305" s="42" t="s">
        <v>1947</v>
      </c>
      <c r="G305" s="36" t="s">
        <v>2513</v>
      </c>
      <c r="H305" s="36"/>
      <c r="I305" s="229">
        <v>608.33333333333337</v>
      </c>
      <c r="J305" s="12" t="s">
        <v>53</v>
      </c>
      <c r="K305" s="97">
        <v>46188</v>
      </c>
      <c r="L305" s="95">
        <v>30</v>
      </c>
      <c r="M305" s="96">
        <v>46214</v>
      </c>
      <c r="N305" s="11">
        <f t="shared" si="8"/>
        <v>26</v>
      </c>
      <c r="O305" s="32" t="str">
        <f t="shared" si="9"/>
        <v>Yes</v>
      </c>
    </row>
    <row r="306" spans="2:15" ht="14.5" customHeight="1" x14ac:dyDescent="0.35">
      <c r="B306" s="10">
        <v>302</v>
      </c>
      <c r="C306" s="34" t="s">
        <v>822</v>
      </c>
      <c r="D306" s="63" t="s">
        <v>1187</v>
      </c>
      <c r="E306" s="63">
        <v>135070</v>
      </c>
      <c r="F306" s="42" t="s">
        <v>1948</v>
      </c>
      <c r="G306" s="36" t="s">
        <v>2514</v>
      </c>
      <c r="H306" s="36"/>
      <c r="I306" s="229">
        <v>4791.666666666667</v>
      </c>
      <c r="J306" s="12" t="s">
        <v>53</v>
      </c>
      <c r="K306" s="97">
        <v>46211</v>
      </c>
      <c r="L306" s="95">
        <v>30</v>
      </c>
      <c r="M306" s="96">
        <v>46239</v>
      </c>
      <c r="N306" s="11">
        <f t="shared" si="8"/>
        <v>28</v>
      </c>
      <c r="O306" s="32" t="str">
        <f t="shared" si="9"/>
        <v>Yes</v>
      </c>
    </row>
    <row r="307" spans="2:15" ht="14.5" customHeight="1" x14ac:dyDescent="0.35">
      <c r="B307" s="10">
        <v>303</v>
      </c>
      <c r="C307" s="34" t="s">
        <v>822</v>
      </c>
      <c r="D307" s="63" t="s">
        <v>1188</v>
      </c>
      <c r="E307" s="63">
        <v>135025</v>
      </c>
      <c r="F307" s="42" t="s">
        <v>1949</v>
      </c>
      <c r="G307" s="36" t="s">
        <v>2515</v>
      </c>
      <c r="H307" s="36"/>
      <c r="I307" s="229">
        <v>312.5</v>
      </c>
      <c r="J307" s="12" t="s">
        <v>53</v>
      </c>
      <c r="K307" s="97">
        <v>46206</v>
      </c>
      <c r="L307" s="95">
        <v>30</v>
      </c>
      <c r="M307" s="96">
        <v>46232</v>
      </c>
      <c r="N307" s="11">
        <f t="shared" si="8"/>
        <v>26</v>
      </c>
      <c r="O307" s="32" t="str">
        <f t="shared" si="9"/>
        <v>Yes</v>
      </c>
    </row>
    <row r="308" spans="2:15" ht="14.5" customHeight="1" x14ac:dyDescent="0.35">
      <c r="B308" s="10">
        <v>304</v>
      </c>
      <c r="C308" s="34" t="s">
        <v>822</v>
      </c>
      <c r="D308" s="63">
        <v>13</v>
      </c>
      <c r="E308" s="63">
        <v>134685</v>
      </c>
      <c r="F308" s="42" t="s">
        <v>1950</v>
      </c>
      <c r="G308" s="36" t="s">
        <v>2516</v>
      </c>
      <c r="H308" s="36"/>
      <c r="I308" s="229">
        <v>86.875</v>
      </c>
      <c r="J308" s="12" t="s">
        <v>53</v>
      </c>
      <c r="K308" s="97">
        <v>46209</v>
      </c>
      <c r="L308" s="95">
        <v>30</v>
      </c>
      <c r="M308" s="96">
        <v>46237</v>
      </c>
      <c r="N308" s="11">
        <f t="shared" si="8"/>
        <v>28</v>
      </c>
      <c r="O308" s="32" t="str">
        <f t="shared" si="9"/>
        <v>Yes</v>
      </c>
    </row>
    <row r="309" spans="2:15" ht="14.5" customHeight="1" x14ac:dyDescent="0.35">
      <c r="B309" s="10">
        <v>305</v>
      </c>
      <c r="C309" s="34" t="s">
        <v>822</v>
      </c>
      <c r="D309" s="63" t="s">
        <v>1189</v>
      </c>
      <c r="E309" s="63">
        <v>134887</v>
      </c>
      <c r="F309" s="42" t="s">
        <v>1950</v>
      </c>
      <c r="G309" s="36" t="s">
        <v>2517</v>
      </c>
      <c r="H309" s="36"/>
      <c r="I309" s="229">
        <v>91.666666666666671</v>
      </c>
      <c r="J309" s="12" t="s">
        <v>53</v>
      </c>
      <c r="K309" s="97">
        <v>46220</v>
      </c>
      <c r="L309" s="95">
        <v>30</v>
      </c>
      <c r="M309" s="96">
        <v>46248</v>
      </c>
      <c r="N309" s="11">
        <f t="shared" si="8"/>
        <v>28</v>
      </c>
      <c r="O309" s="32" t="str">
        <f t="shared" si="9"/>
        <v>Yes</v>
      </c>
    </row>
    <row r="310" spans="2:15" ht="14.5" customHeight="1" x14ac:dyDescent="0.35">
      <c r="B310" s="10">
        <v>306</v>
      </c>
      <c r="C310" s="34" t="s">
        <v>822</v>
      </c>
      <c r="D310" s="63" t="s">
        <v>1190</v>
      </c>
      <c r="E310" s="63">
        <v>135544</v>
      </c>
      <c r="F310" s="42" t="s">
        <v>1951</v>
      </c>
      <c r="G310" s="36" t="s">
        <v>2518</v>
      </c>
      <c r="H310" s="36"/>
      <c r="I310" s="229">
        <v>833.33333333333337</v>
      </c>
      <c r="J310" s="12" t="s">
        <v>53</v>
      </c>
      <c r="K310" s="97">
        <v>46212</v>
      </c>
      <c r="L310" s="95">
        <v>30</v>
      </c>
      <c r="M310" s="96">
        <v>46242</v>
      </c>
      <c r="N310" s="11">
        <f t="shared" si="8"/>
        <v>30</v>
      </c>
      <c r="O310" s="32" t="str">
        <f t="shared" si="9"/>
        <v>Yes</v>
      </c>
    </row>
    <row r="311" spans="2:15" ht="14.5" customHeight="1" x14ac:dyDescent="0.35">
      <c r="B311" s="10">
        <v>307</v>
      </c>
      <c r="C311" s="34" t="s">
        <v>822</v>
      </c>
      <c r="D311" s="63" t="s">
        <v>1191</v>
      </c>
      <c r="E311" s="63">
        <v>134504</v>
      </c>
      <c r="F311" s="42" t="s">
        <v>1952</v>
      </c>
      <c r="G311" s="36" t="s">
        <v>758</v>
      </c>
      <c r="H311" s="36"/>
      <c r="I311" s="229">
        <v>131.25</v>
      </c>
      <c r="J311" s="12" t="s">
        <v>53</v>
      </c>
      <c r="K311" s="97">
        <v>46212</v>
      </c>
      <c r="L311" s="95">
        <v>30</v>
      </c>
      <c r="M311" s="96">
        <v>46240</v>
      </c>
      <c r="N311" s="11">
        <f t="shared" si="8"/>
        <v>28</v>
      </c>
      <c r="O311" s="32" t="str">
        <f t="shared" si="9"/>
        <v>Yes</v>
      </c>
    </row>
    <row r="312" spans="2:15" ht="14.5" customHeight="1" x14ac:dyDescent="0.35">
      <c r="B312" s="10">
        <v>308</v>
      </c>
      <c r="C312" s="34" t="s">
        <v>822</v>
      </c>
      <c r="D312" s="63" t="s">
        <v>1192</v>
      </c>
      <c r="E312" s="63">
        <v>134585</v>
      </c>
      <c r="F312" s="42" t="s">
        <v>1953</v>
      </c>
      <c r="G312" s="36" t="s">
        <v>2519</v>
      </c>
      <c r="H312" s="36"/>
      <c r="I312" s="229">
        <v>145.83333333333334</v>
      </c>
      <c r="J312" s="12" t="s">
        <v>53</v>
      </c>
      <c r="K312" s="97">
        <v>46234</v>
      </c>
      <c r="L312" s="95">
        <v>30</v>
      </c>
      <c r="M312" s="96">
        <v>46247</v>
      </c>
      <c r="N312" s="11">
        <f t="shared" si="8"/>
        <v>13</v>
      </c>
      <c r="O312" s="32" t="str">
        <f t="shared" si="9"/>
        <v>Yes</v>
      </c>
    </row>
    <row r="313" spans="2:15" ht="14.5" customHeight="1" x14ac:dyDescent="0.35">
      <c r="B313" s="10">
        <v>309</v>
      </c>
      <c r="C313" s="34" t="s">
        <v>822</v>
      </c>
      <c r="D313" s="63" t="s">
        <v>1193</v>
      </c>
      <c r="E313" s="63">
        <v>134585</v>
      </c>
      <c r="F313" s="42" t="s">
        <v>1867</v>
      </c>
      <c r="G313" s="36" t="s">
        <v>2519</v>
      </c>
      <c r="H313" s="36"/>
      <c r="I313" s="229">
        <v>145.83333333333334</v>
      </c>
      <c r="J313" s="12" t="s">
        <v>53</v>
      </c>
      <c r="K313" s="97">
        <v>46234</v>
      </c>
      <c r="L313" s="95">
        <v>30</v>
      </c>
      <c r="M313" s="96">
        <v>46247</v>
      </c>
      <c r="N313" s="11">
        <f t="shared" si="8"/>
        <v>13</v>
      </c>
      <c r="O313" s="32" t="str">
        <f t="shared" si="9"/>
        <v>Yes</v>
      </c>
    </row>
    <row r="314" spans="2:15" ht="14.5" customHeight="1" x14ac:dyDescent="0.35">
      <c r="B314" s="10">
        <v>310</v>
      </c>
      <c r="C314" s="34" t="s">
        <v>822</v>
      </c>
      <c r="D314" s="63" t="s">
        <v>1194</v>
      </c>
      <c r="E314" s="63">
        <v>135394</v>
      </c>
      <c r="F314" s="42" t="s">
        <v>1954</v>
      </c>
      <c r="G314" s="36" t="s">
        <v>705</v>
      </c>
      <c r="H314" s="36"/>
      <c r="I314" s="229">
        <v>645</v>
      </c>
      <c r="J314" s="12" t="s">
        <v>53</v>
      </c>
      <c r="K314" s="97">
        <v>46230</v>
      </c>
      <c r="L314" s="95">
        <v>30</v>
      </c>
      <c r="M314" s="96">
        <v>46251</v>
      </c>
      <c r="N314" s="11">
        <f t="shared" si="8"/>
        <v>21</v>
      </c>
      <c r="O314" s="32" t="str">
        <f t="shared" si="9"/>
        <v>Yes</v>
      </c>
    </row>
    <row r="315" spans="2:15" ht="14.5" customHeight="1" x14ac:dyDescent="0.35">
      <c r="B315" s="10">
        <v>311</v>
      </c>
      <c r="C315" s="34" t="s">
        <v>822</v>
      </c>
      <c r="D315" s="63" t="s">
        <v>1195</v>
      </c>
      <c r="E315" s="63">
        <v>135394</v>
      </c>
      <c r="F315" s="42" t="s">
        <v>1939</v>
      </c>
      <c r="G315" s="36" t="s">
        <v>705</v>
      </c>
      <c r="H315" s="36"/>
      <c r="I315" s="229">
        <v>645</v>
      </c>
      <c r="J315" s="12" t="s">
        <v>53</v>
      </c>
      <c r="K315" s="97">
        <v>46230</v>
      </c>
      <c r="L315" s="95">
        <v>30</v>
      </c>
      <c r="M315" s="96">
        <v>46251</v>
      </c>
      <c r="N315" s="11">
        <f t="shared" si="8"/>
        <v>21</v>
      </c>
      <c r="O315" s="32" t="str">
        <f t="shared" si="9"/>
        <v>Yes</v>
      </c>
    </row>
    <row r="316" spans="2:15" ht="14.5" customHeight="1" x14ac:dyDescent="0.35">
      <c r="B316" s="10">
        <v>312</v>
      </c>
      <c r="C316" s="34" t="s">
        <v>822</v>
      </c>
      <c r="D316" s="63" t="s">
        <v>1196</v>
      </c>
      <c r="E316" s="63">
        <v>135554</v>
      </c>
      <c r="F316" s="42" t="s">
        <v>1955</v>
      </c>
      <c r="G316" s="36" t="s">
        <v>2520</v>
      </c>
      <c r="H316" s="36"/>
      <c r="I316" s="229">
        <v>2062.5</v>
      </c>
      <c r="J316" s="12" t="s">
        <v>53</v>
      </c>
      <c r="K316" s="97">
        <v>46218</v>
      </c>
      <c r="L316" s="95">
        <v>30</v>
      </c>
      <c r="M316" s="96">
        <v>46245</v>
      </c>
      <c r="N316" s="11">
        <f t="shared" si="8"/>
        <v>27</v>
      </c>
      <c r="O316" s="32" t="str">
        <f t="shared" si="9"/>
        <v>Yes</v>
      </c>
    </row>
    <row r="317" spans="2:15" ht="14.5" customHeight="1" x14ac:dyDescent="0.35">
      <c r="B317" s="10">
        <v>313</v>
      </c>
      <c r="C317" s="34" t="s">
        <v>822</v>
      </c>
      <c r="D317" s="63" t="s">
        <v>1197</v>
      </c>
      <c r="E317" s="63">
        <v>134800</v>
      </c>
      <c r="F317" s="42" t="s">
        <v>1956</v>
      </c>
      <c r="G317" s="36" t="s">
        <v>2521</v>
      </c>
      <c r="H317" s="36"/>
      <c r="I317" s="229">
        <v>104.16666666666667</v>
      </c>
      <c r="J317" s="12" t="s">
        <v>53</v>
      </c>
      <c r="K317" s="97">
        <v>46226</v>
      </c>
      <c r="L317" s="95">
        <v>30</v>
      </c>
      <c r="M317" s="96">
        <v>46248</v>
      </c>
      <c r="N317" s="11">
        <f t="shared" si="8"/>
        <v>22</v>
      </c>
      <c r="O317" s="32" t="str">
        <f t="shared" si="9"/>
        <v>Yes</v>
      </c>
    </row>
    <row r="318" spans="2:15" ht="14.5" customHeight="1" x14ac:dyDescent="0.35">
      <c r="B318" s="10">
        <v>314</v>
      </c>
      <c r="C318" s="34" t="s">
        <v>822</v>
      </c>
      <c r="D318" s="63" t="s">
        <v>1198</v>
      </c>
      <c r="E318" s="63">
        <v>134800</v>
      </c>
      <c r="F318" s="42" t="s">
        <v>1939</v>
      </c>
      <c r="G318" s="36" t="s">
        <v>2521</v>
      </c>
      <c r="H318" s="36"/>
      <c r="I318" s="229">
        <v>104.16666666666667</v>
      </c>
      <c r="J318" s="12" t="s">
        <v>53</v>
      </c>
      <c r="K318" s="97">
        <v>46226</v>
      </c>
      <c r="L318" s="95">
        <v>30</v>
      </c>
      <c r="M318" s="96">
        <v>46248</v>
      </c>
      <c r="N318" s="11">
        <f t="shared" si="8"/>
        <v>22</v>
      </c>
      <c r="O318" s="32" t="str">
        <f t="shared" si="9"/>
        <v>Yes</v>
      </c>
    </row>
    <row r="319" spans="2:15" ht="14.5" customHeight="1" x14ac:dyDescent="0.35">
      <c r="B319" s="10">
        <v>315</v>
      </c>
      <c r="C319" s="34" t="s">
        <v>822</v>
      </c>
      <c r="D319" s="63" t="s">
        <v>1199</v>
      </c>
      <c r="E319" s="63">
        <v>134800</v>
      </c>
      <c r="F319" s="42" t="s">
        <v>1867</v>
      </c>
      <c r="G319" s="36" t="s">
        <v>2521</v>
      </c>
      <c r="H319" s="36"/>
      <c r="I319" s="229">
        <v>104.16666666666667</v>
      </c>
      <c r="J319" s="12" t="s">
        <v>53</v>
      </c>
      <c r="K319" s="97">
        <v>46226</v>
      </c>
      <c r="L319" s="95">
        <v>30</v>
      </c>
      <c r="M319" s="96">
        <v>46248</v>
      </c>
      <c r="N319" s="11">
        <f t="shared" si="8"/>
        <v>22</v>
      </c>
      <c r="O319" s="32" t="str">
        <f t="shared" si="9"/>
        <v>Yes</v>
      </c>
    </row>
    <row r="320" spans="2:15" ht="14.5" customHeight="1" x14ac:dyDescent="0.35">
      <c r="B320" s="10">
        <v>316</v>
      </c>
      <c r="C320" s="34" t="s">
        <v>822</v>
      </c>
      <c r="D320" s="63" t="s">
        <v>1200</v>
      </c>
      <c r="E320" s="63">
        <v>134800</v>
      </c>
      <c r="F320" s="42" t="s">
        <v>1957</v>
      </c>
      <c r="G320" s="36" t="s">
        <v>2521</v>
      </c>
      <c r="H320" s="36"/>
      <c r="I320" s="229">
        <v>104.16666666666667</v>
      </c>
      <c r="J320" s="12" t="s">
        <v>53</v>
      </c>
      <c r="K320" s="97">
        <v>46226</v>
      </c>
      <c r="L320" s="95">
        <v>30</v>
      </c>
      <c r="M320" s="96">
        <v>46248</v>
      </c>
      <c r="N320" s="11">
        <f t="shared" si="8"/>
        <v>22</v>
      </c>
      <c r="O320" s="32" t="str">
        <f t="shared" si="9"/>
        <v>Yes</v>
      </c>
    </row>
    <row r="321" spans="2:15" ht="14.5" customHeight="1" x14ac:dyDescent="0.35">
      <c r="B321" s="10">
        <v>317</v>
      </c>
      <c r="C321" s="34" t="s">
        <v>822</v>
      </c>
      <c r="D321" s="63" t="s">
        <v>1201</v>
      </c>
      <c r="E321" s="63">
        <v>134800</v>
      </c>
      <c r="F321" s="42" t="s">
        <v>1958</v>
      </c>
      <c r="G321" s="36" t="s">
        <v>2521</v>
      </c>
      <c r="H321" s="36"/>
      <c r="I321" s="229">
        <v>104.16666666666667</v>
      </c>
      <c r="J321" s="12" t="s">
        <v>53</v>
      </c>
      <c r="K321" s="97">
        <v>46226</v>
      </c>
      <c r="L321" s="95">
        <v>30</v>
      </c>
      <c r="M321" s="96">
        <v>46248</v>
      </c>
      <c r="N321" s="11">
        <f t="shared" si="8"/>
        <v>22</v>
      </c>
      <c r="O321" s="32" t="str">
        <f t="shared" si="9"/>
        <v>Yes</v>
      </c>
    </row>
    <row r="322" spans="2:15" ht="14.5" customHeight="1" x14ac:dyDescent="0.35">
      <c r="B322" s="10">
        <v>318</v>
      </c>
      <c r="C322" s="34" t="s">
        <v>822</v>
      </c>
      <c r="D322" s="63" t="s">
        <v>1202</v>
      </c>
      <c r="E322" s="63">
        <v>134800</v>
      </c>
      <c r="F322" s="42" t="s">
        <v>1959</v>
      </c>
      <c r="G322" s="36" t="s">
        <v>2521</v>
      </c>
      <c r="H322" s="36"/>
      <c r="I322" s="229">
        <v>104.16666666666667</v>
      </c>
      <c r="J322" s="12" t="s">
        <v>53</v>
      </c>
      <c r="K322" s="97">
        <v>46226</v>
      </c>
      <c r="L322" s="95">
        <v>30</v>
      </c>
      <c r="M322" s="96">
        <v>46248</v>
      </c>
      <c r="N322" s="11">
        <f t="shared" si="8"/>
        <v>22</v>
      </c>
      <c r="O322" s="32" t="str">
        <f t="shared" si="9"/>
        <v>Yes</v>
      </c>
    </row>
    <row r="323" spans="2:15" ht="14.5" customHeight="1" x14ac:dyDescent="0.35">
      <c r="B323" s="10">
        <v>319</v>
      </c>
      <c r="C323" s="34" t="s">
        <v>822</v>
      </c>
      <c r="D323" s="63" t="s">
        <v>1203</v>
      </c>
      <c r="E323" s="63">
        <v>135585</v>
      </c>
      <c r="F323" s="42" t="s">
        <v>1960</v>
      </c>
      <c r="G323" s="36" t="s">
        <v>628</v>
      </c>
      <c r="H323" s="36"/>
      <c r="I323" s="229">
        <v>62.5</v>
      </c>
      <c r="J323" s="12" t="s">
        <v>53</v>
      </c>
      <c r="K323" s="97">
        <v>46220</v>
      </c>
      <c r="L323" s="95">
        <v>30</v>
      </c>
      <c r="M323" s="96">
        <v>46247</v>
      </c>
      <c r="N323" s="11">
        <f t="shared" si="8"/>
        <v>27</v>
      </c>
      <c r="O323" s="32" t="str">
        <f t="shared" si="9"/>
        <v>Yes</v>
      </c>
    </row>
    <row r="324" spans="2:15" ht="14.5" customHeight="1" x14ac:dyDescent="0.35">
      <c r="B324" s="10">
        <v>320</v>
      </c>
      <c r="C324" s="34" t="s">
        <v>822</v>
      </c>
      <c r="D324" s="63" t="s">
        <v>1204</v>
      </c>
      <c r="E324" s="63">
        <v>135585</v>
      </c>
      <c r="F324" s="42" t="s">
        <v>1961</v>
      </c>
      <c r="G324" s="36" t="s">
        <v>628</v>
      </c>
      <c r="H324" s="36"/>
      <c r="I324" s="229">
        <v>3.75</v>
      </c>
      <c r="J324" s="12" t="s">
        <v>53</v>
      </c>
      <c r="K324" s="97">
        <v>46220</v>
      </c>
      <c r="L324" s="95">
        <v>30</v>
      </c>
      <c r="M324" s="96">
        <v>46247</v>
      </c>
      <c r="N324" s="11">
        <f t="shared" si="8"/>
        <v>27</v>
      </c>
      <c r="O324" s="32" t="str">
        <f t="shared" si="9"/>
        <v>Yes</v>
      </c>
    </row>
    <row r="325" spans="2:15" ht="14.5" customHeight="1" x14ac:dyDescent="0.35">
      <c r="B325" s="10">
        <v>321</v>
      </c>
      <c r="C325" s="34" t="s">
        <v>822</v>
      </c>
      <c r="D325" s="63" t="s">
        <v>1205</v>
      </c>
      <c r="E325" s="63">
        <v>133927</v>
      </c>
      <c r="F325" s="42" t="s">
        <v>1962</v>
      </c>
      <c r="G325" s="36" t="s">
        <v>628</v>
      </c>
      <c r="H325" s="36"/>
      <c r="I325" s="229">
        <v>852.5</v>
      </c>
      <c r="J325" s="12" t="s">
        <v>53</v>
      </c>
      <c r="K325" s="97">
        <v>46182</v>
      </c>
      <c r="L325" s="95">
        <v>30</v>
      </c>
      <c r="M325" s="96">
        <v>46212</v>
      </c>
      <c r="N325" s="11">
        <f t="shared" ref="N325:N388" si="10">IF(OR(M325="", K325=""),"", M325- K325)</f>
        <v>30</v>
      </c>
      <c r="O325" s="32" t="str">
        <f t="shared" ref="O325:O388" si="11">IF(OR(M325="", K325="", L325=""), "", IF((M325 - K325) &gt; L325, "No", "Yes"))</f>
        <v>Yes</v>
      </c>
    </row>
    <row r="326" spans="2:15" ht="14.5" customHeight="1" x14ac:dyDescent="0.35">
      <c r="B326" s="10">
        <v>322</v>
      </c>
      <c r="C326" s="34" t="s">
        <v>822</v>
      </c>
      <c r="D326" s="63" t="s">
        <v>1206</v>
      </c>
      <c r="E326" s="63">
        <v>133927</v>
      </c>
      <c r="F326" s="42" t="s">
        <v>1963</v>
      </c>
      <c r="G326" s="36" t="s">
        <v>628</v>
      </c>
      <c r="H326" s="36"/>
      <c r="I326" s="229">
        <v>852.5</v>
      </c>
      <c r="J326" s="12" t="s">
        <v>53</v>
      </c>
      <c r="K326" s="97">
        <v>46182</v>
      </c>
      <c r="L326" s="95">
        <v>30</v>
      </c>
      <c r="M326" s="96">
        <v>46210</v>
      </c>
      <c r="N326" s="11">
        <f t="shared" si="10"/>
        <v>28</v>
      </c>
      <c r="O326" s="32" t="str">
        <f t="shared" si="11"/>
        <v>Yes</v>
      </c>
    </row>
    <row r="327" spans="2:15" ht="14.5" customHeight="1" x14ac:dyDescent="0.35">
      <c r="B327" s="10">
        <v>323</v>
      </c>
      <c r="C327" s="34" t="s">
        <v>822</v>
      </c>
      <c r="D327" s="63" t="s">
        <v>1207</v>
      </c>
      <c r="E327" s="63">
        <v>133927</v>
      </c>
      <c r="F327" s="42" t="s">
        <v>1964</v>
      </c>
      <c r="G327" s="36" t="s">
        <v>628</v>
      </c>
      <c r="H327" s="36"/>
      <c r="I327" s="229">
        <v>105</v>
      </c>
      <c r="J327" s="12" t="s">
        <v>53</v>
      </c>
      <c r="K327" s="97">
        <v>46182</v>
      </c>
      <c r="L327" s="95">
        <v>30</v>
      </c>
      <c r="M327" s="96">
        <v>46207</v>
      </c>
      <c r="N327" s="11">
        <f t="shared" si="10"/>
        <v>25</v>
      </c>
      <c r="O327" s="32" t="str">
        <f t="shared" si="11"/>
        <v>Yes</v>
      </c>
    </row>
    <row r="328" spans="2:15" ht="14.5" customHeight="1" x14ac:dyDescent="0.35">
      <c r="B328" s="10">
        <v>324</v>
      </c>
      <c r="C328" s="34" t="s">
        <v>822</v>
      </c>
      <c r="D328" s="63" t="s">
        <v>1208</v>
      </c>
      <c r="E328" s="63">
        <v>133927</v>
      </c>
      <c r="F328" s="42" t="s">
        <v>1965</v>
      </c>
      <c r="G328" s="36" t="s">
        <v>628</v>
      </c>
      <c r="H328" s="36"/>
      <c r="I328" s="229">
        <v>105</v>
      </c>
      <c r="J328" s="12" t="s">
        <v>53</v>
      </c>
      <c r="K328" s="97">
        <v>46182</v>
      </c>
      <c r="L328" s="95">
        <v>30</v>
      </c>
      <c r="M328" s="96">
        <v>46217</v>
      </c>
      <c r="N328" s="11">
        <f t="shared" si="10"/>
        <v>35</v>
      </c>
      <c r="O328" s="32" t="str">
        <f t="shared" si="11"/>
        <v>No</v>
      </c>
    </row>
    <row r="329" spans="2:15" ht="14.5" customHeight="1" x14ac:dyDescent="0.35">
      <c r="B329" s="10">
        <v>325</v>
      </c>
      <c r="C329" s="34" t="s">
        <v>822</v>
      </c>
      <c r="D329" s="63" t="s">
        <v>1209</v>
      </c>
      <c r="E329" s="63">
        <v>133927</v>
      </c>
      <c r="F329" s="42" t="s">
        <v>1966</v>
      </c>
      <c r="G329" s="36" t="s">
        <v>628</v>
      </c>
      <c r="H329" s="36"/>
      <c r="I329" s="229">
        <v>426.25</v>
      </c>
      <c r="J329" s="12" t="s">
        <v>53</v>
      </c>
      <c r="K329" s="97">
        <v>46182</v>
      </c>
      <c r="L329" s="95">
        <v>30</v>
      </c>
      <c r="M329" s="96">
        <v>46217</v>
      </c>
      <c r="N329" s="11">
        <f t="shared" si="10"/>
        <v>35</v>
      </c>
      <c r="O329" s="32" t="str">
        <f t="shared" si="11"/>
        <v>No</v>
      </c>
    </row>
    <row r="330" spans="2:15" ht="14.5" customHeight="1" x14ac:dyDescent="0.35">
      <c r="B330" s="10">
        <v>326</v>
      </c>
      <c r="C330" s="34" t="s">
        <v>822</v>
      </c>
      <c r="D330" s="63" t="s">
        <v>1210</v>
      </c>
      <c r="E330" s="63">
        <v>133927</v>
      </c>
      <c r="F330" s="42" t="s">
        <v>1967</v>
      </c>
      <c r="G330" s="36" t="s">
        <v>628</v>
      </c>
      <c r="H330" s="36"/>
      <c r="I330" s="229">
        <v>852.5</v>
      </c>
      <c r="J330" s="12" t="s">
        <v>53</v>
      </c>
      <c r="K330" s="97">
        <v>46182</v>
      </c>
      <c r="L330" s="95">
        <v>30</v>
      </c>
      <c r="M330" s="96">
        <v>46219</v>
      </c>
      <c r="N330" s="11">
        <f t="shared" si="10"/>
        <v>37</v>
      </c>
      <c r="O330" s="32" t="str">
        <f t="shared" si="11"/>
        <v>No</v>
      </c>
    </row>
    <row r="331" spans="2:15" ht="14.5" customHeight="1" x14ac:dyDescent="0.35">
      <c r="B331" s="10">
        <v>327</v>
      </c>
      <c r="C331" s="34" t="s">
        <v>822</v>
      </c>
      <c r="D331" s="63" t="s">
        <v>1211</v>
      </c>
      <c r="E331" s="63">
        <v>133927</v>
      </c>
      <c r="F331" s="42" t="s">
        <v>1968</v>
      </c>
      <c r="G331" s="36" t="s">
        <v>628</v>
      </c>
      <c r="H331" s="36"/>
      <c r="I331" s="229">
        <v>426.25</v>
      </c>
      <c r="J331" s="12" t="s">
        <v>53</v>
      </c>
      <c r="K331" s="97">
        <v>46182</v>
      </c>
      <c r="L331" s="95">
        <v>30</v>
      </c>
      <c r="M331" s="96">
        <v>46211</v>
      </c>
      <c r="N331" s="11">
        <f t="shared" si="10"/>
        <v>29</v>
      </c>
      <c r="O331" s="32" t="str">
        <f t="shared" si="11"/>
        <v>Yes</v>
      </c>
    </row>
    <row r="332" spans="2:15" ht="14.5" customHeight="1" x14ac:dyDescent="0.35">
      <c r="B332" s="10">
        <v>328</v>
      </c>
      <c r="C332" s="34" t="s">
        <v>822</v>
      </c>
      <c r="D332" s="63" t="s">
        <v>1212</v>
      </c>
      <c r="E332" s="63">
        <v>133927</v>
      </c>
      <c r="F332" s="42" t="s">
        <v>1969</v>
      </c>
      <c r="G332" s="36" t="s">
        <v>628</v>
      </c>
      <c r="H332" s="36"/>
      <c r="I332" s="229">
        <v>426.25</v>
      </c>
      <c r="J332" s="12" t="s">
        <v>53</v>
      </c>
      <c r="K332" s="97">
        <v>46182</v>
      </c>
      <c r="L332" s="95">
        <v>30</v>
      </c>
      <c r="M332" s="96">
        <v>46217</v>
      </c>
      <c r="N332" s="11">
        <f t="shared" si="10"/>
        <v>35</v>
      </c>
      <c r="O332" s="32" t="str">
        <f t="shared" si="11"/>
        <v>No</v>
      </c>
    </row>
    <row r="333" spans="2:15" ht="14.5" customHeight="1" x14ac:dyDescent="0.35">
      <c r="B333" s="10">
        <v>329</v>
      </c>
      <c r="C333" s="34" t="s">
        <v>822</v>
      </c>
      <c r="D333" s="63" t="s">
        <v>1213</v>
      </c>
      <c r="E333" s="63">
        <v>133927</v>
      </c>
      <c r="F333" s="42" t="s">
        <v>1970</v>
      </c>
      <c r="G333" s="36" t="s">
        <v>628</v>
      </c>
      <c r="H333" s="36"/>
      <c r="I333" s="229">
        <v>426.25</v>
      </c>
      <c r="J333" s="12" t="s">
        <v>53</v>
      </c>
      <c r="K333" s="97">
        <v>46182</v>
      </c>
      <c r="L333" s="95">
        <v>30</v>
      </c>
      <c r="M333" s="96">
        <v>46208</v>
      </c>
      <c r="N333" s="11">
        <f t="shared" si="10"/>
        <v>26</v>
      </c>
      <c r="O333" s="32" t="str">
        <f t="shared" si="11"/>
        <v>Yes</v>
      </c>
    </row>
    <row r="334" spans="2:15" ht="14.5" customHeight="1" x14ac:dyDescent="0.35">
      <c r="B334" s="10">
        <v>330</v>
      </c>
      <c r="C334" s="34" t="s">
        <v>822</v>
      </c>
      <c r="D334" s="63" t="s">
        <v>1214</v>
      </c>
      <c r="E334" s="63">
        <v>133927</v>
      </c>
      <c r="F334" s="42" t="s">
        <v>1971</v>
      </c>
      <c r="G334" s="36" t="s">
        <v>628</v>
      </c>
      <c r="H334" s="36"/>
      <c r="I334" s="229">
        <v>15</v>
      </c>
      <c r="J334" s="12" t="s">
        <v>53</v>
      </c>
      <c r="K334" s="97">
        <v>46182</v>
      </c>
      <c r="L334" s="95">
        <v>30</v>
      </c>
      <c r="M334" s="96">
        <v>46211</v>
      </c>
      <c r="N334" s="11">
        <f t="shared" si="10"/>
        <v>29</v>
      </c>
      <c r="O334" s="32" t="str">
        <f t="shared" si="11"/>
        <v>Yes</v>
      </c>
    </row>
    <row r="335" spans="2:15" ht="14.5" customHeight="1" x14ac:dyDescent="0.35">
      <c r="B335" s="10">
        <v>331</v>
      </c>
      <c r="C335" s="34" t="s">
        <v>822</v>
      </c>
      <c r="D335" s="63" t="s">
        <v>1215</v>
      </c>
      <c r="E335" s="63">
        <v>133927</v>
      </c>
      <c r="F335" s="42" t="s">
        <v>1971</v>
      </c>
      <c r="G335" s="36" t="s">
        <v>628</v>
      </c>
      <c r="H335" s="36"/>
      <c r="I335" s="229">
        <v>57.5</v>
      </c>
      <c r="J335" s="12" t="s">
        <v>53</v>
      </c>
      <c r="K335" s="97">
        <v>46182</v>
      </c>
      <c r="L335" s="95">
        <v>30</v>
      </c>
      <c r="M335" s="96">
        <v>46219</v>
      </c>
      <c r="N335" s="11">
        <f t="shared" si="10"/>
        <v>37</v>
      </c>
      <c r="O335" s="32" t="str">
        <f t="shared" si="11"/>
        <v>No</v>
      </c>
    </row>
    <row r="336" spans="2:15" ht="14.5" customHeight="1" x14ac:dyDescent="0.35">
      <c r="B336" s="10">
        <v>332</v>
      </c>
      <c r="C336" s="34" t="s">
        <v>822</v>
      </c>
      <c r="D336" s="63" t="s">
        <v>1216</v>
      </c>
      <c r="E336" s="63">
        <v>133927</v>
      </c>
      <c r="F336" s="42" t="s">
        <v>1972</v>
      </c>
      <c r="G336" s="36" t="s">
        <v>628</v>
      </c>
      <c r="H336" s="36"/>
      <c r="I336" s="229">
        <v>105</v>
      </c>
      <c r="J336" s="12" t="s">
        <v>53</v>
      </c>
      <c r="K336" s="97">
        <v>46182</v>
      </c>
      <c r="L336" s="95">
        <v>30</v>
      </c>
      <c r="M336" s="96">
        <v>46208</v>
      </c>
      <c r="N336" s="11">
        <f t="shared" si="10"/>
        <v>26</v>
      </c>
      <c r="O336" s="32" t="str">
        <f t="shared" si="11"/>
        <v>Yes</v>
      </c>
    </row>
    <row r="337" spans="2:15" ht="14.5" customHeight="1" x14ac:dyDescent="0.35">
      <c r="B337" s="10">
        <v>333</v>
      </c>
      <c r="C337" s="34" t="s">
        <v>822</v>
      </c>
      <c r="D337" s="63" t="s">
        <v>1217</v>
      </c>
      <c r="E337" s="63">
        <v>135464</v>
      </c>
      <c r="F337" s="42" t="s">
        <v>1973</v>
      </c>
      <c r="G337" s="36" t="s">
        <v>628</v>
      </c>
      <c r="H337" s="36"/>
      <c r="I337" s="229">
        <v>30</v>
      </c>
      <c r="J337" s="12" t="s">
        <v>53</v>
      </c>
      <c r="K337" s="97">
        <v>46234</v>
      </c>
      <c r="L337" s="95">
        <v>30</v>
      </c>
      <c r="M337" s="96">
        <v>46247</v>
      </c>
      <c r="N337" s="11">
        <f t="shared" si="10"/>
        <v>13</v>
      </c>
      <c r="O337" s="32" t="str">
        <f t="shared" si="11"/>
        <v>Yes</v>
      </c>
    </row>
    <row r="338" spans="2:15" ht="14.5" customHeight="1" x14ac:dyDescent="0.35">
      <c r="B338" s="10">
        <v>334</v>
      </c>
      <c r="C338" s="34" t="s">
        <v>822</v>
      </c>
      <c r="D338" s="63" t="s">
        <v>1218</v>
      </c>
      <c r="E338" s="63">
        <v>135534</v>
      </c>
      <c r="F338" s="42" t="s">
        <v>1974</v>
      </c>
      <c r="G338" s="36" t="s">
        <v>628</v>
      </c>
      <c r="H338" s="36"/>
      <c r="I338" s="229">
        <v>15</v>
      </c>
      <c r="J338" s="12" t="s">
        <v>53</v>
      </c>
      <c r="K338" s="97">
        <v>46213</v>
      </c>
      <c r="L338" s="95">
        <v>30</v>
      </c>
      <c r="M338" s="96">
        <v>46242</v>
      </c>
      <c r="N338" s="11">
        <f t="shared" si="10"/>
        <v>29</v>
      </c>
      <c r="O338" s="32" t="str">
        <f t="shared" si="11"/>
        <v>Yes</v>
      </c>
    </row>
    <row r="339" spans="2:15" ht="14.5" customHeight="1" x14ac:dyDescent="0.35">
      <c r="B339" s="10">
        <v>335</v>
      </c>
      <c r="C339" s="34" t="s">
        <v>822</v>
      </c>
      <c r="D339" s="63" t="s">
        <v>1219</v>
      </c>
      <c r="E339" s="63">
        <v>135534</v>
      </c>
      <c r="F339" s="42" t="s">
        <v>1975</v>
      </c>
      <c r="G339" s="36" t="s">
        <v>628</v>
      </c>
      <c r="H339" s="36"/>
      <c r="I339" s="229">
        <v>62.5</v>
      </c>
      <c r="J339" s="12" t="s">
        <v>53</v>
      </c>
      <c r="K339" s="97">
        <v>46213</v>
      </c>
      <c r="L339" s="95">
        <v>30</v>
      </c>
      <c r="M339" s="96">
        <v>46245</v>
      </c>
      <c r="N339" s="11">
        <f t="shared" si="10"/>
        <v>32</v>
      </c>
      <c r="O339" s="32" t="str">
        <f t="shared" si="11"/>
        <v>No</v>
      </c>
    </row>
    <row r="340" spans="2:15" ht="14.5" customHeight="1" x14ac:dyDescent="0.35">
      <c r="B340" s="10">
        <v>336</v>
      </c>
      <c r="C340" s="34" t="s">
        <v>822</v>
      </c>
      <c r="D340" s="63" t="s">
        <v>1220</v>
      </c>
      <c r="E340" s="63">
        <v>135667</v>
      </c>
      <c r="F340" s="42" t="s">
        <v>1976</v>
      </c>
      <c r="G340" s="36" t="s">
        <v>714</v>
      </c>
      <c r="H340" s="36"/>
      <c r="I340" s="229">
        <v>21</v>
      </c>
      <c r="J340" s="12" t="s">
        <v>53</v>
      </c>
      <c r="K340" s="97">
        <v>46218</v>
      </c>
      <c r="L340" s="95">
        <v>30</v>
      </c>
      <c r="M340" s="96">
        <v>46247</v>
      </c>
      <c r="N340" s="11">
        <f t="shared" si="10"/>
        <v>29</v>
      </c>
      <c r="O340" s="32" t="str">
        <f t="shared" si="11"/>
        <v>Yes</v>
      </c>
    </row>
    <row r="341" spans="2:15" ht="14.5" customHeight="1" x14ac:dyDescent="0.35">
      <c r="B341" s="10">
        <v>337</v>
      </c>
      <c r="C341" s="34" t="s">
        <v>822</v>
      </c>
      <c r="D341" s="63" t="s">
        <v>1221</v>
      </c>
      <c r="E341" s="63">
        <v>134935</v>
      </c>
      <c r="F341" s="42" t="s">
        <v>1977</v>
      </c>
      <c r="G341" s="36" t="s">
        <v>629</v>
      </c>
      <c r="H341" s="36"/>
      <c r="I341" s="229">
        <v>12.5</v>
      </c>
      <c r="J341" s="12" t="s">
        <v>53</v>
      </c>
      <c r="K341" s="97">
        <v>46189</v>
      </c>
      <c r="L341" s="95">
        <v>30</v>
      </c>
      <c r="M341" s="96">
        <v>46225</v>
      </c>
      <c r="N341" s="11">
        <f t="shared" si="10"/>
        <v>36</v>
      </c>
      <c r="O341" s="32" t="str">
        <f t="shared" si="11"/>
        <v>No</v>
      </c>
    </row>
    <row r="342" spans="2:15" ht="14.5" customHeight="1" x14ac:dyDescent="0.35">
      <c r="B342" s="10">
        <v>338</v>
      </c>
      <c r="C342" s="34" t="s">
        <v>822</v>
      </c>
      <c r="D342" s="63" t="s">
        <v>1222</v>
      </c>
      <c r="E342" s="63">
        <v>134606</v>
      </c>
      <c r="F342" s="42" t="s">
        <v>1978</v>
      </c>
      <c r="G342" s="36" t="s">
        <v>629</v>
      </c>
      <c r="H342" s="36"/>
      <c r="I342" s="229">
        <v>3.4</v>
      </c>
      <c r="J342" s="12" t="s">
        <v>53</v>
      </c>
      <c r="K342" s="97">
        <v>46189</v>
      </c>
      <c r="L342" s="95">
        <v>30</v>
      </c>
      <c r="M342" s="96">
        <v>46224</v>
      </c>
      <c r="N342" s="11">
        <f t="shared" si="10"/>
        <v>35</v>
      </c>
      <c r="O342" s="32" t="str">
        <f t="shared" si="11"/>
        <v>No</v>
      </c>
    </row>
    <row r="343" spans="2:15" ht="14.5" customHeight="1" x14ac:dyDescent="0.35">
      <c r="B343" s="10">
        <v>339</v>
      </c>
      <c r="C343" s="34" t="s">
        <v>822</v>
      </c>
      <c r="D343" s="63" t="s">
        <v>1223</v>
      </c>
      <c r="E343" s="63">
        <v>134400</v>
      </c>
      <c r="F343" s="42" t="s">
        <v>1979</v>
      </c>
      <c r="G343" s="36" t="s">
        <v>629</v>
      </c>
      <c r="H343" s="36"/>
      <c r="I343" s="229">
        <v>281.97539999999998</v>
      </c>
      <c r="J343" s="12" t="s">
        <v>53</v>
      </c>
      <c r="K343" s="97">
        <v>46234</v>
      </c>
      <c r="L343" s="95">
        <v>30</v>
      </c>
      <c r="M343" s="96">
        <v>46248</v>
      </c>
      <c r="N343" s="11">
        <f t="shared" si="10"/>
        <v>14</v>
      </c>
      <c r="O343" s="32" t="str">
        <f t="shared" si="11"/>
        <v>Yes</v>
      </c>
    </row>
    <row r="344" spans="2:15" ht="14.5" customHeight="1" x14ac:dyDescent="0.35">
      <c r="B344" s="10">
        <v>340</v>
      </c>
      <c r="C344" s="34" t="s">
        <v>822</v>
      </c>
      <c r="D344" s="63">
        <v>26730426</v>
      </c>
      <c r="E344" s="63">
        <v>134345</v>
      </c>
      <c r="F344" s="42" t="s">
        <v>1980</v>
      </c>
      <c r="G344" s="36" t="s">
        <v>2522</v>
      </c>
      <c r="H344" s="36"/>
      <c r="I344" s="229">
        <v>760.19791666666663</v>
      </c>
      <c r="J344" s="12" t="s">
        <v>53</v>
      </c>
      <c r="K344" s="97">
        <v>46219</v>
      </c>
      <c r="L344" s="95">
        <v>30</v>
      </c>
      <c r="M344" s="96">
        <v>46248</v>
      </c>
      <c r="N344" s="11">
        <f t="shared" si="10"/>
        <v>29</v>
      </c>
      <c r="O344" s="32" t="str">
        <f t="shared" si="11"/>
        <v>Yes</v>
      </c>
    </row>
    <row r="345" spans="2:15" ht="14.5" customHeight="1" x14ac:dyDescent="0.35">
      <c r="B345" s="10">
        <v>341</v>
      </c>
      <c r="C345" s="34" t="s">
        <v>822</v>
      </c>
      <c r="D345" s="63" t="s">
        <v>1224</v>
      </c>
      <c r="E345" s="63">
        <v>135605</v>
      </c>
      <c r="F345" s="42" t="s">
        <v>1981</v>
      </c>
      <c r="G345" s="36" t="s">
        <v>736</v>
      </c>
      <c r="H345" s="36"/>
      <c r="I345" s="229">
        <v>9253.125</v>
      </c>
      <c r="J345" s="12" t="s">
        <v>53</v>
      </c>
      <c r="K345" s="97">
        <v>46216</v>
      </c>
      <c r="L345" s="95">
        <v>30</v>
      </c>
      <c r="M345" s="96">
        <v>46244</v>
      </c>
      <c r="N345" s="11">
        <f t="shared" si="10"/>
        <v>28</v>
      </c>
      <c r="O345" s="32" t="str">
        <f t="shared" si="11"/>
        <v>Yes</v>
      </c>
    </row>
    <row r="346" spans="2:15" ht="14.5" customHeight="1" x14ac:dyDescent="0.35">
      <c r="B346" s="10">
        <v>342</v>
      </c>
      <c r="C346" s="34" t="s">
        <v>822</v>
      </c>
      <c r="D346" s="63" t="s">
        <v>1225</v>
      </c>
      <c r="E346" s="63">
        <v>135496</v>
      </c>
      <c r="F346" s="42" t="s">
        <v>1982</v>
      </c>
      <c r="G346" s="36" t="s">
        <v>736</v>
      </c>
      <c r="H346" s="36"/>
      <c r="I346" s="229">
        <v>6234.4710000000005</v>
      </c>
      <c r="J346" s="12" t="s">
        <v>53</v>
      </c>
      <c r="K346" s="97">
        <v>46234</v>
      </c>
      <c r="L346" s="95">
        <v>30</v>
      </c>
      <c r="M346" s="96">
        <v>46244</v>
      </c>
      <c r="N346" s="11">
        <f t="shared" si="10"/>
        <v>10</v>
      </c>
      <c r="O346" s="32" t="str">
        <f t="shared" si="11"/>
        <v>Yes</v>
      </c>
    </row>
    <row r="347" spans="2:15" ht="14.5" customHeight="1" x14ac:dyDescent="0.35">
      <c r="B347" s="10">
        <v>343</v>
      </c>
      <c r="C347" s="34" t="s">
        <v>822</v>
      </c>
      <c r="D347" s="63" t="s">
        <v>1226</v>
      </c>
      <c r="E347" s="63">
        <v>119736</v>
      </c>
      <c r="F347" s="42" t="s">
        <v>1983</v>
      </c>
      <c r="G347" s="36" t="s">
        <v>736</v>
      </c>
      <c r="H347" s="36"/>
      <c r="I347" s="229">
        <v>1800</v>
      </c>
      <c r="J347" s="12" t="s">
        <v>53</v>
      </c>
      <c r="K347" s="97">
        <v>46234</v>
      </c>
      <c r="L347" s="95">
        <v>30</v>
      </c>
      <c r="M347" s="96">
        <v>46244</v>
      </c>
      <c r="N347" s="11">
        <f t="shared" si="10"/>
        <v>10</v>
      </c>
      <c r="O347" s="32" t="str">
        <f t="shared" si="11"/>
        <v>Yes</v>
      </c>
    </row>
    <row r="348" spans="2:15" ht="14.5" customHeight="1" x14ac:dyDescent="0.35">
      <c r="B348" s="10">
        <v>344</v>
      </c>
      <c r="C348" s="34" t="s">
        <v>822</v>
      </c>
      <c r="D348" s="63" t="s">
        <v>1227</v>
      </c>
      <c r="E348" s="63">
        <v>132825</v>
      </c>
      <c r="F348" s="42" t="s">
        <v>1984</v>
      </c>
      <c r="G348" s="36" t="s">
        <v>2523</v>
      </c>
      <c r="H348" s="36"/>
      <c r="I348" s="229">
        <v>36750</v>
      </c>
      <c r="J348" s="12" t="s">
        <v>53</v>
      </c>
      <c r="K348" s="97">
        <v>46217</v>
      </c>
      <c r="L348" s="95">
        <v>30</v>
      </c>
      <c r="M348" s="96">
        <v>46247</v>
      </c>
      <c r="N348" s="11">
        <f t="shared" si="10"/>
        <v>30</v>
      </c>
      <c r="O348" s="32" t="str">
        <f t="shared" si="11"/>
        <v>Yes</v>
      </c>
    </row>
    <row r="349" spans="2:15" ht="14.5" customHeight="1" x14ac:dyDescent="0.35">
      <c r="B349" s="10">
        <v>345</v>
      </c>
      <c r="C349" s="34" t="s">
        <v>822</v>
      </c>
      <c r="D349" s="63" t="s">
        <v>1228</v>
      </c>
      <c r="E349" s="63">
        <v>132825</v>
      </c>
      <c r="F349" s="42" t="s">
        <v>1985</v>
      </c>
      <c r="G349" s="36" t="s">
        <v>2523</v>
      </c>
      <c r="H349" s="36"/>
      <c r="I349" s="229">
        <v>52263.72998541667</v>
      </c>
      <c r="J349" s="12" t="s">
        <v>53</v>
      </c>
      <c r="K349" s="97">
        <v>46217</v>
      </c>
      <c r="L349" s="95">
        <v>30</v>
      </c>
      <c r="M349" s="96">
        <v>46247</v>
      </c>
      <c r="N349" s="11">
        <f t="shared" si="10"/>
        <v>30</v>
      </c>
      <c r="O349" s="32" t="str">
        <f t="shared" si="11"/>
        <v>Yes</v>
      </c>
    </row>
    <row r="350" spans="2:15" ht="14.5" customHeight="1" x14ac:dyDescent="0.35">
      <c r="B350" s="10">
        <v>346</v>
      </c>
      <c r="C350" s="34" t="s">
        <v>822</v>
      </c>
      <c r="D350" s="63" t="s">
        <v>1229</v>
      </c>
      <c r="E350" s="63">
        <v>135176</v>
      </c>
      <c r="F350" s="42" t="s">
        <v>1986</v>
      </c>
      <c r="G350" s="36" t="s">
        <v>2523</v>
      </c>
      <c r="H350" s="36"/>
      <c r="I350" s="229">
        <v>180</v>
      </c>
      <c r="J350" s="12" t="s">
        <v>53</v>
      </c>
      <c r="K350" s="97">
        <v>46217</v>
      </c>
      <c r="L350" s="95">
        <v>30</v>
      </c>
      <c r="M350" s="96">
        <v>46247</v>
      </c>
      <c r="N350" s="11">
        <f t="shared" si="10"/>
        <v>30</v>
      </c>
      <c r="O350" s="32" t="str">
        <f t="shared" si="11"/>
        <v>Yes</v>
      </c>
    </row>
    <row r="351" spans="2:15" ht="14.5" customHeight="1" x14ac:dyDescent="0.35">
      <c r="B351" s="10">
        <v>347</v>
      </c>
      <c r="C351" s="34" t="s">
        <v>822</v>
      </c>
      <c r="D351" s="63" t="s">
        <v>1230</v>
      </c>
      <c r="E351" s="63">
        <v>134535</v>
      </c>
      <c r="F351" s="42" t="s">
        <v>1987</v>
      </c>
      <c r="G351" s="36" t="s">
        <v>2524</v>
      </c>
      <c r="H351" s="36"/>
      <c r="I351" s="229">
        <v>300.48808541666671</v>
      </c>
      <c r="J351" s="12" t="s">
        <v>53</v>
      </c>
      <c r="K351" s="97">
        <v>46211</v>
      </c>
      <c r="L351" s="95">
        <v>30</v>
      </c>
      <c r="M351" s="96">
        <v>46239</v>
      </c>
      <c r="N351" s="11">
        <f t="shared" si="10"/>
        <v>28</v>
      </c>
      <c r="O351" s="32" t="str">
        <f t="shared" si="11"/>
        <v>Yes</v>
      </c>
    </row>
    <row r="352" spans="2:15" ht="14.5" customHeight="1" x14ac:dyDescent="0.35">
      <c r="B352" s="10">
        <v>348</v>
      </c>
      <c r="C352" s="34" t="s">
        <v>822</v>
      </c>
      <c r="D352" s="63" t="s">
        <v>1231</v>
      </c>
      <c r="E352" s="63">
        <v>134519</v>
      </c>
      <c r="F352" s="42" t="s">
        <v>1988</v>
      </c>
      <c r="G352" s="36" t="s">
        <v>2525</v>
      </c>
      <c r="H352" s="36"/>
      <c r="I352" s="229">
        <v>325</v>
      </c>
      <c r="J352" s="12" t="s">
        <v>53</v>
      </c>
      <c r="K352" s="97">
        <v>46234</v>
      </c>
      <c r="L352" s="95">
        <v>30</v>
      </c>
      <c r="M352" s="96">
        <v>46244</v>
      </c>
      <c r="N352" s="11">
        <f t="shared" si="10"/>
        <v>10</v>
      </c>
      <c r="O352" s="32" t="str">
        <f t="shared" si="11"/>
        <v>Yes</v>
      </c>
    </row>
    <row r="353" spans="2:15" ht="14.5" customHeight="1" x14ac:dyDescent="0.35">
      <c r="B353" s="10">
        <v>349</v>
      </c>
      <c r="C353" s="34" t="s">
        <v>822</v>
      </c>
      <c r="D353" s="63" t="s">
        <v>1232</v>
      </c>
      <c r="E353" s="63">
        <v>134519</v>
      </c>
      <c r="F353" s="42" t="s">
        <v>1989</v>
      </c>
      <c r="G353" s="36" t="s">
        <v>2525</v>
      </c>
      <c r="H353" s="36"/>
      <c r="I353" s="229">
        <v>325</v>
      </c>
      <c r="J353" s="12" t="s">
        <v>53</v>
      </c>
      <c r="K353" s="97">
        <v>46234</v>
      </c>
      <c r="L353" s="95">
        <v>30</v>
      </c>
      <c r="M353" s="96">
        <v>46244</v>
      </c>
      <c r="N353" s="11">
        <f t="shared" si="10"/>
        <v>10</v>
      </c>
      <c r="O353" s="32" t="str">
        <f t="shared" si="11"/>
        <v>Yes</v>
      </c>
    </row>
    <row r="354" spans="2:15" ht="14.5" customHeight="1" x14ac:dyDescent="0.35">
      <c r="B354" s="10">
        <v>350</v>
      </c>
      <c r="C354" s="34" t="s">
        <v>822</v>
      </c>
      <c r="D354" s="63" t="s">
        <v>1233</v>
      </c>
      <c r="E354" s="63">
        <v>134128</v>
      </c>
      <c r="F354" s="42" t="s">
        <v>1990</v>
      </c>
      <c r="G354" s="36" t="s">
        <v>643</v>
      </c>
      <c r="H354" s="36"/>
      <c r="I354" s="229">
        <v>340.75</v>
      </c>
      <c r="J354" s="12" t="s">
        <v>53</v>
      </c>
      <c r="K354" s="97">
        <v>46226</v>
      </c>
      <c r="L354" s="95">
        <v>30</v>
      </c>
      <c r="M354" s="96">
        <v>46256</v>
      </c>
      <c r="N354" s="11">
        <f t="shared" si="10"/>
        <v>30</v>
      </c>
      <c r="O354" s="32" t="str">
        <f t="shared" si="11"/>
        <v>Yes</v>
      </c>
    </row>
    <row r="355" spans="2:15" ht="14.5" customHeight="1" x14ac:dyDescent="0.35">
      <c r="B355" s="10">
        <v>351</v>
      </c>
      <c r="C355" s="34" t="s">
        <v>822</v>
      </c>
      <c r="D355" s="63" t="s">
        <v>1234</v>
      </c>
      <c r="E355" s="63">
        <v>126369</v>
      </c>
      <c r="F355" s="42" t="s">
        <v>1991</v>
      </c>
      <c r="G355" s="36" t="s">
        <v>643</v>
      </c>
      <c r="H355" s="36"/>
      <c r="I355" s="229">
        <v>71763.437118750007</v>
      </c>
      <c r="J355" s="12" t="s">
        <v>53</v>
      </c>
      <c r="K355" s="97">
        <v>46226</v>
      </c>
      <c r="L355" s="95">
        <v>30</v>
      </c>
      <c r="M355" s="96">
        <v>46256</v>
      </c>
      <c r="N355" s="11">
        <f t="shared" si="10"/>
        <v>30</v>
      </c>
      <c r="O355" s="32" t="str">
        <f t="shared" si="11"/>
        <v>Yes</v>
      </c>
    </row>
    <row r="356" spans="2:15" ht="14.5" customHeight="1" x14ac:dyDescent="0.35">
      <c r="B356" s="10">
        <v>352</v>
      </c>
      <c r="C356" s="34" t="s">
        <v>822</v>
      </c>
      <c r="D356" s="63" t="s">
        <v>1235</v>
      </c>
      <c r="E356" s="63">
        <v>126370</v>
      </c>
      <c r="F356" s="42" t="s">
        <v>1992</v>
      </c>
      <c r="G356" s="36" t="s">
        <v>643</v>
      </c>
      <c r="H356" s="36"/>
      <c r="I356" s="229">
        <v>26256.239727083332</v>
      </c>
      <c r="J356" s="12" t="s">
        <v>53</v>
      </c>
      <c r="K356" s="97">
        <v>46226</v>
      </c>
      <c r="L356" s="95">
        <v>30</v>
      </c>
      <c r="M356" s="96">
        <v>46256</v>
      </c>
      <c r="N356" s="11">
        <f t="shared" si="10"/>
        <v>30</v>
      </c>
      <c r="O356" s="32" t="str">
        <f t="shared" si="11"/>
        <v>Yes</v>
      </c>
    </row>
    <row r="357" spans="2:15" ht="14.5" customHeight="1" x14ac:dyDescent="0.35">
      <c r="B357" s="10">
        <v>353</v>
      </c>
      <c r="C357" s="34" t="s">
        <v>822</v>
      </c>
      <c r="D357" s="63" t="s">
        <v>1236</v>
      </c>
      <c r="E357" s="63">
        <v>122200</v>
      </c>
      <c r="F357" s="42" t="s">
        <v>1993</v>
      </c>
      <c r="G357" s="36" t="s">
        <v>643</v>
      </c>
      <c r="H357" s="36"/>
      <c r="I357" s="229">
        <v>42819.000404166669</v>
      </c>
      <c r="J357" s="12" t="s">
        <v>53</v>
      </c>
      <c r="K357" s="97">
        <v>46226</v>
      </c>
      <c r="L357" s="95">
        <v>30</v>
      </c>
      <c r="M357" s="96">
        <v>46256</v>
      </c>
      <c r="N357" s="11">
        <f t="shared" si="10"/>
        <v>30</v>
      </c>
      <c r="O357" s="32" t="str">
        <f t="shared" si="11"/>
        <v>Yes</v>
      </c>
    </row>
    <row r="358" spans="2:15" ht="14.5" customHeight="1" x14ac:dyDescent="0.35">
      <c r="B358" s="10">
        <v>354</v>
      </c>
      <c r="C358" s="34" t="s">
        <v>822</v>
      </c>
      <c r="D358" s="63" t="s">
        <v>1237</v>
      </c>
      <c r="E358" s="63">
        <v>122201</v>
      </c>
      <c r="F358" s="42" t="s">
        <v>1994</v>
      </c>
      <c r="G358" s="36" t="s">
        <v>643</v>
      </c>
      <c r="H358" s="36"/>
      <c r="I358" s="229">
        <v>12529.157583333334</v>
      </c>
      <c r="J358" s="12" t="s">
        <v>53</v>
      </c>
      <c r="K358" s="97">
        <v>46226</v>
      </c>
      <c r="L358" s="95">
        <v>30</v>
      </c>
      <c r="M358" s="96">
        <v>46256</v>
      </c>
      <c r="N358" s="11">
        <f t="shared" si="10"/>
        <v>30</v>
      </c>
      <c r="O358" s="32" t="str">
        <f t="shared" si="11"/>
        <v>Yes</v>
      </c>
    </row>
    <row r="359" spans="2:15" ht="14.5" customHeight="1" x14ac:dyDescent="0.35">
      <c r="B359" s="10">
        <v>355</v>
      </c>
      <c r="C359" s="34" t="s">
        <v>822</v>
      </c>
      <c r="D359" s="63" t="s">
        <v>1238</v>
      </c>
      <c r="E359" s="63">
        <v>129734</v>
      </c>
      <c r="F359" s="42" t="s">
        <v>1995</v>
      </c>
      <c r="G359" s="36" t="s">
        <v>643</v>
      </c>
      <c r="H359" s="36"/>
      <c r="I359" s="229">
        <v>2107.7069999999999</v>
      </c>
      <c r="J359" s="12" t="s">
        <v>53</v>
      </c>
      <c r="K359" s="97">
        <v>46226</v>
      </c>
      <c r="L359" s="95">
        <v>30</v>
      </c>
      <c r="M359" s="96">
        <v>46256</v>
      </c>
      <c r="N359" s="11">
        <f t="shared" si="10"/>
        <v>30</v>
      </c>
      <c r="O359" s="32" t="str">
        <f t="shared" si="11"/>
        <v>Yes</v>
      </c>
    </row>
    <row r="360" spans="2:15" ht="14.5" customHeight="1" x14ac:dyDescent="0.35">
      <c r="B360" s="10">
        <v>356</v>
      </c>
      <c r="C360" s="34" t="s">
        <v>822</v>
      </c>
      <c r="D360" s="63" t="s">
        <v>1239</v>
      </c>
      <c r="E360" s="63">
        <v>122201</v>
      </c>
      <c r="F360" s="42" t="s">
        <v>1996</v>
      </c>
      <c r="G360" s="36" t="s">
        <v>643</v>
      </c>
      <c r="H360" s="36"/>
      <c r="I360" s="229">
        <v>12344.150443750001</v>
      </c>
      <c r="J360" s="12" t="s">
        <v>53</v>
      </c>
      <c r="K360" s="97">
        <v>46226</v>
      </c>
      <c r="L360" s="95">
        <v>30</v>
      </c>
      <c r="M360" s="96">
        <v>46256</v>
      </c>
      <c r="N360" s="11">
        <f t="shared" si="10"/>
        <v>30</v>
      </c>
      <c r="O360" s="32" t="str">
        <f t="shared" si="11"/>
        <v>Yes</v>
      </c>
    </row>
    <row r="361" spans="2:15" ht="14.5" customHeight="1" x14ac:dyDescent="0.35">
      <c r="B361" s="10">
        <v>357</v>
      </c>
      <c r="C361" s="34" t="s">
        <v>822</v>
      </c>
      <c r="D361" s="63" t="s">
        <v>1240</v>
      </c>
      <c r="E361" s="63">
        <v>122201</v>
      </c>
      <c r="F361" s="42" t="s">
        <v>1996</v>
      </c>
      <c r="G361" s="36" t="s">
        <v>643</v>
      </c>
      <c r="H361" s="36"/>
      <c r="I361" s="229">
        <v>12375.621960416665</v>
      </c>
      <c r="J361" s="12" t="s">
        <v>53</v>
      </c>
      <c r="K361" s="97">
        <v>46226</v>
      </c>
      <c r="L361" s="95">
        <v>30</v>
      </c>
      <c r="M361" s="96">
        <v>46256</v>
      </c>
      <c r="N361" s="11">
        <f t="shared" si="10"/>
        <v>30</v>
      </c>
      <c r="O361" s="32" t="str">
        <f t="shared" si="11"/>
        <v>Yes</v>
      </c>
    </row>
    <row r="362" spans="2:15" ht="14.5" customHeight="1" x14ac:dyDescent="0.35">
      <c r="B362" s="10">
        <v>358</v>
      </c>
      <c r="C362" s="34" t="s">
        <v>822</v>
      </c>
      <c r="D362" s="63" t="s">
        <v>1241</v>
      </c>
      <c r="E362" s="63">
        <v>122200</v>
      </c>
      <c r="F362" s="42" t="s">
        <v>1997</v>
      </c>
      <c r="G362" s="36" t="s">
        <v>643</v>
      </c>
      <c r="H362" s="36"/>
      <c r="I362" s="229">
        <v>42294.285014583329</v>
      </c>
      <c r="J362" s="12" t="s">
        <v>53</v>
      </c>
      <c r="K362" s="97">
        <v>46226</v>
      </c>
      <c r="L362" s="95">
        <v>30</v>
      </c>
      <c r="M362" s="96">
        <v>46256</v>
      </c>
      <c r="N362" s="11">
        <f t="shared" si="10"/>
        <v>30</v>
      </c>
      <c r="O362" s="32" t="str">
        <f t="shared" si="11"/>
        <v>Yes</v>
      </c>
    </row>
    <row r="363" spans="2:15" ht="14.5" customHeight="1" x14ac:dyDescent="0.35">
      <c r="B363" s="10">
        <v>359</v>
      </c>
      <c r="C363" s="34" t="s">
        <v>822</v>
      </c>
      <c r="D363" s="63" t="s">
        <v>1242</v>
      </c>
      <c r="E363" s="63">
        <v>132001</v>
      </c>
      <c r="F363" s="42" t="s">
        <v>1998</v>
      </c>
      <c r="G363" s="36" t="s">
        <v>643</v>
      </c>
      <c r="H363" s="36"/>
      <c r="I363" s="229">
        <v>8126.1188020833333</v>
      </c>
      <c r="J363" s="12" t="s">
        <v>53</v>
      </c>
      <c r="K363" s="97">
        <v>46226</v>
      </c>
      <c r="L363" s="95">
        <v>30</v>
      </c>
      <c r="M363" s="96">
        <v>46256</v>
      </c>
      <c r="N363" s="11">
        <f t="shared" si="10"/>
        <v>30</v>
      </c>
      <c r="O363" s="32" t="str">
        <f t="shared" si="11"/>
        <v>Yes</v>
      </c>
    </row>
    <row r="364" spans="2:15" ht="14.5" customHeight="1" x14ac:dyDescent="0.35">
      <c r="B364" s="10">
        <v>360</v>
      </c>
      <c r="C364" s="34" t="s">
        <v>822</v>
      </c>
      <c r="D364" s="63" t="s">
        <v>1243</v>
      </c>
      <c r="E364" s="63">
        <v>134898</v>
      </c>
      <c r="F364" s="42" t="s">
        <v>1999</v>
      </c>
      <c r="G364" s="36" t="s">
        <v>643</v>
      </c>
      <c r="H364" s="36"/>
      <c r="I364" s="229">
        <v>442.80442708333334</v>
      </c>
      <c r="J364" s="12" t="s">
        <v>53</v>
      </c>
      <c r="K364" s="97">
        <v>46226</v>
      </c>
      <c r="L364" s="95">
        <v>30</v>
      </c>
      <c r="M364" s="96">
        <v>46256</v>
      </c>
      <c r="N364" s="11">
        <f t="shared" si="10"/>
        <v>30</v>
      </c>
      <c r="O364" s="32" t="str">
        <f t="shared" si="11"/>
        <v>Yes</v>
      </c>
    </row>
    <row r="365" spans="2:15" ht="14.5" customHeight="1" x14ac:dyDescent="0.35">
      <c r="B365" s="10">
        <v>361</v>
      </c>
      <c r="C365" s="34" t="s">
        <v>822</v>
      </c>
      <c r="D365" s="63" t="s">
        <v>1244</v>
      </c>
      <c r="E365" s="63">
        <v>131494</v>
      </c>
      <c r="F365" s="42" t="s">
        <v>2000</v>
      </c>
      <c r="G365" s="36" t="s">
        <v>643</v>
      </c>
      <c r="H365" s="36"/>
      <c r="I365" s="229">
        <v>144.67161041666665</v>
      </c>
      <c r="J365" s="12" t="s">
        <v>53</v>
      </c>
      <c r="K365" s="97">
        <v>46226</v>
      </c>
      <c r="L365" s="95">
        <v>30</v>
      </c>
      <c r="M365" s="96">
        <v>46256</v>
      </c>
      <c r="N365" s="11">
        <f t="shared" si="10"/>
        <v>30</v>
      </c>
      <c r="O365" s="32" t="str">
        <f t="shared" si="11"/>
        <v>Yes</v>
      </c>
    </row>
    <row r="366" spans="2:15" ht="14.5" customHeight="1" x14ac:dyDescent="0.35">
      <c r="B366" s="10">
        <v>362</v>
      </c>
      <c r="C366" s="34" t="s">
        <v>822</v>
      </c>
      <c r="D366" s="63" t="s">
        <v>1245</v>
      </c>
      <c r="E366" s="63">
        <v>131532</v>
      </c>
      <c r="F366" s="42" t="s">
        <v>2001</v>
      </c>
      <c r="G366" s="36" t="s">
        <v>643</v>
      </c>
      <c r="H366" s="36"/>
      <c r="I366" s="229">
        <v>1237004.3160000001</v>
      </c>
      <c r="J366" s="12" t="s">
        <v>53</v>
      </c>
      <c r="K366" s="97">
        <v>46226</v>
      </c>
      <c r="L366" s="95">
        <v>30</v>
      </c>
      <c r="M366" s="96">
        <v>46256</v>
      </c>
      <c r="N366" s="11">
        <f t="shared" si="10"/>
        <v>30</v>
      </c>
      <c r="O366" s="32" t="str">
        <f t="shared" si="11"/>
        <v>Yes</v>
      </c>
    </row>
    <row r="367" spans="2:15" ht="14.5" customHeight="1" x14ac:dyDescent="0.35">
      <c r="B367" s="10">
        <v>363</v>
      </c>
      <c r="C367" s="34" t="s">
        <v>822</v>
      </c>
      <c r="D367" s="63" t="s">
        <v>1246</v>
      </c>
      <c r="E367" s="63">
        <v>132987</v>
      </c>
      <c r="F367" s="42" t="s">
        <v>2002</v>
      </c>
      <c r="G367" s="36" t="s">
        <v>643</v>
      </c>
      <c r="H367" s="36"/>
      <c r="I367" s="229">
        <v>64094.310135416665</v>
      </c>
      <c r="J367" s="12" t="s">
        <v>53</v>
      </c>
      <c r="K367" s="97">
        <v>46226</v>
      </c>
      <c r="L367" s="95">
        <v>30</v>
      </c>
      <c r="M367" s="96">
        <v>46256</v>
      </c>
      <c r="N367" s="11">
        <f t="shared" si="10"/>
        <v>30</v>
      </c>
      <c r="O367" s="32" t="str">
        <f t="shared" si="11"/>
        <v>Yes</v>
      </c>
    </row>
    <row r="368" spans="2:15" ht="14.5" customHeight="1" x14ac:dyDescent="0.35">
      <c r="B368" s="10">
        <v>364</v>
      </c>
      <c r="C368" s="34" t="s">
        <v>822</v>
      </c>
      <c r="D368" s="63" t="s">
        <v>1247</v>
      </c>
      <c r="E368" s="63">
        <v>134273</v>
      </c>
      <c r="F368" s="42" t="s">
        <v>2003</v>
      </c>
      <c r="G368" s="36" t="s">
        <v>657</v>
      </c>
      <c r="H368" s="36"/>
      <c r="I368" s="229">
        <v>135</v>
      </c>
      <c r="J368" s="12" t="s">
        <v>53</v>
      </c>
      <c r="K368" s="97">
        <v>46198</v>
      </c>
      <c r="L368" s="95">
        <v>30</v>
      </c>
      <c r="M368" s="96">
        <v>46228</v>
      </c>
      <c r="N368" s="11">
        <f t="shared" si="10"/>
        <v>30</v>
      </c>
      <c r="O368" s="32" t="str">
        <f t="shared" si="11"/>
        <v>Yes</v>
      </c>
    </row>
    <row r="369" spans="2:15" ht="14.5" customHeight="1" x14ac:dyDescent="0.35">
      <c r="B369" s="10">
        <v>365</v>
      </c>
      <c r="C369" s="34" t="s">
        <v>822</v>
      </c>
      <c r="D369" s="63" t="s">
        <v>1248</v>
      </c>
      <c r="E369" s="63">
        <v>135185</v>
      </c>
      <c r="F369" s="42" t="s">
        <v>2004</v>
      </c>
      <c r="G369" s="36" t="s">
        <v>657</v>
      </c>
      <c r="H369" s="36"/>
      <c r="I369" s="229">
        <v>1749.7094291666667</v>
      </c>
      <c r="J369" s="12" t="s">
        <v>53</v>
      </c>
      <c r="K369" s="97">
        <v>46196</v>
      </c>
      <c r="L369" s="95">
        <v>30</v>
      </c>
      <c r="M369" s="96">
        <v>46222</v>
      </c>
      <c r="N369" s="11">
        <f t="shared" si="10"/>
        <v>26</v>
      </c>
      <c r="O369" s="32" t="str">
        <f t="shared" si="11"/>
        <v>Yes</v>
      </c>
    </row>
    <row r="370" spans="2:15" ht="14.5" customHeight="1" x14ac:dyDescent="0.35">
      <c r="B370" s="10">
        <v>366</v>
      </c>
      <c r="C370" s="34" t="s">
        <v>822</v>
      </c>
      <c r="D370" s="63" t="s">
        <v>1249</v>
      </c>
      <c r="E370" s="63">
        <v>135866</v>
      </c>
      <c r="F370" s="42" t="s">
        <v>2005</v>
      </c>
      <c r="G370" s="36" t="s">
        <v>604</v>
      </c>
      <c r="H370" s="36"/>
      <c r="I370" s="229">
        <v>149.11975000000001</v>
      </c>
      <c r="J370" s="12" t="s">
        <v>53</v>
      </c>
      <c r="K370" s="97">
        <v>46226</v>
      </c>
      <c r="L370" s="95">
        <v>30</v>
      </c>
      <c r="M370" s="96">
        <v>46247</v>
      </c>
      <c r="N370" s="11">
        <f t="shared" si="10"/>
        <v>21</v>
      </c>
      <c r="O370" s="32" t="str">
        <f t="shared" si="11"/>
        <v>Yes</v>
      </c>
    </row>
    <row r="371" spans="2:15" ht="14.5" customHeight="1" x14ac:dyDescent="0.35">
      <c r="B371" s="10">
        <v>367</v>
      </c>
      <c r="C371" s="34" t="s">
        <v>822</v>
      </c>
      <c r="D371" s="63" t="s">
        <v>1250</v>
      </c>
      <c r="E371" s="63">
        <v>135562</v>
      </c>
      <c r="F371" s="42" t="s">
        <v>2006</v>
      </c>
      <c r="G371" s="36" t="s">
        <v>604</v>
      </c>
      <c r="H371" s="36"/>
      <c r="I371" s="229">
        <v>123.675</v>
      </c>
      <c r="J371" s="12" t="s">
        <v>53</v>
      </c>
      <c r="K371" s="97">
        <v>46211</v>
      </c>
      <c r="L371" s="95">
        <v>30</v>
      </c>
      <c r="M371" s="96">
        <v>46240</v>
      </c>
      <c r="N371" s="11">
        <f t="shared" si="10"/>
        <v>29</v>
      </c>
      <c r="O371" s="32" t="str">
        <f t="shared" si="11"/>
        <v>Yes</v>
      </c>
    </row>
    <row r="372" spans="2:15" ht="14.5" customHeight="1" x14ac:dyDescent="0.35">
      <c r="B372" s="10">
        <v>368</v>
      </c>
      <c r="C372" s="34" t="s">
        <v>822</v>
      </c>
      <c r="D372" s="63" t="s">
        <v>1251</v>
      </c>
      <c r="E372" s="63">
        <v>135562</v>
      </c>
      <c r="F372" s="42" t="s">
        <v>2007</v>
      </c>
      <c r="G372" s="36" t="s">
        <v>604</v>
      </c>
      <c r="H372" s="36"/>
      <c r="I372" s="229">
        <v>123.675</v>
      </c>
      <c r="J372" s="12" t="s">
        <v>53</v>
      </c>
      <c r="K372" s="97">
        <v>46211</v>
      </c>
      <c r="L372" s="95">
        <v>30</v>
      </c>
      <c r="M372" s="96">
        <v>46245</v>
      </c>
      <c r="N372" s="11">
        <f t="shared" si="10"/>
        <v>34</v>
      </c>
      <c r="O372" s="32" t="str">
        <f t="shared" si="11"/>
        <v>No</v>
      </c>
    </row>
    <row r="373" spans="2:15" ht="14.5" customHeight="1" x14ac:dyDescent="0.35">
      <c r="B373" s="10">
        <v>369</v>
      </c>
      <c r="C373" s="34" t="s">
        <v>822</v>
      </c>
      <c r="D373" s="63" t="s">
        <v>1252</v>
      </c>
      <c r="E373" s="63">
        <v>128236</v>
      </c>
      <c r="F373" s="42" t="s">
        <v>2008</v>
      </c>
      <c r="G373" s="36" t="s">
        <v>604</v>
      </c>
      <c r="H373" s="36"/>
      <c r="I373" s="229">
        <v>221.85</v>
      </c>
      <c r="J373" s="12" t="s">
        <v>53</v>
      </c>
      <c r="K373" s="97">
        <v>46204</v>
      </c>
      <c r="L373" s="95">
        <v>30</v>
      </c>
      <c r="M373" s="96">
        <v>46233</v>
      </c>
      <c r="N373" s="11">
        <f t="shared" si="10"/>
        <v>29</v>
      </c>
      <c r="O373" s="32" t="str">
        <f t="shared" si="11"/>
        <v>Yes</v>
      </c>
    </row>
    <row r="374" spans="2:15" ht="14.5" customHeight="1" x14ac:dyDescent="0.35">
      <c r="B374" s="10">
        <v>370</v>
      </c>
      <c r="C374" s="34" t="s">
        <v>822</v>
      </c>
      <c r="D374" s="63">
        <v>272</v>
      </c>
      <c r="E374" s="63">
        <v>135916</v>
      </c>
      <c r="F374" s="42" t="s">
        <v>2009</v>
      </c>
      <c r="G374" s="36" t="s">
        <v>2526</v>
      </c>
      <c r="H374" s="36"/>
      <c r="I374" s="229">
        <v>562.5</v>
      </c>
      <c r="J374" s="12" t="s">
        <v>53</v>
      </c>
      <c r="K374" s="97">
        <v>46231</v>
      </c>
      <c r="L374" s="95">
        <v>30</v>
      </c>
      <c r="M374" s="96">
        <v>46247</v>
      </c>
      <c r="N374" s="11">
        <f t="shared" si="10"/>
        <v>16</v>
      </c>
      <c r="O374" s="32" t="str">
        <f t="shared" si="11"/>
        <v>Yes</v>
      </c>
    </row>
    <row r="375" spans="2:15" ht="14.5" customHeight="1" x14ac:dyDescent="0.35">
      <c r="B375" s="10">
        <v>371</v>
      </c>
      <c r="C375" s="34" t="s">
        <v>822</v>
      </c>
      <c r="D375" s="63" t="s">
        <v>1253</v>
      </c>
      <c r="E375" s="63">
        <v>134649</v>
      </c>
      <c r="F375" s="42" t="s">
        <v>2010</v>
      </c>
      <c r="G375" s="36" t="s">
        <v>710</v>
      </c>
      <c r="H375" s="36"/>
      <c r="I375" s="229">
        <v>1378.90625</v>
      </c>
      <c r="J375" s="12" t="s">
        <v>53</v>
      </c>
      <c r="K375" s="97">
        <v>46185</v>
      </c>
      <c r="L375" s="95">
        <v>30</v>
      </c>
      <c r="M375" s="96">
        <v>46214</v>
      </c>
      <c r="N375" s="11">
        <f t="shared" si="10"/>
        <v>29</v>
      </c>
      <c r="O375" s="32" t="str">
        <f t="shared" si="11"/>
        <v>Yes</v>
      </c>
    </row>
    <row r="376" spans="2:15" ht="14.5" customHeight="1" x14ac:dyDescent="0.35">
      <c r="B376" s="10">
        <v>372</v>
      </c>
      <c r="C376" s="34" t="s">
        <v>822</v>
      </c>
      <c r="D376" s="63" t="s">
        <v>1254</v>
      </c>
      <c r="E376" s="63">
        <v>134651</v>
      </c>
      <c r="F376" s="42" t="s">
        <v>2011</v>
      </c>
      <c r="G376" s="36" t="s">
        <v>710</v>
      </c>
      <c r="H376" s="36"/>
      <c r="I376" s="229">
        <v>445.125</v>
      </c>
      <c r="J376" s="12" t="s">
        <v>53</v>
      </c>
      <c r="K376" s="97">
        <v>46188</v>
      </c>
      <c r="L376" s="95">
        <v>30</v>
      </c>
      <c r="M376" s="96">
        <v>46213</v>
      </c>
      <c r="N376" s="11">
        <f t="shared" si="10"/>
        <v>25</v>
      </c>
      <c r="O376" s="32" t="str">
        <f t="shared" si="11"/>
        <v>Yes</v>
      </c>
    </row>
    <row r="377" spans="2:15" ht="26.5" customHeight="1" x14ac:dyDescent="0.35">
      <c r="B377" s="10">
        <v>373</v>
      </c>
      <c r="C377" s="34" t="s">
        <v>822</v>
      </c>
      <c r="D377" s="63" t="s">
        <v>1255</v>
      </c>
      <c r="E377" s="63">
        <v>134780</v>
      </c>
      <c r="F377" s="42" t="s">
        <v>2012</v>
      </c>
      <c r="G377" s="36" t="s">
        <v>710</v>
      </c>
      <c r="H377" s="36"/>
      <c r="I377" s="229">
        <v>43.5</v>
      </c>
      <c r="J377" s="12" t="s">
        <v>53</v>
      </c>
      <c r="K377" s="97">
        <v>46184</v>
      </c>
      <c r="L377" s="95">
        <v>30</v>
      </c>
      <c r="M377" s="96">
        <v>46209</v>
      </c>
      <c r="N377" s="11">
        <f t="shared" si="10"/>
        <v>25</v>
      </c>
      <c r="O377" s="32" t="str">
        <f t="shared" si="11"/>
        <v>Yes</v>
      </c>
    </row>
    <row r="378" spans="2:15" ht="14.5" customHeight="1" x14ac:dyDescent="0.35">
      <c r="B378" s="10">
        <v>374</v>
      </c>
      <c r="C378" s="34" t="s">
        <v>822</v>
      </c>
      <c r="D378" s="63">
        <v>135129</v>
      </c>
      <c r="E378" s="63">
        <v>135129</v>
      </c>
      <c r="F378" s="42" t="s">
        <v>2013</v>
      </c>
      <c r="G378" s="36" t="s">
        <v>2527</v>
      </c>
      <c r="H378" s="36"/>
      <c r="I378" s="229">
        <v>129.16666666666666</v>
      </c>
      <c r="J378" s="12" t="s">
        <v>53</v>
      </c>
      <c r="K378" s="97">
        <v>46189</v>
      </c>
      <c r="L378" s="95">
        <v>30</v>
      </c>
      <c r="M378" s="96">
        <v>46226</v>
      </c>
      <c r="N378" s="11">
        <f t="shared" si="10"/>
        <v>37</v>
      </c>
      <c r="O378" s="32" t="str">
        <f t="shared" si="11"/>
        <v>No</v>
      </c>
    </row>
    <row r="379" spans="2:15" ht="14.5" customHeight="1" x14ac:dyDescent="0.35">
      <c r="B379" s="10">
        <v>375</v>
      </c>
      <c r="C379" s="34" t="s">
        <v>822</v>
      </c>
      <c r="D379" s="63">
        <v>135066</v>
      </c>
      <c r="E379" s="63">
        <v>135066</v>
      </c>
      <c r="F379" s="42" t="s">
        <v>2014</v>
      </c>
      <c r="G379" s="36" t="s">
        <v>2527</v>
      </c>
      <c r="H379" s="36"/>
      <c r="I379" s="229">
        <v>383.33333333333331</v>
      </c>
      <c r="J379" s="12" t="s">
        <v>53</v>
      </c>
      <c r="K379" s="97">
        <v>46206</v>
      </c>
      <c r="L379" s="95">
        <v>30</v>
      </c>
      <c r="M379" s="96">
        <v>46234</v>
      </c>
      <c r="N379" s="11">
        <f t="shared" si="10"/>
        <v>28</v>
      </c>
      <c r="O379" s="32" t="str">
        <f t="shared" si="11"/>
        <v>Yes</v>
      </c>
    </row>
    <row r="380" spans="2:15" ht="14.5" customHeight="1" x14ac:dyDescent="0.35">
      <c r="B380" s="10">
        <v>376</v>
      </c>
      <c r="C380" s="34" t="s">
        <v>822</v>
      </c>
      <c r="D380" s="63">
        <v>1</v>
      </c>
      <c r="E380" s="63">
        <v>135758</v>
      </c>
      <c r="F380" s="42" t="s">
        <v>2015</v>
      </c>
      <c r="G380" s="36" t="s">
        <v>2528</v>
      </c>
      <c r="H380" s="36"/>
      <c r="I380" s="229">
        <v>479.16666666666669</v>
      </c>
      <c r="J380" s="12" t="s">
        <v>53</v>
      </c>
      <c r="K380" s="97">
        <v>46226</v>
      </c>
      <c r="L380" s="95">
        <v>30</v>
      </c>
      <c r="M380" s="96">
        <v>46246</v>
      </c>
      <c r="N380" s="11">
        <f t="shared" si="10"/>
        <v>20</v>
      </c>
      <c r="O380" s="32" t="str">
        <f t="shared" si="11"/>
        <v>Yes</v>
      </c>
    </row>
    <row r="381" spans="2:15" ht="14.5" customHeight="1" x14ac:dyDescent="0.35">
      <c r="B381" s="10">
        <v>377</v>
      </c>
      <c r="C381" s="34" t="s">
        <v>822</v>
      </c>
      <c r="D381" s="63" t="s">
        <v>1256</v>
      </c>
      <c r="E381" s="63">
        <v>133475</v>
      </c>
      <c r="F381" s="42" t="s">
        <v>2016</v>
      </c>
      <c r="G381" s="36" t="s">
        <v>798</v>
      </c>
      <c r="H381" s="36"/>
      <c r="I381" s="229">
        <v>98.28</v>
      </c>
      <c r="J381" s="12" t="s">
        <v>53</v>
      </c>
      <c r="K381" s="97">
        <v>46210</v>
      </c>
      <c r="L381" s="95">
        <v>30</v>
      </c>
      <c r="M381" s="96">
        <v>46245</v>
      </c>
      <c r="N381" s="11">
        <f t="shared" si="10"/>
        <v>35</v>
      </c>
      <c r="O381" s="32" t="str">
        <f t="shared" si="11"/>
        <v>No</v>
      </c>
    </row>
    <row r="382" spans="2:15" ht="14.5" customHeight="1" x14ac:dyDescent="0.35">
      <c r="B382" s="10">
        <v>378</v>
      </c>
      <c r="C382" s="34" t="s">
        <v>822</v>
      </c>
      <c r="D382" s="63" t="s">
        <v>1257</v>
      </c>
      <c r="E382" s="63">
        <v>134918</v>
      </c>
      <c r="F382" s="42" t="s">
        <v>2017</v>
      </c>
      <c r="G382" s="36" t="s">
        <v>798</v>
      </c>
      <c r="H382" s="36"/>
      <c r="I382" s="229">
        <v>256.25475</v>
      </c>
      <c r="J382" s="12" t="s">
        <v>53</v>
      </c>
      <c r="K382" s="97">
        <v>46210</v>
      </c>
      <c r="L382" s="95">
        <v>30</v>
      </c>
      <c r="M382" s="96">
        <v>46246</v>
      </c>
      <c r="N382" s="11">
        <f t="shared" si="10"/>
        <v>36</v>
      </c>
      <c r="O382" s="32" t="str">
        <f t="shared" si="11"/>
        <v>No</v>
      </c>
    </row>
    <row r="383" spans="2:15" ht="14.5" customHeight="1" x14ac:dyDescent="0.35">
      <c r="B383" s="10">
        <v>379</v>
      </c>
      <c r="C383" s="34" t="s">
        <v>822</v>
      </c>
      <c r="D383" s="63" t="s">
        <v>1258</v>
      </c>
      <c r="E383" s="63">
        <v>134919</v>
      </c>
      <c r="F383" s="42" t="s">
        <v>2018</v>
      </c>
      <c r="G383" s="36" t="s">
        <v>798</v>
      </c>
      <c r="H383" s="36"/>
      <c r="I383" s="229">
        <v>300</v>
      </c>
      <c r="J383" s="12" t="s">
        <v>53</v>
      </c>
      <c r="K383" s="97">
        <v>46210</v>
      </c>
      <c r="L383" s="95">
        <v>30</v>
      </c>
      <c r="M383" s="96">
        <v>46246</v>
      </c>
      <c r="N383" s="11">
        <f t="shared" si="10"/>
        <v>36</v>
      </c>
      <c r="O383" s="32" t="str">
        <f t="shared" si="11"/>
        <v>No</v>
      </c>
    </row>
    <row r="384" spans="2:15" ht="14.5" customHeight="1" x14ac:dyDescent="0.35">
      <c r="B384" s="10">
        <v>380</v>
      </c>
      <c r="C384" s="34" t="s">
        <v>822</v>
      </c>
      <c r="D384" s="63" t="s">
        <v>1259</v>
      </c>
      <c r="E384" s="63">
        <v>133475</v>
      </c>
      <c r="F384" s="42" t="s">
        <v>2019</v>
      </c>
      <c r="G384" s="36" t="s">
        <v>798</v>
      </c>
      <c r="H384" s="36"/>
      <c r="I384" s="229">
        <v>2046.4144999999999</v>
      </c>
      <c r="J384" s="12" t="s">
        <v>53</v>
      </c>
      <c r="K384" s="97">
        <v>46210</v>
      </c>
      <c r="L384" s="95">
        <v>30</v>
      </c>
      <c r="M384" s="96">
        <v>46246</v>
      </c>
      <c r="N384" s="11">
        <f t="shared" si="10"/>
        <v>36</v>
      </c>
      <c r="O384" s="32" t="str">
        <f t="shared" si="11"/>
        <v>No</v>
      </c>
    </row>
    <row r="385" spans="2:15" ht="14.5" customHeight="1" x14ac:dyDescent="0.35">
      <c r="B385" s="10">
        <v>381</v>
      </c>
      <c r="C385" s="34" t="s">
        <v>822</v>
      </c>
      <c r="D385" s="63" t="s">
        <v>1260</v>
      </c>
      <c r="E385" s="63">
        <v>133475</v>
      </c>
      <c r="F385" s="42" t="s">
        <v>2020</v>
      </c>
      <c r="G385" s="36" t="s">
        <v>798</v>
      </c>
      <c r="H385" s="36"/>
      <c r="I385" s="229">
        <v>2046.4144999999999</v>
      </c>
      <c r="J385" s="12" t="s">
        <v>53</v>
      </c>
      <c r="K385" s="97">
        <v>46210</v>
      </c>
      <c r="L385" s="95">
        <v>30</v>
      </c>
      <c r="M385" s="96">
        <v>46236</v>
      </c>
      <c r="N385" s="11">
        <f t="shared" si="10"/>
        <v>26</v>
      </c>
      <c r="O385" s="32" t="str">
        <f t="shared" si="11"/>
        <v>Yes</v>
      </c>
    </row>
    <row r="386" spans="2:15" ht="14.5" customHeight="1" x14ac:dyDescent="0.35">
      <c r="B386" s="10">
        <v>382</v>
      </c>
      <c r="C386" s="34" t="s">
        <v>822</v>
      </c>
      <c r="D386" s="63" t="s">
        <v>1261</v>
      </c>
      <c r="E386" s="63">
        <v>132807</v>
      </c>
      <c r="F386" s="42" t="s">
        <v>2021</v>
      </c>
      <c r="G386" s="36" t="s">
        <v>798</v>
      </c>
      <c r="H386" s="36"/>
      <c r="I386" s="229">
        <v>168.75</v>
      </c>
      <c r="J386" s="12" t="s">
        <v>53</v>
      </c>
      <c r="K386" s="97">
        <v>46210</v>
      </c>
      <c r="L386" s="95">
        <v>30</v>
      </c>
      <c r="M386" s="96">
        <v>46245</v>
      </c>
      <c r="N386" s="11">
        <f t="shared" si="10"/>
        <v>35</v>
      </c>
      <c r="O386" s="32" t="str">
        <f t="shared" si="11"/>
        <v>No</v>
      </c>
    </row>
    <row r="387" spans="2:15" ht="14.5" customHeight="1" x14ac:dyDescent="0.35">
      <c r="B387" s="10">
        <v>383</v>
      </c>
      <c r="C387" s="34" t="s">
        <v>822</v>
      </c>
      <c r="D387" s="63" t="s">
        <v>1262</v>
      </c>
      <c r="E387" s="63">
        <v>133475</v>
      </c>
      <c r="F387" s="42" t="s">
        <v>2022</v>
      </c>
      <c r="G387" s="36" t="s">
        <v>798</v>
      </c>
      <c r="H387" s="36"/>
      <c r="I387" s="229">
        <v>113.02199999999999</v>
      </c>
      <c r="J387" s="12" t="s">
        <v>53</v>
      </c>
      <c r="K387" s="97">
        <v>46210</v>
      </c>
      <c r="L387" s="95">
        <v>30</v>
      </c>
      <c r="M387" s="96">
        <v>46248</v>
      </c>
      <c r="N387" s="11">
        <f t="shared" si="10"/>
        <v>38</v>
      </c>
      <c r="O387" s="32" t="str">
        <f t="shared" si="11"/>
        <v>No</v>
      </c>
    </row>
    <row r="388" spans="2:15" ht="14.5" customHeight="1" x14ac:dyDescent="0.35">
      <c r="B388" s="10">
        <v>384</v>
      </c>
      <c r="C388" s="34" t="s">
        <v>822</v>
      </c>
      <c r="D388" s="63" t="s">
        <v>1263</v>
      </c>
      <c r="E388" s="63">
        <v>135670</v>
      </c>
      <c r="F388" s="42" t="s">
        <v>2023</v>
      </c>
      <c r="G388" s="36" t="s">
        <v>634</v>
      </c>
      <c r="H388" s="36"/>
      <c r="I388" s="229">
        <v>8434.6874770833329</v>
      </c>
      <c r="J388" s="12" t="s">
        <v>53</v>
      </c>
      <c r="K388" s="97">
        <v>46226</v>
      </c>
      <c r="L388" s="95">
        <v>30</v>
      </c>
      <c r="M388" s="96">
        <v>46247</v>
      </c>
      <c r="N388" s="11">
        <f t="shared" si="10"/>
        <v>21</v>
      </c>
      <c r="O388" s="32" t="str">
        <f t="shared" si="11"/>
        <v>Yes</v>
      </c>
    </row>
    <row r="389" spans="2:15" ht="14.5" customHeight="1" x14ac:dyDescent="0.35">
      <c r="B389" s="10">
        <v>385</v>
      </c>
      <c r="C389" s="34" t="s">
        <v>822</v>
      </c>
      <c r="D389" s="63" t="s">
        <v>1264</v>
      </c>
      <c r="E389" s="63">
        <v>135721</v>
      </c>
      <c r="F389" s="42" t="s">
        <v>2024</v>
      </c>
      <c r="G389" s="36" t="s">
        <v>634</v>
      </c>
      <c r="H389" s="36"/>
      <c r="I389" s="229">
        <v>3634.3749770833333</v>
      </c>
      <c r="J389" s="12" t="s">
        <v>53</v>
      </c>
      <c r="K389" s="97">
        <v>46226</v>
      </c>
      <c r="L389" s="95">
        <v>30</v>
      </c>
      <c r="M389" s="96">
        <v>46247</v>
      </c>
      <c r="N389" s="11">
        <f t="shared" ref="N389:N452" si="12">IF(OR(M389="", K389=""),"", M389- K389)</f>
        <v>21</v>
      </c>
      <c r="O389" s="32" t="str">
        <f t="shared" ref="O389:O452" si="13">IF(OR(M389="", K389="", L389=""), "", IF((M389 - K389) &gt; L389, "No", "Yes"))</f>
        <v>Yes</v>
      </c>
    </row>
    <row r="390" spans="2:15" ht="14.5" customHeight="1" x14ac:dyDescent="0.35">
      <c r="B390" s="10">
        <v>386</v>
      </c>
      <c r="C390" s="34" t="s">
        <v>822</v>
      </c>
      <c r="D390" s="63" t="s">
        <v>1265</v>
      </c>
      <c r="E390" s="63">
        <v>135649</v>
      </c>
      <c r="F390" s="42" t="s">
        <v>2025</v>
      </c>
      <c r="G390" s="36" t="s">
        <v>634</v>
      </c>
      <c r="H390" s="36"/>
      <c r="I390" s="229">
        <v>303.18749583333334</v>
      </c>
      <c r="J390" s="12" t="s">
        <v>53</v>
      </c>
      <c r="K390" s="97">
        <v>46226</v>
      </c>
      <c r="L390" s="95">
        <v>30</v>
      </c>
      <c r="M390" s="96">
        <v>46247</v>
      </c>
      <c r="N390" s="11">
        <f t="shared" si="12"/>
        <v>21</v>
      </c>
      <c r="O390" s="32" t="str">
        <f t="shared" si="13"/>
        <v>Yes</v>
      </c>
    </row>
    <row r="391" spans="2:15" ht="14.5" customHeight="1" x14ac:dyDescent="0.35">
      <c r="B391" s="10">
        <v>387</v>
      </c>
      <c r="C391" s="34" t="s">
        <v>822</v>
      </c>
      <c r="D391" s="63" t="s">
        <v>1266</v>
      </c>
      <c r="E391" s="63">
        <v>135686</v>
      </c>
      <c r="F391" s="42" t="s">
        <v>2026</v>
      </c>
      <c r="G391" s="36" t="s">
        <v>2529</v>
      </c>
      <c r="H391" s="36"/>
      <c r="I391" s="229">
        <v>2083.3333333333335</v>
      </c>
      <c r="J391" s="12" t="s">
        <v>53</v>
      </c>
      <c r="K391" s="97">
        <v>46234</v>
      </c>
      <c r="L391" s="95">
        <v>30</v>
      </c>
      <c r="M391" s="96">
        <v>46248</v>
      </c>
      <c r="N391" s="11">
        <f t="shared" si="12"/>
        <v>14</v>
      </c>
      <c r="O391" s="32" t="str">
        <f t="shared" si="13"/>
        <v>Yes</v>
      </c>
    </row>
    <row r="392" spans="2:15" ht="14.5" customHeight="1" x14ac:dyDescent="0.35">
      <c r="B392" s="10">
        <v>388</v>
      </c>
      <c r="C392" s="34" t="s">
        <v>822</v>
      </c>
      <c r="D392" s="63">
        <v>204157</v>
      </c>
      <c r="E392" s="63">
        <v>135674</v>
      </c>
      <c r="F392" s="42" t="s">
        <v>2027</v>
      </c>
      <c r="G392" s="36" t="s">
        <v>709</v>
      </c>
      <c r="H392" s="36"/>
      <c r="I392" s="229">
        <v>434.3125</v>
      </c>
      <c r="J392" s="12" t="s">
        <v>53</v>
      </c>
      <c r="K392" s="97">
        <v>46217</v>
      </c>
      <c r="L392" s="95">
        <v>30</v>
      </c>
      <c r="M392" s="96">
        <v>46244</v>
      </c>
      <c r="N392" s="11">
        <f t="shared" si="12"/>
        <v>27</v>
      </c>
      <c r="O392" s="32" t="str">
        <f t="shared" si="13"/>
        <v>Yes</v>
      </c>
    </row>
    <row r="393" spans="2:15" ht="14.5" customHeight="1" x14ac:dyDescent="0.35">
      <c r="B393" s="10">
        <v>389</v>
      </c>
      <c r="C393" s="34" t="s">
        <v>822</v>
      </c>
      <c r="D393" s="63">
        <v>204160</v>
      </c>
      <c r="E393" s="63">
        <v>135676</v>
      </c>
      <c r="F393" s="42" t="s">
        <v>2028</v>
      </c>
      <c r="G393" s="36" t="s">
        <v>709</v>
      </c>
      <c r="H393" s="36"/>
      <c r="I393" s="229">
        <v>475.22916666666669</v>
      </c>
      <c r="J393" s="12" t="s">
        <v>53</v>
      </c>
      <c r="K393" s="97">
        <v>46217</v>
      </c>
      <c r="L393" s="95">
        <v>30</v>
      </c>
      <c r="M393" s="96">
        <v>46244</v>
      </c>
      <c r="N393" s="11">
        <f t="shared" si="12"/>
        <v>27</v>
      </c>
      <c r="O393" s="32" t="str">
        <f t="shared" si="13"/>
        <v>Yes</v>
      </c>
    </row>
    <row r="394" spans="2:15" ht="14.5" customHeight="1" x14ac:dyDescent="0.35">
      <c r="B394" s="10">
        <v>390</v>
      </c>
      <c r="C394" s="34" t="s">
        <v>822</v>
      </c>
      <c r="D394" s="63">
        <v>204248</v>
      </c>
      <c r="E394" s="63">
        <v>135838</v>
      </c>
      <c r="F394" s="42" t="s">
        <v>2029</v>
      </c>
      <c r="G394" s="36" t="s">
        <v>709</v>
      </c>
      <c r="H394" s="36"/>
      <c r="I394" s="229">
        <v>456.0625</v>
      </c>
      <c r="J394" s="12" t="s">
        <v>53</v>
      </c>
      <c r="K394" s="97">
        <v>46222</v>
      </c>
      <c r="L394" s="95">
        <v>30</v>
      </c>
      <c r="M394" s="96">
        <v>46244</v>
      </c>
      <c r="N394" s="11">
        <f t="shared" si="12"/>
        <v>22</v>
      </c>
      <c r="O394" s="32" t="str">
        <f t="shared" si="13"/>
        <v>Yes</v>
      </c>
    </row>
    <row r="395" spans="2:15" ht="14.5" customHeight="1" x14ac:dyDescent="0.35">
      <c r="B395" s="10">
        <v>391</v>
      </c>
      <c r="C395" s="34" t="s">
        <v>822</v>
      </c>
      <c r="D395" s="63">
        <v>204195</v>
      </c>
      <c r="E395" s="63">
        <v>135732</v>
      </c>
      <c r="F395" s="42" t="s">
        <v>2030</v>
      </c>
      <c r="G395" s="36" t="s">
        <v>709</v>
      </c>
      <c r="H395" s="36"/>
      <c r="I395" s="229">
        <v>347.27083333333331</v>
      </c>
      <c r="J395" s="12" t="s">
        <v>53</v>
      </c>
      <c r="K395" s="97">
        <v>46218</v>
      </c>
      <c r="L395" s="95">
        <v>30</v>
      </c>
      <c r="M395" s="96">
        <v>46244</v>
      </c>
      <c r="N395" s="11">
        <f t="shared" si="12"/>
        <v>26</v>
      </c>
      <c r="O395" s="32" t="str">
        <f t="shared" si="13"/>
        <v>Yes</v>
      </c>
    </row>
    <row r="396" spans="2:15" ht="14.5" customHeight="1" x14ac:dyDescent="0.35">
      <c r="B396" s="10">
        <v>392</v>
      </c>
      <c r="C396" s="34" t="s">
        <v>822</v>
      </c>
      <c r="D396" s="63">
        <v>203795</v>
      </c>
      <c r="E396" s="63">
        <v>135309</v>
      </c>
      <c r="F396" s="42" t="s">
        <v>2031</v>
      </c>
      <c r="G396" s="36" t="s">
        <v>709</v>
      </c>
      <c r="H396" s="36"/>
      <c r="I396" s="229">
        <v>4490.125</v>
      </c>
      <c r="J396" s="12" t="s">
        <v>53</v>
      </c>
      <c r="K396" s="97">
        <v>46218</v>
      </c>
      <c r="L396" s="95">
        <v>30</v>
      </c>
      <c r="M396" s="96">
        <v>46244</v>
      </c>
      <c r="N396" s="11">
        <f t="shared" si="12"/>
        <v>26</v>
      </c>
      <c r="O396" s="32" t="str">
        <f t="shared" si="13"/>
        <v>Yes</v>
      </c>
    </row>
    <row r="397" spans="2:15" ht="14.5" customHeight="1" x14ac:dyDescent="0.35">
      <c r="B397" s="10">
        <v>393</v>
      </c>
      <c r="C397" s="34" t="s">
        <v>822</v>
      </c>
      <c r="D397" s="63">
        <v>204121</v>
      </c>
      <c r="E397" s="63">
        <v>135646</v>
      </c>
      <c r="F397" s="42" t="s">
        <v>2032</v>
      </c>
      <c r="G397" s="36" t="s">
        <v>709</v>
      </c>
      <c r="H397" s="36"/>
      <c r="I397" s="229">
        <v>775.29166666666663</v>
      </c>
      <c r="J397" s="12" t="s">
        <v>53</v>
      </c>
      <c r="K397" s="97">
        <v>46212</v>
      </c>
      <c r="L397" s="95">
        <v>30</v>
      </c>
      <c r="M397" s="96">
        <v>46243</v>
      </c>
      <c r="N397" s="11">
        <f t="shared" si="12"/>
        <v>31</v>
      </c>
      <c r="O397" s="32" t="str">
        <f t="shared" si="13"/>
        <v>No</v>
      </c>
    </row>
    <row r="398" spans="2:15" ht="14.5" customHeight="1" x14ac:dyDescent="0.35">
      <c r="B398" s="10">
        <v>394</v>
      </c>
      <c r="C398" s="34" t="s">
        <v>822</v>
      </c>
      <c r="D398" s="63">
        <v>204122</v>
      </c>
      <c r="E398" s="63">
        <v>135645</v>
      </c>
      <c r="F398" s="42" t="s">
        <v>2033</v>
      </c>
      <c r="G398" s="36" t="s">
        <v>709</v>
      </c>
      <c r="H398" s="36"/>
      <c r="I398" s="229">
        <v>405.27083333333331</v>
      </c>
      <c r="J398" s="12" t="s">
        <v>53</v>
      </c>
      <c r="K398" s="97">
        <v>46212</v>
      </c>
      <c r="L398" s="95">
        <v>30</v>
      </c>
      <c r="M398" s="96">
        <v>46244</v>
      </c>
      <c r="N398" s="11">
        <f t="shared" si="12"/>
        <v>32</v>
      </c>
      <c r="O398" s="32" t="str">
        <f t="shared" si="13"/>
        <v>No</v>
      </c>
    </row>
    <row r="399" spans="2:15" ht="14.5" customHeight="1" x14ac:dyDescent="0.35">
      <c r="B399" s="10">
        <v>395</v>
      </c>
      <c r="C399" s="34" t="s">
        <v>822</v>
      </c>
      <c r="D399" s="63">
        <v>204096</v>
      </c>
      <c r="E399" s="63">
        <v>135577</v>
      </c>
      <c r="F399" s="42" t="s">
        <v>2034</v>
      </c>
      <c r="G399" s="36" t="s">
        <v>709</v>
      </c>
      <c r="H399" s="36"/>
      <c r="I399" s="229">
        <v>38.520833333333336</v>
      </c>
      <c r="J399" s="12" t="s">
        <v>53</v>
      </c>
      <c r="K399" s="97">
        <v>46212</v>
      </c>
      <c r="L399" s="95">
        <v>30</v>
      </c>
      <c r="M399" s="96">
        <v>46241</v>
      </c>
      <c r="N399" s="11">
        <f t="shared" si="12"/>
        <v>29</v>
      </c>
      <c r="O399" s="32" t="str">
        <f t="shared" si="13"/>
        <v>Yes</v>
      </c>
    </row>
    <row r="400" spans="2:15" ht="14.5" customHeight="1" x14ac:dyDescent="0.35">
      <c r="B400" s="10">
        <v>396</v>
      </c>
      <c r="C400" s="34" t="s">
        <v>822</v>
      </c>
      <c r="D400" s="63">
        <v>203211</v>
      </c>
      <c r="E400" s="63">
        <v>134626</v>
      </c>
      <c r="F400" s="42" t="s">
        <v>2035</v>
      </c>
      <c r="G400" s="36" t="s">
        <v>709</v>
      </c>
      <c r="H400" s="36"/>
      <c r="I400" s="229">
        <v>382.95833333333331</v>
      </c>
      <c r="J400" s="12" t="s">
        <v>53</v>
      </c>
      <c r="K400" s="97">
        <v>46234</v>
      </c>
      <c r="L400" s="95">
        <v>30</v>
      </c>
      <c r="M400" s="96">
        <v>46244</v>
      </c>
      <c r="N400" s="11">
        <f t="shared" si="12"/>
        <v>10</v>
      </c>
      <c r="O400" s="32" t="str">
        <f t="shared" si="13"/>
        <v>Yes</v>
      </c>
    </row>
    <row r="401" spans="2:15" ht="14.5" customHeight="1" x14ac:dyDescent="0.35">
      <c r="B401" s="10">
        <v>397</v>
      </c>
      <c r="C401" s="34" t="s">
        <v>822</v>
      </c>
      <c r="D401" s="63">
        <v>204059</v>
      </c>
      <c r="E401" s="63">
        <v>135515</v>
      </c>
      <c r="F401" s="42" t="s">
        <v>2036</v>
      </c>
      <c r="G401" s="36" t="s">
        <v>709</v>
      </c>
      <c r="H401" s="36"/>
      <c r="I401" s="229">
        <v>671.83333333333337</v>
      </c>
      <c r="J401" s="12" t="s">
        <v>53</v>
      </c>
      <c r="K401" s="97">
        <v>46209</v>
      </c>
      <c r="L401" s="95">
        <v>30</v>
      </c>
      <c r="M401" s="96">
        <v>46240</v>
      </c>
      <c r="N401" s="11">
        <f t="shared" si="12"/>
        <v>31</v>
      </c>
      <c r="O401" s="32" t="str">
        <f t="shared" si="13"/>
        <v>No</v>
      </c>
    </row>
    <row r="402" spans="2:15" ht="14.5" customHeight="1" x14ac:dyDescent="0.35">
      <c r="B402" s="10">
        <v>398</v>
      </c>
      <c r="C402" s="34" t="s">
        <v>822</v>
      </c>
      <c r="D402" s="63">
        <v>204040</v>
      </c>
      <c r="E402" s="63">
        <v>135504</v>
      </c>
      <c r="F402" s="42" t="s">
        <v>2037</v>
      </c>
      <c r="G402" s="36" t="s">
        <v>709</v>
      </c>
      <c r="H402" s="36"/>
      <c r="I402" s="229">
        <v>593.3125</v>
      </c>
      <c r="J402" s="12" t="s">
        <v>53</v>
      </c>
      <c r="K402" s="97">
        <v>46206</v>
      </c>
      <c r="L402" s="95">
        <v>30</v>
      </c>
      <c r="M402" s="96">
        <v>46241</v>
      </c>
      <c r="N402" s="11">
        <f t="shared" si="12"/>
        <v>35</v>
      </c>
      <c r="O402" s="32" t="str">
        <f t="shared" si="13"/>
        <v>No</v>
      </c>
    </row>
    <row r="403" spans="2:15" ht="14.5" customHeight="1" x14ac:dyDescent="0.35">
      <c r="B403" s="10">
        <v>399</v>
      </c>
      <c r="C403" s="34" t="s">
        <v>822</v>
      </c>
      <c r="D403" s="63">
        <v>204039</v>
      </c>
      <c r="E403" s="63">
        <v>135503</v>
      </c>
      <c r="F403" s="42" t="s">
        <v>2038</v>
      </c>
      <c r="G403" s="36" t="s">
        <v>709</v>
      </c>
      <c r="H403" s="36"/>
      <c r="I403" s="229">
        <v>529.6875</v>
      </c>
      <c r="J403" s="12" t="s">
        <v>53</v>
      </c>
      <c r="K403" s="97">
        <v>46206</v>
      </c>
      <c r="L403" s="95">
        <v>30</v>
      </c>
      <c r="M403" s="96">
        <v>46241</v>
      </c>
      <c r="N403" s="11">
        <f t="shared" si="12"/>
        <v>35</v>
      </c>
      <c r="O403" s="32" t="str">
        <f t="shared" si="13"/>
        <v>No</v>
      </c>
    </row>
    <row r="404" spans="2:15" ht="14.5" customHeight="1" x14ac:dyDescent="0.35">
      <c r="B404" s="10">
        <v>400</v>
      </c>
      <c r="C404" s="34" t="s">
        <v>822</v>
      </c>
      <c r="D404" s="63">
        <v>204018</v>
      </c>
      <c r="E404" s="63">
        <v>135502</v>
      </c>
      <c r="F404" s="42" t="s">
        <v>2039</v>
      </c>
      <c r="G404" s="36" t="s">
        <v>709</v>
      </c>
      <c r="H404" s="36"/>
      <c r="I404" s="229">
        <v>348.35416666666669</v>
      </c>
      <c r="J404" s="12" t="s">
        <v>53</v>
      </c>
      <c r="K404" s="97">
        <v>46206</v>
      </c>
      <c r="L404" s="95">
        <v>30</v>
      </c>
      <c r="M404" s="96">
        <v>46234</v>
      </c>
      <c r="N404" s="11">
        <f t="shared" si="12"/>
        <v>28</v>
      </c>
      <c r="O404" s="32" t="str">
        <f t="shared" si="13"/>
        <v>Yes</v>
      </c>
    </row>
    <row r="405" spans="2:15" ht="14.5" customHeight="1" x14ac:dyDescent="0.35">
      <c r="B405" s="10">
        <v>401</v>
      </c>
      <c r="C405" s="34" t="s">
        <v>822</v>
      </c>
      <c r="D405" s="63">
        <v>204009</v>
      </c>
      <c r="E405" s="63">
        <v>135477</v>
      </c>
      <c r="F405" s="42" t="s">
        <v>2040</v>
      </c>
      <c r="G405" s="36" t="s">
        <v>709</v>
      </c>
      <c r="H405" s="36"/>
      <c r="I405" s="229">
        <v>212.75</v>
      </c>
      <c r="J405" s="12" t="s">
        <v>53</v>
      </c>
      <c r="K405" s="97">
        <v>46205</v>
      </c>
      <c r="L405" s="95">
        <v>30</v>
      </c>
      <c r="M405" s="96">
        <v>46238</v>
      </c>
      <c r="N405" s="11">
        <f t="shared" si="12"/>
        <v>33</v>
      </c>
      <c r="O405" s="32" t="str">
        <f t="shared" si="13"/>
        <v>No</v>
      </c>
    </row>
    <row r="406" spans="2:15" ht="14.5" customHeight="1" x14ac:dyDescent="0.35">
      <c r="B406" s="10">
        <v>402</v>
      </c>
      <c r="C406" s="34" t="s">
        <v>822</v>
      </c>
      <c r="D406" s="63">
        <v>203954</v>
      </c>
      <c r="E406" s="63">
        <v>135476</v>
      </c>
      <c r="F406" s="42" t="s">
        <v>2041</v>
      </c>
      <c r="G406" s="36" t="s">
        <v>709</v>
      </c>
      <c r="H406" s="36"/>
      <c r="I406" s="229">
        <v>16.479166666666668</v>
      </c>
      <c r="J406" s="12" t="s">
        <v>53</v>
      </c>
      <c r="K406" s="97">
        <v>46204</v>
      </c>
      <c r="L406" s="95">
        <v>30</v>
      </c>
      <c r="M406" s="96">
        <v>46233</v>
      </c>
      <c r="N406" s="11">
        <f t="shared" si="12"/>
        <v>29</v>
      </c>
      <c r="O406" s="32" t="str">
        <f t="shared" si="13"/>
        <v>Yes</v>
      </c>
    </row>
    <row r="407" spans="2:15" ht="14.5" customHeight="1" x14ac:dyDescent="0.35">
      <c r="B407" s="10">
        <v>403</v>
      </c>
      <c r="C407" s="34" t="s">
        <v>822</v>
      </c>
      <c r="D407" s="63">
        <v>203925</v>
      </c>
      <c r="E407" s="63">
        <v>135393</v>
      </c>
      <c r="F407" s="42" t="s">
        <v>2042</v>
      </c>
      <c r="G407" s="36" t="s">
        <v>709</v>
      </c>
      <c r="H407" s="36"/>
      <c r="I407" s="229">
        <v>473.625</v>
      </c>
      <c r="J407" s="12" t="s">
        <v>53</v>
      </c>
      <c r="K407" s="97">
        <v>46202</v>
      </c>
      <c r="L407" s="95">
        <v>30</v>
      </c>
      <c r="M407" s="96">
        <v>46229</v>
      </c>
      <c r="N407" s="11">
        <f t="shared" si="12"/>
        <v>27</v>
      </c>
      <c r="O407" s="32" t="str">
        <f t="shared" si="13"/>
        <v>Yes</v>
      </c>
    </row>
    <row r="408" spans="2:15" ht="14.5" customHeight="1" x14ac:dyDescent="0.35">
      <c r="B408" s="10">
        <v>404</v>
      </c>
      <c r="C408" s="34" t="s">
        <v>822</v>
      </c>
      <c r="D408" s="63">
        <v>203919</v>
      </c>
      <c r="E408" s="63">
        <v>135419</v>
      </c>
      <c r="F408" s="42" t="s">
        <v>2043</v>
      </c>
      <c r="G408" s="36" t="s">
        <v>709</v>
      </c>
      <c r="H408" s="36"/>
      <c r="I408" s="229">
        <v>355.5625</v>
      </c>
      <c r="J408" s="12" t="s">
        <v>53</v>
      </c>
      <c r="K408" s="97">
        <v>46206</v>
      </c>
      <c r="L408" s="95">
        <v>30</v>
      </c>
      <c r="M408" s="96">
        <v>46236</v>
      </c>
      <c r="N408" s="11">
        <f t="shared" si="12"/>
        <v>30</v>
      </c>
      <c r="O408" s="32" t="str">
        <f t="shared" si="13"/>
        <v>Yes</v>
      </c>
    </row>
    <row r="409" spans="2:15" ht="14.5" customHeight="1" x14ac:dyDescent="0.35">
      <c r="B409" s="10">
        <v>405</v>
      </c>
      <c r="C409" s="34" t="s">
        <v>822</v>
      </c>
      <c r="D409" s="63">
        <v>204381</v>
      </c>
      <c r="E409" s="63">
        <v>135990</v>
      </c>
      <c r="F409" s="42" t="s">
        <v>2044</v>
      </c>
      <c r="G409" s="36" t="s">
        <v>709</v>
      </c>
      <c r="H409" s="36"/>
      <c r="I409" s="229">
        <v>1714.0625</v>
      </c>
      <c r="J409" s="12" t="s">
        <v>53</v>
      </c>
      <c r="K409" s="97">
        <v>46232</v>
      </c>
      <c r="L409" s="95">
        <v>30</v>
      </c>
      <c r="M409" s="96">
        <v>46248</v>
      </c>
      <c r="N409" s="11">
        <f t="shared" si="12"/>
        <v>16</v>
      </c>
      <c r="O409" s="32" t="str">
        <f t="shared" si="13"/>
        <v>Yes</v>
      </c>
    </row>
    <row r="410" spans="2:15" ht="14.5" customHeight="1" x14ac:dyDescent="0.35">
      <c r="B410" s="10">
        <v>406</v>
      </c>
      <c r="C410" s="34" t="s">
        <v>822</v>
      </c>
      <c r="D410" s="63">
        <v>204352</v>
      </c>
      <c r="E410" s="63">
        <v>135926</v>
      </c>
      <c r="F410" s="42" t="s">
        <v>2045</v>
      </c>
      <c r="G410" s="36" t="s">
        <v>709</v>
      </c>
      <c r="H410" s="36"/>
      <c r="I410" s="229">
        <v>2332.5</v>
      </c>
      <c r="J410" s="12" t="s">
        <v>53</v>
      </c>
      <c r="K410" s="97">
        <v>46230</v>
      </c>
      <c r="L410" s="95">
        <v>30</v>
      </c>
      <c r="M410" s="96">
        <v>46248</v>
      </c>
      <c r="N410" s="11">
        <f t="shared" si="12"/>
        <v>18</v>
      </c>
      <c r="O410" s="32" t="str">
        <f t="shared" si="13"/>
        <v>Yes</v>
      </c>
    </row>
    <row r="411" spans="2:15" ht="14.5" customHeight="1" x14ac:dyDescent="0.35">
      <c r="B411" s="10">
        <v>407</v>
      </c>
      <c r="C411" s="34" t="s">
        <v>822</v>
      </c>
      <c r="D411" s="63">
        <v>204268</v>
      </c>
      <c r="E411" s="63">
        <v>135839</v>
      </c>
      <c r="F411" s="42" t="s">
        <v>2046</v>
      </c>
      <c r="G411" s="36" t="s">
        <v>709</v>
      </c>
      <c r="H411" s="36"/>
      <c r="I411" s="229">
        <v>523.66666666666663</v>
      </c>
      <c r="J411" s="12" t="s">
        <v>53</v>
      </c>
      <c r="K411" s="97">
        <v>46224</v>
      </c>
      <c r="L411" s="95">
        <v>30</v>
      </c>
      <c r="M411" s="96">
        <v>46248</v>
      </c>
      <c r="N411" s="11">
        <f t="shared" si="12"/>
        <v>24</v>
      </c>
      <c r="O411" s="32" t="str">
        <f t="shared" si="13"/>
        <v>Yes</v>
      </c>
    </row>
    <row r="412" spans="2:15" ht="14.5" customHeight="1" x14ac:dyDescent="0.35">
      <c r="B412" s="10">
        <v>408</v>
      </c>
      <c r="C412" s="34" t="s">
        <v>822</v>
      </c>
      <c r="D412" s="63">
        <v>135861</v>
      </c>
      <c r="E412" s="63">
        <v>135861</v>
      </c>
      <c r="F412" s="42" t="s">
        <v>2047</v>
      </c>
      <c r="G412" s="36" t="s">
        <v>2530</v>
      </c>
      <c r="H412" s="36"/>
      <c r="I412" s="229">
        <v>1020.8333333333334</v>
      </c>
      <c r="J412" s="12" t="s">
        <v>53</v>
      </c>
      <c r="K412" s="97">
        <v>46226</v>
      </c>
      <c r="L412" s="95">
        <v>30</v>
      </c>
      <c r="M412" s="96">
        <v>46247</v>
      </c>
      <c r="N412" s="11">
        <f t="shared" si="12"/>
        <v>21</v>
      </c>
      <c r="O412" s="32" t="str">
        <f t="shared" si="13"/>
        <v>Yes</v>
      </c>
    </row>
    <row r="413" spans="2:15" ht="14.5" customHeight="1" x14ac:dyDescent="0.35">
      <c r="B413" s="10">
        <v>409</v>
      </c>
      <c r="C413" s="34" t="s">
        <v>822</v>
      </c>
      <c r="D413" s="63" t="s">
        <v>1267</v>
      </c>
      <c r="E413" s="63">
        <v>133002</v>
      </c>
      <c r="F413" s="42" t="s">
        <v>2048</v>
      </c>
      <c r="G413" s="36" t="s">
        <v>2531</v>
      </c>
      <c r="H413" s="36"/>
      <c r="I413" s="229">
        <v>2407.5</v>
      </c>
      <c r="J413" s="12" t="s">
        <v>53</v>
      </c>
      <c r="K413" s="97">
        <v>46213</v>
      </c>
      <c r="L413" s="95">
        <v>30</v>
      </c>
      <c r="M413" s="96">
        <v>46243</v>
      </c>
      <c r="N413" s="11">
        <f t="shared" si="12"/>
        <v>30</v>
      </c>
      <c r="O413" s="32" t="str">
        <f t="shared" si="13"/>
        <v>Yes</v>
      </c>
    </row>
    <row r="414" spans="2:15" ht="14.5" customHeight="1" x14ac:dyDescent="0.35">
      <c r="B414" s="10">
        <v>410</v>
      </c>
      <c r="C414" s="34" t="s">
        <v>822</v>
      </c>
      <c r="D414" s="63" t="s">
        <v>1268</v>
      </c>
      <c r="E414" s="63">
        <v>128246</v>
      </c>
      <c r="F414" s="42" t="s">
        <v>2049</v>
      </c>
      <c r="G414" s="36" t="s">
        <v>784</v>
      </c>
      <c r="H414" s="36"/>
      <c r="I414" s="229">
        <v>34683.440312500003</v>
      </c>
      <c r="J414" s="12" t="s">
        <v>53</v>
      </c>
      <c r="K414" s="97">
        <v>46210</v>
      </c>
      <c r="L414" s="95">
        <v>30</v>
      </c>
      <c r="M414" s="96">
        <v>46240</v>
      </c>
      <c r="N414" s="11">
        <f t="shared" si="12"/>
        <v>30</v>
      </c>
      <c r="O414" s="32" t="str">
        <f t="shared" si="13"/>
        <v>Yes</v>
      </c>
    </row>
    <row r="415" spans="2:15" ht="14.5" customHeight="1" x14ac:dyDescent="0.35">
      <c r="B415" s="10">
        <v>411</v>
      </c>
      <c r="C415" s="34" t="s">
        <v>822</v>
      </c>
      <c r="D415" s="63" t="s">
        <v>1269</v>
      </c>
      <c r="E415" s="63">
        <v>133803</v>
      </c>
      <c r="F415" s="42" t="s">
        <v>2050</v>
      </c>
      <c r="G415" s="36" t="s">
        <v>2532</v>
      </c>
      <c r="H415" s="36"/>
      <c r="I415" s="229">
        <v>833.33333333333337</v>
      </c>
      <c r="J415" s="12" t="s">
        <v>53</v>
      </c>
      <c r="K415" s="97">
        <v>46234</v>
      </c>
      <c r="L415" s="95">
        <v>30</v>
      </c>
      <c r="M415" s="96">
        <v>46244</v>
      </c>
      <c r="N415" s="11">
        <f t="shared" si="12"/>
        <v>10</v>
      </c>
      <c r="O415" s="32" t="str">
        <f t="shared" si="13"/>
        <v>Yes</v>
      </c>
    </row>
    <row r="416" spans="2:15" ht="14.5" customHeight="1" x14ac:dyDescent="0.35">
      <c r="B416" s="10">
        <v>412</v>
      </c>
      <c r="C416" s="34" t="s">
        <v>822</v>
      </c>
      <c r="D416" s="63" t="s">
        <v>1270</v>
      </c>
      <c r="E416" s="63">
        <v>133803</v>
      </c>
      <c r="F416" s="42" t="s">
        <v>2051</v>
      </c>
      <c r="G416" s="36" t="s">
        <v>2532</v>
      </c>
      <c r="H416" s="36"/>
      <c r="I416" s="229">
        <v>833.33333333333337</v>
      </c>
      <c r="J416" s="12" t="s">
        <v>53</v>
      </c>
      <c r="K416" s="97">
        <v>46234</v>
      </c>
      <c r="L416" s="95">
        <v>30</v>
      </c>
      <c r="M416" s="96">
        <v>46244</v>
      </c>
      <c r="N416" s="11">
        <f t="shared" si="12"/>
        <v>10</v>
      </c>
      <c r="O416" s="32" t="str">
        <f t="shared" si="13"/>
        <v>Yes</v>
      </c>
    </row>
    <row r="417" spans="2:16" ht="14.5" customHeight="1" x14ac:dyDescent="0.35">
      <c r="B417" s="10">
        <v>413</v>
      </c>
      <c r="C417" s="34" t="s">
        <v>822</v>
      </c>
      <c r="D417" s="63">
        <v>26067</v>
      </c>
      <c r="E417" s="63">
        <v>135884</v>
      </c>
      <c r="F417" s="42" t="s">
        <v>2052</v>
      </c>
      <c r="G417" s="36" t="s">
        <v>2533</v>
      </c>
      <c r="H417" s="36"/>
      <c r="I417" s="229">
        <v>7187.5</v>
      </c>
      <c r="J417" s="12" t="s">
        <v>53</v>
      </c>
      <c r="K417" s="97">
        <v>46237</v>
      </c>
      <c r="L417" s="95">
        <v>30</v>
      </c>
      <c r="M417" s="96">
        <v>46246</v>
      </c>
      <c r="N417" s="11">
        <f t="shared" si="12"/>
        <v>9</v>
      </c>
      <c r="O417" s="32" t="str">
        <f t="shared" si="13"/>
        <v>Yes</v>
      </c>
    </row>
    <row r="418" spans="2:16" ht="14.5" customHeight="1" x14ac:dyDescent="0.35">
      <c r="B418" s="10">
        <v>414</v>
      </c>
      <c r="C418" s="34" t="s">
        <v>822</v>
      </c>
      <c r="D418" s="67" t="s">
        <v>965</v>
      </c>
      <c r="E418" s="67">
        <v>134590</v>
      </c>
      <c r="F418" s="70" t="s">
        <v>2053</v>
      </c>
      <c r="G418" s="69" t="s">
        <v>2534</v>
      </c>
      <c r="H418" s="69"/>
      <c r="I418" s="229">
        <v>1250</v>
      </c>
      <c r="J418" s="12" t="s">
        <v>53</v>
      </c>
      <c r="K418" s="97">
        <v>46233</v>
      </c>
      <c r="L418" s="95">
        <v>30</v>
      </c>
      <c r="M418" s="96">
        <v>46247</v>
      </c>
      <c r="N418" s="11">
        <f t="shared" si="12"/>
        <v>14</v>
      </c>
      <c r="O418" s="32" t="str">
        <f t="shared" si="13"/>
        <v>Yes</v>
      </c>
    </row>
    <row r="419" spans="2:16" ht="14.5" customHeight="1" x14ac:dyDescent="0.35">
      <c r="B419" s="10">
        <v>415</v>
      </c>
      <c r="C419" s="34" t="s">
        <v>822</v>
      </c>
      <c r="D419" s="68" t="s">
        <v>1271</v>
      </c>
      <c r="E419" s="68">
        <v>134998</v>
      </c>
      <c r="F419" s="50" t="s">
        <v>2054</v>
      </c>
      <c r="G419" s="50" t="s">
        <v>2535</v>
      </c>
      <c r="H419" s="50"/>
      <c r="I419" s="229">
        <v>6650</v>
      </c>
      <c r="J419" s="12" t="s">
        <v>53</v>
      </c>
      <c r="K419" s="97">
        <v>46239</v>
      </c>
      <c r="L419" s="95">
        <v>30</v>
      </c>
      <c r="M419" s="96">
        <v>46247</v>
      </c>
      <c r="N419" s="11">
        <f t="shared" si="12"/>
        <v>8</v>
      </c>
      <c r="O419" s="32" t="str">
        <f t="shared" si="13"/>
        <v>Yes</v>
      </c>
      <c r="P419" s="37"/>
    </row>
    <row r="420" spans="2:16" ht="14.5" customHeight="1" x14ac:dyDescent="0.35">
      <c r="B420" s="10">
        <v>416</v>
      </c>
      <c r="C420" s="34" t="s">
        <v>822</v>
      </c>
      <c r="D420" s="68" t="s">
        <v>1272</v>
      </c>
      <c r="E420" s="68">
        <v>136007</v>
      </c>
      <c r="F420" s="50" t="s">
        <v>2055</v>
      </c>
      <c r="G420" s="50" t="s">
        <v>2536</v>
      </c>
      <c r="H420" s="50"/>
      <c r="I420" s="229">
        <v>6250</v>
      </c>
      <c r="J420" s="12" t="s">
        <v>53</v>
      </c>
      <c r="K420" s="97">
        <v>46234</v>
      </c>
      <c r="L420" s="95">
        <v>30</v>
      </c>
      <c r="M420" s="96">
        <v>46251</v>
      </c>
      <c r="N420" s="11">
        <f t="shared" si="12"/>
        <v>17</v>
      </c>
      <c r="O420" s="32" t="str">
        <f t="shared" si="13"/>
        <v>Yes</v>
      </c>
      <c r="P420" s="37"/>
    </row>
    <row r="421" spans="2:16" ht="14.5" customHeight="1" x14ac:dyDescent="0.35">
      <c r="B421" s="10">
        <v>417</v>
      </c>
      <c r="C421" s="34" t="s">
        <v>822</v>
      </c>
      <c r="D421" s="68" t="s">
        <v>1273</v>
      </c>
      <c r="E421" s="68">
        <v>135722</v>
      </c>
      <c r="F421" s="50" t="s">
        <v>2056</v>
      </c>
      <c r="G421" s="50" t="s">
        <v>2537</v>
      </c>
      <c r="H421" s="50"/>
      <c r="I421" s="229">
        <v>333.33333333333331</v>
      </c>
      <c r="J421" s="12" t="s">
        <v>53</v>
      </c>
      <c r="K421" s="97">
        <v>46224</v>
      </c>
      <c r="L421" s="95">
        <v>30</v>
      </c>
      <c r="M421" s="96">
        <v>46248</v>
      </c>
      <c r="N421" s="11">
        <f t="shared" si="12"/>
        <v>24</v>
      </c>
      <c r="O421" s="32" t="str">
        <f t="shared" si="13"/>
        <v>Yes</v>
      </c>
      <c r="P421" s="37"/>
    </row>
    <row r="422" spans="2:16" ht="14.5" customHeight="1" x14ac:dyDescent="0.35">
      <c r="B422" s="10">
        <v>418</v>
      </c>
      <c r="C422" s="34" t="s">
        <v>822</v>
      </c>
      <c r="D422" s="68" t="s">
        <v>1274</v>
      </c>
      <c r="E422" s="68">
        <v>135722</v>
      </c>
      <c r="F422" s="50" t="s">
        <v>2057</v>
      </c>
      <c r="G422" s="50" t="s">
        <v>2537</v>
      </c>
      <c r="H422" s="50"/>
      <c r="I422" s="229">
        <v>333.33333333333331</v>
      </c>
      <c r="J422" s="12" t="s">
        <v>53</v>
      </c>
      <c r="K422" s="97">
        <v>46224</v>
      </c>
      <c r="L422" s="95">
        <v>30</v>
      </c>
      <c r="M422" s="96">
        <v>46248</v>
      </c>
      <c r="N422" s="11">
        <f t="shared" si="12"/>
        <v>24</v>
      </c>
      <c r="O422" s="32" t="str">
        <f t="shared" si="13"/>
        <v>Yes</v>
      </c>
      <c r="P422" s="37"/>
    </row>
    <row r="423" spans="2:16" ht="14.5" customHeight="1" x14ac:dyDescent="0.35">
      <c r="B423" s="10">
        <v>419</v>
      </c>
      <c r="C423" s="34" t="s">
        <v>822</v>
      </c>
      <c r="D423" s="68" t="s">
        <v>1275</v>
      </c>
      <c r="E423" s="68">
        <v>135722</v>
      </c>
      <c r="F423" s="50" t="s">
        <v>2058</v>
      </c>
      <c r="G423" s="50" t="s">
        <v>2537</v>
      </c>
      <c r="H423" s="50"/>
      <c r="I423" s="229">
        <v>333.33333333333331</v>
      </c>
      <c r="J423" s="12" t="s">
        <v>53</v>
      </c>
      <c r="K423" s="97">
        <v>46224</v>
      </c>
      <c r="L423" s="95">
        <v>30</v>
      </c>
      <c r="M423" s="96">
        <v>46248</v>
      </c>
      <c r="N423" s="11">
        <f t="shared" si="12"/>
        <v>24</v>
      </c>
      <c r="O423" s="32" t="str">
        <f t="shared" si="13"/>
        <v>Yes</v>
      </c>
      <c r="P423" s="37"/>
    </row>
    <row r="424" spans="2:16" ht="14.5" customHeight="1" x14ac:dyDescent="0.35">
      <c r="B424" s="10">
        <v>420</v>
      </c>
      <c r="C424" s="34" t="s">
        <v>822</v>
      </c>
      <c r="D424" s="68" t="s">
        <v>965</v>
      </c>
      <c r="E424" s="68">
        <v>136076</v>
      </c>
      <c r="F424" s="50" t="s">
        <v>2059</v>
      </c>
      <c r="G424" s="50" t="s">
        <v>621</v>
      </c>
      <c r="H424" s="50"/>
      <c r="I424" s="229">
        <v>625</v>
      </c>
      <c r="J424" s="12" t="s">
        <v>53</v>
      </c>
      <c r="K424" s="97">
        <v>46239</v>
      </c>
      <c r="L424" s="95">
        <v>30</v>
      </c>
      <c r="M424" s="96">
        <v>46248</v>
      </c>
      <c r="N424" s="11">
        <f t="shared" si="12"/>
        <v>9</v>
      </c>
      <c r="O424" s="32" t="str">
        <f t="shared" si="13"/>
        <v>Yes</v>
      </c>
      <c r="P424" s="37"/>
    </row>
    <row r="425" spans="2:16" ht="27" customHeight="1" x14ac:dyDescent="0.35">
      <c r="B425" s="10">
        <v>421</v>
      </c>
      <c r="C425" s="34" t="s">
        <v>822</v>
      </c>
      <c r="D425" s="68" t="s">
        <v>1276</v>
      </c>
      <c r="E425" s="68">
        <v>135820</v>
      </c>
      <c r="F425" s="66" t="s">
        <v>2060</v>
      </c>
      <c r="G425" s="50" t="s">
        <v>641</v>
      </c>
      <c r="H425" s="50"/>
      <c r="I425" s="229">
        <v>21510.416666666668</v>
      </c>
      <c r="J425" s="12" t="s">
        <v>53</v>
      </c>
      <c r="K425" s="97">
        <v>46246</v>
      </c>
      <c r="L425" s="95">
        <v>30</v>
      </c>
      <c r="M425" s="96">
        <v>46247</v>
      </c>
      <c r="N425" s="11">
        <f t="shared" si="12"/>
        <v>1</v>
      </c>
      <c r="O425" s="32" t="str">
        <f t="shared" si="13"/>
        <v>Yes</v>
      </c>
      <c r="P425" s="37"/>
    </row>
    <row r="426" spans="2:16" ht="14.5" customHeight="1" x14ac:dyDescent="0.35">
      <c r="B426" s="10">
        <v>422</v>
      </c>
      <c r="C426" s="34" t="s">
        <v>822</v>
      </c>
      <c r="D426" s="68" t="s">
        <v>1277</v>
      </c>
      <c r="E426" s="68">
        <v>135617</v>
      </c>
      <c r="F426" s="50" t="s">
        <v>2061</v>
      </c>
      <c r="G426" s="50" t="s">
        <v>2458</v>
      </c>
      <c r="H426" s="50"/>
      <c r="I426" s="229">
        <v>47.328364583333332</v>
      </c>
      <c r="J426" s="12" t="s">
        <v>53</v>
      </c>
      <c r="K426" s="97">
        <v>46218</v>
      </c>
      <c r="L426" s="95">
        <v>30</v>
      </c>
      <c r="M426" s="96">
        <v>46248</v>
      </c>
      <c r="N426" s="11">
        <f t="shared" si="12"/>
        <v>30</v>
      </c>
      <c r="O426" s="32" t="str">
        <f t="shared" si="13"/>
        <v>Yes</v>
      </c>
      <c r="P426" s="37"/>
    </row>
    <row r="427" spans="2:16" ht="14.5" customHeight="1" x14ac:dyDescent="0.35">
      <c r="B427" s="10">
        <v>423</v>
      </c>
      <c r="C427" s="34" t="s">
        <v>822</v>
      </c>
      <c r="D427" s="68" t="s">
        <v>1278</v>
      </c>
      <c r="E427" s="68">
        <v>135617</v>
      </c>
      <c r="F427" s="50" t="s">
        <v>2062</v>
      </c>
      <c r="G427" s="50" t="s">
        <v>2458</v>
      </c>
      <c r="H427" s="50"/>
      <c r="I427" s="229">
        <v>92.595943750000004</v>
      </c>
      <c r="J427" s="12" t="s">
        <v>53</v>
      </c>
      <c r="K427" s="97">
        <v>46218</v>
      </c>
      <c r="L427" s="95">
        <v>30</v>
      </c>
      <c r="M427" s="96">
        <v>46248</v>
      </c>
      <c r="N427" s="11">
        <f t="shared" si="12"/>
        <v>30</v>
      </c>
      <c r="O427" s="32" t="str">
        <f t="shared" si="13"/>
        <v>Yes</v>
      </c>
      <c r="P427" s="37"/>
    </row>
    <row r="428" spans="2:16" ht="14.5" customHeight="1" x14ac:dyDescent="0.35">
      <c r="B428" s="10">
        <v>424</v>
      </c>
      <c r="C428" s="34" t="s">
        <v>822</v>
      </c>
      <c r="D428" s="68" t="s">
        <v>1279</v>
      </c>
      <c r="E428" s="68">
        <v>135617</v>
      </c>
      <c r="F428" s="50" t="s">
        <v>2063</v>
      </c>
      <c r="G428" s="50" t="s">
        <v>2458</v>
      </c>
      <c r="H428" s="50"/>
      <c r="I428" s="229">
        <v>109.0785125</v>
      </c>
      <c r="J428" s="12" t="s">
        <v>53</v>
      </c>
      <c r="K428" s="97">
        <v>46218</v>
      </c>
      <c r="L428" s="95">
        <v>30</v>
      </c>
      <c r="M428" s="96">
        <v>46248</v>
      </c>
      <c r="N428" s="11">
        <f t="shared" si="12"/>
        <v>30</v>
      </c>
      <c r="O428" s="32" t="str">
        <f t="shared" si="13"/>
        <v>Yes</v>
      </c>
      <c r="P428" s="37"/>
    </row>
    <row r="429" spans="2:16" ht="14.5" customHeight="1" x14ac:dyDescent="0.35">
      <c r="B429" s="10">
        <v>425</v>
      </c>
      <c r="C429" s="34" t="s">
        <v>822</v>
      </c>
      <c r="D429" s="68" t="s">
        <v>1280</v>
      </c>
      <c r="E429" s="68">
        <v>135488</v>
      </c>
      <c r="F429" s="50" t="s">
        <v>2064</v>
      </c>
      <c r="G429" s="50" t="s">
        <v>2458</v>
      </c>
      <c r="H429" s="50"/>
      <c r="I429" s="229">
        <v>443.55684375000004</v>
      </c>
      <c r="J429" s="12" t="s">
        <v>53</v>
      </c>
      <c r="K429" s="97">
        <v>46218</v>
      </c>
      <c r="L429" s="95">
        <v>30</v>
      </c>
      <c r="M429" s="96">
        <v>46248</v>
      </c>
      <c r="N429" s="11">
        <f t="shared" si="12"/>
        <v>30</v>
      </c>
      <c r="O429" s="32" t="str">
        <f t="shared" si="13"/>
        <v>Yes</v>
      </c>
      <c r="P429" s="37"/>
    </row>
    <row r="430" spans="2:16" ht="14.5" customHeight="1" x14ac:dyDescent="0.35">
      <c r="B430" s="10">
        <v>426</v>
      </c>
      <c r="C430" s="34" t="s">
        <v>822</v>
      </c>
      <c r="D430" s="68" t="s">
        <v>1281</v>
      </c>
      <c r="E430" s="68">
        <v>132873</v>
      </c>
      <c r="F430" s="50" t="s">
        <v>2065</v>
      </c>
      <c r="G430" s="50" t="s">
        <v>2458</v>
      </c>
      <c r="H430" s="50"/>
      <c r="I430" s="229">
        <v>218.79254166666666</v>
      </c>
      <c r="J430" s="12" t="s">
        <v>53</v>
      </c>
      <c r="K430" s="97">
        <v>46218</v>
      </c>
      <c r="L430" s="95">
        <v>30</v>
      </c>
      <c r="M430" s="96">
        <v>46248</v>
      </c>
      <c r="N430" s="11">
        <f t="shared" si="12"/>
        <v>30</v>
      </c>
      <c r="O430" s="32" t="str">
        <f t="shared" si="13"/>
        <v>Yes</v>
      </c>
      <c r="P430" s="37"/>
    </row>
    <row r="431" spans="2:16" ht="14.5" customHeight="1" x14ac:dyDescent="0.35">
      <c r="B431" s="10">
        <v>427</v>
      </c>
      <c r="C431" s="34" t="s">
        <v>822</v>
      </c>
      <c r="D431" s="68" t="s">
        <v>1282</v>
      </c>
      <c r="E431" s="68">
        <v>135487</v>
      </c>
      <c r="F431" s="50" t="s">
        <v>2066</v>
      </c>
      <c r="G431" s="50" t="s">
        <v>2458</v>
      </c>
      <c r="H431" s="50"/>
      <c r="I431" s="229">
        <v>125.35367708333334</v>
      </c>
      <c r="J431" s="12" t="s">
        <v>53</v>
      </c>
      <c r="K431" s="97">
        <v>46218</v>
      </c>
      <c r="L431" s="95">
        <v>30</v>
      </c>
      <c r="M431" s="96">
        <v>46248</v>
      </c>
      <c r="N431" s="11">
        <f t="shared" si="12"/>
        <v>30</v>
      </c>
      <c r="O431" s="32" t="str">
        <f t="shared" si="13"/>
        <v>Yes</v>
      </c>
      <c r="P431" s="37"/>
    </row>
    <row r="432" spans="2:16" ht="14.5" customHeight="1" x14ac:dyDescent="0.35">
      <c r="B432" s="10">
        <v>428</v>
      </c>
      <c r="C432" s="34" t="s">
        <v>822</v>
      </c>
      <c r="D432" s="68" t="s">
        <v>1283</v>
      </c>
      <c r="E432" s="68">
        <v>132871</v>
      </c>
      <c r="F432" s="50" t="s">
        <v>2067</v>
      </c>
      <c r="G432" s="50" t="s">
        <v>2458</v>
      </c>
      <c r="H432" s="50"/>
      <c r="I432" s="229">
        <v>80.905597916666665</v>
      </c>
      <c r="J432" s="12" t="s">
        <v>53</v>
      </c>
      <c r="K432" s="97">
        <v>46218</v>
      </c>
      <c r="L432" s="95">
        <v>30</v>
      </c>
      <c r="M432" s="96">
        <v>46248</v>
      </c>
      <c r="N432" s="11">
        <f t="shared" si="12"/>
        <v>30</v>
      </c>
      <c r="O432" s="32" t="str">
        <f t="shared" si="13"/>
        <v>Yes</v>
      </c>
      <c r="P432" s="37"/>
    </row>
    <row r="433" spans="2:16" ht="14.5" customHeight="1" x14ac:dyDescent="0.35">
      <c r="B433" s="10">
        <v>429</v>
      </c>
      <c r="C433" s="34" t="s">
        <v>822</v>
      </c>
      <c r="D433" s="68" t="s">
        <v>1284</v>
      </c>
      <c r="E433" s="68">
        <v>132872</v>
      </c>
      <c r="F433" s="50" t="s">
        <v>2068</v>
      </c>
      <c r="G433" s="50" t="s">
        <v>2458</v>
      </c>
      <c r="H433" s="50"/>
      <c r="I433" s="229">
        <v>2074.7247520833334</v>
      </c>
      <c r="J433" s="12" t="s">
        <v>53</v>
      </c>
      <c r="K433" s="97">
        <v>46218</v>
      </c>
      <c r="L433" s="95">
        <v>30</v>
      </c>
      <c r="M433" s="96">
        <v>46248</v>
      </c>
      <c r="N433" s="11">
        <f t="shared" si="12"/>
        <v>30</v>
      </c>
      <c r="O433" s="32" t="str">
        <f t="shared" si="13"/>
        <v>Yes</v>
      </c>
      <c r="P433" s="37"/>
    </row>
    <row r="434" spans="2:16" ht="14.5" customHeight="1" x14ac:dyDescent="0.35">
      <c r="B434" s="10">
        <v>430</v>
      </c>
      <c r="C434" s="34" t="s">
        <v>822</v>
      </c>
      <c r="D434" s="68" t="s">
        <v>1285</v>
      </c>
      <c r="E434" s="68">
        <v>135617</v>
      </c>
      <c r="F434" s="50" t="s">
        <v>2069</v>
      </c>
      <c r="G434" s="50" t="s">
        <v>2458</v>
      </c>
      <c r="H434" s="50"/>
      <c r="I434" s="229">
        <v>91.372791666666672</v>
      </c>
      <c r="J434" s="12" t="s">
        <v>53</v>
      </c>
      <c r="K434" s="97">
        <v>46218</v>
      </c>
      <c r="L434" s="95">
        <v>30</v>
      </c>
      <c r="M434" s="96">
        <v>46248</v>
      </c>
      <c r="N434" s="11">
        <f t="shared" si="12"/>
        <v>30</v>
      </c>
      <c r="O434" s="32" t="str">
        <f t="shared" si="13"/>
        <v>Yes</v>
      </c>
      <c r="P434" s="37"/>
    </row>
    <row r="435" spans="2:16" ht="29.15" customHeight="1" x14ac:dyDescent="0.35">
      <c r="B435" s="10">
        <v>431</v>
      </c>
      <c r="C435" s="34" t="s">
        <v>822</v>
      </c>
      <c r="D435" s="68" t="s">
        <v>1286</v>
      </c>
      <c r="E435" s="68">
        <v>132962</v>
      </c>
      <c r="F435" s="66" t="s">
        <v>2070</v>
      </c>
      <c r="G435" s="50" t="s">
        <v>2458</v>
      </c>
      <c r="H435" s="50"/>
      <c r="I435" s="229">
        <v>6325.1473374999996</v>
      </c>
      <c r="J435" s="12" t="s">
        <v>53</v>
      </c>
      <c r="K435" s="97">
        <v>46218</v>
      </c>
      <c r="L435" s="95">
        <v>30</v>
      </c>
      <c r="M435" s="96">
        <v>46248</v>
      </c>
      <c r="N435" s="11">
        <f t="shared" si="12"/>
        <v>30</v>
      </c>
      <c r="O435" s="32" t="str">
        <f t="shared" si="13"/>
        <v>Yes</v>
      </c>
      <c r="P435" s="37"/>
    </row>
    <row r="436" spans="2:16" ht="14.5" customHeight="1" x14ac:dyDescent="0.35">
      <c r="B436" s="10">
        <v>432</v>
      </c>
      <c r="C436" s="34" t="s">
        <v>822</v>
      </c>
      <c r="D436" s="68" t="s">
        <v>1287</v>
      </c>
      <c r="E436" s="68">
        <v>135617</v>
      </c>
      <c r="F436" s="50" t="s">
        <v>2071</v>
      </c>
      <c r="G436" s="50" t="s">
        <v>2458</v>
      </c>
      <c r="H436" s="50"/>
      <c r="I436" s="229">
        <v>28.84043333333333</v>
      </c>
      <c r="J436" s="12" t="s">
        <v>53</v>
      </c>
      <c r="K436" s="97">
        <v>46218</v>
      </c>
      <c r="L436" s="95">
        <v>30</v>
      </c>
      <c r="M436" s="96">
        <v>46248</v>
      </c>
      <c r="N436" s="11">
        <f t="shared" si="12"/>
        <v>30</v>
      </c>
      <c r="O436" s="32" t="str">
        <f t="shared" si="13"/>
        <v>Yes</v>
      </c>
      <c r="P436" s="37"/>
    </row>
    <row r="437" spans="2:16" ht="14.5" customHeight="1" x14ac:dyDescent="0.35">
      <c r="B437" s="10">
        <v>433</v>
      </c>
      <c r="C437" s="34" t="s">
        <v>822</v>
      </c>
      <c r="D437" s="68" t="s">
        <v>1288</v>
      </c>
      <c r="E437" s="68">
        <v>135617</v>
      </c>
      <c r="F437" s="50" t="s">
        <v>2072</v>
      </c>
      <c r="G437" s="50" t="s">
        <v>2458</v>
      </c>
      <c r="H437" s="50"/>
      <c r="I437" s="229">
        <v>90.884804166666669</v>
      </c>
      <c r="J437" s="12" t="s">
        <v>53</v>
      </c>
      <c r="K437" s="97">
        <v>46218</v>
      </c>
      <c r="L437" s="95">
        <v>30</v>
      </c>
      <c r="M437" s="96">
        <v>46248</v>
      </c>
      <c r="N437" s="11">
        <f t="shared" si="12"/>
        <v>30</v>
      </c>
      <c r="O437" s="32" t="str">
        <f t="shared" si="13"/>
        <v>Yes</v>
      </c>
      <c r="P437" s="37"/>
    </row>
    <row r="438" spans="2:16" ht="14.5" customHeight="1" x14ac:dyDescent="0.35">
      <c r="B438" s="10">
        <v>434</v>
      </c>
      <c r="C438" s="34" t="s">
        <v>822</v>
      </c>
      <c r="D438" s="68" t="s">
        <v>1289</v>
      </c>
      <c r="E438" s="68">
        <v>133794</v>
      </c>
      <c r="F438" s="50" t="s">
        <v>2073</v>
      </c>
      <c r="G438" s="50" t="s">
        <v>2538</v>
      </c>
      <c r="H438" s="50"/>
      <c r="I438" s="229">
        <v>68424.082500000004</v>
      </c>
      <c r="J438" s="12" t="s">
        <v>53</v>
      </c>
      <c r="K438" s="97">
        <v>46218</v>
      </c>
      <c r="L438" s="95">
        <v>30</v>
      </c>
      <c r="M438" s="96">
        <v>46248</v>
      </c>
      <c r="N438" s="11">
        <f t="shared" si="12"/>
        <v>30</v>
      </c>
      <c r="O438" s="32" t="str">
        <f t="shared" si="13"/>
        <v>Yes</v>
      </c>
      <c r="P438" s="37"/>
    </row>
    <row r="439" spans="2:16" ht="14.5" customHeight="1" x14ac:dyDescent="0.35">
      <c r="B439" s="10">
        <v>435</v>
      </c>
      <c r="C439" s="34" t="s">
        <v>822</v>
      </c>
      <c r="D439" s="68" t="s">
        <v>1290</v>
      </c>
      <c r="E439" s="68">
        <v>133794</v>
      </c>
      <c r="F439" s="50" t="s">
        <v>2074</v>
      </c>
      <c r="G439" s="50" t="s">
        <v>2538</v>
      </c>
      <c r="H439" s="50"/>
      <c r="I439" s="229">
        <v>3804.4078479166669</v>
      </c>
      <c r="J439" s="12" t="s">
        <v>53</v>
      </c>
      <c r="K439" s="97">
        <v>46218</v>
      </c>
      <c r="L439" s="95">
        <v>30</v>
      </c>
      <c r="M439" s="96">
        <v>46248</v>
      </c>
      <c r="N439" s="11">
        <f t="shared" si="12"/>
        <v>30</v>
      </c>
      <c r="O439" s="32" t="str">
        <f t="shared" si="13"/>
        <v>Yes</v>
      </c>
      <c r="P439" s="37"/>
    </row>
    <row r="440" spans="2:16" ht="14.5" customHeight="1" x14ac:dyDescent="0.35">
      <c r="B440" s="10">
        <v>436</v>
      </c>
      <c r="C440" s="34" t="s">
        <v>822</v>
      </c>
      <c r="D440" s="68" t="s">
        <v>965</v>
      </c>
      <c r="E440" s="68">
        <v>136295</v>
      </c>
      <c r="F440" s="50" t="s">
        <v>2075</v>
      </c>
      <c r="G440" s="50" t="s">
        <v>692</v>
      </c>
      <c r="H440" s="50"/>
      <c r="I440" s="229">
        <v>2083.3333333333335</v>
      </c>
      <c r="J440" s="12" t="s">
        <v>53</v>
      </c>
      <c r="K440" s="97">
        <v>46216</v>
      </c>
      <c r="L440" s="95">
        <v>30</v>
      </c>
      <c r="M440" s="96">
        <v>46250</v>
      </c>
      <c r="N440" s="11">
        <f t="shared" si="12"/>
        <v>34</v>
      </c>
      <c r="O440" s="32" t="str">
        <f t="shared" si="13"/>
        <v>No</v>
      </c>
      <c r="P440" s="37"/>
    </row>
    <row r="441" spans="2:16" ht="43.5" customHeight="1" x14ac:dyDescent="0.35">
      <c r="B441" s="10">
        <v>437</v>
      </c>
      <c r="C441" s="34" t="s">
        <v>822</v>
      </c>
      <c r="D441" s="68" t="s">
        <v>1291</v>
      </c>
      <c r="E441" s="68">
        <v>132757</v>
      </c>
      <c r="F441" s="66" t="s">
        <v>2076</v>
      </c>
      <c r="G441" s="50" t="s">
        <v>2539</v>
      </c>
      <c r="H441" s="50"/>
      <c r="I441" s="229">
        <v>28521.834583333333</v>
      </c>
      <c r="J441" s="12" t="s">
        <v>53</v>
      </c>
      <c r="K441" s="97">
        <v>46218</v>
      </c>
      <c r="L441" s="95">
        <v>30</v>
      </c>
      <c r="M441" s="96">
        <v>46247</v>
      </c>
      <c r="N441" s="11">
        <f t="shared" si="12"/>
        <v>29</v>
      </c>
      <c r="O441" s="32" t="str">
        <f t="shared" si="13"/>
        <v>Yes</v>
      </c>
      <c r="P441" s="37"/>
    </row>
    <row r="442" spans="2:16" ht="43.5" customHeight="1" x14ac:dyDescent="0.35">
      <c r="B442" s="10">
        <v>438</v>
      </c>
      <c r="C442" s="34" t="s">
        <v>822</v>
      </c>
      <c r="D442" s="68" t="s">
        <v>1292</v>
      </c>
      <c r="E442" s="68">
        <v>132757</v>
      </c>
      <c r="F442" s="66" t="s">
        <v>2077</v>
      </c>
      <c r="G442" s="50" t="s">
        <v>2539</v>
      </c>
      <c r="H442" s="50"/>
      <c r="I442" s="229">
        <v>11293.317083333333</v>
      </c>
      <c r="J442" s="12" t="s">
        <v>53</v>
      </c>
      <c r="K442" s="97">
        <v>46218</v>
      </c>
      <c r="L442" s="95">
        <v>30</v>
      </c>
      <c r="M442" s="96">
        <v>46253</v>
      </c>
      <c r="N442" s="11">
        <f t="shared" si="12"/>
        <v>35</v>
      </c>
      <c r="O442" s="32" t="str">
        <f t="shared" si="13"/>
        <v>No</v>
      </c>
      <c r="P442" s="37"/>
    </row>
    <row r="443" spans="2:16" ht="14.5" customHeight="1" x14ac:dyDescent="0.35">
      <c r="B443" s="10">
        <v>439</v>
      </c>
      <c r="C443" s="34" t="s">
        <v>822</v>
      </c>
      <c r="D443" s="68" t="s">
        <v>1293</v>
      </c>
      <c r="E443" s="68">
        <v>135923</v>
      </c>
      <c r="F443" s="50" t="s">
        <v>2078</v>
      </c>
      <c r="G443" s="50" t="s">
        <v>641</v>
      </c>
      <c r="H443" s="50"/>
      <c r="I443" s="229">
        <v>8802.0833333333339</v>
      </c>
      <c r="J443" s="12" t="s">
        <v>53</v>
      </c>
      <c r="K443" s="97">
        <v>46248</v>
      </c>
      <c r="L443" s="95">
        <v>30</v>
      </c>
      <c r="M443" s="96">
        <v>46252</v>
      </c>
      <c r="N443" s="11">
        <f t="shared" si="12"/>
        <v>4</v>
      </c>
      <c r="O443" s="32" t="str">
        <f t="shared" si="13"/>
        <v>Yes</v>
      </c>
      <c r="P443" s="37"/>
    </row>
    <row r="444" spans="2:16" ht="14.5" customHeight="1" x14ac:dyDescent="0.35">
      <c r="B444" s="10">
        <v>440</v>
      </c>
      <c r="C444" s="34" t="s">
        <v>822</v>
      </c>
      <c r="D444" s="68" t="s">
        <v>1294</v>
      </c>
      <c r="E444" s="68">
        <v>132992</v>
      </c>
      <c r="F444" s="50" t="s">
        <v>2079</v>
      </c>
      <c r="G444" s="50" t="s">
        <v>729</v>
      </c>
      <c r="H444" s="50"/>
      <c r="I444" s="229">
        <v>23747.153249999999</v>
      </c>
      <c r="J444" s="12" t="s">
        <v>53</v>
      </c>
      <c r="K444" s="97">
        <v>46210</v>
      </c>
      <c r="L444" s="95">
        <v>30</v>
      </c>
      <c r="M444" s="96">
        <v>46239</v>
      </c>
      <c r="N444" s="11">
        <f t="shared" si="12"/>
        <v>29</v>
      </c>
      <c r="O444" s="32" t="str">
        <f t="shared" si="13"/>
        <v>Yes</v>
      </c>
      <c r="P444" s="37"/>
    </row>
    <row r="445" spans="2:16" ht="14.5" customHeight="1" x14ac:dyDescent="0.35">
      <c r="B445" s="10">
        <v>441</v>
      </c>
      <c r="C445" s="34" t="s">
        <v>822</v>
      </c>
      <c r="D445" s="68" t="s">
        <v>1295</v>
      </c>
      <c r="E445" s="68">
        <v>136315</v>
      </c>
      <c r="F445" s="50" t="s">
        <v>2080</v>
      </c>
      <c r="G445" s="50" t="s">
        <v>641</v>
      </c>
      <c r="H445" s="50"/>
      <c r="I445" s="229">
        <v>83854.166666666672</v>
      </c>
      <c r="J445" s="12" t="s">
        <v>53</v>
      </c>
      <c r="K445" s="97">
        <v>46252</v>
      </c>
      <c r="L445" s="95">
        <v>30</v>
      </c>
      <c r="M445" s="96">
        <v>46253</v>
      </c>
      <c r="N445" s="11">
        <f t="shared" si="12"/>
        <v>1</v>
      </c>
      <c r="O445" s="32" t="str">
        <f t="shared" si="13"/>
        <v>Yes</v>
      </c>
      <c r="P445" s="37"/>
    </row>
    <row r="446" spans="2:16" ht="14.5" customHeight="1" x14ac:dyDescent="0.35">
      <c r="B446" s="10">
        <v>442</v>
      </c>
      <c r="C446" s="34" t="s">
        <v>822</v>
      </c>
      <c r="D446" s="68" t="s">
        <v>1296</v>
      </c>
      <c r="E446" s="68">
        <v>135696</v>
      </c>
      <c r="F446" s="50" t="s">
        <v>2081</v>
      </c>
      <c r="G446" s="50" t="s">
        <v>605</v>
      </c>
      <c r="H446" s="50"/>
      <c r="I446" s="229">
        <v>-1179.2645</v>
      </c>
      <c r="J446" s="12" t="s">
        <v>53</v>
      </c>
      <c r="K446" s="97">
        <v>46261</v>
      </c>
      <c r="L446" s="95">
        <v>30</v>
      </c>
      <c r="M446" s="96">
        <v>46262</v>
      </c>
      <c r="N446" s="11">
        <f t="shared" si="12"/>
        <v>1</v>
      </c>
      <c r="O446" s="32" t="str">
        <f t="shared" si="13"/>
        <v>Yes</v>
      </c>
      <c r="P446" s="37"/>
    </row>
    <row r="447" spans="2:16" ht="14.5" customHeight="1" x14ac:dyDescent="0.35">
      <c r="B447" s="10">
        <v>443</v>
      </c>
      <c r="C447" s="34" t="s">
        <v>822</v>
      </c>
      <c r="D447" s="68" t="s">
        <v>1297</v>
      </c>
      <c r="E447" s="68">
        <v>135696</v>
      </c>
      <c r="F447" s="50" t="s">
        <v>2082</v>
      </c>
      <c r="G447" s="50" t="s">
        <v>605</v>
      </c>
      <c r="H447" s="50"/>
      <c r="I447" s="229">
        <v>-102.91675000000001</v>
      </c>
      <c r="J447" s="12" t="s">
        <v>53</v>
      </c>
      <c r="K447" s="97">
        <v>46261</v>
      </c>
      <c r="L447" s="95">
        <v>30</v>
      </c>
      <c r="M447" s="96">
        <v>46262</v>
      </c>
      <c r="N447" s="11">
        <f t="shared" si="12"/>
        <v>1</v>
      </c>
      <c r="O447" s="32" t="str">
        <f t="shared" si="13"/>
        <v>Yes</v>
      </c>
      <c r="P447" s="37"/>
    </row>
    <row r="448" spans="2:16" ht="14.5" customHeight="1" x14ac:dyDescent="0.35">
      <c r="B448" s="10">
        <v>444</v>
      </c>
      <c r="C448" s="34" t="s">
        <v>822</v>
      </c>
      <c r="D448" s="68" t="s">
        <v>1298</v>
      </c>
      <c r="E448" s="68">
        <v>136218</v>
      </c>
      <c r="F448" s="50" t="s">
        <v>2083</v>
      </c>
      <c r="G448" s="50" t="s">
        <v>605</v>
      </c>
      <c r="H448" s="50"/>
      <c r="I448" s="229">
        <v>373.7</v>
      </c>
      <c r="J448" s="12" t="s">
        <v>53</v>
      </c>
      <c r="K448" s="97">
        <v>46261</v>
      </c>
      <c r="L448" s="95">
        <v>30</v>
      </c>
      <c r="M448" s="96">
        <v>46262</v>
      </c>
      <c r="N448" s="11">
        <f t="shared" si="12"/>
        <v>1</v>
      </c>
      <c r="O448" s="32" t="str">
        <f t="shared" si="13"/>
        <v>Yes</v>
      </c>
      <c r="P448" s="37"/>
    </row>
    <row r="449" spans="2:16" ht="14.5" customHeight="1" x14ac:dyDescent="0.35">
      <c r="B449" s="10">
        <v>445</v>
      </c>
      <c r="C449" s="34" t="s">
        <v>822</v>
      </c>
      <c r="D449" s="68" t="s">
        <v>1299</v>
      </c>
      <c r="E449" s="68">
        <v>136218</v>
      </c>
      <c r="F449" s="50" t="s">
        <v>2084</v>
      </c>
      <c r="G449" s="50" t="s">
        <v>605</v>
      </c>
      <c r="H449" s="50"/>
      <c r="I449" s="229">
        <v>55870.875</v>
      </c>
      <c r="J449" s="12" t="s">
        <v>53</v>
      </c>
      <c r="K449" s="97">
        <v>46261</v>
      </c>
      <c r="L449" s="95">
        <v>30</v>
      </c>
      <c r="M449" s="96">
        <v>46262</v>
      </c>
      <c r="N449" s="11">
        <f t="shared" si="12"/>
        <v>1</v>
      </c>
      <c r="O449" s="32" t="str">
        <f t="shared" si="13"/>
        <v>Yes</v>
      </c>
      <c r="P449" s="37"/>
    </row>
    <row r="450" spans="2:16" ht="14.5" customHeight="1" x14ac:dyDescent="0.35">
      <c r="B450" s="10">
        <v>446</v>
      </c>
      <c r="C450" s="34" t="s">
        <v>822</v>
      </c>
      <c r="D450" s="68" t="s">
        <v>1300</v>
      </c>
      <c r="E450" s="68">
        <v>136218</v>
      </c>
      <c r="F450" s="50" t="s">
        <v>2085</v>
      </c>
      <c r="G450" s="50" t="s">
        <v>605</v>
      </c>
      <c r="H450" s="50"/>
      <c r="I450" s="229">
        <v>3645.85</v>
      </c>
      <c r="J450" s="12" t="s">
        <v>53</v>
      </c>
      <c r="K450" s="97">
        <v>46261</v>
      </c>
      <c r="L450" s="95">
        <v>30</v>
      </c>
      <c r="M450" s="96">
        <v>46262</v>
      </c>
      <c r="N450" s="11">
        <f t="shared" si="12"/>
        <v>1</v>
      </c>
      <c r="O450" s="32" t="str">
        <f t="shared" si="13"/>
        <v>Yes</v>
      </c>
      <c r="P450" s="37"/>
    </row>
    <row r="451" spans="2:16" ht="14.5" customHeight="1" x14ac:dyDescent="0.35">
      <c r="B451" s="10">
        <v>447</v>
      </c>
      <c r="C451" s="34" t="s">
        <v>822</v>
      </c>
      <c r="D451" s="68" t="s">
        <v>1301</v>
      </c>
      <c r="E451" s="68">
        <v>135191</v>
      </c>
      <c r="F451" s="50" t="s">
        <v>2086</v>
      </c>
      <c r="G451" s="50" t="s">
        <v>605</v>
      </c>
      <c r="H451" s="50"/>
      <c r="I451" s="229">
        <v>507.5</v>
      </c>
      <c r="J451" s="12" t="s">
        <v>53</v>
      </c>
      <c r="K451" s="97">
        <v>46261</v>
      </c>
      <c r="L451" s="95">
        <v>30</v>
      </c>
      <c r="M451" s="96">
        <v>46262</v>
      </c>
      <c r="N451" s="11">
        <f t="shared" si="12"/>
        <v>1</v>
      </c>
      <c r="O451" s="32" t="str">
        <f t="shared" si="13"/>
        <v>Yes</v>
      </c>
      <c r="P451" s="37"/>
    </row>
    <row r="452" spans="2:16" ht="14.5" customHeight="1" x14ac:dyDescent="0.35">
      <c r="B452" s="10">
        <v>448</v>
      </c>
      <c r="C452" s="34" t="s">
        <v>822</v>
      </c>
      <c r="D452" s="68" t="s">
        <v>1302</v>
      </c>
      <c r="E452" s="68">
        <v>130037</v>
      </c>
      <c r="F452" s="50" t="s">
        <v>2087</v>
      </c>
      <c r="G452" s="50" t="s">
        <v>605</v>
      </c>
      <c r="H452" s="50"/>
      <c r="I452" s="229">
        <v>228.85</v>
      </c>
      <c r="J452" s="12" t="s">
        <v>53</v>
      </c>
      <c r="K452" s="97">
        <v>46261</v>
      </c>
      <c r="L452" s="95">
        <v>30</v>
      </c>
      <c r="M452" s="96">
        <v>46262</v>
      </c>
      <c r="N452" s="11">
        <f t="shared" si="12"/>
        <v>1</v>
      </c>
      <c r="O452" s="32" t="str">
        <f t="shared" si="13"/>
        <v>Yes</v>
      </c>
      <c r="P452" s="37"/>
    </row>
    <row r="453" spans="2:16" ht="14.5" customHeight="1" x14ac:dyDescent="0.35">
      <c r="B453" s="10">
        <v>449</v>
      </c>
      <c r="C453" s="34" t="s">
        <v>822</v>
      </c>
      <c r="D453" s="68" t="s">
        <v>1303</v>
      </c>
      <c r="E453" s="68">
        <v>130195</v>
      </c>
      <c r="F453" s="50" t="s">
        <v>2088</v>
      </c>
      <c r="G453" s="50" t="s">
        <v>605</v>
      </c>
      <c r="H453" s="50"/>
      <c r="I453" s="229">
        <v>228.85</v>
      </c>
      <c r="J453" s="12" t="s">
        <v>53</v>
      </c>
      <c r="K453" s="97">
        <v>46261</v>
      </c>
      <c r="L453" s="95">
        <v>30</v>
      </c>
      <c r="M453" s="96">
        <v>46262</v>
      </c>
      <c r="N453" s="11">
        <f t="shared" ref="N453:N516" si="14">IF(OR(M453="", K453=""),"", M453- K453)</f>
        <v>1</v>
      </c>
      <c r="O453" s="32" t="str">
        <f t="shared" ref="O453:O516" si="15">IF(OR(M453="", K453="", L453=""), "", IF((M453 - K453) &gt; L453, "No", "Yes"))</f>
        <v>Yes</v>
      </c>
      <c r="P453" s="37"/>
    </row>
    <row r="454" spans="2:16" ht="29.15" customHeight="1" x14ac:dyDescent="0.35">
      <c r="B454" s="10">
        <v>450</v>
      </c>
      <c r="C454" s="34" t="s">
        <v>822</v>
      </c>
      <c r="D454" s="68" t="s">
        <v>1304</v>
      </c>
      <c r="E454" s="68">
        <v>130042</v>
      </c>
      <c r="F454" s="66" t="s">
        <v>2089</v>
      </c>
      <c r="G454" s="50" t="s">
        <v>605</v>
      </c>
      <c r="H454" s="50"/>
      <c r="I454" s="229">
        <v>438.5</v>
      </c>
      <c r="J454" s="12" t="s">
        <v>53</v>
      </c>
      <c r="K454" s="97">
        <v>46261</v>
      </c>
      <c r="L454" s="95">
        <v>30</v>
      </c>
      <c r="M454" s="96">
        <v>46262</v>
      </c>
      <c r="N454" s="11">
        <f t="shared" si="14"/>
        <v>1</v>
      </c>
      <c r="O454" s="32" t="str">
        <f t="shared" si="15"/>
        <v>Yes</v>
      </c>
      <c r="P454" s="37"/>
    </row>
    <row r="455" spans="2:16" ht="29.15" customHeight="1" x14ac:dyDescent="0.35">
      <c r="B455" s="10">
        <v>451</v>
      </c>
      <c r="C455" s="34" t="s">
        <v>822</v>
      </c>
      <c r="D455" s="68" t="s">
        <v>1305</v>
      </c>
      <c r="E455" s="68">
        <v>130037</v>
      </c>
      <c r="F455" s="66" t="s">
        <v>2090</v>
      </c>
      <c r="G455" s="50" t="s">
        <v>605</v>
      </c>
      <c r="H455" s="50"/>
      <c r="I455" s="229">
        <v>1716.375</v>
      </c>
      <c r="J455" s="12" t="s">
        <v>53</v>
      </c>
      <c r="K455" s="97">
        <v>46261</v>
      </c>
      <c r="L455" s="95">
        <v>30</v>
      </c>
      <c r="M455" s="96">
        <v>46262</v>
      </c>
      <c r="N455" s="11">
        <f t="shared" si="14"/>
        <v>1</v>
      </c>
      <c r="O455" s="32" t="str">
        <f t="shared" si="15"/>
        <v>Yes</v>
      </c>
      <c r="P455" s="37"/>
    </row>
    <row r="456" spans="2:16" ht="14.5" customHeight="1" x14ac:dyDescent="0.35">
      <c r="B456" s="10">
        <v>452</v>
      </c>
      <c r="C456" s="34" t="s">
        <v>822</v>
      </c>
      <c r="D456" s="68" t="s">
        <v>1306</v>
      </c>
      <c r="E456" s="68">
        <v>133976</v>
      </c>
      <c r="F456" s="50" t="s">
        <v>2091</v>
      </c>
      <c r="G456" s="50" t="s">
        <v>605</v>
      </c>
      <c r="H456" s="50"/>
      <c r="I456" s="229">
        <v>114.425</v>
      </c>
      <c r="J456" s="12" t="s">
        <v>53</v>
      </c>
      <c r="K456" s="97">
        <v>46261</v>
      </c>
      <c r="L456" s="95">
        <v>30</v>
      </c>
      <c r="M456" s="96">
        <v>46262</v>
      </c>
      <c r="N456" s="11">
        <f t="shared" si="14"/>
        <v>1</v>
      </c>
      <c r="O456" s="32" t="str">
        <f t="shared" si="15"/>
        <v>Yes</v>
      </c>
      <c r="P456" s="37"/>
    </row>
    <row r="457" spans="2:16" ht="14.5" customHeight="1" x14ac:dyDescent="0.35">
      <c r="B457" s="10">
        <v>453</v>
      </c>
      <c r="C457" s="34" t="s">
        <v>822</v>
      </c>
      <c r="D457" s="68" t="s">
        <v>1307</v>
      </c>
      <c r="E457" s="68">
        <v>135538</v>
      </c>
      <c r="F457" s="50" t="s">
        <v>2092</v>
      </c>
      <c r="G457" s="50" t="s">
        <v>605</v>
      </c>
      <c r="H457" s="50"/>
      <c r="I457" s="229">
        <v>2941.6666666666665</v>
      </c>
      <c r="J457" s="12" t="s">
        <v>53</v>
      </c>
      <c r="K457" s="97">
        <v>46261</v>
      </c>
      <c r="L457" s="95">
        <v>30</v>
      </c>
      <c r="M457" s="96">
        <v>46262</v>
      </c>
      <c r="N457" s="11">
        <f t="shared" si="14"/>
        <v>1</v>
      </c>
      <c r="O457" s="32" t="str">
        <f t="shared" si="15"/>
        <v>Yes</v>
      </c>
      <c r="P457" s="37"/>
    </row>
    <row r="458" spans="2:16" ht="29.15" customHeight="1" x14ac:dyDescent="0.35">
      <c r="B458" s="10">
        <v>454</v>
      </c>
      <c r="C458" s="34" t="s">
        <v>822</v>
      </c>
      <c r="D458" s="68" t="s">
        <v>1308</v>
      </c>
      <c r="E458" s="68">
        <v>135566</v>
      </c>
      <c r="F458" s="66" t="s">
        <v>2093</v>
      </c>
      <c r="G458" s="50" t="s">
        <v>605</v>
      </c>
      <c r="H458" s="50"/>
      <c r="I458" s="229">
        <v>368.75</v>
      </c>
      <c r="J458" s="12" t="s">
        <v>53</v>
      </c>
      <c r="K458" s="97">
        <v>46218</v>
      </c>
      <c r="L458" s="95">
        <v>30</v>
      </c>
      <c r="M458" s="96">
        <v>46255</v>
      </c>
      <c r="N458" s="11">
        <f t="shared" si="14"/>
        <v>37</v>
      </c>
      <c r="O458" s="32" t="str">
        <f t="shared" si="15"/>
        <v>No</v>
      </c>
      <c r="P458" s="37"/>
    </row>
    <row r="459" spans="2:16" ht="14.5" customHeight="1" x14ac:dyDescent="0.35">
      <c r="B459" s="10">
        <v>455</v>
      </c>
      <c r="C459" s="34" t="s">
        <v>822</v>
      </c>
      <c r="D459" s="68" t="s">
        <v>1309</v>
      </c>
      <c r="E459" s="68">
        <v>135695</v>
      </c>
      <c r="F459" s="50" t="s">
        <v>2094</v>
      </c>
      <c r="G459" s="50" t="s">
        <v>605</v>
      </c>
      <c r="H459" s="50"/>
      <c r="I459" s="229">
        <v>79.166666666666671</v>
      </c>
      <c r="J459" s="12" t="s">
        <v>53</v>
      </c>
      <c r="K459" s="97">
        <v>46232</v>
      </c>
      <c r="L459" s="95">
        <v>30</v>
      </c>
      <c r="M459" s="96">
        <v>46262</v>
      </c>
      <c r="N459" s="11">
        <f t="shared" si="14"/>
        <v>30</v>
      </c>
      <c r="O459" s="32" t="str">
        <f t="shared" si="15"/>
        <v>Yes</v>
      </c>
      <c r="P459" s="37"/>
    </row>
    <row r="460" spans="2:16" ht="14.5" customHeight="1" x14ac:dyDescent="0.35">
      <c r="B460" s="10">
        <v>456</v>
      </c>
      <c r="C460" s="34" t="s">
        <v>822</v>
      </c>
      <c r="D460" s="68" t="s">
        <v>1310</v>
      </c>
      <c r="E460" s="68">
        <v>136064</v>
      </c>
      <c r="F460" s="50" t="s">
        <v>2095</v>
      </c>
      <c r="G460" s="50" t="s">
        <v>605</v>
      </c>
      <c r="H460" s="50"/>
      <c r="I460" s="229">
        <v>29790.5</v>
      </c>
      <c r="J460" s="12" t="s">
        <v>53</v>
      </c>
      <c r="K460" s="97">
        <v>46240</v>
      </c>
      <c r="L460" s="95">
        <v>30</v>
      </c>
      <c r="M460" s="96">
        <v>46262</v>
      </c>
      <c r="N460" s="11">
        <f t="shared" si="14"/>
        <v>22</v>
      </c>
      <c r="O460" s="32" t="str">
        <f t="shared" si="15"/>
        <v>Yes</v>
      </c>
      <c r="P460" s="37"/>
    </row>
    <row r="461" spans="2:16" ht="14.5" customHeight="1" x14ac:dyDescent="0.35">
      <c r="B461" s="10">
        <v>457</v>
      </c>
      <c r="C461" s="34" t="s">
        <v>822</v>
      </c>
      <c r="D461" s="68" t="s">
        <v>1311</v>
      </c>
      <c r="E461" s="68">
        <v>136107</v>
      </c>
      <c r="F461" s="50" t="s">
        <v>2096</v>
      </c>
      <c r="G461" s="50" t="s">
        <v>605</v>
      </c>
      <c r="H461" s="50"/>
      <c r="I461" s="229">
        <v>1297.9166666666667</v>
      </c>
      <c r="J461" s="12" t="s">
        <v>53</v>
      </c>
      <c r="K461" s="97">
        <v>46241</v>
      </c>
      <c r="L461" s="95">
        <v>30</v>
      </c>
      <c r="M461" s="96">
        <v>46262</v>
      </c>
      <c r="N461" s="11">
        <f t="shared" si="14"/>
        <v>21</v>
      </c>
      <c r="O461" s="32" t="str">
        <f t="shared" si="15"/>
        <v>Yes</v>
      </c>
      <c r="P461" s="37"/>
    </row>
    <row r="462" spans="2:16" ht="14.5" customHeight="1" x14ac:dyDescent="0.35">
      <c r="B462" s="10">
        <v>458</v>
      </c>
      <c r="C462" s="34" t="s">
        <v>822</v>
      </c>
      <c r="D462" s="68" t="s">
        <v>1312</v>
      </c>
      <c r="E462" s="68">
        <v>136082</v>
      </c>
      <c r="F462" s="50" t="s">
        <v>2097</v>
      </c>
      <c r="G462" s="50" t="s">
        <v>605</v>
      </c>
      <c r="H462" s="50"/>
      <c r="I462" s="229">
        <v>461.4375</v>
      </c>
      <c r="J462" s="12" t="s">
        <v>53</v>
      </c>
      <c r="K462" s="97">
        <v>46241</v>
      </c>
      <c r="L462" s="95">
        <v>30</v>
      </c>
      <c r="M462" s="96">
        <v>46262</v>
      </c>
      <c r="N462" s="11">
        <f t="shared" si="14"/>
        <v>21</v>
      </c>
      <c r="O462" s="32" t="str">
        <f t="shared" si="15"/>
        <v>Yes</v>
      </c>
      <c r="P462" s="37"/>
    </row>
    <row r="463" spans="2:16" ht="14.5" customHeight="1" x14ac:dyDescent="0.35">
      <c r="B463" s="10">
        <v>459</v>
      </c>
      <c r="C463" s="34" t="s">
        <v>822</v>
      </c>
      <c r="D463" s="68" t="s">
        <v>1313</v>
      </c>
      <c r="E463" s="68">
        <v>136082</v>
      </c>
      <c r="F463" s="50" t="s">
        <v>2098</v>
      </c>
      <c r="G463" s="50" t="s">
        <v>605</v>
      </c>
      <c r="H463" s="50"/>
      <c r="I463" s="229">
        <v>762.66145833333337</v>
      </c>
      <c r="J463" s="12" t="s">
        <v>53</v>
      </c>
      <c r="K463" s="97">
        <v>46241</v>
      </c>
      <c r="L463" s="95">
        <v>30</v>
      </c>
      <c r="M463" s="96">
        <v>46262</v>
      </c>
      <c r="N463" s="11">
        <f t="shared" si="14"/>
        <v>21</v>
      </c>
      <c r="O463" s="32" t="str">
        <f t="shared" si="15"/>
        <v>Yes</v>
      </c>
      <c r="P463" s="37"/>
    </row>
    <row r="464" spans="2:16" ht="14.5" customHeight="1" x14ac:dyDescent="0.35">
      <c r="B464" s="10">
        <v>460</v>
      </c>
      <c r="C464" s="34" t="s">
        <v>822</v>
      </c>
      <c r="D464" s="68" t="s">
        <v>1314</v>
      </c>
      <c r="E464" s="68">
        <v>136082</v>
      </c>
      <c r="F464" s="50" t="s">
        <v>2099</v>
      </c>
      <c r="G464" s="50" t="s">
        <v>605</v>
      </c>
      <c r="H464" s="50"/>
      <c r="I464" s="229">
        <v>718.72916666666663</v>
      </c>
      <c r="J464" s="12" t="s">
        <v>53</v>
      </c>
      <c r="K464" s="97">
        <v>46241</v>
      </c>
      <c r="L464" s="95">
        <v>30</v>
      </c>
      <c r="M464" s="96">
        <v>46262</v>
      </c>
      <c r="N464" s="11">
        <f t="shared" si="14"/>
        <v>21</v>
      </c>
      <c r="O464" s="32" t="str">
        <f t="shared" si="15"/>
        <v>Yes</v>
      </c>
      <c r="P464" s="37"/>
    </row>
    <row r="465" spans="2:16" ht="14.5" customHeight="1" x14ac:dyDescent="0.35">
      <c r="B465" s="10">
        <v>461</v>
      </c>
      <c r="C465" s="34" t="s">
        <v>822</v>
      </c>
      <c r="D465" s="68" t="s">
        <v>1315</v>
      </c>
      <c r="E465" s="68">
        <v>135900</v>
      </c>
      <c r="F465" s="50" t="s">
        <v>2100</v>
      </c>
      <c r="G465" s="50" t="s">
        <v>605</v>
      </c>
      <c r="H465" s="50"/>
      <c r="I465" s="229">
        <v>6378.75</v>
      </c>
      <c r="J465" s="12" t="s">
        <v>53</v>
      </c>
      <c r="K465" s="97">
        <v>46237</v>
      </c>
      <c r="L465" s="95">
        <v>30</v>
      </c>
      <c r="M465" s="96">
        <v>46262</v>
      </c>
      <c r="N465" s="11">
        <f t="shared" si="14"/>
        <v>25</v>
      </c>
      <c r="O465" s="32" t="str">
        <f t="shared" si="15"/>
        <v>Yes</v>
      </c>
      <c r="P465" s="37"/>
    </row>
    <row r="466" spans="2:16" ht="14.5" customHeight="1" x14ac:dyDescent="0.35">
      <c r="B466" s="10">
        <v>462</v>
      </c>
      <c r="C466" s="34" t="s">
        <v>822</v>
      </c>
      <c r="D466" s="68" t="s">
        <v>1316</v>
      </c>
      <c r="E466" s="68">
        <v>128751</v>
      </c>
      <c r="F466" s="50" t="s">
        <v>2101</v>
      </c>
      <c r="G466" s="50" t="s">
        <v>612</v>
      </c>
      <c r="H466" s="50"/>
      <c r="I466" s="229">
        <v>-3.8167500000000003</v>
      </c>
      <c r="J466" s="12" t="s">
        <v>53</v>
      </c>
      <c r="K466" s="97">
        <v>46241</v>
      </c>
      <c r="L466" s="95">
        <v>30</v>
      </c>
      <c r="M466" s="96">
        <v>46262</v>
      </c>
      <c r="N466" s="11">
        <f t="shared" si="14"/>
        <v>21</v>
      </c>
      <c r="O466" s="32" t="str">
        <f t="shared" si="15"/>
        <v>Yes</v>
      </c>
      <c r="P466" s="37"/>
    </row>
    <row r="467" spans="2:16" ht="15" customHeight="1" x14ac:dyDescent="0.35">
      <c r="B467" s="10">
        <v>463</v>
      </c>
      <c r="C467" s="34" t="s">
        <v>822</v>
      </c>
      <c r="D467" s="68" t="s">
        <v>1317</v>
      </c>
      <c r="E467" s="68">
        <v>136261</v>
      </c>
      <c r="F467" s="50" t="s">
        <v>2102</v>
      </c>
      <c r="G467" s="50" t="s">
        <v>612</v>
      </c>
      <c r="H467" s="50"/>
      <c r="I467" s="229">
        <v>1321.5191354166666</v>
      </c>
      <c r="J467" s="12" t="s">
        <v>53</v>
      </c>
      <c r="K467" s="97">
        <v>46241</v>
      </c>
      <c r="L467" s="95">
        <v>30</v>
      </c>
      <c r="M467" s="96">
        <v>46262</v>
      </c>
      <c r="N467" s="11">
        <f t="shared" si="14"/>
        <v>21</v>
      </c>
      <c r="O467" s="32" t="str">
        <f t="shared" si="15"/>
        <v>Yes</v>
      </c>
      <c r="P467" s="37"/>
    </row>
    <row r="468" spans="2:16" ht="15" customHeight="1" x14ac:dyDescent="0.35">
      <c r="B468" s="10">
        <v>464</v>
      </c>
      <c r="C468" s="34" t="s">
        <v>822</v>
      </c>
      <c r="D468" s="68" t="s">
        <v>1318</v>
      </c>
      <c r="E468" s="68">
        <v>136261</v>
      </c>
      <c r="F468" s="50" t="s">
        <v>2103</v>
      </c>
      <c r="G468" s="50" t="s">
        <v>612</v>
      </c>
      <c r="H468" s="50"/>
      <c r="I468" s="229">
        <v>1588.22</v>
      </c>
      <c r="J468" s="12" t="s">
        <v>53</v>
      </c>
      <c r="K468" s="97">
        <v>46241</v>
      </c>
      <c r="L468" s="95">
        <v>30</v>
      </c>
      <c r="M468" s="96">
        <v>46262</v>
      </c>
      <c r="N468" s="11">
        <f t="shared" si="14"/>
        <v>21</v>
      </c>
      <c r="O468" s="32" t="str">
        <f t="shared" si="15"/>
        <v>Yes</v>
      </c>
      <c r="P468" s="37"/>
    </row>
    <row r="469" spans="2:16" ht="15" customHeight="1" x14ac:dyDescent="0.35">
      <c r="B469" s="10">
        <v>465</v>
      </c>
      <c r="C469" s="34" t="s">
        <v>822</v>
      </c>
      <c r="D469" s="68" t="s">
        <v>1319</v>
      </c>
      <c r="E469" s="68">
        <v>135308</v>
      </c>
      <c r="F469" s="50" t="s">
        <v>2104</v>
      </c>
      <c r="G469" s="50" t="s">
        <v>612</v>
      </c>
      <c r="H469" s="50"/>
      <c r="I469" s="229">
        <v>882.25</v>
      </c>
      <c r="J469" s="12" t="s">
        <v>53</v>
      </c>
      <c r="K469" s="97">
        <v>46224</v>
      </c>
      <c r="L469" s="95">
        <v>30</v>
      </c>
      <c r="M469" s="96">
        <v>46259</v>
      </c>
      <c r="N469" s="11">
        <f t="shared" si="14"/>
        <v>35</v>
      </c>
      <c r="O469" s="32" t="str">
        <f t="shared" si="15"/>
        <v>No</v>
      </c>
      <c r="P469" s="37"/>
    </row>
    <row r="470" spans="2:16" ht="15" customHeight="1" x14ac:dyDescent="0.35">
      <c r="B470" s="10">
        <v>466</v>
      </c>
      <c r="C470" s="34" t="s">
        <v>822</v>
      </c>
      <c r="D470" s="68" t="s">
        <v>1320</v>
      </c>
      <c r="E470" s="68">
        <v>135545</v>
      </c>
      <c r="F470" s="50" t="s">
        <v>2105</v>
      </c>
      <c r="G470" s="50" t="s">
        <v>612</v>
      </c>
      <c r="H470" s="50"/>
      <c r="I470" s="229">
        <v>158.75</v>
      </c>
      <c r="J470" s="12" t="s">
        <v>53</v>
      </c>
      <c r="K470" s="97">
        <v>46218</v>
      </c>
      <c r="L470" s="95">
        <v>30</v>
      </c>
      <c r="M470" s="96">
        <v>46254</v>
      </c>
      <c r="N470" s="11">
        <f t="shared" si="14"/>
        <v>36</v>
      </c>
      <c r="O470" s="32" t="str">
        <f t="shared" si="15"/>
        <v>No</v>
      </c>
      <c r="P470" s="37"/>
    </row>
    <row r="471" spans="2:16" ht="15" customHeight="1" x14ac:dyDescent="0.35">
      <c r="B471" s="10">
        <v>467</v>
      </c>
      <c r="C471" s="34" t="s">
        <v>822</v>
      </c>
      <c r="D471" s="68" t="s">
        <v>1321</v>
      </c>
      <c r="E471" s="68">
        <v>135545</v>
      </c>
      <c r="F471" s="50" t="s">
        <v>2106</v>
      </c>
      <c r="G471" s="50" t="s">
        <v>612</v>
      </c>
      <c r="H471" s="50"/>
      <c r="I471" s="229">
        <v>198.33333333333334</v>
      </c>
      <c r="J471" s="12" t="s">
        <v>53</v>
      </c>
      <c r="K471" s="97">
        <v>46218</v>
      </c>
      <c r="L471" s="95">
        <v>30</v>
      </c>
      <c r="M471" s="96">
        <v>46247</v>
      </c>
      <c r="N471" s="11">
        <f t="shared" si="14"/>
        <v>29</v>
      </c>
      <c r="O471" s="32" t="str">
        <f t="shared" si="15"/>
        <v>Yes</v>
      </c>
      <c r="P471" s="37"/>
    </row>
    <row r="472" spans="2:16" ht="15" customHeight="1" x14ac:dyDescent="0.35">
      <c r="B472" s="10">
        <v>468</v>
      </c>
      <c r="C472" s="34" t="s">
        <v>822</v>
      </c>
      <c r="D472" s="68" t="s">
        <v>1322</v>
      </c>
      <c r="E472" s="68">
        <v>135545</v>
      </c>
      <c r="F472" s="50" t="s">
        <v>2107</v>
      </c>
      <c r="G472" s="50" t="s">
        <v>612</v>
      </c>
      <c r="H472" s="50"/>
      <c r="I472" s="229">
        <v>230.9375</v>
      </c>
      <c r="J472" s="12" t="s">
        <v>53</v>
      </c>
      <c r="K472" s="97">
        <v>46218</v>
      </c>
      <c r="L472" s="95">
        <v>30</v>
      </c>
      <c r="M472" s="96">
        <v>46245</v>
      </c>
      <c r="N472" s="11">
        <f t="shared" si="14"/>
        <v>27</v>
      </c>
      <c r="O472" s="32" t="str">
        <f t="shared" si="15"/>
        <v>Yes</v>
      </c>
      <c r="P472" s="37"/>
    </row>
    <row r="473" spans="2:16" ht="15" customHeight="1" x14ac:dyDescent="0.35">
      <c r="B473" s="10">
        <v>469</v>
      </c>
      <c r="C473" s="34" t="s">
        <v>822</v>
      </c>
      <c r="D473" s="68" t="s">
        <v>1323</v>
      </c>
      <c r="E473" s="68">
        <v>135936</v>
      </c>
      <c r="F473" s="50" t="s">
        <v>2108</v>
      </c>
      <c r="G473" s="50" t="s">
        <v>612</v>
      </c>
      <c r="H473" s="50"/>
      <c r="I473" s="229">
        <v>187.91666666666666</v>
      </c>
      <c r="J473" s="12" t="s">
        <v>53</v>
      </c>
      <c r="K473" s="97">
        <v>46232</v>
      </c>
      <c r="L473" s="95">
        <v>30</v>
      </c>
      <c r="M473" s="96">
        <v>46262</v>
      </c>
      <c r="N473" s="11">
        <f t="shared" si="14"/>
        <v>30</v>
      </c>
      <c r="O473" s="32" t="str">
        <f t="shared" si="15"/>
        <v>Yes</v>
      </c>
      <c r="P473" s="37"/>
    </row>
    <row r="474" spans="2:16" ht="15" customHeight="1" x14ac:dyDescent="0.35">
      <c r="B474" s="10">
        <v>470</v>
      </c>
      <c r="C474" s="34" t="s">
        <v>822</v>
      </c>
      <c r="D474" s="68" t="s">
        <v>1324</v>
      </c>
      <c r="E474" s="68">
        <v>135392</v>
      </c>
      <c r="F474" s="50" t="s">
        <v>2109</v>
      </c>
      <c r="G474" s="50" t="s">
        <v>612</v>
      </c>
      <c r="H474" s="50"/>
      <c r="I474" s="229">
        <v>476.25</v>
      </c>
      <c r="J474" s="12" t="s">
        <v>53</v>
      </c>
      <c r="K474" s="97">
        <v>46240</v>
      </c>
      <c r="L474" s="95">
        <v>30</v>
      </c>
      <c r="M474" s="96">
        <v>46262</v>
      </c>
      <c r="N474" s="11">
        <f t="shared" si="14"/>
        <v>22</v>
      </c>
      <c r="O474" s="32" t="str">
        <f t="shared" si="15"/>
        <v>Yes</v>
      </c>
      <c r="P474" s="37"/>
    </row>
    <row r="475" spans="2:16" ht="15" customHeight="1" x14ac:dyDescent="0.35">
      <c r="B475" s="10">
        <v>471</v>
      </c>
      <c r="C475" s="34" t="s">
        <v>822</v>
      </c>
      <c r="D475" s="68">
        <v>135058</v>
      </c>
      <c r="E475" s="68">
        <v>135058</v>
      </c>
      <c r="F475" s="66" t="s">
        <v>2110</v>
      </c>
      <c r="G475" s="50" t="s">
        <v>2540</v>
      </c>
      <c r="H475" s="50"/>
      <c r="I475" s="229">
        <v>8333.3333333333339</v>
      </c>
      <c r="J475" s="12" t="s">
        <v>53</v>
      </c>
      <c r="K475" s="97">
        <v>46188</v>
      </c>
      <c r="L475" s="95">
        <v>30</v>
      </c>
      <c r="M475" s="96">
        <v>46215</v>
      </c>
      <c r="N475" s="11">
        <f t="shared" si="14"/>
        <v>27</v>
      </c>
      <c r="O475" s="32" t="str">
        <f t="shared" si="15"/>
        <v>Yes</v>
      </c>
      <c r="P475" s="37"/>
    </row>
    <row r="476" spans="2:16" ht="15" customHeight="1" x14ac:dyDescent="0.35">
      <c r="B476" s="10">
        <v>472</v>
      </c>
      <c r="C476" s="34" t="s">
        <v>822</v>
      </c>
      <c r="D476" s="68" t="s">
        <v>1325</v>
      </c>
      <c r="E476" s="68">
        <v>132739</v>
      </c>
      <c r="F476" s="50" t="s">
        <v>2111</v>
      </c>
      <c r="G476" s="50" t="s">
        <v>608</v>
      </c>
      <c r="H476" s="50"/>
      <c r="I476" s="229">
        <v>4068.6369604166666</v>
      </c>
      <c r="J476" s="12" t="s">
        <v>53</v>
      </c>
      <c r="K476" s="97">
        <v>46233</v>
      </c>
      <c r="L476" s="95">
        <v>30</v>
      </c>
      <c r="M476" s="96">
        <v>46259</v>
      </c>
      <c r="N476" s="11">
        <f t="shared" si="14"/>
        <v>26</v>
      </c>
      <c r="O476" s="32" t="str">
        <f t="shared" si="15"/>
        <v>Yes</v>
      </c>
      <c r="P476" s="37"/>
    </row>
    <row r="477" spans="2:16" ht="15" customHeight="1" x14ac:dyDescent="0.35">
      <c r="B477" s="10">
        <v>473</v>
      </c>
      <c r="C477" s="34" t="s">
        <v>822</v>
      </c>
      <c r="D477" s="68" t="s">
        <v>1326</v>
      </c>
      <c r="E477" s="68">
        <v>132740</v>
      </c>
      <c r="F477" s="66" t="s">
        <v>2112</v>
      </c>
      <c r="G477" s="50" t="s">
        <v>608</v>
      </c>
      <c r="H477" s="50"/>
      <c r="I477" s="229">
        <v>15000</v>
      </c>
      <c r="J477" s="12" t="s">
        <v>53</v>
      </c>
      <c r="K477" s="97">
        <v>46233</v>
      </c>
      <c r="L477" s="95">
        <v>30</v>
      </c>
      <c r="M477" s="96">
        <v>46259</v>
      </c>
      <c r="N477" s="11">
        <f t="shared" si="14"/>
        <v>26</v>
      </c>
      <c r="O477" s="32" t="str">
        <f t="shared" si="15"/>
        <v>Yes</v>
      </c>
      <c r="P477" s="37"/>
    </row>
    <row r="478" spans="2:16" ht="15" customHeight="1" x14ac:dyDescent="0.35">
      <c r="B478" s="10">
        <v>474</v>
      </c>
      <c r="C478" s="34" t="s">
        <v>822</v>
      </c>
      <c r="D478" s="68" t="s">
        <v>1327</v>
      </c>
      <c r="E478" s="68">
        <v>132738</v>
      </c>
      <c r="F478" s="66" t="s">
        <v>2113</v>
      </c>
      <c r="G478" s="50" t="s">
        <v>608</v>
      </c>
      <c r="H478" s="50"/>
      <c r="I478" s="229">
        <v>36675</v>
      </c>
      <c r="J478" s="12" t="s">
        <v>53</v>
      </c>
      <c r="K478" s="97">
        <v>46233</v>
      </c>
      <c r="L478" s="95">
        <v>30</v>
      </c>
      <c r="M478" s="96">
        <v>46259</v>
      </c>
      <c r="N478" s="11">
        <f t="shared" si="14"/>
        <v>26</v>
      </c>
      <c r="O478" s="32" t="str">
        <f t="shared" si="15"/>
        <v>Yes</v>
      </c>
      <c r="P478" s="37"/>
    </row>
    <row r="479" spans="2:16" ht="15" customHeight="1" x14ac:dyDescent="0.35">
      <c r="B479" s="10">
        <v>475</v>
      </c>
      <c r="C479" s="34" t="s">
        <v>822</v>
      </c>
      <c r="D479" s="68" t="s">
        <v>1328</v>
      </c>
      <c r="E479" s="68">
        <v>132725</v>
      </c>
      <c r="F479" s="66" t="s">
        <v>2114</v>
      </c>
      <c r="G479" s="50" t="s">
        <v>609</v>
      </c>
      <c r="H479" s="50"/>
      <c r="I479" s="229">
        <v>39300</v>
      </c>
      <c r="J479" s="12" t="s">
        <v>53</v>
      </c>
      <c r="K479" s="97">
        <v>46233</v>
      </c>
      <c r="L479" s="95">
        <v>30</v>
      </c>
      <c r="M479" s="96">
        <v>46258</v>
      </c>
      <c r="N479" s="11">
        <f t="shared" si="14"/>
        <v>25</v>
      </c>
      <c r="O479" s="32" t="str">
        <f t="shared" si="15"/>
        <v>Yes</v>
      </c>
      <c r="P479" s="37"/>
    </row>
    <row r="480" spans="2:16" ht="15" customHeight="1" x14ac:dyDescent="0.35">
      <c r="B480" s="10">
        <v>476</v>
      </c>
      <c r="C480" s="34" t="s">
        <v>822</v>
      </c>
      <c r="D480" s="68" t="s">
        <v>1329</v>
      </c>
      <c r="E480" s="68">
        <v>131758</v>
      </c>
      <c r="F480" s="66" t="s">
        <v>2115</v>
      </c>
      <c r="G480" s="50" t="s">
        <v>2541</v>
      </c>
      <c r="H480" s="50"/>
      <c r="I480" s="229">
        <v>625</v>
      </c>
      <c r="J480" s="12" t="s">
        <v>53</v>
      </c>
      <c r="K480" s="97">
        <v>46238</v>
      </c>
      <c r="L480" s="95">
        <v>30</v>
      </c>
      <c r="M480" s="96">
        <v>46262</v>
      </c>
      <c r="N480" s="11">
        <f t="shared" si="14"/>
        <v>24</v>
      </c>
      <c r="O480" s="32" t="str">
        <f t="shared" si="15"/>
        <v>Yes</v>
      </c>
      <c r="P480" s="37"/>
    </row>
    <row r="481" spans="2:16" ht="15" customHeight="1" x14ac:dyDescent="0.35">
      <c r="B481" s="10">
        <v>477</v>
      </c>
      <c r="C481" s="34" t="s">
        <v>822</v>
      </c>
      <c r="D481" s="68" t="s">
        <v>1330</v>
      </c>
      <c r="E481" s="68">
        <v>134762</v>
      </c>
      <c r="F481" s="66" t="s">
        <v>2116</v>
      </c>
      <c r="G481" s="50" t="s">
        <v>623</v>
      </c>
      <c r="H481" s="50"/>
      <c r="I481" s="229">
        <v>1458.3333333333333</v>
      </c>
      <c r="J481" s="12" t="s">
        <v>53</v>
      </c>
      <c r="K481" s="97">
        <v>46233</v>
      </c>
      <c r="L481" s="95">
        <v>30</v>
      </c>
      <c r="M481" s="96">
        <v>46255</v>
      </c>
      <c r="N481" s="11">
        <f t="shared" si="14"/>
        <v>22</v>
      </c>
      <c r="O481" s="32" t="str">
        <f t="shared" si="15"/>
        <v>Yes</v>
      </c>
      <c r="P481" s="37"/>
    </row>
    <row r="482" spans="2:16" ht="15" customHeight="1" x14ac:dyDescent="0.35">
      <c r="B482" s="10">
        <v>478</v>
      </c>
      <c r="C482" s="34" t="s">
        <v>822</v>
      </c>
      <c r="D482" s="68" t="s">
        <v>1331</v>
      </c>
      <c r="E482" s="68">
        <v>134458</v>
      </c>
      <c r="F482" s="50" t="s">
        <v>2117</v>
      </c>
      <c r="G482" s="50" t="s">
        <v>623</v>
      </c>
      <c r="H482" s="50"/>
      <c r="I482" s="229">
        <v>3597.1927083333335</v>
      </c>
      <c r="J482" s="12" t="s">
        <v>53</v>
      </c>
      <c r="K482" s="97">
        <v>46233</v>
      </c>
      <c r="L482" s="95">
        <v>30</v>
      </c>
      <c r="M482" s="96">
        <v>46255</v>
      </c>
      <c r="N482" s="11">
        <f t="shared" si="14"/>
        <v>22</v>
      </c>
      <c r="O482" s="32" t="str">
        <f t="shared" si="15"/>
        <v>Yes</v>
      </c>
      <c r="P482" s="37"/>
    </row>
    <row r="483" spans="2:16" ht="15" customHeight="1" x14ac:dyDescent="0.35">
      <c r="B483" s="10">
        <v>479</v>
      </c>
      <c r="C483" s="34" t="s">
        <v>822</v>
      </c>
      <c r="D483" s="68" t="s">
        <v>1332</v>
      </c>
      <c r="E483" s="68">
        <v>133460</v>
      </c>
      <c r="F483" s="50" t="s">
        <v>2118</v>
      </c>
      <c r="G483" s="50" t="s">
        <v>623</v>
      </c>
      <c r="H483" s="50"/>
      <c r="I483" s="229">
        <v>3469.7863541666666</v>
      </c>
      <c r="J483" s="12" t="s">
        <v>53</v>
      </c>
      <c r="K483" s="97">
        <v>46233</v>
      </c>
      <c r="L483" s="95">
        <v>30</v>
      </c>
      <c r="M483" s="96">
        <v>46255</v>
      </c>
      <c r="N483" s="11">
        <f t="shared" si="14"/>
        <v>22</v>
      </c>
      <c r="O483" s="32" t="str">
        <f t="shared" si="15"/>
        <v>Yes</v>
      </c>
      <c r="P483" s="37"/>
    </row>
    <row r="484" spans="2:16" ht="15" customHeight="1" x14ac:dyDescent="0.35">
      <c r="B484" s="10">
        <v>480</v>
      </c>
      <c r="C484" s="34" t="s">
        <v>822</v>
      </c>
      <c r="D484" s="68" t="s">
        <v>1333</v>
      </c>
      <c r="E484" s="68">
        <v>134103</v>
      </c>
      <c r="F484" s="50" t="s">
        <v>2119</v>
      </c>
      <c r="G484" s="50" t="s">
        <v>623</v>
      </c>
      <c r="H484" s="50"/>
      <c r="I484" s="229">
        <v>6519.5799937499996</v>
      </c>
      <c r="J484" s="12" t="s">
        <v>53</v>
      </c>
      <c r="K484" s="97">
        <v>46213</v>
      </c>
      <c r="L484" s="95">
        <v>30</v>
      </c>
      <c r="M484" s="96">
        <v>46238</v>
      </c>
      <c r="N484" s="11">
        <f t="shared" si="14"/>
        <v>25</v>
      </c>
      <c r="O484" s="32" t="str">
        <f t="shared" si="15"/>
        <v>Yes</v>
      </c>
      <c r="P484" s="37"/>
    </row>
    <row r="485" spans="2:16" ht="15" customHeight="1" x14ac:dyDescent="0.35">
      <c r="B485" s="10">
        <v>481</v>
      </c>
      <c r="C485" s="34" t="s">
        <v>822</v>
      </c>
      <c r="D485" s="68">
        <v>8196002810</v>
      </c>
      <c r="E485" s="68">
        <v>115783</v>
      </c>
      <c r="F485" s="50" t="s">
        <v>2120</v>
      </c>
      <c r="G485" s="50" t="s">
        <v>2542</v>
      </c>
      <c r="H485" s="50"/>
      <c r="I485" s="229">
        <v>91647.510245833328</v>
      </c>
      <c r="J485" s="12" t="s">
        <v>53</v>
      </c>
      <c r="K485" s="97">
        <v>46238</v>
      </c>
      <c r="L485" s="95">
        <v>30</v>
      </c>
      <c r="M485" s="96">
        <v>46262</v>
      </c>
      <c r="N485" s="11">
        <f t="shared" si="14"/>
        <v>24</v>
      </c>
      <c r="O485" s="32" t="str">
        <f t="shared" si="15"/>
        <v>Yes</v>
      </c>
      <c r="P485" s="37"/>
    </row>
    <row r="486" spans="2:16" ht="15" customHeight="1" x14ac:dyDescent="0.35">
      <c r="B486" s="10">
        <v>482</v>
      </c>
      <c r="C486" s="34" t="s">
        <v>822</v>
      </c>
      <c r="D486" s="68">
        <v>8196002823</v>
      </c>
      <c r="E486" s="68">
        <v>119927</v>
      </c>
      <c r="F486" s="50" t="s">
        <v>2121</v>
      </c>
      <c r="G486" s="50" t="s">
        <v>2542</v>
      </c>
      <c r="H486" s="50"/>
      <c r="I486" s="229">
        <v>10553.857254166667</v>
      </c>
      <c r="J486" s="12" t="s">
        <v>53</v>
      </c>
      <c r="K486" s="97">
        <v>46238</v>
      </c>
      <c r="L486" s="95">
        <v>30</v>
      </c>
      <c r="M486" s="96">
        <v>46262</v>
      </c>
      <c r="N486" s="11">
        <f t="shared" si="14"/>
        <v>24</v>
      </c>
      <c r="O486" s="32" t="str">
        <f t="shared" si="15"/>
        <v>Yes</v>
      </c>
      <c r="P486" s="37"/>
    </row>
    <row r="487" spans="2:16" ht="15" customHeight="1" x14ac:dyDescent="0.35">
      <c r="B487" s="10">
        <v>483</v>
      </c>
      <c r="C487" s="34" t="s">
        <v>822</v>
      </c>
      <c r="D487" s="68">
        <v>8196002825</v>
      </c>
      <c r="E487" s="68">
        <v>119960</v>
      </c>
      <c r="F487" s="50" t="s">
        <v>2122</v>
      </c>
      <c r="G487" s="50" t="s">
        <v>2542</v>
      </c>
      <c r="H487" s="50"/>
      <c r="I487" s="229">
        <v>76960.89549166667</v>
      </c>
      <c r="J487" s="12" t="s">
        <v>53</v>
      </c>
      <c r="K487" s="97">
        <v>46238</v>
      </c>
      <c r="L487" s="95">
        <v>30</v>
      </c>
      <c r="M487" s="96">
        <v>46262</v>
      </c>
      <c r="N487" s="11">
        <f t="shared" si="14"/>
        <v>24</v>
      </c>
      <c r="O487" s="32" t="str">
        <f t="shared" si="15"/>
        <v>Yes</v>
      </c>
      <c r="P487" s="37"/>
    </row>
    <row r="488" spans="2:16" ht="15" customHeight="1" x14ac:dyDescent="0.35">
      <c r="B488" s="10">
        <v>484</v>
      </c>
      <c r="C488" s="34" t="s">
        <v>822</v>
      </c>
      <c r="D488" s="68">
        <v>8196002813</v>
      </c>
      <c r="E488" s="68">
        <v>124847</v>
      </c>
      <c r="F488" s="68" t="s">
        <v>2121</v>
      </c>
      <c r="G488" s="68" t="s">
        <v>2542</v>
      </c>
      <c r="H488" s="81"/>
      <c r="I488" s="229">
        <v>3390.1265020833334</v>
      </c>
      <c r="J488" s="12" t="s">
        <v>53</v>
      </c>
      <c r="K488" s="96">
        <v>46238</v>
      </c>
      <c r="L488" s="95">
        <v>30</v>
      </c>
      <c r="M488" s="96">
        <v>46262</v>
      </c>
      <c r="N488" s="11">
        <f t="shared" si="14"/>
        <v>24</v>
      </c>
      <c r="O488" s="32" t="str">
        <f t="shared" si="15"/>
        <v>Yes</v>
      </c>
    </row>
    <row r="489" spans="2:16" ht="15" customHeight="1" x14ac:dyDescent="0.4">
      <c r="B489" s="10">
        <v>485</v>
      </c>
      <c r="C489" s="34" t="s">
        <v>822</v>
      </c>
      <c r="D489" s="68">
        <v>8196002814</v>
      </c>
      <c r="E489" s="68">
        <v>124847</v>
      </c>
      <c r="F489" s="68" t="s">
        <v>2121</v>
      </c>
      <c r="G489" s="68" t="s">
        <v>2542</v>
      </c>
      <c r="H489" s="79"/>
      <c r="I489" s="229">
        <v>2034.0760104166666</v>
      </c>
      <c r="J489" s="12" t="s">
        <v>53</v>
      </c>
      <c r="K489" s="97">
        <v>46238</v>
      </c>
      <c r="L489" s="95">
        <v>30</v>
      </c>
      <c r="M489" s="96">
        <v>46262</v>
      </c>
      <c r="N489" s="11">
        <f t="shared" si="14"/>
        <v>24</v>
      </c>
      <c r="O489" s="32" t="str">
        <f t="shared" si="15"/>
        <v>Yes</v>
      </c>
    </row>
    <row r="490" spans="2:16" ht="15" customHeight="1" x14ac:dyDescent="0.4">
      <c r="B490" s="10">
        <v>486</v>
      </c>
      <c r="C490" s="34" t="s">
        <v>822</v>
      </c>
      <c r="D490" s="68">
        <v>8196002818</v>
      </c>
      <c r="E490" s="68">
        <v>124849</v>
      </c>
      <c r="F490" s="68" t="s">
        <v>2121</v>
      </c>
      <c r="G490" s="68" t="s">
        <v>2542</v>
      </c>
      <c r="H490" s="79"/>
      <c r="I490" s="229">
        <v>6351.8447583333336</v>
      </c>
      <c r="J490" s="12" t="s">
        <v>53</v>
      </c>
      <c r="K490" s="97">
        <v>46238</v>
      </c>
      <c r="L490" s="95">
        <v>30</v>
      </c>
      <c r="M490" s="96">
        <v>46262</v>
      </c>
      <c r="N490" s="11">
        <f t="shared" si="14"/>
        <v>24</v>
      </c>
      <c r="O490" s="32" t="str">
        <f t="shared" si="15"/>
        <v>Yes</v>
      </c>
    </row>
    <row r="491" spans="2:16" ht="15" customHeight="1" x14ac:dyDescent="0.4">
      <c r="B491" s="10">
        <v>487</v>
      </c>
      <c r="C491" s="34" t="s">
        <v>822</v>
      </c>
      <c r="D491" s="68">
        <v>8196002819</v>
      </c>
      <c r="E491" s="68">
        <v>124849</v>
      </c>
      <c r="F491" s="68" t="s">
        <v>2121</v>
      </c>
      <c r="G491" s="68" t="s">
        <v>2542</v>
      </c>
      <c r="H491" s="79"/>
      <c r="I491" s="229">
        <v>27524.660747916667</v>
      </c>
      <c r="J491" s="12" t="s">
        <v>53</v>
      </c>
      <c r="K491" s="97">
        <v>46238</v>
      </c>
      <c r="L491" s="95">
        <v>30</v>
      </c>
      <c r="M491" s="96">
        <v>46262</v>
      </c>
      <c r="N491" s="11">
        <f t="shared" si="14"/>
        <v>24</v>
      </c>
      <c r="O491" s="32" t="str">
        <f t="shared" si="15"/>
        <v>Yes</v>
      </c>
    </row>
    <row r="492" spans="2:16" ht="15" customHeight="1" x14ac:dyDescent="0.4">
      <c r="B492" s="10">
        <v>488</v>
      </c>
      <c r="C492" s="34" t="s">
        <v>822</v>
      </c>
      <c r="D492" s="68">
        <v>8196002820</v>
      </c>
      <c r="E492" s="68">
        <v>124849</v>
      </c>
      <c r="F492" s="68" t="s">
        <v>2121</v>
      </c>
      <c r="G492" s="68" t="s">
        <v>2542</v>
      </c>
      <c r="H492" s="79"/>
      <c r="I492" s="229">
        <v>3811.1067541666671</v>
      </c>
      <c r="J492" s="12" t="s">
        <v>53</v>
      </c>
      <c r="K492" s="97">
        <v>46238</v>
      </c>
      <c r="L492" s="95">
        <v>30</v>
      </c>
      <c r="M492" s="96">
        <v>46262</v>
      </c>
      <c r="N492" s="11">
        <f t="shared" si="14"/>
        <v>24</v>
      </c>
      <c r="O492" s="32" t="str">
        <f t="shared" si="15"/>
        <v>Yes</v>
      </c>
    </row>
    <row r="493" spans="2:16" ht="27.75" customHeight="1" x14ac:dyDescent="0.4">
      <c r="B493" s="10">
        <v>489</v>
      </c>
      <c r="C493" s="34" t="s">
        <v>822</v>
      </c>
      <c r="D493" s="68">
        <v>8196002821</v>
      </c>
      <c r="E493" s="68">
        <v>124849</v>
      </c>
      <c r="F493" s="68" t="s">
        <v>2121</v>
      </c>
      <c r="G493" s="68" t="s">
        <v>2542</v>
      </c>
      <c r="H493" s="79"/>
      <c r="I493" s="229">
        <v>16514.796247916667</v>
      </c>
      <c r="J493" s="12" t="s">
        <v>53</v>
      </c>
      <c r="K493" s="97">
        <v>46238</v>
      </c>
      <c r="L493" s="95">
        <v>30</v>
      </c>
      <c r="M493" s="96">
        <v>46262</v>
      </c>
      <c r="N493" s="11">
        <f t="shared" si="14"/>
        <v>24</v>
      </c>
      <c r="O493" s="32" t="str">
        <f t="shared" si="15"/>
        <v>Yes</v>
      </c>
    </row>
    <row r="494" spans="2:16" ht="15" customHeight="1" x14ac:dyDescent="0.4">
      <c r="B494" s="10">
        <v>490</v>
      </c>
      <c r="C494" s="34" t="s">
        <v>822</v>
      </c>
      <c r="D494" s="68">
        <v>8196002822</v>
      </c>
      <c r="E494" s="68">
        <v>124849</v>
      </c>
      <c r="F494" s="68" t="s">
        <v>2121</v>
      </c>
      <c r="G494" s="68" t="s">
        <v>2542</v>
      </c>
      <c r="H494" s="82"/>
      <c r="I494" s="229">
        <v>1270.3690041666666</v>
      </c>
      <c r="J494" s="12" t="s">
        <v>53</v>
      </c>
      <c r="K494" s="97">
        <v>46238</v>
      </c>
      <c r="L494" s="95">
        <v>30</v>
      </c>
      <c r="M494" s="96">
        <v>46262</v>
      </c>
      <c r="N494" s="11">
        <f t="shared" si="14"/>
        <v>24</v>
      </c>
      <c r="O494" s="32" t="str">
        <f t="shared" si="15"/>
        <v>Yes</v>
      </c>
    </row>
    <row r="495" spans="2:16" ht="15" customHeight="1" x14ac:dyDescent="0.4">
      <c r="B495" s="10">
        <v>491</v>
      </c>
      <c r="C495" s="34" t="s">
        <v>822</v>
      </c>
      <c r="D495" s="68">
        <v>8196002811</v>
      </c>
      <c r="E495" s="68">
        <v>130164</v>
      </c>
      <c r="F495" s="68" t="s">
        <v>2123</v>
      </c>
      <c r="G495" s="68" t="s">
        <v>2542</v>
      </c>
      <c r="H495" s="82"/>
      <c r="I495" s="229">
        <v>3207.7017541666664</v>
      </c>
      <c r="J495" s="12" t="s">
        <v>53</v>
      </c>
      <c r="K495" s="97">
        <v>46238</v>
      </c>
      <c r="L495" s="95">
        <v>30</v>
      </c>
      <c r="M495" s="96">
        <v>46262</v>
      </c>
      <c r="N495" s="11">
        <f t="shared" si="14"/>
        <v>24</v>
      </c>
      <c r="O495" s="32" t="str">
        <f t="shared" si="15"/>
        <v>Yes</v>
      </c>
    </row>
    <row r="496" spans="2:16" ht="15" customHeight="1" x14ac:dyDescent="0.4">
      <c r="B496" s="10">
        <v>492</v>
      </c>
      <c r="C496" s="34" t="s">
        <v>822</v>
      </c>
      <c r="D496" s="68">
        <v>8196002812</v>
      </c>
      <c r="E496" s="68">
        <v>130164</v>
      </c>
      <c r="F496" s="68" t="s">
        <v>2121</v>
      </c>
      <c r="G496" s="68" t="s">
        <v>2542</v>
      </c>
      <c r="H496" s="82"/>
      <c r="I496" s="229">
        <v>1924.6210083333333</v>
      </c>
      <c r="J496" s="12" t="s">
        <v>53</v>
      </c>
      <c r="K496" s="97">
        <v>46238</v>
      </c>
      <c r="L496" s="95">
        <v>30</v>
      </c>
      <c r="M496" s="96">
        <v>46262</v>
      </c>
      <c r="N496" s="11">
        <f t="shared" si="14"/>
        <v>24</v>
      </c>
      <c r="O496" s="32" t="str">
        <f t="shared" si="15"/>
        <v>Yes</v>
      </c>
    </row>
    <row r="497" spans="2:15" ht="15" customHeight="1" x14ac:dyDescent="0.4">
      <c r="B497" s="10">
        <v>493</v>
      </c>
      <c r="C497" s="34" t="s">
        <v>822</v>
      </c>
      <c r="D497" s="68">
        <v>8196002815</v>
      </c>
      <c r="E497" s="68">
        <v>130225</v>
      </c>
      <c r="F497" s="68" t="s">
        <v>2121</v>
      </c>
      <c r="G497" s="68" t="s">
        <v>2542</v>
      </c>
      <c r="H497" s="82"/>
      <c r="I497" s="229">
        <v>4813.631491666667</v>
      </c>
      <c r="J497" s="12" t="s">
        <v>53</v>
      </c>
      <c r="K497" s="97">
        <v>46238</v>
      </c>
      <c r="L497" s="95">
        <v>30</v>
      </c>
      <c r="M497" s="96">
        <v>46262</v>
      </c>
      <c r="N497" s="11">
        <f t="shared" si="14"/>
        <v>24</v>
      </c>
      <c r="O497" s="32" t="str">
        <f t="shared" si="15"/>
        <v>Yes</v>
      </c>
    </row>
    <row r="498" spans="2:15" ht="15" customHeight="1" x14ac:dyDescent="0.4">
      <c r="B498" s="10">
        <v>494</v>
      </c>
      <c r="C498" s="34" t="s">
        <v>822</v>
      </c>
      <c r="D498" s="68">
        <v>8196002816</v>
      </c>
      <c r="E498" s="68">
        <v>130225</v>
      </c>
      <c r="F498" s="68" t="s">
        <v>2121</v>
      </c>
      <c r="G498" s="68" t="s">
        <v>2542</v>
      </c>
      <c r="H498" s="82"/>
      <c r="I498" s="229">
        <v>2888.1787458333333</v>
      </c>
      <c r="J498" s="12" t="s">
        <v>53</v>
      </c>
      <c r="K498" s="97">
        <v>46238</v>
      </c>
      <c r="L498" s="95">
        <v>30</v>
      </c>
      <c r="M498" s="96">
        <v>46262</v>
      </c>
      <c r="N498" s="11">
        <f t="shared" si="14"/>
        <v>24</v>
      </c>
      <c r="O498" s="32" t="str">
        <f t="shared" si="15"/>
        <v>Yes</v>
      </c>
    </row>
    <row r="499" spans="2:15" ht="15" customHeight="1" x14ac:dyDescent="0.4">
      <c r="B499" s="10">
        <v>495</v>
      </c>
      <c r="C499" s="34" t="s">
        <v>822</v>
      </c>
      <c r="D499" s="68">
        <v>8196002817</v>
      </c>
      <c r="E499" s="68">
        <v>130225</v>
      </c>
      <c r="F499" s="68" t="s">
        <v>2121</v>
      </c>
      <c r="G499" s="68" t="s">
        <v>2542</v>
      </c>
      <c r="H499" s="82"/>
      <c r="I499" s="229">
        <v>962.72625208333329</v>
      </c>
      <c r="J499" s="12" t="s">
        <v>53</v>
      </c>
      <c r="K499" s="97">
        <v>46238</v>
      </c>
      <c r="L499" s="95">
        <v>30</v>
      </c>
      <c r="M499" s="96">
        <v>46262</v>
      </c>
      <c r="N499" s="11">
        <f t="shared" si="14"/>
        <v>24</v>
      </c>
      <c r="O499" s="32" t="str">
        <f t="shared" si="15"/>
        <v>Yes</v>
      </c>
    </row>
    <row r="500" spans="2:15" ht="15" customHeight="1" x14ac:dyDescent="0.4">
      <c r="B500" s="10">
        <v>496</v>
      </c>
      <c r="C500" s="34" t="s">
        <v>822</v>
      </c>
      <c r="D500" s="68">
        <v>8196002827</v>
      </c>
      <c r="E500" s="68">
        <v>132374</v>
      </c>
      <c r="F500" s="68" t="s">
        <v>2124</v>
      </c>
      <c r="G500" s="68" t="s">
        <v>2542</v>
      </c>
      <c r="H500" s="82"/>
      <c r="I500" s="229">
        <v>187157.40390416665</v>
      </c>
      <c r="J500" s="12" t="s">
        <v>53</v>
      </c>
      <c r="K500" s="97">
        <v>46238</v>
      </c>
      <c r="L500" s="95">
        <v>30</v>
      </c>
      <c r="M500" s="96">
        <v>46262</v>
      </c>
      <c r="N500" s="11">
        <f t="shared" si="14"/>
        <v>24</v>
      </c>
      <c r="O500" s="32" t="str">
        <f t="shared" si="15"/>
        <v>Yes</v>
      </c>
    </row>
    <row r="501" spans="2:15" ht="15" customHeight="1" x14ac:dyDescent="0.4">
      <c r="B501" s="10">
        <v>497</v>
      </c>
      <c r="C501" s="34" t="s">
        <v>822</v>
      </c>
      <c r="D501" s="68">
        <v>8196002828</v>
      </c>
      <c r="E501" s="68">
        <v>132373</v>
      </c>
      <c r="F501" s="68" t="s">
        <v>2125</v>
      </c>
      <c r="G501" s="68" t="s">
        <v>2542</v>
      </c>
      <c r="H501" s="82"/>
      <c r="I501" s="229">
        <v>80210.315960416672</v>
      </c>
      <c r="J501" s="12" t="s">
        <v>53</v>
      </c>
      <c r="K501" s="97">
        <v>46238</v>
      </c>
      <c r="L501" s="95">
        <v>30</v>
      </c>
      <c r="M501" s="96">
        <v>46262</v>
      </c>
      <c r="N501" s="11">
        <f t="shared" si="14"/>
        <v>24</v>
      </c>
      <c r="O501" s="32" t="str">
        <f t="shared" si="15"/>
        <v>Yes</v>
      </c>
    </row>
    <row r="502" spans="2:15" ht="15" customHeight="1" x14ac:dyDescent="0.4">
      <c r="B502" s="10">
        <v>498</v>
      </c>
      <c r="C502" s="34" t="s">
        <v>822</v>
      </c>
      <c r="D502" s="68">
        <v>8196002830</v>
      </c>
      <c r="E502" s="68">
        <v>132696</v>
      </c>
      <c r="F502" s="68" t="s">
        <v>2126</v>
      </c>
      <c r="G502" s="68" t="s">
        <v>2542</v>
      </c>
      <c r="H502" s="82"/>
      <c r="I502" s="229">
        <v>262706.64</v>
      </c>
      <c r="J502" s="12" t="s">
        <v>53</v>
      </c>
      <c r="K502" s="97">
        <v>46238</v>
      </c>
      <c r="L502" s="95">
        <v>30</v>
      </c>
      <c r="M502" s="96">
        <v>46262</v>
      </c>
      <c r="N502" s="11">
        <f t="shared" si="14"/>
        <v>24</v>
      </c>
      <c r="O502" s="32" t="str">
        <f t="shared" si="15"/>
        <v>Yes</v>
      </c>
    </row>
    <row r="503" spans="2:15" ht="15" customHeight="1" x14ac:dyDescent="0.4">
      <c r="B503" s="10">
        <v>499</v>
      </c>
      <c r="C503" s="34" t="s">
        <v>822</v>
      </c>
      <c r="D503" s="68" t="s">
        <v>1334</v>
      </c>
      <c r="E503" s="68">
        <v>135325</v>
      </c>
      <c r="F503" s="68" t="s">
        <v>2127</v>
      </c>
      <c r="G503" s="68" t="s">
        <v>2460</v>
      </c>
      <c r="H503" s="82"/>
      <c r="I503" s="229">
        <v>1225</v>
      </c>
      <c r="J503" s="12" t="s">
        <v>53</v>
      </c>
      <c r="K503" s="97">
        <v>46237</v>
      </c>
      <c r="L503" s="95">
        <v>30</v>
      </c>
      <c r="M503" s="96">
        <v>46259</v>
      </c>
      <c r="N503" s="11">
        <f t="shared" si="14"/>
        <v>22</v>
      </c>
      <c r="O503" s="32" t="str">
        <f t="shared" si="15"/>
        <v>Yes</v>
      </c>
    </row>
    <row r="504" spans="2:15" ht="15" customHeight="1" x14ac:dyDescent="0.4">
      <c r="B504" s="10">
        <v>500</v>
      </c>
      <c r="C504" s="34" t="s">
        <v>822</v>
      </c>
      <c r="D504" s="68" t="s">
        <v>1335</v>
      </c>
      <c r="E504" s="68">
        <v>135325</v>
      </c>
      <c r="F504" s="68" t="s">
        <v>2128</v>
      </c>
      <c r="G504" s="68" t="s">
        <v>2460</v>
      </c>
      <c r="H504" s="82"/>
      <c r="I504" s="229">
        <v>3150</v>
      </c>
      <c r="J504" s="12" t="s">
        <v>53</v>
      </c>
      <c r="K504" s="97">
        <v>46237</v>
      </c>
      <c r="L504" s="95">
        <v>30</v>
      </c>
      <c r="M504" s="96">
        <v>46259</v>
      </c>
      <c r="N504" s="11">
        <f t="shared" si="14"/>
        <v>22</v>
      </c>
      <c r="O504" s="32" t="str">
        <f t="shared" si="15"/>
        <v>Yes</v>
      </c>
    </row>
    <row r="505" spans="2:15" ht="15" customHeight="1" x14ac:dyDescent="0.4">
      <c r="B505" s="10">
        <v>501</v>
      </c>
      <c r="C505" s="34" t="s">
        <v>822</v>
      </c>
      <c r="D505" s="68" t="s">
        <v>1336</v>
      </c>
      <c r="E505" s="68">
        <v>135325</v>
      </c>
      <c r="F505" s="68" t="s">
        <v>2129</v>
      </c>
      <c r="G505" s="68" t="s">
        <v>2460</v>
      </c>
      <c r="H505" s="79"/>
      <c r="I505" s="229">
        <v>1356.25</v>
      </c>
      <c r="J505" s="12" t="s">
        <v>53</v>
      </c>
      <c r="K505" s="97">
        <v>46237</v>
      </c>
      <c r="L505" s="95">
        <v>30</v>
      </c>
      <c r="M505" s="96">
        <v>46259</v>
      </c>
      <c r="N505" s="11">
        <f t="shared" si="14"/>
        <v>22</v>
      </c>
      <c r="O505" s="32" t="str">
        <f t="shared" si="15"/>
        <v>Yes</v>
      </c>
    </row>
    <row r="506" spans="2:15" ht="15" customHeight="1" x14ac:dyDescent="0.4">
      <c r="B506" s="10">
        <v>502</v>
      </c>
      <c r="C506" s="34" t="s">
        <v>822</v>
      </c>
      <c r="D506" s="68" t="s">
        <v>1337</v>
      </c>
      <c r="E506" s="68">
        <v>135325</v>
      </c>
      <c r="F506" s="68" t="s">
        <v>2130</v>
      </c>
      <c r="G506" s="68" t="s">
        <v>2460</v>
      </c>
      <c r="H506" s="79"/>
      <c r="I506" s="229">
        <v>1400</v>
      </c>
      <c r="J506" s="12" t="s">
        <v>53</v>
      </c>
      <c r="K506" s="97">
        <v>46237</v>
      </c>
      <c r="L506" s="95">
        <v>30</v>
      </c>
      <c r="M506" s="96">
        <v>46259</v>
      </c>
      <c r="N506" s="11">
        <f t="shared" si="14"/>
        <v>22</v>
      </c>
      <c r="O506" s="32" t="str">
        <f t="shared" si="15"/>
        <v>Yes</v>
      </c>
    </row>
    <row r="507" spans="2:15" ht="15" customHeight="1" x14ac:dyDescent="0.4">
      <c r="B507" s="10">
        <v>503</v>
      </c>
      <c r="C507" s="34" t="s">
        <v>822</v>
      </c>
      <c r="D507" s="68" t="s">
        <v>1338</v>
      </c>
      <c r="E507" s="68">
        <v>135325</v>
      </c>
      <c r="F507" s="68" t="s">
        <v>2131</v>
      </c>
      <c r="G507" s="68" t="s">
        <v>2460</v>
      </c>
      <c r="H507" s="79"/>
      <c r="I507" s="229">
        <v>1400</v>
      </c>
      <c r="J507" s="12" t="s">
        <v>53</v>
      </c>
      <c r="K507" s="97">
        <v>46237</v>
      </c>
      <c r="L507" s="95">
        <v>30</v>
      </c>
      <c r="M507" s="96">
        <v>46259</v>
      </c>
      <c r="N507" s="11">
        <f t="shared" si="14"/>
        <v>22</v>
      </c>
      <c r="O507" s="32" t="str">
        <f t="shared" si="15"/>
        <v>Yes</v>
      </c>
    </row>
    <row r="508" spans="2:15" ht="15" customHeight="1" x14ac:dyDescent="0.4">
      <c r="B508" s="10">
        <v>504</v>
      </c>
      <c r="C508" s="34" t="s">
        <v>822</v>
      </c>
      <c r="D508" s="68" t="s">
        <v>1339</v>
      </c>
      <c r="E508" s="68">
        <v>135325</v>
      </c>
      <c r="F508" s="68" t="s">
        <v>2132</v>
      </c>
      <c r="G508" s="68" t="s">
        <v>2460</v>
      </c>
      <c r="H508" s="79"/>
      <c r="I508" s="229">
        <v>2275</v>
      </c>
      <c r="J508" s="12" t="s">
        <v>53</v>
      </c>
      <c r="K508" s="97">
        <v>46237</v>
      </c>
      <c r="L508" s="95">
        <v>30</v>
      </c>
      <c r="M508" s="96">
        <v>46259</v>
      </c>
      <c r="N508" s="11">
        <f t="shared" si="14"/>
        <v>22</v>
      </c>
      <c r="O508" s="32" t="str">
        <f t="shared" si="15"/>
        <v>Yes</v>
      </c>
    </row>
    <row r="509" spans="2:15" ht="15" customHeight="1" x14ac:dyDescent="0.4">
      <c r="B509" s="10">
        <v>505</v>
      </c>
      <c r="C509" s="34" t="s">
        <v>822</v>
      </c>
      <c r="D509" s="68" t="s">
        <v>1340</v>
      </c>
      <c r="E509" s="68">
        <v>134455</v>
      </c>
      <c r="F509" s="68" t="s">
        <v>2133</v>
      </c>
      <c r="G509" s="68" t="s">
        <v>2543</v>
      </c>
      <c r="H509" s="79"/>
      <c r="I509" s="229">
        <v>5091.5</v>
      </c>
      <c r="J509" s="12" t="s">
        <v>53</v>
      </c>
      <c r="K509" s="97">
        <v>46210</v>
      </c>
      <c r="L509" s="95">
        <v>30</v>
      </c>
      <c r="M509" s="96">
        <v>46238</v>
      </c>
      <c r="N509" s="11">
        <f t="shared" si="14"/>
        <v>28</v>
      </c>
      <c r="O509" s="32" t="str">
        <f t="shared" si="15"/>
        <v>Yes</v>
      </c>
    </row>
    <row r="510" spans="2:15" ht="15" customHeight="1" x14ac:dyDescent="0.4">
      <c r="B510" s="10">
        <v>506</v>
      </c>
      <c r="C510" s="34" t="s">
        <v>822</v>
      </c>
      <c r="D510" s="68" t="s">
        <v>1341</v>
      </c>
      <c r="E510" s="68">
        <v>134165</v>
      </c>
      <c r="F510" s="68" t="s">
        <v>2134</v>
      </c>
      <c r="G510" s="68" t="s">
        <v>679</v>
      </c>
      <c r="H510" s="79"/>
      <c r="I510" s="229">
        <v>1816.29</v>
      </c>
      <c r="J510" s="12" t="s">
        <v>53</v>
      </c>
      <c r="K510" s="97">
        <v>46233</v>
      </c>
      <c r="L510" s="95">
        <v>30</v>
      </c>
      <c r="M510" s="96">
        <v>46259</v>
      </c>
      <c r="N510" s="11">
        <f t="shared" si="14"/>
        <v>26</v>
      </c>
      <c r="O510" s="32" t="str">
        <f t="shared" si="15"/>
        <v>Yes</v>
      </c>
    </row>
    <row r="511" spans="2:15" ht="15" customHeight="1" x14ac:dyDescent="0.4">
      <c r="B511" s="10">
        <v>507</v>
      </c>
      <c r="C511" s="34" t="s">
        <v>822</v>
      </c>
      <c r="D511" s="68" t="s">
        <v>1342</v>
      </c>
      <c r="E511" s="68">
        <v>134368</v>
      </c>
      <c r="F511" s="68" t="s">
        <v>2135</v>
      </c>
      <c r="G511" s="68" t="s">
        <v>762</v>
      </c>
      <c r="H511" s="79"/>
      <c r="I511" s="229">
        <v>1815</v>
      </c>
      <c r="J511" s="12" t="s">
        <v>53</v>
      </c>
      <c r="K511" s="97">
        <v>46233</v>
      </c>
      <c r="L511" s="95">
        <v>30</v>
      </c>
      <c r="M511" s="96">
        <v>46258</v>
      </c>
      <c r="N511" s="11">
        <f t="shared" si="14"/>
        <v>25</v>
      </c>
      <c r="O511" s="32" t="str">
        <f t="shared" si="15"/>
        <v>Yes</v>
      </c>
    </row>
    <row r="512" spans="2:15" ht="15" customHeight="1" x14ac:dyDescent="0.4">
      <c r="B512" s="10">
        <v>508</v>
      </c>
      <c r="C512" s="34" t="s">
        <v>822</v>
      </c>
      <c r="D512" s="68" t="s">
        <v>1343</v>
      </c>
      <c r="E512" s="68">
        <v>134366</v>
      </c>
      <c r="F512" s="68" t="s">
        <v>2136</v>
      </c>
      <c r="G512" s="68" t="s">
        <v>762</v>
      </c>
      <c r="H512" s="79"/>
      <c r="I512" s="229">
        <v>3486</v>
      </c>
      <c r="J512" s="12" t="s">
        <v>53</v>
      </c>
      <c r="K512" s="97">
        <v>46233</v>
      </c>
      <c r="L512" s="95">
        <v>30</v>
      </c>
      <c r="M512" s="96">
        <v>46258</v>
      </c>
      <c r="N512" s="11">
        <f t="shared" si="14"/>
        <v>25</v>
      </c>
      <c r="O512" s="32" t="str">
        <f t="shared" si="15"/>
        <v>Yes</v>
      </c>
    </row>
    <row r="513" spans="2:15" ht="15" customHeight="1" x14ac:dyDescent="0.4">
      <c r="B513" s="10">
        <v>509</v>
      </c>
      <c r="C513" s="34" t="s">
        <v>822</v>
      </c>
      <c r="D513" s="68" t="s">
        <v>1344</v>
      </c>
      <c r="E513" s="68">
        <v>135405</v>
      </c>
      <c r="F513" s="68" t="s">
        <v>2137</v>
      </c>
      <c r="G513" s="68" t="s">
        <v>2544</v>
      </c>
      <c r="H513" s="79"/>
      <c r="I513" s="229">
        <v>20758.333725</v>
      </c>
      <c r="J513" s="12" t="s">
        <v>53</v>
      </c>
      <c r="K513" s="97">
        <v>46230</v>
      </c>
      <c r="L513" s="95">
        <v>30</v>
      </c>
      <c r="M513" s="96">
        <v>46253</v>
      </c>
      <c r="N513" s="11">
        <f t="shared" si="14"/>
        <v>23</v>
      </c>
      <c r="O513" s="32" t="str">
        <f t="shared" si="15"/>
        <v>Yes</v>
      </c>
    </row>
    <row r="514" spans="2:15" ht="15" customHeight="1" x14ac:dyDescent="0.4">
      <c r="B514" s="10">
        <v>510</v>
      </c>
      <c r="C514" s="34" t="s">
        <v>822</v>
      </c>
      <c r="D514" s="68">
        <v>169321</v>
      </c>
      <c r="E514" s="68">
        <v>134641</v>
      </c>
      <c r="F514" s="68" t="s">
        <v>2138</v>
      </c>
      <c r="G514" s="68" t="s">
        <v>2545</v>
      </c>
      <c r="H514" s="79"/>
      <c r="I514" s="229">
        <v>1328.125</v>
      </c>
      <c r="J514" s="12" t="s">
        <v>53</v>
      </c>
      <c r="K514" s="97">
        <v>46203</v>
      </c>
      <c r="L514" s="95">
        <v>30</v>
      </c>
      <c r="M514" s="96">
        <v>46241</v>
      </c>
      <c r="N514" s="11">
        <f t="shared" si="14"/>
        <v>38</v>
      </c>
      <c r="O514" s="32" t="str">
        <f t="shared" si="15"/>
        <v>No</v>
      </c>
    </row>
    <row r="515" spans="2:15" ht="15" customHeight="1" x14ac:dyDescent="0.4">
      <c r="B515" s="10">
        <v>511</v>
      </c>
      <c r="C515" s="34" t="s">
        <v>822</v>
      </c>
      <c r="D515" s="68" t="s">
        <v>1345</v>
      </c>
      <c r="E515" s="68">
        <v>132842</v>
      </c>
      <c r="F515" s="68" t="s">
        <v>2139</v>
      </c>
      <c r="G515" s="68" t="s">
        <v>2462</v>
      </c>
      <c r="H515" s="79"/>
      <c r="I515" s="229">
        <v>2256.9960000000001</v>
      </c>
      <c r="J515" s="12" t="s">
        <v>53</v>
      </c>
      <c r="K515" s="97">
        <v>46233</v>
      </c>
      <c r="L515" s="95">
        <v>30</v>
      </c>
      <c r="M515" s="96">
        <v>46260</v>
      </c>
      <c r="N515" s="11">
        <f t="shared" si="14"/>
        <v>27</v>
      </c>
      <c r="O515" s="32" t="str">
        <f t="shared" si="15"/>
        <v>Yes</v>
      </c>
    </row>
    <row r="516" spans="2:15" ht="15" customHeight="1" x14ac:dyDescent="0.4">
      <c r="B516" s="10">
        <v>512</v>
      </c>
      <c r="C516" s="34" t="s">
        <v>822</v>
      </c>
      <c r="D516" s="68" t="s">
        <v>1346</v>
      </c>
      <c r="E516" s="68">
        <v>136265</v>
      </c>
      <c r="F516" s="68" t="s">
        <v>2140</v>
      </c>
      <c r="G516" s="68" t="s">
        <v>703</v>
      </c>
      <c r="H516" s="79"/>
      <c r="I516" s="229">
        <v>260.41666666666669</v>
      </c>
      <c r="J516" s="12" t="s">
        <v>53</v>
      </c>
      <c r="K516" s="97">
        <v>46217</v>
      </c>
      <c r="L516" s="95">
        <v>30</v>
      </c>
      <c r="M516" s="96">
        <v>46254</v>
      </c>
      <c r="N516" s="11">
        <f t="shared" si="14"/>
        <v>37</v>
      </c>
      <c r="O516" s="32" t="str">
        <f t="shared" si="15"/>
        <v>No</v>
      </c>
    </row>
    <row r="517" spans="2:15" ht="15" customHeight="1" x14ac:dyDescent="0.4">
      <c r="B517" s="10">
        <v>513</v>
      </c>
      <c r="C517" s="34" t="s">
        <v>822</v>
      </c>
      <c r="D517" s="68" t="s">
        <v>1347</v>
      </c>
      <c r="E517" s="68">
        <v>136265</v>
      </c>
      <c r="F517" s="68" t="s">
        <v>2141</v>
      </c>
      <c r="G517" s="68" t="s">
        <v>703</v>
      </c>
      <c r="H517" s="79"/>
      <c r="I517" s="229">
        <v>18.083333333333332</v>
      </c>
      <c r="J517" s="12" t="s">
        <v>53</v>
      </c>
      <c r="K517" s="97">
        <v>46217</v>
      </c>
      <c r="L517" s="95">
        <v>30</v>
      </c>
      <c r="M517" s="96">
        <v>46253</v>
      </c>
      <c r="N517" s="11">
        <f t="shared" ref="N517:N580" si="16">IF(OR(M517="", K517=""),"", M517- K517)</f>
        <v>36</v>
      </c>
      <c r="O517" s="32" t="str">
        <f t="shared" ref="O517:O580" si="17">IF(OR(M517="", K517="", L517=""), "", IF((M517 - K517) &gt; L517, "No", "Yes"))</f>
        <v>No</v>
      </c>
    </row>
    <row r="518" spans="2:15" ht="15" customHeight="1" x14ac:dyDescent="0.4">
      <c r="B518" s="10">
        <v>514</v>
      </c>
      <c r="C518" s="34" t="s">
        <v>822</v>
      </c>
      <c r="D518" s="68" t="s">
        <v>1348</v>
      </c>
      <c r="E518" s="68">
        <v>135335</v>
      </c>
      <c r="F518" s="68" t="s">
        <v>2142</v>
      </c>
      <c r="G518" s="68" t="s">
        <v>2546</v>
      </c>
      <c r="H518" s="79"/>
      <c r="I518" s="229">
        <v>1335.6770833333333</v>
      </c>
      <c r="J518" s="12" t="s">
        <v>53</v>
      </c>
      <c r="K518" s="97">
        <v>46217</v>
      </c>
      <c r="L518" s="95">
        <v>30</v>
      </c>
      <c r="M518" s="96">
        <v>46253</v>
      </c>
      <c r="N518" s="11">
        <f t="shared" si="16"/>
        <v>36</v>
      </c>
      <c r="O518" s="32" t="str">
        <f t="shared" si="17"/>
        <v>No</v>
      </c>
    </row>
    <row r="519" spans="2:15" ht="15" customHeight="1" x14ac:dyDescent="0.4">
      <c r="B519" s="10">
        <v>515</v>
      </c>
      <c r="C519" s="34" t="s">
        <v>822</v>
      </c>
      <c r="D519" s="68" t="s">
        <v>1349</v>
      </c>
      <c r="E519" s="68">
        <v>135499</v>
      </c>
      <c r="F519" s="68" t="s">
        <v>2143</v>
      </c>
      <c r="G519" s="68" t="s">
        <v>2547</v>
      </c>
      <c r="H519" s="79"/>
      <c r="I519" s="229">
        <v>880.20833333333337</v>
      </c>
      <c r="J519" s="12" t="s">
        <v>53</v>
      </c>
      <c r="K519" s="97">
        <v>46222</v>
      </c>
      <c r="L519" s="95">
        <v>30</v>
      </c>
      <c r="M519" s="96">
        <v>46257</v>
      </c>
      <c r="N519" s="11">
        <f t="shared" si="16"/>
        <v>35</v>
      </c>
      <c r="O519" s="32" t="str">
        <f t="shared" si="17"/>
        <v>No</v>
      </c>
    </row>
    <row r="520" spans="2:15" ht="15" customHeight="1" x14ac:dyDescent="0.4">
      <c r="B520" s="10">
        <v>516</v>
      </c>
      <c r="C520" s="34" t="s">
        <v>822</v>
      </c>
      <c r="D520" s="68" t="s">
        <v>1350</v>
      </c>
      <c r="E520" s="68">
        <v>134508</v>
      </c>
      <c r="F520" s="68" t="s">
        <v>2144</v>
      </c>
      <c r="G520" s="68" t="s">
        <v>2548</v>
      </c>
      <c r="H520" s="79"/>
      <c r="I520" s="229">
        <v>525</v>
      </c>
      <c r="J520" s="12" t="s">
        <v>53</v>
      </c>
      <c r="K520" s="97">
        <v>46168</v>
      </c>
      <c r="L520" s="95">
        <v>30</v>
      </c>
      <c r="M520" s="96">
        <v>46196</v>
      </c>
      <c r="N520" s="11">
        <f t="shared" si="16"/>
        <v>28</v>
      </c>
      <c r="O520" s="32" t="str">
        <f t="shared" si="17"/>
        <v>Yes</v>
      </c>
    </row>
    <row r="521" spans="2:15" ht="25.5" customHeight="1" x14ac:dyDescent="0.4">
      <c r="B521" s="10">
        <v>517</v>
      </c>
      <c r="C521" s="34" t="s">
        <v>822</v>
      </c>
      <c r="D521" s="68" t="s">
        <v>1351</v>
      </c>
      <c r="E521" s="68">
        <v>136020</v>
      </c>
      <c r="F521" s="68" t="s">
        <v>2145</v>
      </c>
      <c r="G521" s="68" t="s">
        <v>2549</v>
      </c>
      <c r="H521" s="83"/>
      <c r="I521" s="229">
        <v>145.83333333333334</v>
      </c>
      <c r="J521" s="12" t="s">
        <v>53</v>
      </c>
      <c r="K521" s="97">
        <v>46234</v>
      </c>
      <c r="L521" s="95">
        <v>30</v>
      </c>
      <c r="M521" s="96">
        <v>46256</v>
      </c>
      <c r="N521" s="11">
        <f t="shared" si="16"/>
        <v>22</v>
      </c>
      <c r="O521" s="32" t="str">
        <f t="shared" si="17"/>
        <v>Yes</v>
      </c>
    </row>
    <row r="522" spans="2:15" ht="15" customHeight="1" x14ac:dyDescent="0.4">
      <c r="B522" s="10">
        <v>518</v>
      </c>
      <c r="C522" s="34" t="s">
        <v>822</v>
      </c>
      <c r="D522" s="68" t="s">
        <v>1352</v>
      </c>
      <c r="E522" s="68">
        <v>135913</v>
      </c>
      <c r="F522" s="68" t="s">
        <v>2146</v>
      </c>
      <c r="G522" s="68" t="s">
        <v>2550</v>
      </c>
      <c r="H522" s="79"/>
      <c r="I522" s="229">
        <v>62.5</v>
      </c>
      <c r="J522" s="12" t="s">
        <v>53</v>
      </c>
      <c r="K522" s="97">
        <v>46232</v>
      </c>
      <c r="L522" s="95">
        <v>30</v>
      </c>
      <c r="M522" s="96">
        <v>46260</v>
      </c>
      <c r="N522" s="11">
        <f t="shared" si="16"/>
        <v>28</v>
      </c>
      <c r="O522" s="32" t="str">
        <f t="shared" si="17"/>
        <v>Yes</v>
      </c>
    </row>
    <row r="523" spans="2:15" ht="15" customHeight="1" x14ac:dyDescent="0.4">
      <c r="B523" s="10">
        <v>519</v>
      </c>
      <c r="C523" s="34" t="s">
        <v>822</v>
      </c>
      <c r="D523" s="68" t="s">
        <v>1353</v>
      </c>
      <c r="E523" s="68">
        <v>135843</v>
      </c>
      <c r="F523" s="68" t="s">
        <v>2147</v>
      </c>
      <c r="G523" s="68" t="s">
        <v>2470</v>
      </c>
      <c r="H523" s="79"/>
      <c r="I523" s="229">
        <v>2250</v>
      </c>
      <c r="J523" s="12" t="s">
        <v>53</v>
      </c>
      <c r="K523" s="97">
        <v>46238</v>
      </c>
      <c r="L523" s="95">
        <v>30</v>
      </c>
      <c r="M523" s="96">
        <v>46261</v>
      </c>
      <c r="N523" s="11">
        <f t="shared" si="16"/>
        <v>23</v>
      </c>
      <c r="O523" s="32" t="str">
        <f t="shared" si="17"/>
        <v>Yes</v>
      </c>
    </row>
    <row r="524" spans="2:15" ht="15" customHeight="1" x14ac:dyDescent="0.4">
      <c r="B524" s="10">
        <v>520</v>
      </c>
      <c r="C524" s="34" t="s">
        <v>822</v>
      </c>
      <c r="D524" s="73" t="s">
        <v>1354</v>
      </c>
      <c r="E524" s="68">
        <v>135547</v>
      </c>
      <c r="F524" s="68" t="s">
        <v>2148</v>
      </c>
      <c r="G524" s="68" t="s">
        <v>2470</v>
      </c>
      <c r="H524" s="82"/>
      <c r="I524" s="229">
        <v>791.66666666666663</v>
      </c>
      <c r="J524" s="12" t="s">
        <v>53</v>
      </c>
      <c r="K524" s="97">
        <v>46211</v>
      </c>
      <c r="L524" s="95">
        <v>30</v>
      </c>
      <c r="M524" s="96">
        <v>46238</v>
      </c>
      <c r="N524" s="11">
        <f t="shared" si="16"/>
        <v>27</v>
      </c>
      <c r="O524" s="32" t="str">
        <f t="shared" si="17"/>
        <v>Yes</v>
      </c>
    </row>
    <row r="525" spans="2:15" ht="15" customHeight="1" x14ac:dyDescent="0.4">
      <c r="B525" s="10">
        <v>521</v>
      </c>
      <c r="C525" s="34" t="s">
        <v>822</v>
      </c>
      <c r="D525" s="73" t="s">
        <v>1355</v>
      </c>
      <c r="E525" s="68">
        <v>136239</v>
      </c>
      <c r="F525" s="68" t="s">
        <v>2149</v>
      </c>
      <c r="G525" s="68" t="s">
        <v>646</v>
      </c>
      <c r="H525" s="79"/>
      <c r="I525" s="229">
        <v>235.41666666666666</v>
      </c>
      <c r="J525" s="12" t="s">
        <v>53</v>
      </c>
      <c r="K525" s="97">
        <v>46245</v>
      </c>
      <c r="L525" s="95">
        <v>30</v>
      </c>
      <c r="M525" s="96">
        <v>46260</v>
      </c>
      <c r="N525" s="11">
        <f t="shared" si="16"/>
        <v>15</v>
      </c>
      <c r="O525" s="32" t="str">
        <f t="shared" si="17"/>
        <v>Yes</v>
      </c>
    </row>
    <row r="526" spans="2:15" ht="15" customHeight="1" x14ac:dyDescent="0.4">
      <c r="B526" s="10">
        <v>522</v>
      </c>
      <c r="C526" s="34" t="s">
        <v>822</v>
      </c>
      <c r="D526" s="68" t="s">
        <v>1356</v>
      </c>
      <c r="E526" s="68">
        <v>135334</v>
      </c>
      <c r="F526" s="68" t="s">
        <v>2150</v>
      </c>
      <c r="G526" s="68" t="s">
        <v>794</v>
      </c>
      <c r="H526" s="79"/>
      <c r="I526" s="229">
        <v>850</v>
      </c>
      <c r="J526" s="12" t="s">
        <v>53</v>
      </c>
      <c r="K526" s="97">
        <v>46233</v>
      </c>
      <c r="L526" s="95">
        <v>30</v>
      </c>
      <c r="M526" s="96">
        <v>46259</v>
      </c>
      <c r="N526" s="11">
        <f t="shared" si="16"/>
        <v>26</v>
      </c>
      <c r="O526" s="32" t="str">
        <f t="shared" si="17"/>
        <v>Yes</v>
      </c>
    </row>
    <row r="527" spans="2:15" ht="15" customHeight="1" x14ac:dyDescent="0.4">
      <c r="B527" s="10">
        <v>523</v>
      </c>
      <c r="C527" s="34" t="s">
        <v>822</v>
      </c>
      <c r="D527" s="68" t="s">
        <v>1357</v>
      </c>
      <c r="E527" s="68">
        <v>135334</v>
      </c>
      <c r="F527" s="68" t="s">
        <v>2150</v>
      </c>
      <c r="G527" s="68" t="s">
        <v>794</v>
      </c>
      <c r="H527" s="79"/>
      <c r="I527" s="229">
        <v>372</v>
      </c>
      <c r="J527" s="12" t="s">
        <v>53</v>
      </c>
      <c r="K527" s="97">
        <v>46233</v>
      </c>
      <c r="L527" s="95">
        <v>30</v>
      </c>
      <c r="M527" s="96">
        <v>46259</v>
      </c>
      <c r="N527" s="11">
        <f t="shared" si="16"/>
        <v>26</v>
      </c>
      <c r="O527" s="32" t="str">
        <f t="shared" si="17"/>
        <v>Yes</v>
      </c>
    </row>
    <row r="528" spans="2:15" ht="15" customHeight="1" x14ac:dyDescent="0.4">
      <c r="B528" s="10">
        <v>524</v>
      </c>
      <c r="C528" s="34" t="s">
        <v>822</v>
      </c>
      <c r="D528" s="68" t="s">
        <v>1358</v>
      </c>
      <c r="E528" s="68">
        <v>135334</v>
      </c>
      <c r="F528" s="68" t="s">
        <v>2150</v>
      </c>
      <c r="G528" s="68" t="s">
        <v>794</v>
      </c>
      <c r="H528" s="84"/>
      <c r="I528" s="229">
        <v>264</v>
      </c>
      <c r="J528" s="12" t="s">
        <v>53</v>
      </c>
      <c r="K528" s="97">
        <v>46233</v>
      </c>
      <c r="L528" s="95">
        <v>30</v>
      </c>
      <c r="M528" s="96">
        <v>46259</v>
      </c>
      <c r="N528" s="11">
        <f t="shared" si="16"/>
        <v>26</v>
      </c>
      <c r="O528" s="32" t="str">
        <f t="shared" si="17"/>
        <v>Yes</v>
      </c>
    </row>
    <row r="529" spans="2:15" ht="15" customHeight="1" x14ac:dyDescent="0.4">
      <c r="B529" s="10">
        <v>525</v>
      </c>
      <c r="C529" s="34" t="s">
        <v>822</v>
      </c>
      <c r="D529" s="68" t="s">
        <v>1359</v>
      </c>
      <c r="E529" s="68">
        <v>135334</v>
      </c>
      <c r="F529" s="68" t="s">
        <v>1781</v>
      </c>
      <c r="G529" s="68" t="s">
        <v>794</v>
      </c>
      <c r="H529" s="79"/>
      <c r="I529" s="229">
        <v>372</v>
      </c>
      <c r="J529" s="12" t="s">
        <v>53</v>
      </c>
      <c r="K529" s="97">
        <v>46233</v>
      </c>
      <c r="L529" s="95">
        <v>30</v>
      </c>
      <c r="M529" s="96">
        <v>46259</v>
      </c>
      <c r="N529" s="11">
        <f t="shared" si="16"/>
        <v>26</v>
      </c>
      <c r="O529" s="32" t="str">
        <f t="shared" si="17"/>
        <v>Yes</v>
      </c>
    </row>
    <row r="530" spans="2:15" ht="15" customHeight="1" x14ac:dyDescent="0.4">
      <c r="B530" s="10">
        <v>526</v>
      </c>
      <c r="C530" s="34" t="s">
        <v>822</v>
      </c>
      <c r="D530" s="68" t="s">
        <v>1360</v>
      </c>
      <c r="E530" s="68">
        <v>135334</v>
      </c>
      <c r="F530" s="68" t="s">
        <v>1781</v>
      </c>
      <c r="G530" s="68" t="s">
        <v>794</v>
      </c>
      <c r="H530" s="79"/>
      <c r="I530" s="229">
        <v>878.33333333333337</v>
      </c>
      <c r="J530" s="12" t="s">
        <v>53</v>
      </c>
      <c r="K530" s="97">
        <v>46233</v>
      </c>
      <c r="L530" s="95">
        <v>30</v>
      </c>
      <c r="M530" s="96">
        <v>46259</v>
      </c>
      <c r="N530" s="11">
        <f t="shared" si="16"/>
        <v>26</v>
      </c>
      <c r="O530" s="32" t="str">
        <f t="shared" si="17"/>
        <v>Yes</v>
      </c>
    </row>
    <row r="531" spans="2:15" ht="15" customHeight="1" x14ac:dyDescent="0.4">
      <c r="B531" s="10">
        <v>527</v>
      </c>
      <c r="C531" s="34" t="s">
        <v>822</v>
      </c>
      <c r="D531" s="68" t="s">
        <v>1361</v>
      </c>
      <c r="E531" s="68">
        <v>135334</v>
      </c>
      <c r="F531" s="68" t="s">
        <v>1781</v>
      </c>
      <c r="G531" s="68" t="s">
        <v>794</v>
      </c>
      <c r="H531" s="79"/>
      <c r="I531" s="229">
        <v>264</v>
      </c>
      <c r="J531" s="12" t="s">
        <v>53</v>
      </c>
      <c r="K531" s="97">
        <v>46233</v>
      </c>
      <c r="L531" s="95">
        <v>30</v>
      </c>
      <c r="M531" s="96">
        <v>46259</v>
      </c>
      <c r="N531" s="11">
        <f t="shared" si="16"/>
        <v>26</v>
      </c>
      <c r="O531" s="32" t="str">
        <f t="shared" si="17"/>
        <v>Yes</v>
      </c>
    </row>
    <row r="532" spans="2:15" ht="15" customHeight="1" x14ac:dyDescent="0.4">
      <c r="B532" s="10">
        <v>528</v>
      </c>
      <c r="C532" s="34" t="s">
        <v>822</v>
      </c>
      <c r="D532" s="68" t="s">
        <v>1362</v>
      </c>
      <c r="E532" s="68">
        <v>135334</v>
      </c>
      <c r="F532" s="68" t="s">
        <v>1788</v>
      </c>
      <c r="G532" s="68" t="s">
        <v>794</v>
      </c>
      <c r="H532" s="79"/>
      <c r="I532" s="229">
        <v>264</v>
      </c>
      <c r="J532" s="12" t="s">
        <v>53</v>
      </c>
      <c r="K532" s="97">
        <v>46233</v>
      </c>
      <c r="L532" s="95">
        <v>30</v>
      </c>
      <c r="M532" s="96">
        <v>46259</v>
      </c>
      <c r="N532" s="11">
        <f t="shared" si="16"/>
        <v>26</v>
      </c>
      <c r="O532" s="32" t="str">
        <f t="shared" si="17"/>
        <v>Yes</v>
      </c>
    </row>
    <row r="533" spans="2:15" ht="15" customHeight="1" x14ac:dyDescent="0.4">
      <c r="B533" s="10">
        <v>529</v>
      </c>
      <c r="C533" s="34" t="s">
        <v>822</v>
      </c>
      <c r="D533" s="68" t="s">
        <v>1363</v>
      </c>
      <c r="E533" s="68">
        <v>135334</v>
      </c>
      <c r="F533" s="68" t="s">
        <v>2151</v>
      </c>
      <c r="G533" s="68" t="s">
        <v>794</v>
      </c>
      <c r="H533" s="79"/>
      <c r="I533" s="229">
        <v>372</v>
      </c>
      <c r="J533" s="12" t="s">
        <v>53</v>
      </c>
      <c r="K533" s="97">
        <v>46233</v>
      </c>
      <c r="L533" s="95">
        <v>30</v>
      </c>
      <c r="M533" s="96">
        <v>46259</v>
      </c>
      <c r="N533" s="11">
        <f t="shared" si="16"/>
        <v>26</v>
      </c>
      <c r="O533" s="32" t="str">
        <f t="shared" si="17"/>
        <v>Yes</v>
      </c>
    </row>
    <row r="534" spans="2:15" ht="15" customHeight="1" x14ac:dyDescent="0.4">
      <c r="B534" s="10">
        <v>530</v>
      </c>
      <c r="C534" s="34" t="s">
        <v>822</v>
      </c>
      <c r="D534" s="68" t="s">
        <v>1364</v>
      </c>
      <c r="E534" s="68">
        <v>135334</v>
      </c>
      <c r="F534" s="68" t="s">
        <v>2151</v>
      </c>
      <c r="G534" s="68" t="s">
        <v>794</v>
      </c>
      <c r="H534" s="85"/>
      <c r="I534" s="229">
        <v>264</v>
      </c>
      <c r="J534" s="12" t="s">
        <v>53</v>
      </c>
      <c r="K534" s="97">
        <v>46233</v>
      </c>
      <c r="L534" s="95">
        <v>30</v>
      </c>
      <c r="M534" s="96">
        <v>46259</v>
      </c>
      <c r="N534" s="11">
        <f t="shared" si="16"/>
        <v>26</v>
      </c>
      <c r="O534" s="32" t="str">
        <f t="shared" si="17"/>
        <v>Yes</v>
      </c>
    </row>
    <row r="535" spans="2:15" ht="15" customHeight="1" x14ac:dyDescent="0.4">
      <c r="B535" s="10">
        <v>531</v>
      </c>
      <c r="C535" s="34" t="s">
        <v>822</v>
      </c>
      <c r="D535" s="68" t="s">
        <v>1365</v>
      </c>
      <c r="E535" s="68">
        <v>135334</v>
      </c>
      <c r="F535" s="68" t="s">
        <v>1788</v>
      </c>
      <c r="G535" s="68" t="s">
        <v>794</v>
      </c>
      <c r="H535" s="85"/>
      <c r="I535" s="229">
        <v>264</v>
      </c>
      <c r="J535" s="12" t="s">
        <v>53</v>
      </c>
      <c r="K535" s="97">
        <v>46233</v>
      </c>
      <c r="L535" s="95">
        <v>30</v>
      </c>
      <c r="M535" s="96">
        <v>46259</v>
      </c>
      <c r="N535" s="11">
        <f t="shared" si="16"/>
        <v>26</v>
      </c>
      <c r="O535" s="32" t="str">
        <f t="shared" si="17"/>
        <v>Yes</v>
      </c>
    </row>
    <row r="536" spans="2:15" ht="15" customHeight="1" x14ac:dyDescent="0.4">
      <c r="B536" s="10">
        <v>532</v>
      </c>
      <c r="C536" s="34" t="s">
        <v>822</v>
      </c>
      <c r="D536" s="68" t="s">
        <v>1366</v>
      </c>
      <c r="E536" s="68">
        <v>135334</v>
      </c>
      <c r="F536" s="68" t="s">
        <v>1788</v>
      </c>
      <c r="G536" s="68" t="s">
        <v>794</v>
      </c>
      <c r="H536" s="85"/>
      <c r="I536" s="229">
        <v>264</v>
      </c>
      <c r="J536" s="12" t="s">
        <v>53</v>
      </c>
      <c r="K536" s="97">
        <v>46233</v>
      </c>
      <c r="L536" s="95">
        <v>30</v>
      </c>
      <c r="M536" s="96">
        <v>46259</v>
      </c>
      <c r="N536" s="11">
        <f t="shared" si="16"/>
        <v>26</v>
      </c>
      <c r="O536" s="32" t="str">
        <f t="shared" si="17"/>
        <v>Yes</v>
      </c>
    </row>
    <row r="537" spans="2:15" ht="15" customHeight="1" x14ac:dyDescent="0.4">
      <c r="B537" s="10">
        <v>533</v>
      </c>
      <c r="C537" s="34" t="s">
        <v>822</v>
      </c>
      <c r="D537" s="68" t="s">
        <v>1367</v>
      </c>
      <c r="E537" s="68">
        <v>135334</v>
      </c>
      <c r="F537" s="68" t="s">
        <v>2152</v>
      </c>
      <c r="G537" s="68" t="s">
        <v>794</v>
      </c>
      <c r="H537" s="86"/>
      <c r="I537" s="229">
        <v>372</v>
      </c>
      <c r="J537" s="12" t="s">
        <v>53</v>
      </c>
      <c r="K537" s="97">
        <v>46233</v>
      </c>
      <c r="L537" s="95">
        <v>30</v>
      </c>
      <c r="M537" s="96">
        <v>46259</v>
      </c>
      <c r="N537" s="11">
        <f t="shared" si="16"/>
        <v>26</v>
      </c>
      <c r="O537" s="32" t="str">
        <f t="shared" si="17"/>
        <v>Yes</v>
      </c>
    </row>
    <row r="538" spans="2:15" ht="15" customHeight="1" x14ac:dyDescent="0.4">
      <c r="B538" s="10">
        <v>534</v>
      </c>
      <c r="C538" s="34" t="s">
        <v>822</v>
      </c>
      <c r="D538" s="68" t="s">
        <v>1368</v>
      </c>
      <c r="E538" s="68">
        <v>135334</v>
      </c>
      <c r="F538" s="68" t="s">
        <v>2153</v>
      </c>
      <c r="G538" s="68" t="s">
        <v>794</v>
      </c>
      <c r="H538" s="85"/>
      <c r="I538" s="229">
        <v>372</v>
      </c>
      <c r="J538" s="12" t="s">
        <v>53</v>
      </c>
      <c r="K538" s="97">
        <v>46233</v>
      </c>
      <c r="L538" s="95">
        <v>30</v>
      </c>
      <c r="M538" s="96">
        <v>46259</v>
      </c>
      <c r="N538" s="11">
        <f t="shared" si="16"/>
        <v>26</v>
      </c>
      <c r="O538" s="32" t="str">
        <f t="shared" si="17"/>
        <v>Yes</v>
      </c>
    </row>
    <row r="539" spans="2:15" ht="15" customHeight="1" x14ac:dyDescent="0.4">
      <c r="B539" s="10">
        <v>535</v>
      </c>
      <c r="C539" s="34" t="s">
        <v>822</v>
      </c>
      <c r="D539" s="68" t="s">
        <v>1369</v>
      </c>
      <c r="E539" s="68">
        <v>135334</v>
      </c>
      <c r="F539" s="68" t="s">
        <v>2154</v>
      </c>
      <c r="G539" s="68" t="s">
        <v>794</v>
      </c>
      <c r="H539" s="85"/>
      <c r="I539" s="229">
        <v>36</v>
      </c>
      <c r="J539" s="12" t="s">
        <v>53</v>
      </c>
      <c r="K539" s="97">
        <v>46233</v>
      </c>
      <c r="L539" s="95">
        <v>30</v>
      </c>
      <c r="M539" s="96">
        <v>46259</v>
      </c>
      <c r="N539" s="11">
        <f t="shared" si="16"/>
        <v>26</v>
      </c>
      <c r="O539" s="32" t="str">
        <f t="shared" si="17"/>
        <v>Yes</v>
      </c>
    </row>
    <row r="540" spans="2:15" ht="15" customHeight="1" x14ac:dyDescent="0.4">
      <c r="B540" s="10">
        <v>536</v>
      </c>
      <c r="C540" s="34" t="s">
        <v>822</v>
      </c>
      <c r="D540" s="68" t="s">
        <v>1370</v>
      </c>
      <c r="E540" s="68">
        <v>135334</v>
      </c>
      <c r="F540" s="68" t="s">
        <v>2155</v>
      </c>
      <c r="G540" s="68" t="s">
        <v>794</v>
      </c>
      <c r="H540" s="79"/>
      <c r="I540" s="229">
        <v>372</v>
      </c>
      <c r="J540" s="12" t="s">
        <v>53</v>
      </c>
      <c r="K540" s="97">
        <v>46233</v>
      </c>
      <c r="L540" s="95">
        <v>30</v>
      </c>
      <c r="M540" s="96">
        <v>46259</v>
      </c>
      <c r="N540" s="11">
        <f t="shared" si="16"/>
        <v>26</v>
      </c>
      <c r="O540" s="32" t="str">
        <f t="shared" si="17"/>
        <v>Yes</v>
      </c>
    </row>
    <row r="541" spans="2:15" ht="15" customHeight="1" x14ac:dyDescent="0.35">
      <c r="B541" s="10">
        <v>537</v>
      </c>
      <c r="C541" s="34" t="s">
        <v>822</v>
      </c>
      <c r="D541" s="68" t="s">
        <v>1371</v>
      </c>
      <c r="E541" s="68">
        <v>135334</v>
      </c>
      <c r="F541" s="68" t="s">
        <v>2156</v>
      </c>
      <c r="G541" s="68" t="s">
        <v>794</v>
      </c>
      <c r="H541" s="87"/>
      <c r="I541" s="229">
        <v>372</v>
      </c>
      <c r="J541" s="12" t="s">
        <v>53</v>
      </c>
      <c r="K541" s="97">
        <v>46233</v>
      </c>
      <c r="L541" s="95">
        <v>30</v>
      </c>
      <c r="M541" s="96">
        <v>46259</v>
      </c>
      <c r="N541" s="11">
        <f t="shared" si="16"/>
        <v>26</v>
      </c>
      <c r="O541" s="32" t="str">
        <f t="shared" si="17"/>
        <v>Yes</v>
      </c>
    </row>
    <row r="542" spans="2:15" ht="15" customHeight="1" x14ac:dyDescent="0.35">
      <c r="B542" s="10">
        <v>538</v>
      </c>
      <c r="C542" s="34" t="s">
        <v>822</v>
      </c>
      <c r="D542" s="68" t="s">
        <v>1372</v>
      </c>
      <c r="E542" s="68">
        <v>135334</v>
      </c>
      <c r="F542" s="68" t="s">
        <v>2157</v>
      </c>
      <c r="G542" s="68" t="s">
        <v>794</v>
      </c>
      <c r="H542" s="87"/>
      <c r="I542" s="229">
        <v>264</v>
      </c>
      <c r="J542" s="12" t="s">
        <v>53</v>
      </c>
      <c r="K542" s="97">
        <v>46233</v>
      </c>
      <c r="L542" s="95">
        <v>30</v>
      </c>
      <c r="M542" s="96">
        <v>46259</v>
      </c>
      <c r="N542" s="11">
        <f t="shared" si="16"/>
        <v>26</v>
      </c>
      <c r="O542" s="32" t="str">
        <f t="shared" si="17"/>
        <v>Yes</v>
      </c>
    </row>
    <row r="543" spans="2:15" ht="15" customHeight="1" x14ac:dyDescent="0.35">
      <c r="B543" s="10">
        <v>539</v>
      </c>
      <c r="C543" s="34" t="s">
        <v>822</v>
      </c>
      <c r="D543" s="68" t="s">
        <v>1373</v>
      </c>
      <c r="E543" s="68">
        <v>135334</v>
      </c>
      <c r="F543" s="68" t="s">
        <v>2158</v>
      </c>
      <c r="G543" s="68" t="s">
        <v>794</v>
      </c>
      <c r="H543" s="87"/>
      <c r="I543" s="229">
        <v>72</v>
      </c>
      <c r="J543" s="12" t="s">
        <v>53</v>
      </c>
      <c r="K543" s="97">
        <v>46233</v>
      </c>
      <c r="L543" s="95">
        <v>30</v>
      </c>
      <c r="M543" s="96">
        <v>46259</v>
      </c>
      <c r="N543" s="11">
        <f t="shared" si="16"/>
        <v>26</v>
      </c>
      <c r="O543" s="32" t="str">
        <f t="shared" si="17"/>
        <v>Yes</v>
      </c>
    </row>
    <row r="544" spans="2:15" ht="15" customHeight="1" x14ac:dyDescent="0.35">
      <c r="B544" s="10">
        <v>540</v>
      </c>
      <c r="C544" s="34" t="s">
        <v>822</v>
      </c>
      <c r="D544" s="68" t="s">
        <v>1374</v>
      </c>
      <c r="E544" s="68">
        <v>135334</v>
      </c>
      <c r="F544" s="68" t="s">
        <v>2159</v>
      </c>
      <c r="G544" s="68" t="s">
        <v>794</v>
      </c>
      <c r="H544" s="87"/>
      <c r="I544" s="229">
        <v>264</v>
      </c>
      <c r="J544" s="12" t="s">
        <v>53</v>
      </c>
      <c r="K544" s="97">
        <v>46233</v>
      </c>
      <c r="L544" s="95">
        <v>30</v>
      </c>
      <c r="M544" s="96">
        <v>46259</v>
      </c>
      <c r="N544" s="11">
        <f t="shared" si="16"/>
        <v>26</v>
      </c>
      <c r="O544" s="32" t="str">
        <f t="shared" si="17"/>
        <v>Yes</v>
      </c>
    </row>
    <row r="545" spans="2:15" ht="15" customHeight="1" x14ac:dyDescent="0.35">
      <c r="B545" s="10">
        <v>541</v>
      </c>
      <c r="C545" s="34" t="s">
        <v>822</v>
      </c>
      <c r="D545" s="68" t="s">
        <v>1375</v>
      </c>
      <c r="E545" s="68">
        <v>135334</v>
      </c>
      <c r="F545" s="68" t="s">
        <v>2159</v>
      </c>
      <c r="G545" s="68" t="s">
        <v>794</v>
      </c>
      <c r="H545" s="87"/>
      <c r="I545" s="229">
        <v>72</v>
      </c>
      <c r="J545" s="12" t="s">
        <v>53</v>
      </c>
      <c r="K545" s="97">
        <v>46233</v>
      </c>
      <c r="L545" s="95">
        <v>30</v>
      </c>
      <c r="M545" s="96">
        <v>46259</v>
      </c>
      <c r="N545" s="11">
        <f t="shared" si="16"/>
        <v>26</v>
      </c>
      <c r="O545" s="32" t="str">
        <f t="shared" si="17"/>
        <v>Yes</v>
      </c>
    </row>
    <row r="546" spans="2:15" ht="15" customHeight="1" x14ac:dyDescent="0.35">
      <c r="B546" s="10">
        <v>542</v>
      </c>
      <c r="C546" s="34" t="s">
        <v>822</v>
      </c>
      <c r="D546" s="68" t="s">
        <v>1376</v>
      </c>
      <c r="E546" s="68">
        <v>135334</v>
      </c>
      <c r="F546" s="68" t="s">
        <v>1783</v>
      </c>
      <c r="G546" s="68" t="s">
        <v>794</v>
      </c>
      <c r="H546" s="87"/>
      <c r="I546" s="229">
        <v>850</v>
      </c>
      <c r="J546" s="12" t="s">
        <v>53</v>
      </c>
      <c r="K546" s="97">
        <v>46233</v>
      </c>
      <c r="L546" s="95">
        <v>30</v>
      </c>
      <c r="M546" s="96">
        <v>46259</v>
      </c>
      <c r="N546" s="11">
        <f t="shared" si="16"/>
        <v>26</v>
      </c>
      <c r="O546" s="32" t="str">
        <f t="shared" si="17"/>
        <v>Yes</v>
      </c>
    </row>
    <row r="547" spans="2:15" ht="15" customHeight="1" x14ac:dyDescent="0.35">
      <c r="B547" s="10">
        <v>543</v>
      </c>
      <c r="C547" s="34" t="s">
        <v>822</v>
      </c>
      <c r="D547" s="68" t="s">
        <v>1377</v>
      </c>
      <c r="E547" s="68">
        <v>135334</v>
      </c>
      <c r="F547" s="68" t="s">
        <v>2160</v>
      </c>
      <c r="G547" s="68" t="s">
        <v>794</v>
      </c>
      <c r="H547" s="87"/>
      <c r="I547" s="229">
        <v>264</v>
      </c>
      <c r="J547" s="12" t="s">
        <v>53</v>
      </c>
      <c r="K547" s="97">
        <v>46233</v>
      </c>
      <c r="L547" s="95">
        <v>30</v>
      </c>
      <c r="M547" s="96">
        <v>46259</v>
      </c>
      <c r="N547" s="11">
        <f t="shared" si="16"/>
        <v>26</v>
      </c>
      <c r="O547" s="32" t="str">
        <f t="shared" si="17"/>
        <v>Yes</v>
      </c>
    </row>
    <row r="548" spans="2:15" ht="15" customHeight="1" x14ac:dyDescent="0.35">
      <c r="B548" s="10">
        <v>544</v>
      </c>
      <c r="C548" s="34" t="s">
        <v>822</v>
      </c>
      <c r="D548" s="68" t="s">
        <v>1378</v>
      </c>
      <c r="E548" s="68">
        <v>135943</v>
      </c>
      <c r="F548" s="68" t="s">
        <v>2161</v>
      </c>
      <c r="G548" s="68" t="s">
        <v>653</v>
      </c>
      <c r="H548" s="87"/>
      <c r="I548" s="229">
        <v>28125</v>
      </c>
      <c r="J548" s="12" t="s">
        <v>53</v>
      </c>
      <c r="K548" s="97">
        <v>46245</v>
      </c>
      <c r="L548" s="95">
        <v>30</v>
      </c>
      <c r="M548" s="96">
        <v>46255</v>
      </c>
      <c r="N548" s="11">
        <f t="shared" si="16"/>
        <v>10</v>
      </c>
      <c r="O548" s="32" t="str">
        <f t="shared" si="17"/>
        <v>Yes</v>
      </c>
    </row>
    <row r="549" spans="2:15" ht="15" customHeight="1" x14ac:dyDescent="0.35">
      <c r="B549" s="10">
        <v>545</v>
      </c>
      <c r="C549" s="34" t="s">
        <v>822</v>
      </c>
      <c r="D549" s="68" t="s">
        <v>1379</v>
      </c>
      <c r="E549" s="68">
        <v>135942</v>
      </c>
      <c r="F549" s="68" t="s">
        <v>2162</v>
      </c>
      <c r="G549" s="68" t="s">
        <v>653</v>
      </c>
      <c r="H549" s="87"/>
      <c r="I549" s="229">
        <v>28125</v>
      </c>
      <c r="J549" s="12" t="s">
        <v>53</v>
      </c>
      <c r="K549" s="97">
        <v>46245</v>
      </c>
      <c r="L549" s="95">
        <v>30</v>
      </c>
      <c r="M549" s="96">
        <v>46255</v>
      </c>
      <c r="N549" s="11">
        <f t="shared" si="16"/>
        <v>10</v>
      </c>
      <c r="O549" s="32" t="str">
        <f t="shared" si="17"/>
        <v>Yes</v>
      </c>
    </row>
    <row r="550" spans="2:15" ht="15" customHeight="1" x14ac:dyDescent="0.35">
      <c r="B550" s="10">
        <v>546</v>
      </c>
      <c r="C550" s="34" t="s">
        <v>822</v>
      </c>
      <c r="D550" s="68" t="s">
        <v>1380</v>
      </c>
      <c r="E550" s="68">
        <v>135806</v>
      </c>
      <c r="F550" s="68" t="s">
        <v>2163</v>
      </c>
      <c r="G550" s="68" t="s">
        <v>2551</v>
      </c>
      <c r="H550" s="87"/>
      <c r="I550" s="229">
        <v>1041.6666666666667</v>
      </c>
      <c r="J550" s="12" t="s">
        <v>53</v>
      </c>
      <c r="K550" s="97">
        <v>46224</v>
      </c>
      <c r="L550" s="95">
        <v>30</v>
      </c>
      <c r="M550" s="96">
        <v>46254</v>
      </c>
      <c r="N550" s="11">
        <f t="shared" si="16"/>
        <v>30</v>
      </c>
      <c r="O550" s="32" t="str">
        <f t="shared" si="17"/>
        <v>Yes</v>
      </c>
    </row>
    <row r="551" spans="2:15" ht="15" customHeight="1" x14ac:dyDescent="0.35">
      <c r="B551" s="10">
        <v>547</v>
      </c>
      <c r="C551" s="34" t="s">
        <v>822</v>
      </c>
      <c r="D551" s="68" t="s">
        <v>1381</v>
      </c>
      <c r="E551" s="68">
        <v>134820</v>
      </c>
      <c r="F551" s="68" t="s">
        <v>2164</v>
      </c>
      <c r="G551" s="68" t="s">
        <v>2552</v>
      </c>
      <c r="H551" s="87"/>
      <c r="I551" s="229">
        <v>333.33333333333331</v>
      </c>
      <c r="J551" s="12" t="s">
        <v>53</v>
      </c>
      <c r="K551" s="97">
        <v>46219</v>
      </c>
      <c r="L551" s="95">
        <v>30</v>
      </c>
      <c r="M551" s="96">
        <v>46254</v>
      </c>
      <c r="N551" s="11">
        <f t="shared" si="16"/>
        <v>35</v>
      </c>
      <c r="O551" s="32" t="str">
        <f t="shared" si="17"/>
        <v>No</v>
      </c>
    </row>
    <row r="552" spans="2:15" ht="15" customHeight="1" x14ac:dyDescent="0.4">
      <c r="B552" s="10">
        <v>548</v>
      </c>
      <c r="C552" s="34" t="s">
        <v>822</v>
      </c>
      <c r="D552" s="68" t="s">
        <v>1382</v>
      </c>
      <c r="E552" s="68">
        <v>135153</v>
      </c>
      <c r="F552" s="68" t="s">
        <v>2165</v>
      </c>
      <c r="G552" s="68" t="s">
        <v>727</v>
      </c>
      <c r="H552" s="79"/>
      <c r="I552" s="229">
        <v>3312.5</v>
      </c>
      <c r="J552" s="12" t="s">
        <v>53</v>
      </c>
      <c r="K552" s="97">
        <v>46205</v>
      </c>
      <c r="L552" s="95">
        <v>30</v>
      </c>
      <c r="M552" s="96">
        <v>46232</v>
      </c>
      <c r="N552" s="11">
        <f t="shared" si="16"/>
        <v>27</v>
      </c>
      <c r="O552" s="32" t="str">
        <f t="shared" si="17"/>
        <v>Yes</v>
      </c>
    </row>
    <row r="553" spans="2:15" ht="15" customHeight="1" x14ac:dyDescent="0.35">
      <c r="B553" s="10">
        <v>549</v>
      </c>
      <c r="C553" s="34" t="s">
        <v>822</v>
      </c>
      <c r="D553" s="68" t="s">
        <v>1383</v>
      </c>
      <c r="E553" s="68">
        <v>134733</v>
      </c>
      <c r="F553" s="68" t="s">
        <v>2166</v>
      </c>
      <c r="G553" s="68" t="s">
        <v>2553</v>
      </c>
      <c r="H553" s="87"/>
      <c r="I553" s="229">
        <v>416.66666666666669</v>
      </c>
      <c r="J553" s="12" t="s">
        <v>53</v>
      </c>
      <c r="K553" s="97">
        <v>46227</v>
      </c>
      <c r="L553" s="95">
        <v>30</v>
      </c>
      <c r="M553" s="96">
        <v>46256</v>
      </c>
      <c r="N553" s="11">
        <f t="shared" si="16"/>
        <v>29</v>
      </c>
      <c r="O553" s="32" t="str">
        <f t="shared" si="17"/>
        <v>Yes</v>
      </c>
    </row>
    <row r="554" spans="2:15" ht="15" customHeight="1" x14ac:dyDescent="0.35">
      <c r="B554" s="10">
        <v>550</v>
      </c>
      <c r="C554" s="34" t="s">
        <v>822</v>
      </c>
      <c r="D554" s="68" t="s">
        <v>1384</v>
      </c>
      <c r="E554" s="68">
        <v>131547</v>
      </c>
      <c r="F554" s="68" t="s">
        <v>2167</v>
      </c>
      <c r="G554" s="68" t="s">
        <v>608</v>
      </c>
      <c r="H554" s="87"/>
      <c r="I554" s="229">
        <v>177.5</v>
      </c>
      <c r="J554" s="12" t="s">
        <v>53</v>
      </c>
      <c r="K554" s="97">
        <v>46227</v>
      </c>
      <c r="L554" s="95">
        <v>30</v>
      </c>
      <c r="M554" s="96">
        <v>46256</v>
      </c>
      <c r="N554" s="11">
        <f t="shared" si="16"/>
        <v>29</v>
      </c>
      <c r="O554" s="32" t="str">
        <f t="shared" si="17"/>
        <v>Yes</v>
      </c>
    </row>
    <row r="555" spans="2:15" ht="15" customHeight="1" x14ac:dyDescent="0.35">
      <c r="B555" s="10">
        <v>551</v>
      </c>
      <c r="C555" s="34" t="s">
        <v>822</v>
      </c>
      <c r="D555" s="68" t="s">
        <v>1385</v>
      </c>
      <c r="E555" s="68">
        <v>130995</v>
      </c>
      <c r="F555" s="68" t="s">
        <v>2168</v>
      </c>
      <c r="G555" s="68" t="s">
        <v>608</v>
      </c>
      <c r="H555" s="87"/>
      <c r="I555" s="229">
        <v>130</v>
      </c>
      <c r="J555" s="12" t="s">
        <v>53</v>
      </c>
      <c r="K555" s="97">
        <v>46227</v>
      </c>
      <c r="L555" s="95">
        <v>30</v>
      </c>
      <c r="M555" s="96">
        <v>46256</v>
      </c>
      <c r="N555" s="11">
        <f t="shared" si="16"/>
        <v>29</v>
      </c>
      <c r="O555" s="32" t="str">
        <f t="shared" si="17"/>
        <v>Yes</v>
      </c>
    </row>
    <row r="556" spans="2:15" ht="15" customHeight="1" x14ac:dyDescent="0.35">
      <c r="B556" s="10">
        <v>552</v>
      </c>
      <c r="C556" s="34" t="s">
        <v>822</v>
      </c>
      <c r="D556" s="68" t="s">
        <v>1386</v>
      </c>
      <c r="E556" s="68">
        <v>131036</v>
      </c>
      <c r="F556" s="68" t="s">
        <v>2169</v>
      </c>
      <c r="G556" s="68" t="s">
        <v>608</v>
      </c>
      <c r="H556" s="87"/>
      <c r="I556" s="229">
        <v>154.375</v>
      </c>
      <c r="J556" s="12" t="s">
        <v>53</v>
      </c>
      <c r="K556" s="97">
        <v>46227</v>
      </c>
      <c r="L556" s="95">
        <v>30</v>
      </c>
      <c r="M556" s="96">
        <v>46256</v>
      </c>
      <c r="N556" s="11">
        <f t="shared" si="16"/>
        <v>29</v>
      </c>
      <c r="O556" s="32" t="str">
        <f t="shared" si="17"/>
        <v>Yes</v>
      </c>
    </row>
    <row r="557" spans="2:15" ht="15" customHeight="1" x14ac:dyDescent="0.35">
      <c r="B557" s="10">
        <v>553</v>
      </c>
      <c r="C557" s="34" t="s">
        <v>822</v>
      </c>
      <c r="D557" s="68" t="s">
        <v>1387</v>
      </c>
      <c r="E557" s="68">
        <v>132287</v>
      </c>
      <c r="F557" s="68" t="s">
        <v>2170</v>
      </c>
      <c r="G557" s="68" t="s">
        <v>608</v>
      </c>
      <c r="H557" s="87"/>
      <c r="I557" s="229">
        <v>1155</v>
      </c>
      <c r="J557" s="12" t="s">
        <v>53</v>
      </c>
      <c r="K557" s="97">
        <v>46227</v>
      </c>
      <c r="L557" s="95">
        <v>30</v>
      </c>
      <c r="M557" s="96">
        <v>46256</v>
      </c>
      <c r="N557" s="11">
        <f t="shared" si="16"/>
        <v>29</v>
      </c>
      <c r="O557" s="32" t="str">
        <f t="shared" si="17"/>
        <v>Yes</v>
      </c>
    </row>
    <row r="558" spans="2:15" ht="15" customHeight="1" x14ac:dyDescent="0.35">
      <c r="B558" s="10">
        <v>554</v>
      </c>
      <c r="C558" s="34" t="s">
        <v>822</v>
      </c>
      <c r="D558" s="68" t="s">
        <v>1388</v>
      </c>
      <c r="E558" s="68">
        <v>130994</v>
      </c>
      <c r="F558" s="68" t="s">
        <v>2171</v>
      </c>
      <c r="G558" s="68" t="s">
        <v>608</v>
      </c>
      <c r="H558" s="87"/>
      <c r="I558" s="229">
        <v>127.5</v>
      </c>
      <c r="J558" s="12" t="s">
        <v>53</v>
      </c>
      <c r="K558" s="97">
        <v>46227</v>
      </c>
      <c r="L558" s="95">
        <v>30</v>
      </c>
      <c r="M558" s="96">
        <v>46256</v>
      </c>
      <c r="N558" s="11">
        <f t="shared" si="16"/>
        <v>29</v>
      </c>
      <c r="O558" s="32" t="str">
        <f t="shared" si="17"/>
        <v>Yes</v>
      </c>
    </row>
    <row r="559" spans="2:15" ht="15" customHeight="1" x14ac:dyDescent="0.35">
      <c r="B559" s="10">
        <v>555</v>
      </c>
      <c r="C559" s="34" t="s">
        <v>822</v>
      </c>
      <c r="D559" s="68" t="s">
        <v>1389</v>
      </c>
      <c r="E559" s="68">
        <v>134410</v>
      </c>
      <c r="F559" s="68" t="s">
        <v>2172</v>
      </c>
      <c r="G559" s="68" t="s">
        <v>608</v>
      </c>
      <c r="H559" s="87"/>
      <c r="I559" s="229">
        <v>60</v>
      </c>
      <c r="J559" s="12" t="s">
        <v>53</v>
      </c>
      <c r="K559" s="97">
        <v>46230</v>
      </c>
      <c r="L559" s="95">
        <v>30</v>
      </c>
      <c r="M559" s="96">
        <v>46256</v>
      </c>
      <c r="N559" s="11">
        <f t="shared" si="16"/>
        <v>26</v>
      </c>
      <c r="O559" s="32" t="str">
        <f t="shared" si="17"/>
        <v>Yes</v>
      </c>
    </row>
    <row r="560" spans="2:15" ht="15" customHeight="1" x14ac:dyDescent="0.35">
      <c r="B560" s="10">
        <v>556</v>
      </c>
      <c r="C560" s="34" t="s">
        <v>822</v>
      </c>
      <c r="D560" s="73" t="s">
        <v>1390</v>
      </c>
      <c r="E560" s="68">
        <v>131770</v>
      </c>
      <c r="F560" s="68" t="s">
        <v>2173</v>
      </c>
      <c r="G560" s="68" t="s">
        <v>608</v>
      </c>
      <c r="H560" s="87"/>
      <c r="I560" s="229">
        <v>40</v>
      </c>
      <c r="J560" s="12" t="s">
        <v>53</v>
      </c>
      <c r="K560" s="97">
        <v>46227</v>
      </c>
      <c r="L560" s="95">
        <v>30</v>
      </c>
      <c r="M560" s="96">
        <v>46256</v>
      </c>
      <c r="N560" s="11">
        <f t="shared" si="16"/>
        <v>29</v>
      </c>
      <c r="O560" s="32" t="str">
        <f t="shared" si="17"/>
        <v>Yes</v>
      </c>
    </row>
    <row r="561" spans="2:15" ht="15" customHeight="1" x14ac:dyDescent="0.35">
      <c r="B561" s="10">
        <v>557</v>
      </c>
      <c r="C561" s="34" t="s">
        <v>822</v>
      </c>
      <c r="D561" s="73" t="s">
        <v>1391</v>
      </c>
      <c r="E561" s="68">
        <v>131769</v>
      </c>
      <c r="F561" s="68" t="s">
        <v>2174</v>
      </c>
      <c r="G561" s="68" t="s">
        <v>608</v>
      </c>
      <c r="H561" s="87"/>
      <c r="I561" s="229">
        <v>157.5</v>
      </c>
      <c r="J561" s="12" t="s">
        <v>53</v>
      </c>
      <c r="K561" s="97">
        <v>46227</v>
      </c>
      <c r="L561" s="95">
        <v>30</v>
      </c>
      <c r="M561" s="96">
        <v>46256</v>
      </c>
      <c r="N561" s="11">
        <f t="shared" si="16"/>
        <v>29</v>
      </c>
      <c r="O561" s="32" t="str">
        <f t="shared" si="17"/>
        <v>Yes</v>
      </c>
    </row>
    <row r="562" spans="2:15" ht="15" customHeight="1" x14ac:dyDescent="0.35">
      <c r="B562" s="10">
        <v>558</v>
      </c>
      <c r="C562" s="34" t="s">
        <v>822</v>
      </c>
      <c r="D562" s="73" t="s">
        <v>1392</v>
      </c>
      <c r="E562" s="68">
        <v>131769</v>
      </c>
      <c r="F562" s="68" t="s">
        <v>2175</v>
      </c>
      <c r="G562" s="68" t="s">
        <v>608</v>
      </c>
      <c r="H562" s="87"/>
      <c r="I562" s="229">
        <v>300</v>
      </c>
      <c r="J562" s="12" t="s">
        <v>53</v>
      </c>
      <c r="K562" s="97">
        <v>46227</v>
      </c>
      <c r="L562" s="95">
        <v>30</v>
      </c>
      <c r="M562" s="96">
        <v>46256</v>
      </c>
      <c r="N562" s="11">
        <f t="shared" si="16"/>
        <v>29</v>
      </c>
      <c r="O562" s="32" t="str">
        <f t="shared" si="17"/>
        <v>Yes</v>
      </c>
    </row>
    <row r="563" spans="2:15" ht="15" customHeight="1" x14ac:dyDescent="0.35">
      <c r="B563" s="10">
        <v>559</v>
      </c>
      <c r="C563" s="34" t="s">
        <v>822</v>
      </c>
      <c r="D563" s="73" t="s">
        <v>1393</v>
      </c>
      <c r="E563" s="68">
        <v>131769</v>
      </c>
      <c r="F563" s="68" t="s">
        <v>2176</v>
      </c>
      <c r="G563" s="68" t="s">
        <v>608</v>
      </c>
      <c r="H563" s="87"/>
      <c r="I563" s="229">
        <v>342.5</v>
      </c>
      <c r="J563" s="12" t="s">
        <v>53</v>
      </c>
      <c r="K563" s="97">
        <v>46227</v>
      </c>
      <c r="L563" s="95">
        <v>30</v>
      </c>
      <c r="M563" s="96">
        <v>46256</v>
      </c>
      <c r="N563" s="11">
        <f t="shared" si="16"/>
        <v>29</v>
      </c>
      <c r="O563" s="32" t="str">
        <f t="shared" si="17"/>
        <v>Yes</v>
      </c>
    </row>
    <row r="564" spans="2:15" ht="15" customHeight="1" thickBot="1" x14ac:dyDescent="0.4">
      <c r="B564" s="10">
        <v>560</v>
      </c>
      <c r="C564" s="34" t="s">
        <v>822</v>
      </c>
      <c r="D564" s="73" t="s">
        <v>1394</v>
      </c>
      <c r="E564" s="68">
        <v>131770</v>
      </c>
      <c r="F564" s="68" t="s">
        <v>2177</v>
      </c>
      <c r="G564" s="68" t="s">
        <v>608</v>
      </c>
      <c r="H564" s="87"/>
      <c r="I564" s="229">
        <v>160</v>
      </c>
      <c r="J564" s="12" t="s">
        <v>53</v>
      </c>
      <c r="K564" s="97">
        <v>46227</v>
      </c>
      <c r="L564" s="95">
        <v>30</v>
      </c>
      <c r="M564" s="96">
        <v>46256</v>
      </c>
      <c r="N564" s="11">
        <f t="shared" si="16"/>
        <v>29</v>
      </c>
      <c r="O564" s="32" t="str">
        <f t="shared" si="17"/>
        <v>Yes</v>
      </c>
    </row>
    <row r="565" spans="2:15" ht="15" customHeight="1" thickBot="1" x14ac:dyDescent="0.4">
      <c r="B565" s="10">
        <v>561</v>
      </c>
      <c r="C565" s="34" t="s">
        <v>822</v>
      </c>
      <c r="D565" s="68" t="s">
        <v>1395</v>
      </c>
      <c r="E565" s="68">
        <v>131770</v>
      </c>
      <c r="F565" s="68" t="s">
        <v>2178</v>
      </c>
      <c r="G565" s="68" t="s">
        <v>608</v>
      </c>
      <c r="H565" s="80"/>
      <c r="I565" s="229">
        <v>165</v>
      </c>
      <c r="J565" s="12" t="s">
        <v>53</v>
      </c>
      <c r="K565" s="98">
        <v>46227</v>
      </c>
      <c r="L565" s="95">
        <v>30</v>
      </c>
      <c r="M565" s="96">
        <v>46256</v>
      </c>
      <c r="N565" s="11">
        <f t="shared" si="16"/>
        <v>29</v>
      </c>
      <c r="O565" s="32" t="str">
        <f t="shared" si="17"/>
        <v>Yes</v>
      </c>
    </row>
    <row r="566" spans="2:15" ht="15" customHeight="1" x14ac:dyDescent="0.35">
      <c r="B566" s="10">
        <v>562</v>
      </c>
      <c r="C566" s="34" t="s">
        <v>822</v>
      </c>
      <c r="D566" s="68" t="s">
        <v>1396</v>
      </c>
      <c r="E566" s="68">
        <v>131770</v>
      </c>
      <c r="F566" s="68" t="s">
        <v>2179</v>
      </c>
      <c r="G566" s="68" t="s">
        <v>608</v>
      </c>
      <c r="H566" s="87"/>
      <c r="I566" s="229">
        <v>160</v>
      </c>
      <c r="J566" s="12" t="s">
        <v>53</v>
      </c>
      <c r="K566" s="97">
        <v>46227</v>
      </c>
      <c r="L566" s="95">
        <v>30</v>
      </c>
      <c r="M566" s="96">
        <v>46256</v>
      </c>
      <c r="N566" s="11">
        <f t="shared" si="16"/>
        <v>29</v>
      </c>
      <c r="O566" s="32" t="str">
        <f t="shared" si="17"/>
        <v>Yes</v>
      </c>
    </row>
    <row r="567" spans="2:15" ht="15" customHeight="1" x14ac:dyDescent="0.35">
      <c r="B567" s="10">
        <v>563</v>
      </c>
      <c r="C567" s="34" t="s">
        <v>822</v>
      </c>
      <c r="D567" s="68" t="s">
        <v>1397</v>
      </c>
      <c r="E567" s="68">
        <v>131770</v>
      </c>
      <c r="F567" s="68" t="s">
        <v>2180</v>
      </c>
      <c r="G567" s="68" t="s">
        <v>608</v>
      </c>
      <c r="H567" s="88"/>
      <c r="I567" s="229">
        <v>240</v>
      </c>
      <c r="J567" s="12" t="s">
        <v>53</v>
      </c>
      <c r="K567" s="97">
        <v>46227</v>
      </c>
      <c r="L567" s="95">
        <v>30</v>
      </c>
      <c r="M567" s="96">
        <v>46256</v>
      </c>
      <c r="N567" s="11">
        <f t="shared" si="16"/>
        <v>29</v>
      </c>
      <c r="O567" s="32" t="str">
        <f t="shared" si="17"/>
        <v>Yes</v>
      </c>
    </row>
    <row r="568" spans="2:15" ht="15" customHeight="1" x14ac:dyDescent="0.4">
      <c r="B568" s="10">
        <v>564</v>
      </c>
      <c r="C568" s="34" t="s">
        <v>822</v>
      </c>
      <c r="D568" s="68" t="s">
        <v>1398</v>
      </c>
      <c r="E568" s="68">
        <v>131771</v>
      </c>
      <c r="F568" s="68" t="s">
        <v>2181</v>
      </c>
      <c r="G568" s="68" t="s">
        <v>608</v>
      </c>
      <c r="H568" s="89"/>
      <c r="I568" s="229">
        <v>97.5</v>
      </c>
      <c r="J568" s="12" t="s">
        <v>53</v>
      </c>
      <c r="K568" s="97">
        <v>46227</v>
      </c>
      <c r="L568" s="95">
        <v>30</v>
      </c>
      <c r="M568" s="96">
        <v>46256</v>
      </c>
      <c r="N568" s="11">
        <f t="shared" si="16"/>
        <v>29</v>
      </c>
      <c r="O568" s="32" t="str">
        <f t="shared" si="17"/>
        <v>Yes</v>
      </c>
    </row>
    <row r="569" spans="2:15" ht="27" customHeight="1" x14ac:dyDescent="0.4">
      <c r="B569" s="10">
        <v>565</v>
      </c>
      <c r="C569" s="34" t="s">
        <v>822</v>
      </c>
      <c r="D569" s="68" t="s">
        <v>1399</v>
      </c>
      <c r="E569" s="68">
        <v>132087</v>
      </c>
      <c r="F569" s="68" t="s">
        <v>2182</v>
      </c>
      <c r="G569" s="68" t="s">
        <v>608</v>
      </c>
      <c r="H569" s="79"/>
      <c r="I569" s="229">
        <v>120</v>
      </c>
      <c r="J569" s="12" t="s">
        <v>53</v>
      </c>
      <c r="K569" s="97">
        <v>46227</v>
      </c>
      <c r="L569" s="95">
        <v>30</v>
      </c>
      <c r="M569" s="96">
        <v>46256</v>
      </c>
      <c r="N569" s="11">
        <f t="shared" si="16"/>
        <v>29</v>
      </c>
      <c r="O569" s="32" t="str">
        <f t="shared" si="17"/>
        <v>Yes</v>
      </c>
    </row>
    <row r="570" spans="2:15" ht="15" customHeight="1" x14ac:dyDescent="0.35">
      <c r="B570" s="10">
        <v>566</v>
      </c>
      <c r="C570" s="34" t="s">
        <v>822</v>
      </c>
      <c r="D570" s="68" t="s">
        <v>1400</v>
      </c>
      <c r="E570" s="68">
        <v>133027</v>
      </c>
      <c r="F570" s="68" t="s">
        <v>2183</v>
      </c>
      <c r="G570" s="68" t="s">
        <v>608</v>
      </c>
      <c r="H570" s="90"/>
      <c r="I570" s="229">
        <v>40</v>
      </c>
      <c r="J570" s="12" t="s">
        <v>53</v>
      </c>
      <c r="K570" s="97">
        <v>46230</v>
      </c>
      <c r="L570" s="95">
        <v>30</v>
      </c>
      <c r="M570" s="96">
        <v>46256</v>
      </c>
      <c r="N570" s="11">
        <f t="shared" si="16"/>
        <v>26</v>
      </c>
      <c r="O570" s="32" t="str">
        <f t="shared" si="17"/>
        <v>Yes</v>
      </c>
    </row>
    <row r="571" spans="2:15" ht="15" customHeight="1" x14ac:dyDescent="0.4">
      <c r="B571" s="10">
        <v>567</v>
      </c>
      <c r="C571" s="34" t="s">
        <v>822</v>
      </c>
      <c r="D571" s="68" t="s">
        <v>1401</v>
      </c>
      <c r="E571" s="68">
        <v>132087</v>
      </c>
      <c r="F571" s="68" t="s">
        <v>2184</v>
      </c>
      <c r="G571" s="68" t="s">
        <v>608</v>
      </c>
      <c r="H571" s="79"/>
      <c r="I571" s="229">
        <v>160</v>
      </c>
      <c r="J571" s="12" t="s">
        <v>53</v>
      </c>
      <c r="K571" s="97">
        <v>46227</v>
      </c>
      <c r="L571" s="95">
        <v>30</v>
      </c>
      <c r="M571" s="96">
        <v>46256</v>
      </c>
      <c r="N571" s="11">
        <f t="shared" si="16"/>
        <v>29</v>
      </c>
      <c r="O571" s="32" t="str">
        <f t="shared" si="17"/>
        <v>Yes</v>
      </c>
    </row>
    <row r="572" spans="2:15" ht="15" customHeight="1" x14ac:dyDescent="0.4">
      <c r="B572" s="10">
        <v>568</v>
      </c>
      <c r="C572" s="34" t="s">
        <v>822</v>
      </c>
      <c r="D572" s="68" t="s">
        <v>1402</v>
      </c>
      <c r="E572" s="68">
        <v>132087</v>
      </c>
      <c r="F572" s="68" t="s">
        <v>2185</v>
      </c>
      <c r="G572" s="68" t="s">
        <v>608</v>
      </c>
      <c r="H572" s="79"/>
      <c r="I572" s="229">
        <v>232.5</v>
      </c>
      <c r="J572" s="12" t="s">
        <v>53</v>
      </c>
      <c r="K572" s="97">
        <v>46227</v>
      </c>
      <c r="L572" s="95">
        <v>30</v>
      </c>
      <c r="M572" s="96">
        <v>46256</v>
      </c>
      <c r="N572" s="11">
        <f t="shared" si="16"/>
        <v>29</v>
      </c>
      <c r="O572" s="32" t="str">
        <f t="shared" si="17"/>
        <v>Yes</v>
      </c>
    </row>
    <row r="573" spans="2:15" ht="15" customHeight="1" x14ac:dyDescent="0.4">
      <c r="B573" s="10">
        <v>569</v>
      </c>
      <c r="C573" s="34" t="s">
        <v>822</v>
      </c>
      <c r="D573" s="68" t="s">
        <v>1403</v>
      </c>
      <c r="E573" s="68">
        <v>132087</v>
      </c>
      <c r="F573" s="68" t="s">
        <v>2186</v>
      </c>
      <c r="G573" s="68" t="s">
        <v>608</v>
      </c>
      <c r="H573" s="79"/>
      <c r="I573" s="229">
        <v>220</v>
      </c>
      <c r="J573" s="12" t="s">
        <v>53</v>
      </c>
      <c r="K573" s="97">
        <v>46227</v>
      </c>
      <c r="L573" s="95">
        <v>30</v>
      </c>
      <c r="M573" s="96">
        <v>46256</v>
      </c>
      <c r="N573" s="11">
        <f t="shared" si="16"/>
        <v>29</v>
      </c>
      <c r="O573" s="32" t="str">
        <f t="shared" si="17"/>
        <v>Yes</v>
      </c>
    </row>
    <row r="574" spans="2:15" ht="15" customHeight="1" x14ac:dyDescent="0.4">
      <c r="B574" s="10">
        <v>570</v>
      </c>
      <c r="C574" s="34" t="s">
        <v>822</v>
      </c>
      <c r="D574" s="68" t="s">
        <v>1404</v>
      </c>
      <c r="E574" s="68">
        <v>133026</v>
      </c>
      <c r="F574" s="68" t="s">
        <v>2187</v>
      </c>
      <c r="G574" s="68" t="s">
        <v>608</v>
      </c>
      <c r="H574" s="79"/>
      <c r="I574" s="229">
        <v>100</v>
      </c>
      <c r="J574" s="12" t="s">
        <v>53</v>
      </c>
      <c r="K574" s="97">
        <v>46230</v>
      </c>
      <c r="L574" s="95">
        <v>30</v>
      </c>
      <c r="M574" s="96">
        <v>46256</v>
      </c>
      <c r="N574" s="11">
        <f t="shared" si="16"/>
        <v>26</v>
      </c>
      <c r="O574" s="32" t="str">
        <f t="shared" si="17"/>
        <v>Yes</v>
      </c>
    </row>
    <row r="575" spans="2:15" ht="15" customHeight="1" x14ac:dyDescent="0.4">
      <c r="B575" s="10">
        <v>571</v>
      </c>
      <c r="C575" s="34" t="s">
        <v>822</v>
      </c>
      <c r="D575" s="68" t="s">
        <v>1405</v>
      </c>
      <c r="E575" s="68">
        <v>133026</v>
      </c>
      <c r="F575" s="68" t="s">
        <v>2188</v>
      </c>
      <c r="G575" s="68" t="s">
        <v>608</v>
      </c>
      <c r="H575" s="79"/>
      <c r="I575" s="229">
        <v>180</v>
      </c>
      <c r="J575" s="12" t="s">
        <v>53</v>
      </c>
      <c r="K575" s="97">
        <v>46230</v>
      </c>
      <c r="L575" s="95">
        <v>30</v>
      </c>
      <c r="M575" s="96">
        <v>46256</v>
      </c>
      <c r="N575" s="11">
        <f t="shared" si="16"/>
        <v>26</v>
      </c>
      <c r="O575" s="32" t="str">
        <f t="shared" si="17"/>
        <v>Yes</v>
      </c>
    </row>
    <row r="576" spans="2:15" ht="15" customHeight="1" x14ac:dyDescent="0.4">
      <c r="B576" s="10">
        <v>572</v>
      </c>
      <c r="C576" s="34" t="s">
        <v>822</v>
      </c>
      <c r="D576" s="68" t="s">
        <v>1406</v>
      </c>
      <c r="E576" s="68">
        <v>133026</v>
      </c>
      <c r="F576" s="68" t="s">
        <v>2189</v>
      </c>
      <c r="G576" s="68" t="s">
        <v>608</v>
      </c>
      <c r="H576" s="79"/>
      <c r="I576" s="229">
        <v>140</v>
      </c>
      <c r="J576" s="12" t="s">
        <v>53</v>
      </c>
      <c r="K576" s="97">
        <v>46230</v>
      </c>
      <c r="L576" s="95">
        <v>30</v>
      </c>
      <c r="M576" s="96">
        <v>46256</v>
      </c>
      <c r="N576" s="11">
        <f t="shared" si="16"/>
        <v>26</v>
      </c>
      <c r="O576" s="32" t="str">
        <f t="shared" si="17"/>
        <v>Yes</v>
      </c>
    </row>
    <row r="577" spans="2:15" ht="15" customHeight="1" x14ac:dyDescent="0.4">
      <c r="B577" s="10">
        <v>573</v>
      </c>
      <c r="C577" s="34" t="s">
        <v>822</v>
      </c>
      <c r="D577" s="68" t="s">
        <v>1407</v>
      </c>
      <c r="E577" s="68">
        <v>133027</v>
      </c>
      <c r="F577" s="68" t="s">
        <v>2190</v>
      </c>
      <c r="G577" s="68" t="s">
        <v>608</v>
      </c>
      <c r="H577" s="79"/>
      <c r="I577" s="229">
        <v>160</v>
      </c>
      <c r="J577" s="12" t="s">
        <v>53</v>
      </c>
      <c r="K577" s="97">
        <v>46230</v>
      </c>
      <c r="L577" s="95">
        <v>30</v>
      </c>
      <c r="M577" s="96">
        <v>46256</v>
      </c>
      <c r="N577" s="11">
        <f t="shared" si="16"/>
        <v>26</v>
      </c>
      <c r="O577" s="32" t="str">
        <f t="shared" si="17"/>
        <v>Yes</v>
      </c>
    </row>
    <row r="578" spans="2:15" ht="15" customHeight="1" x14ac:dyDescent="0.4">
      <c r="B578" s="10">
        <v>574</v>
      </c>
      <c r="C578" s="34" t="s">
        <v>822</v>
      </c>
      <c r="D578" s="68" t="s">
        <v>1408</v>
      </c>
      <c r="E578" s="68">
        <v>133024</v>
      </c>
      <c r="F578" s="68" t="s">
        <v>2191</v>
      </c>
      <c r="G578" s="68" t="s">
        <v>608</v>
      </c>
      <c r="H578" s="79"/>
      <c r="I578" s="229">
        <v>140</v>
      </c>
      <c r="J578" s="12" t="s">
        <v>53</v>
      </c>
      <c r="K578" s="97">
        <v>46227</v>
      </c>
      <c r="L578" s="95">
        <v>30</v>
      </c>
      <c r="M578" s="96">
        <v>46256</v>
      </c>
      <c r="N578" s="11">
        <f t="shared" si="16"/>
        <v>29</v>
      </c>
      <c r="O578" s="32" t="str">
        <f t="shared" si="17"/>
        <v>Yes</v>
      </c>
    </row>
    <row r="579" spans="2:15" ht="15" customHeight="1" x14ac:dyDescent="0.35">
      <c r="B579" s="10">
        <v>575</v>
      </c>
      <c r="C579" s="34" t="s">
        <v>822</v>
      </c>
      <c r="D579" s="68" t="s">
        <v>1409</v>
      </c>
      <c r="E579" s="68">
        <v>133024</v>
      </c>
      <c r="F579" s="68" t="s">
        <v>2192</v>
      </c>
      <c r="G579" s="68" t="s">
        <v>608</v>
      </c>
      <c r="H579" s="91"/>
      <c r="I579" s="229">
        <v>120</v>
      </c>
      <c r="J579" s="12" t="s">
        <v>53</v>
      </c>
      <c r="K579" s="97">
        <v>46227</v>
      </c>
      <c r="L579" s="95">
        <v>30</v>
      </c>
      <c r="M579" s="96">
        <v>46256</v>
      </c>
      <c r="N579" s="11">
        <f t="shared" si="16"/>
        <v>29</v>
      </c>
      <c r="O579" s="32" t="str">
        <f t="shared" si="17"/>
        <v>Yes</v>
      </c>
    </row>
    <row r="580" spans="2:15" ht="15" customHeight="1" x14ac:dyDescent="0.35">
      <c r="B580" s="10">
        <v>576</v>
      </c>
      <c r="C580" s="34" t="s">
        <v>822</v>
      </c>
      <c r="D580" s="68" t="s">
        <v>1410</v>
      </c>
      <c r="E580" s="68">
        <v>133023</v>
      </c>
      <c r="F580" s="68" t="s">
        <v>2193</v>
      </c>
      <c r="G580" s="68" t="s">
        <v>608</v>
      </c>
      <c r="H580" s="92"/>
      <c r="I580" s="229">
        <v>140</v>
      </c>
      <c r="J580" s="12" t="s">
        <v>53</v>
      </c>
      <c r="K580" s="97">
        <v>46230</v>
      </c>
      <c r="L580" s="95">
        <v>30</v>
      </c>
      <c r="M580" s="96">
        <v>46256</v>
      </c>
      <c r="N580" s="11">
        <f t="shared" si="16"/>
        <v>26</v>
      </c>
      <c r="O580" s="32" t="str">
        <f t="shared" si="17"/>
        <v>Yes</v>
      </c>
    </row>
    <row r="581" spans="2:15" ht="15" customHeight="1" thickBot="1" x14ac:dyDescent="0.45">
      <c r="B581" s="10">
        <v>577</v>
      </c>
      <c r="C581" s="34" t="s">
        <v>822</v>
      </c>
      <c r="D581" s="68" t="s">
        <v>1411</v>
      </c>
      <c r="E581" s="68">
        <v>133023</v>
      </c>
      <c r="F581" s="68" t="s">
        <v>2194</v>
      </c>
      <c r="G581" s="68" t="s">
        <v>608</v>
      </c>
      <c r="H581" s="79"/>
      <c r="I581" s="229">
        <v>160</v>
      </c>
      <c r="J581" s="12" t="s">
        <v>53</v>
      </c>
      <c r="K581" s="97">
        <v>46230</v>
      </c>
      <c r="L581" s="95">
        <v>30</v>
      </c>
      <c r="M581" s="96">
        <v>46256</v>
      </c>
      <c r="N581" s="11">
        <f t="shared" ref="N581:N644" si="18">IF(OR(M581="", K581=""),"", M581- K581)</f>
        <v>26</v>
      </c>
      <c r="O581" s="32" t="str">
        <f t="shared" ref="O581:O644" si="19">IF(OR(M581="", K581="", L581=""), "", IF((M581 - K581) &gt; L581, "No", "Yes"))</f>
        <v>Yes</v>
      </c>
    </row>
    <row r="582" spans="2:15" ht="15" customHeight="1" thickBot="1" x14ac:dyDescent="0.4">
      <c r="B582" s="10">
        <v>578</v>
      </c>
      <c r="C582" s="34" t="s">
        <v>822</v>
      </c>
      <c r="D582" s="68" t="s">
        <v>1412</v>
      </c>
      <c r="E582" s="68">
        <v>132430</v>
      </c>
      <c r="F582" s="68" t="s">
        <v>2195</v>
      </c>
      <c r="G582" s="68" t="s">
        <v>608</v>
      </c>
      <c r="H582" s="80"/>
      <c r="I582" s="229">
        <v>20</v>
      </c>
      <c r="J582" s="12" t="s">
        <v>53</v>
      </c>
      <c r="K582" s="97">
        <v>46230</v>
      </c>
      <c r="L582" s="95">
        <v>30</v>
      </c>
      <c r="M582" s="96">
        <v>46256</v>
      </c>
      <c r="N582" s="11">
        <f t="shared" si="18"/>
        <v>26</v>
      </c>
      <c r="O582" s="32" t="str">
        <f t="shared" si="19"/>
        <v>Yes</v>
      </c>
    </row>
    <row r="583" spans="2:15" ht="15" customHeight="1" x14ac:dyDescent="0.4">
      <c r="B583" s="10">
        <v>579</v>
      </c>
      <c r="C583" s="34" t="s">
        <v>822</v>
      </c>
      <c r="D583" s="68" t="s">
        <v>1413</v>
      </c>
      <c r="E583" s="68">
        <v>132430</v>
      </c>
      <c r="F583" s="68" t="s">
        <v>2196</v>
      </c>
      <c r="G583" s="68" t="s">
        <v>608</v>
      </c>
      <c r="H583" s="79"/>
      <c r="I583" s="229">
        <v>240</v>
      </c>
      <c r="J583" s="12" t="s">
        <v>53</v>
      </c>
      <c r="K583" s="97">
        <v>46230</v>
      </c>
      <c r="L583" s="95">
        <v>30</v>
      </c>
      <c r="M583" s="96">
        <v>46256</v>
      </c>
      <c r="N583" s="11">
        <f t="shared" si="18"/>
        <v>26</v>
      </c>
      <c r="O583" s="32" t="str">
        <f t="shared" si="19"/>
        <v>Yes</v>
      </c>
    </row>
    <row r="584" spans="2:15" ht="15" customHeight="1" x14ac:dyDescent="0.4">
      <c r="B584" s="10">
        <v>580</v>
      </c>
      <c r="C584" s="34" t="s">
        <v>822</v>
      </c>
      <c r="D584" s="68" t="s">
        <v>1414</v>
      </c>
      <c r="E584" s="68">
        <v>132095</v>
      </c>
      <c r="F584" s="68" t="s">
        <v>2197</v>
      </c>
      <c r="G584" s="68" t="s">
        <v>608</v>
      </c>
      <c r="H584" s="79"/>
      <c r="I584" s="229">
        <v>60</v>
      </c>
      <c r="J584" s="12" t="s">
        <v>53</v>
      </c>
      <c r="K584" s="97">
        <v>46227</v>
      </c>
      <c r="L584" s="95">
        <v>30</v>
      </c>
      <c r="M584" s="96">
        <v>46256</v>
      </c>
      <c r="N584" s="11">
        <f t="shared" si="18"/>
        <v>29</v>
      </c>
      <c r="O584" s="32" t="str">
        <f t="shared" si="19"/>
        <v>Yes</v>
      </c>
    </row>
    <row r="585" spans="2:15" ht="15" customHeight="1" x14ac:dyDescent="0.4">
      <c r="B585" s="10">
        <v>581</v>
      </c>
      <c r="C585" s="34" t="s">
        <v>822</v>
      </c>
      <c r="D585" s="68" t="s">
        <v>1415</v>
      </c>
      <c r="E585" s="68">
        <v>132095</v>
      </c>
      <c r="F585" s="68" t="s">
        <v>2198</v>
      </c>
      <c r="G585" s="68" t="s">
        <v>608</v>
      </c>
      <c r="H585" s="79"/>
      <c r="I585" s="229">
        <v>280</v>
      </c>
      <c r="J585" s="12" t="s">
        <v>53</v>
      </c>
      <c r="K585" s="97">
        <v>46227</v>
      </c>
      <c r="L585" s="95">
        <v>30</v>
      </c>
      <c r="M585" s="96">
        <v>46256</v>
      </c>
      <c r="N585" s="11">
        <f t="shared" si="18"/>
        <v>29</v>
      </c>
      <c r="O585" s="32" t="str">
        <f t="shared" si="19"/>
        <v>Yes</v>
      </c>
    </row>
    <row r="586" spans="2:15" ht="15" customHeight="1" x14ac:dyDescent="0.4">
      <c r="B586" s="10">
        <v>582</v>
      </c>
      <c r="C586" s="34" t="s">
        <v>822</v>
      </c>
      <c r="D586" s="68" t="s">
        <v>1416</v>
      </c>
      <c r="E586" s="68">
        <v>132095</v>
      </c>
      <c r="F586" s="68" t="s">
        <v>2199</v>
      </c>
      <c r="G586" s="68" t="s">
        <v>608</v>
      </c>
      <c r="H586" s="79"/>
      <c r="I586" s="229">
        <v>105</v>
      </c>
      <c r="J586" s="12" t="s">
        <v>53</v>
      </c>
      <c r="K586" s="97">
        <v>46227</v>
      </c>
      <c r="L586" s="95">
        <v>30</v>
      </c>
      <c r="M586" s="96">
        <v>46256</v>
      </c>
      <c r="N586" s="11">
        <f t="shared" si="18"/>
        <v>29</v>
      </c>
      <c r="O586" s="32" t="str">
        <f t="shared" si="19"/>
        <v>Yes</v>
      </c>
    </row>
    <row r="587" spans="2:15" ht="15" customHeight="1" x14ac:dyDescent="0.4">
      <c r="B587" s="10">
        <v>583</v>
      </c>
      <c r="C587" s="34" t="s">
        <v>822</v>
      </c>
      <c r="D587" s="68" t="s">
        <v>1417</v>
      </c>
      <c r="E587" s="68">
        <v>134335</v>
      </c>
      <c r="F587" s="68" t="s">
        <v>2200</v>
      </c>
      <c r="G587" s="68" t="s">
        <v>608</v>
      </c>
      <c r="H587" s="79"/>
      <c r="I587" s="229">
        <v>80</v>
      </c>
      <c r="J587" s="12" t="s">
        <v>53</v>
      </c>
      <c r="K587" s="97">
        <v>46234</v>
      </c>
      <c r="L587" s="95">
        <v>30</v>
      </c>
      <c r="M587" s="96">
        <v>46256</v>
      </c>
      <c r="N587" s="11">
        <f t="shared" si="18"/>
        <v>22</v>
      </c>
      <c r="O587" s="32" t="str">
        <f t="shared" si="19"/>
        <v>Yes</v>
      </c>
    </row>
    <row r="588" spans="2:15" ht="15" customHeight="1" x14ac:dyDescent="0.4">
      <c r="B588" s="10">
        <v>584</v>
      </c>
      <c r="C588" s="34" t="s">
        <v>822</v>
      </c>
      <c r="D588" s="68" t="s">
        <v>1418</v>
      </c>
      <c r="E588" s="68">
        <v>129890</v>
      </c>
      <c r="F588" s="68" t="s">
        <v>2201</v>
      </c>
      <c r="G588" s="68" t="s">
        <v>608</v>
      </c>
      <c r="H588" s="79"/>
      <c r="I588" s="229">
        <v>37.5</v>
      </c>
      <c r="J588" s="12" t="s">
        <v>53</v>
      </c>
      <c r="K588" s="97">
        <v>46227</v>
      </c>
      <c r="L588" s="95">
        <v>30</v>
      </c>
      <c r="M588" s="96">
        <v>46256</v>
      </c>
      <c r="N588" s="11">
        <f t="shared" si="18"/>
        <v>29</v>
      </c>
      <c r="O588" s="32" t="str">
        <f t="shared" si="19"/>
        <v>Yes</v>
      </c>
    </row>
    <row r="589" spans="2:15" ht="15" customHeight="1" x14ac:dyDescent="0.4">
      <c r="B589" s="10">
        <v>585</v>
      </c>
      <c r="C589" s="34" t="s">
        <v>822</v>
      </c>
      <c r="D589" s="68" t="s">
        <v>1419</v>
      </c>
      <c r="E589" s="68">
        <v>135164</v>
      </c>
      <c r="F589" s="68" t="s">
        <v>2202</v>
      </c>
      <c r="G589" s="68" t="s">
        <v>701</v>
      </c>
      <c r="H589" s="79"/>
      <c r="I589" s="229">
        <v>587.75</v>
      </c>
      <c r="J589" s="12" t="s">
        <v>53</v>
      </c>
      <c r="K589" s="97">
        <v>46198</v>
      </c>
      <c r="L589" s="95">
        <v>30</v>
      </c>
      <c r="M589" s="96">
        <v>46234</v>
      </c>
      <c r="N589" s="11">
        <f t="shared" si="18"/>
        <v>36</v>
      </c>
      <c r="O589" s="32" t="str">
        <f t="shared" si="19"/>
        <v>No</v>
      </c>
    </row>
    <row r="590" spans="2:15" ht="15" customHeight="1" x14ac:dyDescent="0.4">
      <c r="B590" s="10">
        <v>586</v>
      </c>
      <c r="C590" s="34" t="s">
        <v>822</v>
      </c>
      <c r="D590" s="68" t="s">
        <v>1420</v>
      </c>
      <c r="E590" s="68">
        <v>135767</v>
      </c>
      <c r="F590" s="68" t="s">
        <v>2203</v>
      </c>
      <c r="G590" s="68" t="s">
        <v>701</v>
      </c>
      <c r="H590" s="79"/>
      <c r="I590" s="229">
        <v>158.90625</v>
      </c>
      <c r="J590" s="12" t="s">
        <v>53</v>
      </c>
      <c r="K590" s="97">
        <v>46225</v>
      </c>
      <c r="L590" s="95">
        <v>30</v>
      </c>
      <c r="M590" s="96">
        <v>46260</v>
      </c>
      <c r="N590" s="11">
        <f t="shared" si="18"/>
        <v>35</v>
      </c>
      <c r="O590" s="32" t="str">
        <f t="shared" si="19"/>
        <v>No</v>
      </c>
    </row>
    <row r="591" spans="2:15" ht="15" customHeight="1" x14ac:dyDescent="0.35">
      <c r="B591" s="10">
        <v>587</v>
      </c>
      <c r="C591" s="34" t="s">
        <v>822</v>
      </c>
      <c r="D591" s="68" t="s">
        <v>1421</v>
      </c>
      <c r="E591" s="68">
        <v>135042</v>
      </c>
      <c r="F591" s="68" t="s">
        <v>2204</v>
      </c>
      <c r="G591" s="68" t="s">
        <v>2554</v>
      </c>
      <c r="H591" s="87"/>
      <c r="I591" s="229">
        <v>846.71168958333328</v>
      </c>
      <c r="J591" s="12" t="s">
        <v>53</v>
      </c>
      <c r="K591" s="97">
        <v>46182</v>
      </c>
      <c r="L591" s="95">
        <v>30</v>
      </c>
      <c r="M591" s="96">
        <v>46209</v>
      </c>
      <c r="N591" s="11">
        <f t="shared" si="18"/>
        <v>27</v>
      </c>
      <c r="O591" s="32" t="str">
        <f t="shared" si="19"/>
        <v>Yes</v>
      </c>
    </row>
    <row r="592" spans="2:15" ht="15" customHeight="1" x14ac:dyDescent="0.4">
      <c r="B592" s="10">
        <v>588</v>
      </c>
      <c r="C592" s="34" t="s">
        <v>822</v>
      </c>
      <c r="D592" s="68" t="s">
        <v>1422</v>
      </c>
      <c r="E592" s="68">
        <v>134172</v>
      </c>
      <c r="F592" s="68" t="s">
        <v>2205</v>
      </c>
      <c r="G592" s="68" t="s">
        <v>749</v>
      </c>
      <c r="H592" s="79"/>
      <c r="I592" s="229">
        <v>1062.5</v>
      </c>
      <c r="J592" s="12" t="s">
        <v>53</v>
      </c>
      <c r="K592" s="97">
        <v>46202</v>
      </c>
      <c r="L592" s="95">
        <v>30</v>
      </c>
      <c r="M592" s="96">
        <v>46232</v>
      </c>
      <c r="N592" s="11">
        <f t="shared" si="18"/>
        <v>30</v>
      </c>
      <c r="O592" s="32" t="str">
        <f t="shared" si="19"/>
        <v>Yes</v>
      </c>
    </row>
    <row r="593" spans="2:15" ht="15" customHeight="1" x14ac:dyDescent="0.4">
      <c r="B593" s="10">
        <v>589</v>
      </c>
      <c r="C593" s="34" t="s">
        <v>822</v>
      </c>
      <c r="D593" s="68" t="s">
        <v>1423</v>
      </c>
      <c r="E593" s="68">
        <v>135377</v>
      </c>
      <c r="F593" s="68" t="s">
        <v>1729</v>
      </c>
      <c r="G593" s="68" t="s">
        <v>749</v>
      </c>
      <c r="H593" s="79"/>
      <c r="I593" s="229">
        <v>1250</v>
      </c>
      <c r="J593" s="12" t="s">
        <v>53</v>
      </c>
      <c r="K593" s="97">
        <v>46202</v>
      </c>
      <c r="L593" s="95">
        <v>30</v>
      </c>
      <c r="M593" s="96">
        <v>46239</v>
      </c>
      <c r="N593" s="11">
        <f t="shared" si="18"/>
        <v>37</v>
      </c>
      <c r="O593" s="32" t="str">
        <f t="shared" si="19"/>
        <v>No</v>
      </c>
    </row>
    <row r="594" spans="2:15" ht="15" customHeight="1" x14ac:dyDescent="0.4">
      <c r="B594" s="10">
        <v>590</v>
      </c>
      <c r="C594" s="34" t="s">
        <v>822</v>
      </c>
      <c r="D594" s="68">
        <v>4484</v>
      </c>
      <c r="E594" s="68">
        <v>135463</v>
      </c>
      <c r="F594" s="68" t="s">
        <v>2206</v>
      </c>
      <c r="G594" s="68" t="s">
        <v>2535</v>
      </c>
      <c r="H594" s="79"/>
      <c r="I594" s="229">
        <v>30</v>
      </c>
      <c r="J594" s="12" t="s">
        <v>53</v>
      </c>
      <c r="K594" s="97">
        <v>46218</v>
      </c>
      <c r="L594" s="95">
        <v>30</v>
      </c>
      <c r="M594" s="96">
        <v>46252</v>
      </c>
      <c r="N594" s="11">
        <f t="shared" si="18"/>
        <v>34</v>
      </c>
      <c r="O594" s="32" t="str">
        <f t="shared" si="19"/>
        <v>No</v>
      </c>
    </row>
    <row r="595" spans="2:15" ht="15" customHeight="1" x14ac:dyDescent="0.4">
      <c r="B595" s="10">
        <v>591</v>
      </c>
      <c r="C595" s="34" t="s">
        <v>822</v>
      </c>
      <c r="D595" s="68">
        <v>4087</v>
      </c>
      <c r="E595" s="68">
        <v>135986</v>
      </c>
      <c r="F595" s="68" t="s">
        <v>2207</v>
      </c>
      <c r="G595" s="68" t="s">
        <v>2535</v>
      </c>
      <c r="H595" s="93"/>
      <c r="I595" s="229">
        <v>800</v>
      </c>
      <c r="J595" s="12" t="s">
        <v>53</v>
      </c>
      <c r="K595" s="97">
        <v>46218</v>
      </c>
      <c r="L595" s="95">
        <v>30</v>
      </c>
      <c r="M595" s="96">
        <v>46252</v>
      </c>
      <c r="N595" s="11">
        <f t="shared" si="18"/>
        <v>34</v>
      </c>
      <c r="O595" s="32" t="str">
        <f t="shared" si="19"/>
        <v>No</v>
      </c>
    </row>
    <row r="596" spans="2:15" ht="25.5" customHeight="1" x14ac:dyDescent="0.4">
      <c r="B596" s="10">
        <v>592</v>
      </c>
      <c r="C596" s="34" t="s">
        <v>822</v>
      </c>
      <c r="D596" s="68">
        <v>4486</v>
      </c>
      <c r="E596" s="68">
        <v>129702</v>
      </c>
      <c r="F596" s="68" t="s">
        <v>2208</v>
      </c>
      <c r="G596" s="68" t="s">
        <v>2535</v>
      </c>
      <c r="H596" s="79"/>
      <c r="I596" s="229">
        <v>11598.55</v>
      </c>
      <c r="J596" s="12" t="s">
        <v>53</v>
      </c>
      <c r="K596" s="97">
        <v>46218</v>
      </c>
      <c r="L596" s="95">
        <v>30</v>
      </c>
      <c r="M596" s="96">
        <v>46246</v>
      </c>
      <c r="N596" s="11">
        <f t="shared" si="18"/>
        <v>28</v>
      </c>
      <c r="O596" s="32" t="str">
        <f t="shared" si="19"/>
        <v>Yes</v>
      </c>
    </row>
    <row r="597" spans="2:15" ht="15" customHeight="1" x14ac:dyDescent="0.4">
      <c r="B597" s="10">
        <v>593</v>
      </c>
      <c r="C597" s="34" t="s">
        <v>822</v>
      </c>
      <c r="D597" s="68">
        <v>5</v>
      </c>
      <c r="E597" s="68">
        <v>136074</v>
      </c>
      <c r="F597" s="68" t="s">
        <v>2209</v>
      </c>
      <c r="G597" s="68" t="s">
        <v>619</v>
      </c>
      <c r="H597" s="79"/>
      <c r="I597" s="229">
        <v>1666.6666666666667</v>
      </c>
      <c r="J597" s="12" t="s">
        <v>53</v>
      </c>
      <c r="K597" s="97">
        <v>46239</v>
      </c>
      <c r="L597" s="95">
        <v>30</v>
      </c>
      <c r="M597" s="96">
        <v>46255</v>
      </c>
      <c r="N597" s="11">
        <f t="shared" si="18"/>
        <v>16</v>
      </c>
      <c r="O597" s="32" t="str">
        <f t="shared" si="19"/>
        <v>Yes</v>
      </c>
    </row>
    <row r="598" spans="2:15" ht="15" customHeight="1" x14ac:dyDescent="0.4">
      <c r="B598" s="10">
        <v>594</v>
      </c>
      <c r="C598" s="34" t="s">
        <v>822</v>
      </c>
      <c r="D598" s="68" t="s">
        <v>1424</v>
      </c>
      <c r="E598" s="68">
        <v>117266</v>
      </c>
      <c r="F598" s="68" t="s">
        <v>2210</v>
      </c>
      <c r="G598" s="68" t="s">
        <v>2555</v>
      </c>
      <c r="H598" s="79"/>
      <c r="I598" s="229">
        <v>6755.4404999999997</v>
      </c>
      <c r="J598" s="12" t="s">
        <v>53</v>
      </c>
      <c r="K598" s="97">
        <v>46227</v>
      </c>
      <c r="L598" s="95">
        <v>30</v>
      </c>
      <c r="M598" s="96">
        <v>46260</v>
      </c>
      <c r="N598" s="11">
        <f t="shared" si="18"/>
        <v>33</v>
      </c>
      <c r="O598" s="32" t="str">
        <f t="shared" si="19"/>
        <v>No</v>
      </c>
    </row>
    <row r="599" spans="2:15" ht="15" customHeight="1" x14ac:dyDescent="0.4">
      <c r="B599" s="10">
        <v>595</v>
      </c>
      <c r="C599" s="34" t="s">
        <v>822</v>
      </c>
      <c r="D599" s="68" t="s">
        <v>1425</v>
      </c>
      <c r="E599" s="68">
        <v>127326</v>
      </c>
      <c r="F599" s="68" t="s">
        <v>2211</v>
      </c>
      <c r="G599" s="68" t="s">
        <v>2555</v>
      </c>
      <c r="H599" s="82"/>
      <c r="I599" s="229">
        <v>134.15225000000001</v>
      </c>
      <c r="J599" s="12" t="s">
        <v>53</v>
      </c>
      <c r="K599" s="97">
        <v>46227</v>
      </c>
      <c r="L599" s="95">
        <v>30</v>
      </c>
      <c r="M599" s="96">
        <v>46259</v>
      </c>
      <c r="N599" s="11">
        <f t="shared" si="18"/>
        <v>32</v>
      </c>
      <c r="O599" s="32" t="str">
        <f t="shared" si="19"/>
        <v>No</v>
      </c>
    </row>
    <row r="600" spans="2:15" ht="15" customHeight="1" x14ac:dyDescent="0.4">
      <c r="B600" s="10">
        <v>596</v>
      </c>
      <c r="C600" s="34" t="s">
        <v>822</v>
      </c>
      <c r="D600" s="68" t="s">
        <v>1426</v>
      </c>
      <c r="E600" s="68">
        <v>129032</v>
      </c>
      <c r="F600" s="68" t="s">
        <v>2211</v>
      </c>
      <c r="G600" s="68" t="s">
        <v>2555</v>
      </c>
      <c r="H600" s="79"/>
      <c r="I600" s="229">
        <v>268.30450000000002</v>
      </c>
      <c r="J600" s="12" t="s">
        <v>53</v>
      </c>
      <c r="K600" s="97">
        <v>46227</v>
      </c>
      <c r="L600" s="95">
        <v>30</v>
      </c>
      <c r="M600" s="96">
        <v>46258</v>
      </c>
      <c r="N600" s="11">
        <f t="shared" si="18"/>
        <v>31</v>
      </c>
      <c r="O600" s="32" t="str">
        <f t="shared" si="19"/>
        <v>No</v>
      </c>
    </row>
    <row r="601" spans="2:15" ht="15" customHeight="1" x14ac:dyDescent="0.4">
      <c r="B601" s="10">
        <v>597</v>
      </c>
      <c r="C601" s="34" t="s">
        <v>822</v>
      </c>
      <c r="D601" s="68" t="s">
        <v>1427</v>
      </c>
      <c r="E601" s="68">
        <v>129035</v>
      </c>
      <c r="F601" s="68" t="s">
        <v>2212</v>
      </c>
      <c r="G601" s="68" t="s">
        <v>2555</v>
      </c>
      <c r="H601" s="79"/>
      <c r="I601" s="229">
        <v>134.15225000000001</v>
      </c>
      <c r="J601" s="12" t="s">
        <v>53</v>
      </c>
      <c r="K601" s="97">
        <v>46227</v>
      </c>
      <c r="L601" s="95">
        <v>30</v>
      </c>
      <c r="M601" s="96">
        <v>46262</v>
      </c>
      <c r="N601" s="11">
        <f t="shared" si="18"/>
        <v>35</v>
      </c>
      <c r="O601" s="32" t="str">
        <f t="shared" si="19"/>
        <v>No</v>
      </c>
    </row>
    <row r="602" spans="2:15" ht="15" customHeight="1" x14ac:dyDescent="0.4">
      <c r="B602" s="10">
        <v>598</v>
      </c>
      <c r="C602" s="34" t="s">
        <v>822</v>
      </c>
      <c r="D602" s="68" t="s">
        <v>1428</v>
      </c>
      <c r="E602" s="68">
        <v>135090</v>
      </c>
      <c r="F602" s="68" t="s">
        <v>2213</v>
      </c>
      <c r="G602" s="68" t="s">
        <v>2556</v>
      </c>
      <c r="H602" s="79"/>
      <c r="I602" s="229">
        <v>752.76</v>
      </c>
      <c r="J602" s="12" t="s">
        <v>53</v>
      </c>
      <c r="K602" s="97">
        <v>46217</v>
      </c>
      <c r="L602" s="95">
        <v>30</v>
      </c>
      <c r="M602" s="96">
        <v>46247</v>
      </c>
      <c r="N602" s="11">
        <f t="shared" si="18"/>
        <v>30</v>
      </c>
      <c r="O602" s="32" t="str">
        <f t="shared" si="19"/>
        <v>Yes</v>
      </c>
    </row>
    <row r="603" spans="2:15" ht="15" customHeight="1" x14ac:dyDescent="0.4">
      <c r="B603" s="10">
        <v>599</v>
      </c>
      <c r="C603" s="34" t="s">
        <v>822</v>
      </c>
      <c r="D603" s="68" t="s">
        <v>1429</v>
      </c>
      <c r="E603" s="68">
        <v>134856</v>
      </c>
      <c r="F603" s="68" t="s">
        <v>2214</v>
      </c>
      <c r="G603" s="68" t="s">
        <v>770</v>
      </c>
      <c r="H603" s="82"/>
      <c r="I603" s="229">
        <v>145.80000000000001</v>
      </c>
      <c r="J603" s="12" t="s">
        <v>53</v>
      </c>
      <c r="K603" s="97">
        <v>46219</v>
      </c>
      <c r="L603" s="95">
        <v>30</v>
      </c>
      <c r="M603" s="96">
        <v>46257</v>
      </c>
      <c r="N603" s="11">
        <f t="shared" si="18"/>
        <v>38</v>
      </c>
      <c r="O603" s="32" t="str">
        <f t="shared" si="19"/>
        <v>No</v>
      </c>
    </row>
    <row r="604" spans="2:15" ht="15" customHeight="1" x14ac:dyDescent="0.4">
      <c r="B604" s="10">
        <v>600</v>
      </c>
      <c r="C604" s="34" t="s">
        <v>822</v>
      </c>
      <c r="D604" s="68" t="s">
        <v>1430</v>
      </c>
      <c r="E604" s="68">
        <v>135973</v>
      </c>
      <c r="F604" s="68" t="s">
        <v>2215</v>
      </c>
      <c r="G604" s="68" t="s">
        <v>641</v>
      </c>
      <c r="H604" s="79"/>
      <c r="I604" s="229">
        <v>3515.625</v>
      </c>
      <c r="J604" s="12" t="s">
        <v>53</v>
      </c>
      <c r="K604" s="97">
        <v>46233</v>
      </c>
      <c r="L604" s="95">
        <v>30</v>
      </c>
      <c r="M604" s="96">
        <v>46254</v>
      </c>
      <c r="N604" s="11">
        <f t="shared" si="18"/>
        <v>21</v>
      </c>
      <c r="O604" s="32" t="str">
        <f t="shared" si="19"/>
        <v>Yes</v>
      </c>
    </row>
    <row r="605" spans="2:15" ht="15" customHeight="1" x14ac:dyDescent="0.4">
      <c r="B605" s="10">
        <v>601</v>
      </c>
      <c r="C605" s="34" t="s">
        <v>822</v>
      </c>
      <c r="D605" s="68" t="s">
        <v>1431</v>
      </c>
      <c r="E605" s="68">
        <v>135978</v>
      </c>
      <c r="F605" s="68" t="s">
        <v>2216</v>
      </c>
      <c r="G605" s="68" t="s">
        <v>641</v>
      </c>
      <c r="H605" s="79"/>
      <c r="I605" s="229">
        <v>625</v>
      </c>
      <c r="J605" s="12" t="s">
        <v>53</v>
      </c>
      <c r="K605" s="97">
        <v>46232</v>
      </c>
      <c r="L605" s="95">
        <v>30</v>
      </c>
      <c r="M605" s="96">
        <v>46254</v>
      </c>
      <c r="N605" s="11">
        <f t="shared" si="18"/>
        <v>22</v>
      </c>
      <c r="O605" s="32" t="str">
        <f t="shared" si="19"/>
        <v>Yes</v>
      </c>
    </row>
    <row r="606" spans="2:15" ht="24.75" customHeight="1" x14ac:dyDescent="0.4">
      <c r="B606" s="10">
        <v>602</v>
      </c>
      <c r="C606" s="34" t="s">
        <v>822</v>
      </c>
      <c r="D606" s="68" t="s">
        <v>1432</v>
      </c>
      <c r="E606" s="68">
        <v>134755</v>
      </c>
      <c r="F606" s="68" t="s">
        <v>2217</v>
      </c>
      <c r="G606" s="68" t="s">
        <v>695</v>
      </c>
      <c r="H606" s="79"/>
      <c r="I606" s="229">
        <v>33.75</v>
      </c>
      <c r="J606" s="12" t="s">
        <v>53</v>
      </c>
      <c r="K606" s="97">
        <v>46213</v>
      </c>
      <c r="L606" s="95">
        <v>30</v>
      </c>
      <c r="M606" s="96">
        <v>46240</v>
      </c>
      <c r="N606" s="11">
        <f t="shared" si="18"/>
        <v>27</v>
      </c>
      <c r="O606" s="32" t="str">
        <f t="shared" si="19"/>
        <v>Yes</v>
      </c>
    </row>
    <row r="607" spans="2:15" ht="15" customHeight="1" x14ac:dyDescent="0.4">
      <c r="B607" s="10">
        <v>603</v>
      </c>
      <c r="C607" s="34" t="s">
        <v>822</v>
      </c>
      <c r="D607" s="68" t="s">
        <v>1433</v>
      </c>
      <c r="E607" s="68">
        <v>131309</v>
      </c>
      <c r="F607" s="68" t="s">
        <v>2218</v>
      </c>
      <c r="G607" s="68" t="s">
        <v>695</v>
      </c>
      <c r="H607" s="82"/>
      <c r="I607" s="229">
        <v>203.97499999999999</v>
      </c>
      <c r="J607" s="12" t="s">
        <v>53</v>
      </c>
      <c r="K607" s="97">
        <v>46213</v>
      </c>
      <c r="L607" s="95">
        <v>30</v>
      </c>
      <c r="M607" s="96">
        <v>46249</v>
      </c>
      <c r="N607" s="11">
        <f t="shared" si="18"/>
        <v>36</v>
      </c>
      <c r="O607" s="32" t="str">
        <f t="shared" si="19"/>
        <v>No</v>
      </c>
    </row>
    <row r="608" spans="2:15" ht="15" customHeight="1" x14ac:dyDescent="0.4">
      <c r="B608" s="10">
        <v>604</v>
      </c>
      <c r="C608" s="34" t="s">
        <v>822</v>
      </c>
      <c r="D608" s="68" t="s">
        <v>1434</v>
      </c>
      <c r="E608" s="68">
        <v>133698</v>
      </c>
      <c r="F608" s="68" t="s">
        <v>2219</v>
      </c>
      <c r="G608" s="68" t="s">
        <v>2557</v>
      </c>
      <c r="H608" s="79"/>
      <c r="I608" s="229">
        <v>937.5</v>
      </c>
      <c r="J608" s="12" t="s">
        <v>53</v>
      </c>
      <c r="K608" s="97">
        <v>46203</v>
      </c>
      <c r="L608" s="95">
        <v>30</v>
      </c>
      <c r="M608" s="96">
        <v>46232</v>
      </c>
      <c r="N608" s="11">
        <f t="shared" si="18"/>
        <v>29</v>
      </c>
      <c r="O608" s="32" t="str">
        <f t="shared" si="19"/>
        <v>Yes</v>
      </c>
    </row>
    <row r="609" spans="2:15" ht="15" customHeight="1" x14ac:dyDescent="0.4">
      <c r="B609" s="10">
        <v>605</v>
      </c>
      <c r="C609" s="34" t="s">
        <v>822</v>
      </c>
      <c r="D609" s="68" t="s">
        <v>1435</v>
      </c>
      <c r="E609" s="68">
        <v>133698</v>
      </c>
      <c r="F609" s="68" t="s">
        <v>2220</v>
      </c>
      <c r="G609" s="68" t="s">
        <v>2557</v>
      </c>
      <c r="H609" s="79"/>
      <c r="I609" s="229">
        <v>341.66666666666669</v>
      </c>
      <c r="J609" s="12" t="s">
        <v>53</v>
      </c>
      <c r="K609" s="97">
        <v>46203</v>
      </c>
      <c r="L609" s="95">
        <v>30</v>
      </c>
      <c r="M609" s="96">
        <v>46233</v>
      </c>
      <c r="N609" s="11">
        <f t="shared" si="18"/>
        <v>30</v>
      </c>
      <c r="O609" s="32" t="str">
        <f t="shared" si="19"/>
        <v>Yes</v>
      </c>
    </row>
    <row r="610" spans="2:15" ht="15" customHeight="1" x14ac:dyDescent="0.4">
      <c r="B610" s="10">
        <v>606</v>
      </c>
      <c r="C610" s="34" t="s">
        <v>822</v>
      </c>
      <c r="D610" s="68" t="s">
        <v>1436</v>
      </c>
      <c r="E610" s="68">
        <v>133698</v>
      </c>
      <c r="F610" s="68" t="s">
        <v>2221</v>
      </c>
      <c r="G610" s="68" t="s">
        <v>2557</v>
      </c>
      <c r="H610" s="79"/>
      <c r="I610" s="229">
        <v>262.5</v>
      </c>
      <c r="J610" s="12" t="s">
        <v>53</v>
      </c>
      <c r="K610" s="97">
        <v>46203</v>
      </c>
      <c r="L610" s="95">
        <v>30</v>
      </c>
      <c r="M610" s="96">
        <v>46232</v>
      </c>
      <c r="N610" s="11">
        <f t="shared" si="18"/>
        <v>29</v>
      </c>
      <c r="O610" s="32" t="str">
        <f t="shared" si="19"/>
        <v>Yes</v>
      </c>
    </row>
    <row r="611" spans="2:15" ht="15" customHeight="1" x14ac:dyDescent="0.4">
      <c r="B611" s="10">
        <v>607</v>
      </c>
      <c r="C611" s="34" t="s">
        <v>822</v>
      </c>
      <c r="D611" s="68" t="s">
        <v>1437</v>
      </c>
      <c r="E611" s="68">
        <v>133698</v>
      </c>
      <c r="F611" s="68" t="s">
        <v>2222</v>
      </c>
      <c r="G611" s="68" t="s">
        <v>2557</v>
      </c>
      <c r="H611" s="79"/>
      <c r="I611" s="229">
        <v>1718.75</v>
      </c>
      <c r="J611" s="12" t="s">
        <v>53</v>
      </c>
      <c r="K611" s="97">
        <v>46203</v>
      </c>
      <c r="L611" s="95">
        <v>30</v>
      </c>
      <c r="M611" s="96">
        <v>46229</v>
      </c>
      <c r="N611" s="11">
        <f t="shared" si="18"/>
        <v>26</v>
      </c>
      <c r="O611" s="32" t="str">
        <f t="shared" si="19"/>
        <v>Yes</v>
      </c>
    </row>
    <row r="612" spans="2:15" ht="15" customHeight="1" x14ac:dyDescent="0.4">
      <c r="B612" s="10">
        <v>608</v>
      </c>
      <c r="C612" s="34" t="s">
        <v>822</v>
      </c>
      <c r="D612" s="68" t="s">
        <v>1438</v>
      </c>
      <c r="E612" s="68">
        <v>135478</v>
      </c>
      <c r="F612" s="68" t="s">
        <v>2223</v>
      </c>
      <c r="G612" s="68" t="s">
        <v>734</v>
      </c>
      <c r="H612" s="79"/>
      <c r="I612" s="229">
        <v>812.5</v>
      </c>
      <c r="J612" s="12" t="s">
        <v>53</v>
      </c>
      <c r="K612" s="97">
        <v>46226</v>
      </c>
      <c r="L612" s="95">
        <v>30</v>
      </c>
      <c r="M612" s="96">
        <v>46260</v>
      </c>
      <c r="N612" s="11">
        <f t="shared" si="18"/>
        <v>34</v>
      </c>
      <c r="O612" s="32" t="str">
        <f t="shared" si="19"/>
        <v>No</v>
      </c>
    </row>
    <row r="613" spans="2:15" ht="15" customHeight="1" x14ac:dyDescent="0.4">
      <c r="B613" s="10">
        <v>609</v>
      </c>
      <c r="C613" s="34" t="s">
        <v>822</v>
      </c>
      <c r="D613" s="68" t="s">
        <v>1439</v>
      </c>
      <c r="E613" s="68">
        <v>127588</v>
      </c>
      <c r="F613" s="68" t="s">
        <v>2224</v>
      </c>
      <c r="G613" s="68" t="s">
        <v>740</v>
      </c>
      <c r="H613" s="79"/>
      <c r="I613" s="229">
        <v>145.83333333333334</v>
      </c>
      <c r="J613" s="12" t="s">
        <v>53</v>
      </c>
      <c r="K613" s="97">
        <v>46233</v>
      </c>
      <c r="L613" s="95">
        <v>30</v>
      </c>
      <c r="M613" s="96">
        <v>46259</v>
      </c>
      <c r="N613" s="11">
        <f t="shared" si="18"/>
        <v>26</v>
      </c>
      <c r="O613" s="32" t="str">
        <f t="shared" si="19"/>
        <v>Yes</v>
      </c>
    </row>
    <row r="614" spans="2:15" ht="15" customHeight="1" x14ac:dyDescent="0.4">
      <c r="B614" s="10">
        <v>610</v>
      </c>
      <c r="C614" s="34" t="s">
        <v>822</v>
      </c>
      <c r="D614" s="68">
        <v>2605613</v>
      </c>
      <c r="E614" s="68">
        <v>135008</v>
      </c>
      <c r="F614" s="68" t="s">
        <v>2225</v>
      </c>
      <c r="G614" s="68" t="s">
        <v>2459</v>
      </c>
      <c r="H614" s="79"/>
      <c r="I614" s="229">
        <v>444.375</v>
      </c>
      <c r="J614" s="12" t="s">
        <v>53</v>
      </c>
      <c r="K614" s="97">
        <v>46203</v>
      </c>
      <c r="L614" s="95">
        <v>30</v>
      </c>
      <c r="M614" s="96">
        <v>46240</v>
      </c>
      <c r="N614" s="11">
        <f t="shared" si="18"/>
        <v>37</v>
      </c>
      <c r="O614" s="32" t="str">
        <f t="shared" si="19"/>
        <v>No</v>
      </c>
    </row>
    <row r="615" spans="2:15" ht="15" customHeight="1" x14ac:dyDescent="0.4">
      <c r="B615" s="10">
        <v>611</v>
      </c>
      <c r="C615" s="34" t="s">
        <v>822</v>
      </c>
      <c r="D615" s="68">
        <v>2605612</v>
      </c>
      <c r="E615" s="68">
        <v>134983</v>
      </c>
      <c r="F615" s="68" t="s">
        <v>2226</v>
      </c>
      <c r="G615" s="68" t="s">
        <v>2459</v>
      </c>
      <c r="H615" s="79"/>
      <c r="I615" s="229">
        <v>556.875</v>
      </c>
      <c r="J615" s="12" t="s">
        <v>53</v>
      </c>
      <c r="K615" s="97">
        <v>46203</v>
      </c>
      <c r="L615" s="95">
        <v>30</v>
      </c>
      <c r="M615" s="96">
        <v>46233</v>
      </c>
      <c r="N615" s="11">
        <f t="shared" si="18"/>
        <v>30</v>
      </c>
      <c r="O615" s="32" t="str">
        <f t="shared" si="19"/>
        <v>Yes</v>
      </c>
    </row>
    <row r="616" spans="2:15" ht="15" customHeight="1" x14ac:dyDescent="0.4">
      <c r="B616" s="10">
        <v>612</v>
      </c>
      <c r="C616" s="34" t="s">
        <v>822</v>
      </c>
      <c r="D616" s="68">
        <v>2605615</v>
      </c>
      <c r="E616" s="68">
        <v>135350</v>
      </c>
      <c r="F616" s="68" t="s">
        <v>2227</v>
      </c>
      <c r="G616" s="68" t="s">
        <v>2459</v>
      </c>
      <c r="H616" s="79"/>
      <c r="I616" s="229">
        <v>10859.375</v>
      </c>
      <c r="J616" s="12" t="s">
        <v>53</v>
      </c>
      <c r="K616" s="97">
        <v>46202</v>
      </c>
      <c r="L616" s="95">
        <v>30</v>
      </c>
      <c r="M616" s="96">
        <v>46228</v>
      </c>
      <c r="N616" s="11">
        <f t="shared" si="18"/>
        <v>26</v>
      </c>
      <c r="O616" s="32" t="str">
        <f t="shared" si="19"/>
        <v>Yes</v>
      </c>
    </row>
    <row r="617" spans="2:15" ht="15" customHeight="1" x14ac:dyDescent="0.4">
      <c r="B617" s="10">
        <v>613</v>
      </c>
      <c r="C617" s="34" t="s">
        <v>822</v>
      </c>
      <c r="D617" s="68" t="s">
        <v>1440</v>
      </c>
      <c r="E617" s="68">
        <v>135749</v>
      </c>
      <c r="F617" s="68" t="s">
        <v>2228</v>
      </c>
      <c r="G617" s="68" t="s">
        <v>2558</v>
      </c>
      <c r="H617" s="79"/>
      <c r="I617" s="229">
        <v>10416.666666666666</v>
      </c>
      <c r="J617" s="12" t="s">
        <v>53</v>
      </c>
      <c r="K617" s="97">
        <v>46225</v>
      </c>
      <c r="L617" s="95">
        <v>30</v>
      </c>
      <c r="M617" s="96">
        <v>46253</v>
      </c>
      <c r="N617" s="11">
        <f t="shared" si="18"/>
        <v>28</v>
      </c>
      <c r="O617" s="32" t="str">
        <f t="shared" si="19"/>
        <v>Yes</v>
      </c>
    </row>
    <row r="618" spans="2:15" ht="15" customHeight="1" x14ac:dyDescent="0.4">
      <c r="B618" s="10">
        <v>614</v>
      </c>
      <c r="C618" s="34" t="s">
        <v>822</v>
      </c>
      <c r="D618" s="68" t="s">
        <v>1441</v>
      </c>
      <c r="E618" s="68">
        <v>135864</v>
      </c>
      <c r="F618" s="68" t="s">
        <v>2229</v>
      </c>
      <c r="G618" s="68" t="s">
        <v>712</v>
      </c>
      <c r="H618" s="79"/>
      <c r="I618" s="229">
        <v>1815.6</v>
      </c>
      <c r="J618" s="12" t="s">
        <v>53</v>
      </c>
      <c r="K618" s="97">
        <v>46237</v>
      </c>
      <c r="L618" s="95">
        <v>30</v>
      </c>
      <c r="M618" s="96">
        <v>46260</v>
      </c>
      <c r="N618" s="11">
        <f t="shared" si="18"/>
        <v>23</v>
      </c>
      <c r="O618" s="32" t="str">
        <f t="shared" si="19"/>
        <v>Yes</v>
      </c>
    </row>
    <row r="619" spans="2:15" ht="15" customHeight="1" x14ac:dyDescent="0.4">
      <c r="B619" s="10">
        <v>615</v>
      </c>
      <c r="C619" s="34" t="s">
        <v>822</v>
      </c>
      <c r="D619" s="68" t="s">
        <v>1442</v>
      </c>
      <c r="E619" s="68">
        <v>135977</v>
      </c>
      <c r="F619" s="68" t="s">
        <v>2230</v>
      </c>
      <c r="G619" s="68" t="s">
        <v>712</v>
      </c>
      <c r="H619" s="79"/>
      <c r="I619" s="229">
        <v>53.240625000000001</v>
      </c>
      <c r="J619" s="12" t="s">
        <v>53</v>
      </c>
      <c r="K619" s="97">
        <v>46237</v>
      </c>
      <c r="L619" s="95">
        <v>30</v>
      </c>
      <c r="M619" s="96">
        <v>46260</v>
      </c>
      <c r="N619" s="11">
        <f t="shared" si="18"/>
        <v>23</v>
      </c>
      <c r="O619" s="32" t="str">
        <f t="shared" si="19"/>
        <v>Yes</v>
      </c>
    </row>
    <row r="620" spans="2:15" ht="15" customHeight="1" x14ac:dyDescent="0.4">
      <c r="B620" s="10">
        <v>616</v>
      </c>
      <c r="C620" s="34" t="s">
        <v>822</v>
      </c>
      <c r="D620" s="68" t="s">
        <v>1443</v>
      </c>
      <c r="E620" s="68">
        <v>133545</v>
      </c>
      <c r="F620" s="68" t="s">
        <v>2231</v>
      </c>
      <c r="G620" s="68" t="s">
        <v>752</v>
      </c>
      <c r="H620" s="79"/>
      <c r="I620" s="229">
        <v>9375</v>
      </c>
      <c r="J620" s="12" t="s">
        <v>53</v>
      </c>
      <c r="K620" s="97">
        <v>46245</v>
      </c>
      <c r="L620" s="95">
        <v>30</v>
      </c>
      <c r="M620" s="96">
        <v>46260</v>
      </c>
      <c r="N620" s="11">
        <f t="shared" si="18"/>
        <v>15</v>
      </c>
      <c r="O620" s="32" t="str">
        <f t="shared" si="19"/>
        <v>Yes</v>
      </c>
    </row>
    <row r="621" spans="2:15" ht="15" customHeight="1" x14ac:dyDescent="0.4">
      <c r="B621" s="10">
        <v>617</v>
      </c>
      <c r="C621" s="34" t="s">
        <v>822</v>
      </c>
      <c r="D621" s="68" t="s">
        <v>1444</v>
      </c>
      <c r="E621" s="68">
        <v>136006</v>
      </c>
      <c r="F621" s="68" t="s">
        <v>2232</v>
      </c>
      <c r="G621" s="68" t="s">
        <v>2559</v>
      </c>
      <c r="H621" s="79"/>
      <c r="I621" s="229">
        <v>1041.6666666666667</v>
      </c>
      <c r="J621" s="12" t="s">
        <v>53</v>
      </c>
      <c r="K621" s="97">
        <v>46241</v>
      </c>
      <c r="L621" s="95">
        <v>30</v>
      </c>
      <c r="M621" s="96">
        <v>46254</v>
      </c>
      <c r="N621" s="11">
        <f t="shared" si="18"/>
        <v>13</v>
      </c>
      <c r="O621" s="32" t="str">
        <f t="shared" si="19"/>
        <v>Yes</v>
      </c>
    </row>
    <row r="622" spans="2:15" ht="15" customHeight="1" x14ac:dyDescent="0.4">
      <c r="B622" s="10">
        <v>618</v>
      </c>
      <c r="C622" s="34" t="s">
        <v>822</v>
      </c>
      <c r="D622" s="68" t="s">
        <v>1445</v>
      </c>
      <c r="E622" s="68">
        <v>136004</v>
      </c>
      <c r="F622" s="68" t="s">
        <v>2233</v>
      </c>
      <c r="G622" s="68" t="s">
        <v>2560</v>
      </c>
      <c r="H622" s="79"/>
      <c r="I622" s="229">
        <v>15625</v>
      </c>
      <c r="J622" s="12" t="s">
        <v>53</v>
      </c>
      <c r="K622" s="97">
        <v>46220</v>
      </c>
      <c r="L622" s="95">
        <v>30</v>
      </c>
      <c r="M622" s="96">
        <v>46248</v>
      </c>
      <c r="N622" s="11">
        <f t="shared" si="18"/>
        <v>28</v>
      </c>
      <c r="O622" s="32" t="str">
        <f t="shared" si="19"/>
        <v>Yes</v>
      </c>
    </row>
    <row r="623" spans="2:15" ht="15" customHeight="1" x14ac:dyDescent="0.4">
      <c r="B623" s="10">
        <v>619</v>
      </c>
      <c r="C623" s="34" t="s">
        <v>822</v>
      </c>
      <c r="D623" s="68" t="s">
        <v>1446</v>
      </c>
      <c r="E623" s="68">
        <v>135855</v>
      </c>
      <c r="F623" s="68" t="s">
        <v>2234</v>
      </c>
      <c r="G623" s="68" t="s">
        <v>739</v>
      </c>
      <c r="H623" s="79"/>
      <c r="I623" s="229">
        <v>51.6</v>
      </c>
      <c r="J623" s="12" t="s">
        <v>53</v>
      </c>
      <c r="K623" s="97">
        <v>46224</v>
      </c>
      <c r="L623" s="95">
        <v>30</v>
      </c>
      <c r="M623" s="96">
        <v>46257</v>
      </c>
      <c r="N623" s="11">
        <f t="shared" si="18"/>
        <v>33</v>
      </c>
      <c r="O623" s="32" t="str">
        <f t="shared" si="19"/>
        <v>No</v>
      </c>
    </row>
    <row r="624" spans="2:15" ht="15" customHeight="1" x14ac:dyDescent="0.4">
      <c r="B624" s="10">
        <v>620</v>
      </c>
      <c r="C624" s="34" t="s">
        <v>822</v>
      </c>
      <c r="D624" s="68" t="s">
        <v>1447</v>
      </c>
      <c r="E624" s="68">
        <v>133468</v>
      </c>
      <c r="F624" s="68" t="s">
        <v>2235</v>
      </c>
      <c r="G624" s="68" t="s">
        <v>739</v>
      </c>
      <c r="H624" s="79"/>
      <c r="I624" s="229">
        <v>250</v>
      </c>
      <c r="J624" s="12" t="s">
        <v>53</v>
      </c>
      <c r="K624" s="97">
        <v>46241</v>
      </c>
      <c r="L624" s="95">
        <v>30</v>
      </c>
      <c r="M624" s="96">
        <v>46256</v>
      </c>
      <c r="N624" s="11">
        <f t="shared" si="18"/>
        <v>15</v>
      </c>
      <c r="O624" s="32" t="str">
        <f t="shared" si="19"/>
        <v>Yes</v>
      </c>
    </row>
    <row r="625" spans="2:15" ht="15" customHeight="1" x14ac:dyDescent="0.4">
      <c r="B625" s="10">
        <v>621</v>
      </c>
      <c r="C625" s="34" t="s">
        <v>822</v>
      </c>
      <c r="D625" s="68" t="s">
        <v>1448</v>
      </c>
      <c r="E625" s="118">
        <v>133468</v>
      </c>
      <c r="F625" s="68" t="s">
        <v>2236</v>
      </c>
      <c r="G625" s="68" t="s">
        <v>739</v>
      </c>
      <c r="H625" s="79"/>
      <c r="I625" s="229">
        <v>231</v>
      </c>
      <c r="J625" s="12" t="s">
        <v>53</v>
      </c>
      <c r="K625" s="97">
        <v>46241</v>
      </c>
      <c r="L625" s="95">
        <v>30</v>
      </c>
      <c r="M625" s="96">
        <v>46256</v>
      </c>
      <c r="N625" s="11">
        <f t="shared" si="18"/>
        <v>15</v>
      </c>
      <c r="O625" s="32" t="str">
        <f t="shared" si="19"/>
        <v>Yes</v>
      </c>
    </row>
    <row r="626" spans="2:15" ht="15" customHeight="1" x14ac:dyDescent="0.4">
      <c r="B626" s="10">
        <v>622</v>
      </c>
      <c r="C626" s="34" t="s">
        <v>822</v>
      </c>
      <c r="D626" s="68" t="s">
        <v>1449</v>
      </c>
      <c r="E626" s="68">
        <v>133468</v>
      </c>
      <c r="F626" s="68" t="s">
        <v>2237</v>
      </c>
      <c r="G626" s="68" t="s">
        <v>739</v>
      </c>
      <c r="H626" s="79"/>
      <c r="I626" s="229">
        <v>312.5</v>
      </c>
      <c r="J626" s="12" t="s">
        <v>53</v>
      </c>
      <c r="K626" s="97">
        <v>46241</v>
      </c>
      <c r="L626" s="95">
        <v>30</v>
      </c>
      <c r="M626" s="96">
        <v>46256</v>
      </c>
      <c r="N626" s="11">
        <f t="shared" si="18"/>
        <v>15</v>
      </c>
      <c r="O626" s="32" t="str">
        <f t="shared" si="19"/>
        <v>Yes</v>
      </c>
    </row>
    <row r="627" spans="2:15" ht="15" customHeight="1" x14ac:dyDescent="0.4">
      <c r="B627" s="10">
        <v>623</v>
      </c>
      <c r="C627" s="34" t="s">
        <v>822</v>
      </c>
      <c r="D627" s="68" t="s">
        <v>1450</v>
      </c>
      <c r="E627" s="68">
        <v>133468</v>
      </c>
      <c r="F627" s="68" t="s">
        <v>2238</v>
      </c>
      <c r="G627" s="68" t="s">
        <v>739</v>
      </c>
      <c r="H627" s="82"/>
      <c r="I627" s="229">
        <v>323.625</v>
      </c>
      <c r="J627" s="12" t="s">
        <v>53</v>
      </c>
      <c r="K627" s="97">
        <v>46241</v>
      </c>
      <c r="L627" s="95">
        <v>30</v>
      </c>
      <c r="M627" s="96">
        <v>46256</v>
      </c>
      <c r="N627" s="11">
        <f t="shared" si="18"/>
        <v>15</v>
      </c>
      <c r="O627" s="32" t="str">
        <f t="shared" si="19"/>
        <v>Yes</v>
      </c>
    </row>
    <row r="628" spans="2:15" ht="15" customHeight="1" x14ac:dyDescent="0.4">
      <c r="B628" s="10">
        <v>624</v>
      </c>
      <c r="C628" s="34" t="s">
        <v>822</v>
      </c>
      <c r="D628" s="68" t="s">
        <v>1451</v>
      </c>
      <c r="E628" s="68">
        <v>133468</v>
      </c>
      <c r="F628" s="68" t="s">
        <v>2238</v>
      </c>
      <c r="G628" s="68" t="s">
        <v>739</v>
      </c>
      <c r="H628" s="79"/>
      <c r="I628" s="229">
        <v>462</v>
      </c>
      <c r="J628" s="12" t="s">
        <v>53</v>
      </c>
      <c r="K628" s="97">
        <v>46241</v>
      </c>
      <c r="L628" s="95">
        <v>30</v>
      </c>
      <c r="M628" s="96">
        <v>46256</v>
      </c>
      <c r="N628" s="11">
        <f t="shared" si="18"/>
        <v>15</v>
      </c>
      <c r="O628" s="32" t="str">
        <f t="shared" si="19"/>
        <v>Yes</v>
      </c>
    </row>
    <row r="629" spans="2:15" ht="15" customHeight="1" x14ac:dyDescent="0.4">
      <c r="B629" s="10">
        <v>625</v>
      </c>
      <c r="C629" s="34" t="s">
        <v>822</v>
      </c>
      <c r="D629" s="68" t="s">
        <v>1452</v>
      </c>
      <c r="E629" s="68">
        <v>133468</v>
      </c>
      <c r="F629" s="68" t="s">
        <v>2239</v>
      </c>
      <c r="G629" s="68" t="s">
        <v>739</v>
      </c>
      <c r="H629" s="79"/>
      <c r="I629" s="229">
        <v>312.5</v>
      </c>
      <c r="J629" s="12" t="s">
        <v>53</v>
      </c>
      <c r="K629" s="97">
        <v>46241</v>
      </c>
      <c r="L629" s="95">
        <v>30</v>
      </c>
      <c r="M629" s="96">
        <v>46256</v>
      </c>
      <c r="N629" s="11">
        <f t="shared" si="18"/>
        <v>15</v>
      </c>
      <c r="O629" s="32" t="str">
        <f t="shared" si="19"/>
        <v>Yes</v>
      </c>
    </row>
    <row r="630" spans="2:15" ht="15" customHeight="1" x14ac:dyDescent="0.4">
      <c r="B630" s="10">
        <v>626</v>
      </c>
      <c r="C630" s="34" t="s">
        <v>822</v>
      </c>
      <c r="D630" s="68" t="s">
        <v>1453</v>
      </c>
      <c r="E630" s="68">
        <v>136022</v>
      </c>
      <c r="F630" s="68" t="s">
        <v>2240</v>
      </c>
      <c r="G630" s="68" t="s">
        <v>739</v>
      </c>
      <c r="H630" s="79"/>
      <c r="I630" s="229">
        <v>809.0625</v>
      </c>
      <c r="J630" s="12" t="s">
        <v>53</v>
      </c>
      <c r="K630" s="97">
        <v>46241</v>
      </c>
      <c r="L630" s="95">
        <v>30</v>
      </c>
      <c r="M630" s="96">
        <v>46260</v>
      </c>
      <c r="N630" s="11">
        <f t="shared" si="18"/>
        <v>19</v>
      </c>
      <c r="O630" s="32" t="str">
        <f t="shared" si="19"/>
        <v>Yes</v>
      </c>
    </row>
    <row r="631" spans="2:15" ht="15" customHeight="1" x14ac:dyDescent="0.4">
      <c r="B631" s="10">
        <v>627</v>
      </c>
      <c r="C631" s="34" t="s">
        <v>822</v>
      </c>
      <c r="D631" s="68" t="s">
        <v>1454</v>
      </c>
      <c r="E631" s="68">
        <v>136022</v>
      </c>
      <c r="F631" s="68" t="s">
        <v>2241</v>
      </c>
      <c r="G631" s="68" t="s">
        <v>739</v>
      </c>
      <c r="H631" s="79"/>
      <c r="I631" s="229">
        <v>462</v>
      </c>
      <c r="J631" s="12" t="s">
        <v>53</v>
      </c>
      <c r="K631" s="97">
        <v>46241</v>
      </c>
      <c r="L631" s="95">
        <v>30</v>
      </c>
      <c r="M631" s="96">
        <v>46260</v>
      </c>
      <c r="N631" s="11">
        <f t="shared" si="18"/>
        <v>19</v>
      </c>
      <c r="O631" s="32" t="str">
        <f t="shared" si="19"/>
        <v>Yes</v>
      </c>
    </row>
    <row r="632" spans="2:15" ht="15" customHeight="1" x14ac:dyDescent="0.4">
      <c r="B632" s="10">
        <v>628</v>
      </c>
      <c r="C632" s="34" t="s">
        <v>822</v>
      </c>
      <c r="D632" s="68" t="s">
        <v>1102</v>
      </c>
      <c r="E632" s="68">
        <v>126616</v>
      </c>
      <c r="F632" s="68" t="s">
        <v>1834</v>
      </c>
      <c r="G632" s="68" t="s">
        <v>739</v>
      </c>
      <c r="H632" s="79"/>
      <c r="I632" s="229">
        <v>23.4375</v>
      </c>
      <c r="J632" s="12" t="s">
        <v>53</v>
      </c>
      <c r="K632" s="97">
        <v>46241</v>
      </c>
      <c r="L632" s="95">
        <v>30</v>
      </c>
      <c r="M632" s="96">
        <v>46256</v>
      </c>
      <c r="N632" s="11">
        <f t="shared" si="18"/>
        <v>15</v>
      </c>
      <c r="O632" s="32" t="str">
        <f t="shared" si="19"/>
        <v>Yes</v>
      </c>
    </row>
    <row r="633" spans="2:15" ht="15" customHeight="1" x14ac:dyDescent="0.4">
      <c r="B633" s="10">
        <v>629</v>
      </c>
      <c r="C633" s="34" t="s">
        <v>822</v>
      </c>
      <c r="D633" s="68">
        <v>126258</v>
      </c>
      <c r="E633" s="68">
        <v>135416</v>
      </c>
      <c r="F633" s="68" t="s">
        <v>2242</v>
      </c>
      <c r="G633" s="68" t="s">
        <v>2561</v>
      </c>
      <c r="H633" s="79"/>
      <c r="I633" s="229">
        <v>452.35374999999999</v>
      </c>
      <c r="J633" s="12" t="s">
        <v>53</v>
      </c>
      <c r="K633" s="97">
        <v>46211</v>
      </c>
      <c r="L633" s="95">
        <v>30</v>
      </c>
      <c r="M633" s="96">
        <v>46247</v>
      </c>
      <c r="N633" s="11">
        <f t="shared" si="18"/>
        <v>36</v>
      </c>
      <c r="O633" s="32" t="str">
        <f t="shared" si="19"/>
        <v>No</v>
      </c>
    </row>
    <row r="634" spans="2:15" ht="15" customHeight="1" x14ac:dyDescent="0.4">
      <c r="B634" s="10">
        <v>630</v>
      </c>
      <c r="C634" s="34" t="s">
        <v>822</v>
      </c>
      <c r="D634" s="68">
        <v>122211</v>
      </c>
      <c r="E634" s="68">
        <v>135416</v>
      </c>
      <c r="F634" s="68" t="s">
        <v>2243</v>
      </c>
      <c r="G634" s="68" t="s">
        <v>2561</v>
      </c>
      <c r="H634" s="79"/>
      <c r="I634" s="229">
        <v>452.35374999999999</v>
      </c>
      <c r="J634" s="12" t="s">
        <v>53</v>
      </c>
      <c r="K634" s="97">
        <v>46211</v>
      </c>
      <c r="L634" s="95">
        <v>30</v>
      </c>
      <c r="M634" s="96">
        <v>46248</v>
      </c>
      <c r="N634" s="11">
        <f t="shared" si="18"/>
        <v>37</v>
      </c>
      <c r="O634" s="32" t="str">
        <f t="shared" si="19"/>
        <v>No</v>
      </c>
    </row>
    <row r="635" spans="2:15" ht="15" customHeight="1" x14ac:dyDescent="0.4">
      <c r="B635" s="10">
        <v>631</v>
      </c>
      <c r="C635" s="34" t="s">
        <v>822</v>
      </c>
      <c r="D635" s="68">
        <v>117915</v>
      </c>
      <c r="E635" s="68">
        <v>135416</v>
      </c>
      <c r="F635" s="68" t="s">
        <v>2244</v>
      </c>
      <c r="G635" s="68" t="s">
        <v>2561</v>
      </c>
      <c r="H635" s="79"/>
      <c r="I635" s="229">
        <v>452.35374999999999</v>
      </c>
      <c r="J635" s="12" t="s">
        <v>53</v>
      </c>
      <c r="K635" s="97">
        <v>46211</v>
      </c>
      <c r="L635" s="95">
        <v>30</v>
      </c>
      <c r="M635" s="96">
        <v>46249</v>
      </c>
      <c r="N635" s="11">
        <f t="shared" si="18"/>
        <v>38</v>
      </c>
      <c r="O635" s="32" t="str">
        <f t="shared" si="19"/>
        <v>No</v>
      </c>
    </row>
    <row r="636" spans="2:15" ht="15" customHeight="1" x14ac:dyDescent="0.4">
      <c r="B636" s="10">
        <v>632</v>
      </c>
      <c r="C636" s="34" t="s">
        <v>822</v>
      </c>
      <c r="D636" s="68">
        <v>114769</v>
      </c>
      <c r="E636" s="68">
        <v>135416</v>
      </c>
      <c r="F636" s="68" t="s">
        <v>2245</v>
      </c>
      <c r="G636" s="68" t="s">
        <v>2561</v>
      </c>
      <c r="H636" s="79"/>
      <c r="I636" s="229">
        <v>452.35374999999999</v>
      </c>
      <c r="J636" s="12" t="s">
        <v>53</v>
      </c>
      <c r="K636" s="97">
        <v>46211</v>
      </c>
      <c r="L636" s="95">
        <v>30</v>
      </c>
      <c r="M636" s="96">
        <v>46246</v>
      </c>
      <c r="N636" s="11">
        <f t="shared" si="18"/>
        <v>35</v>
      </c>
      <c r="O636" s="32" t="str">
        <f t="shared" si="19"/>
        <v>No</v>
      </c>
    </row>
    <row r="637" spans="2:15" ht="15" customHeight="1" x14ac:dyDescent="0.4">
      <c r="B637" s="10">
        <v>633</v>
      </c>
      <c r="C637" s="34" t="s">
        <v>822</v>
      </c>
      <c r="D637" s="68">
        <v>110142</v>
      </c>
      <c r="E637" s="68">
        <v>135416</v>
      </c>
      <c r="F637" s="68" t="s">
        <v>2246</v>
      </c>
      <c r="G637" s="68" t="s">
        <v>2561</v>
      </c>
      <c r="H637" s="79"/>
      <c r="I637" s="229">
        <v>452.35374999999999</v>
      </c>
      <c r="J637" s="12" t="s">
        <v>53</v>
      </c>
      <c r="K637" s="97">
        <v>46211</v>
      </c>
      <c r="L637" s="95">
        <v>30</v>
      </c>
      <c r="M637" s="96">
        <v>46249</v>
      </c>
      <c r="N637" s="11">
        <f t="shared" si="18"/>
        <v>38</v>
      </c>
      <c r="O637" s="32" t="str">
        <f t="shared" si="19"/>
        <v>No</v>
      </c>
    </row>
    <row r="638" spans="2:15" ht="15" customHeight="1" x14ac:dyDescent="0.4">
      <c r="B638" s="10">
        <v>634</v>
      </c>
      <c r="C638" s="34" t="s">
        <v>822</v>
      </c>
      <c r="D638" s="68">
        <v>102061</v>
      </c>
      <c r="E638" s="68">
        <v>135416</v>
      </c>
      <c r="F638" s="68" t="s">
        <v>2247</v>
      </c>
      <c r="G638" s="68" t="s">
        <v>2561</v>
      </c>
      <c r="H638" s="79"/>
      <c r="I638" s="229">
        <v>452.35374999999999</v>
      </c>
      <c r="J638" s="12" t="s">
        <v>53</v>
      </c>
      <c r="K638" s="97">
        <v>46211</v>
      </c>
      <c r="L638" s="95">
        <v>30</v>
      </c>
      <c r="M638" s="96">
        <v>46237</v>
      </c>
      <c r="N638" s="11">
        <f t="shared" si="18"/>
        <v>26</v>
      </c>
      <c r="O638" s="32" t="str">
        <f t="shared" si="19"/>
        <v>Yes</v>
      </c>
    </row>
    <row r="639" spans="2:15" ht="15" customHeight="1" x14ac:dyDescent="0.4">
      <c r="B639" s="10">
        <v>635</v>
      </c>
      <c r="C639" s="34" t="s">
        <v>822</v>
      </c>
      <c r="D639" s="68" t="s">
        <v>1455</v>
      </c>
      <c r="E639" s="68">
        <v>136193</v>
      </c>
      <c r="F639" s="68" t="s">
        <v>385</v>
      </c>
      <c r="G639" s="68" t="s">
        <v>688</v>
      </c>
      <c r="H639" s="79"/>
      <c r="I639" s="229">
        <v>1706.25</v>
      </c>
      <c r="J639" s="12" t="s">
        <v>53</v>
      </c>
      <c r="K639" s="97">
        <v>46212</v>
      </c>
      <c r="L639" s="95">
        <v>30</v>
      </c>
      <c r="M639" s="96">
        <v>46238</v>
      </c>
      <c r="N639" s="11">
        <f t="shared" si="18"/>
        <v>26</v>
      </c>
      <c r="O639" s="32" t="str">
        <f t="shared" si="19"/>
        <v>Yes</v>
      </c>
    </row>
    <row r="640" spans="2:15" ht="15" customHeight="1" x14ac:dyDescent="0.4">
      <c r="B640" s="10">
        <v>636</v>
      </c>
      <c r="C640" s="34" t="s">
        <v>822</v>
      </c>
      <c r="D640" s="68" t="s">
        <v>1456</v>
      </c>
      <c r="E640" s="68">
        <v>135014</v>
      </c>
      <c r="F640" s="68" t="s">
        <v>2248</v>
      </c>
      <c r="G640" s="68" t="s">
        <v>622</v>
      </c>
      <c r="H640" s="79"/>
      <c r="I640" s="229">
        <v>165.625</v>
      </c>
      <c r="J640" s="12" t="s">
        <v>53</v>
      </c>
      <c r="K640" s="97">
        <v>46182</v>
      </c>
      <c r="L640" s="95">
        <v>30</v>
      </c>
      <c r="M640" s="96">
        <v>46211</v>
      </c>
      <c r="N640" s="11">
        <f t="shared" si="18"/>
        <v>29</v>
      </c>
      <c r="O640" s="32" t="str">
        <f t="shared" si="19"/>
        <v>Yes</v>
      </c>
    </row>
    <row r="641" spans="2:15" ht="26.25" customHeight="1" x14ac:dyDescent="0.4">
      <c r="B641" s="10">
        <v>637</v>
      </c>
      <c r="C641" s="34" t="s">
        <v>822</v>
      </c>
      <c r="D641" s="68" t="s">
        <v>1457</v>
      </c>
      <c r="E641" s="68">
        <v>135533</v>
      </c>
      <c r="F641" s="68" t="s">
        <v>2249</v>
      </c>
      <c r="G641" s="68" t="s">
        <v>622</v>
      </c>
      <c r="H641" s="79"/>
      <c r="I641" s="229">
        <v>2915.625</v>
      </c>
      <c r="J641" s="12" t="s">
        <v>53</v>
      </c>
      <c r="K641" s="97">
        <v>46218</v>
      </c>
      <c r="L641" s="95">
        <v>30</v>
      </c>
      <c r="M641" s="96">
        <v>46248</v>
      </c>
      <c r="N641" s="11">
        <f t="shared" si="18"/>
        <v>30</v>
      </c>
      <c r="O641" s="32" t="str">
        <f t="shared" si="19"/>
        <v>Yes</v>
      </c>
    </row>
    <row r="642" spans="2:15" ht="15" customHeight="1" x14ac:dyDescent="0.4">
      <c r="B642" s="10">
        <v>638</v>
      </c>
      <c r="C642" s="34" t="s">
        <v>822</v>
      </c>
      <c r="D642" s="68" t="s">
        <v>1458</v>
      </c>
      <c r="E642" s="68">
        <v>135556</v>
      </c>
      <c r="F642" s="68" t="s">
        <v>2250</v>
      </c>
      <c r="G642" s="68" t="s">
        <v>622</v>
      </c>
      <c r="H642" s="79"/>
      <c r="I642" s="229">
        <v>927.08333333333337</v>
      </c>
      <c r="J642" s="12" t="s">
        <v>53</v>
      </c>
      <c r="K642" s="97">
        <v>46212</v>
      </c>
      <c r="L642" s="95">
        <v>30</v>
      </c>
      <c r="M642" s="96">
        <v>46249</v>
      </c>
      <c r="N642" s="11">
        <f t="shared" si="18"/>
        <v>37</v>
      </c>
      <c r="O642" s="32" t="str">
        <f t="shared" si="19"/>
        <v>No</v>
      </c>
    </row>
    <row r="643" spans="2:15" ht="15" customHeight="1" x14ac:dyDescent="0.4">
      <c r="B643" s="10">
        <v>639</v>
      </c>
      <c r="C643" s="34" t="s">
        <v>822</v>
      </c>
      <c r="D643" s="68" t="s">
        <v>1459</v>
      </c>
      <c r="E643" s="68">
        <v>135466</v>
      </c>
      <c r="F643" s="68" t="s">
        <v>2251</v>
      </c>
      <c r="G643" s="68" t="s">
        <v>622</v>
      </c>
      <c r="H643" s="79"/>
      <c r="I643" s="229">
        <v>91.666666666666671</v>
      </c>
      <c r="J643" s="12" t="s">
        <v>53</v>
      </c>
      <c r="K643" s="97">
        <v>46205</v>
      </c>
      <c r="L643" s="95">
        <v>30</v>
      </c>
      <c r="M643" s="96">
        <v>46234</v>
      </c>
      <c r="N643" s="11">
        <f t="shared" si="18"/>
        <v>29</v>
      </c>
      <c r="O643" s="32" t="str">
        <f t="shared" si="19"/>
        <v>Yes</v>
      </c>
    </row>
    <row r="644" spans="2:15" ht="15" customHeight="1" x14ac:dyDescent="0.4">
      <c r="B644" s="10">
        <v>640</v>
      </c>
      <c r="C644" s="34" t="s">
        <v>822</v>
      </c>
      <c r="D644" s="68" t="s">
        <v>1460</v>
      </c>
      <c r="E644" s="68">
        <v>133931</v>
      </c>
      <c r="F644" s="68" t="s">
        <v>2252</v>
      </c>
      <c r="G644" s="68" t="s">
        <v>622</v>
      </c>
      <c r="H644" s="79"/>
      <c r="I644" s="229">
        <v>1394.25</v>
      </c>
      <c r="J644" s="12" t="s">
        <v>53</v>
      </c>
      <c r="K644" s="97">
        <v>46202</v>
      </c>
      <c r="L644" s="95">
        <v>30</v>
      </c>
      <c r="M644" s="96">
        <v>46230</v>
      </c>
      <c r="N644" s="11">
        <f t="shared" si="18"/>
        <v>28</v>
      </c>
      <c r="O644" s="32" t="str">
        <f t="shared" si="19"/>
        <v>Yes</v>
      </c>
    </row>
    <row r="645" spans="2:15" ht="15" customHeight="1" x14ac:dyDescent="0.4">
      <c r="B645" s="10">
        <v>641</v>
      </c>
      <c r="C645" s="34" t="s">
        <v>822</v>
      </c>
      <c r="D645" s="68" t="s">
        <v>1461</v>
      </c>
      <c r="E645" s="68">
        <v>134623</v>
      </c>
      <c r="F645" s="68" t="s">
        <v>2253</v>
      </c>
      <c r="G645" s="68" t="s">
        <v>622</v>
      </c>
      <c r="H645" s="79"/>
      <c r="I645" s="229">
        <v>1806.25</v>
      </c>
      <c r="J645" s="12" t="s">
        <v>53</v>
      </c>
      <c r="K645" s="97">
        <v>46196</v>
      </c>
      <c r="L645" s="95">
        <v>30</v>
      </c>
      <c r="M645" s="96">
        <v>46222</v>
      </c>
      <c r="N645" s="11">
        <f t="shared" ref="N645:N708" si="20">IF(OR(M645="", K645=""),"", M645- K645)</f>
        <v>26</v>
      </c>
      <c r="O645" s="32" t="str">
        <f t="shared" ref="O645:O708" si="21">IF(OR(M645="", K645="", L645=""), "", IF((M645 - K645) &gt; L645, "No", "Yes"))</f>
        <v>Yes</v>
      </c>
    </row>
    <row r="646" spans="2:15" ht="15" customHeight="1" x14ac:dyDescent="0.4">
      <c r="B646" s="10">
        <v>642</v>
      </c>
      <c r="C646" s="34" t="s">
        <v>822</v>
      </c>
      <c r="D646" s="68" t="s">
        <v>1462</v>
      </c>
      <c r="E646" s="68">
        <v>135156</v>
      </c>
      <c r="F646" s="68" t="s">
        <v>2254</v>
      </c>
      <c r="G646" s="68" t="s">
        <v>622</v>
      </c>
      <c r="H646" s="79"/>
      <c r="I646" s="229">
        <v>62.5</v>
      </c>
      <c r="J646" s="12" t="s">
        <v>53</v>
      </c>
      <c r="K646" s="97">
        <v>46195</v>
      </c>
      <c r="L646" s="95">
        <v>30</v>
      </c>
      <c r="M646" s="96">
        <v>46225</v>
      </c>
      <c r="N646" s="11">
        <f t="shared" si="20"/>
        <v>30</v>
      </c>
      <c r="O646" s="32" t="str">
        <f t="shared" si="21"/>
        <v>Yes</v>
      </c>
    </row>
    <row r="647" spans="2:15" ht="15" customHeight="1" x14ac:dyDescent="0.4">
      <c r="B647" s="10">
        <v>643</v>
      </c>
      <c r="C647" s="34" t="s">
        <v>822</v>
      </c>
      <c r="D647" s="68" t="s">
        <v>1463</v>
      </c>
      <c r="E647" s="68">
        <v>135906</v>
      </c>
      <c r="F647" s="68" t="s">
        <v>2255</v>
      </c>
      <c r="G647" s="68" t="s">
        <v>622</v>
      </c>
      <c r="H647" s="79"/>
      <c r="I647" s="229">
        <v>114.58333333333333</v>
      </c>
      <c r="J647" s="12" t="s">
        <v>53</v>
      </c>
      <c r="K647" s="97">
        <v>46230</v>
      </c>
      <c r="L647" s="95">
        <v>30</v>
      </c>
      <c r="M647" s="96">
        <v>46256</v>
      </c>
      <c r="N647" s="11">
        <f t="shared" si="20"/>
        <v>26</v>
      </c>
      <c r="O647" s="32" t="str">
        <f t="shared" si="21"/>
        <v>Yes</v>
      </c>
    </row>
    <row r="648" spans="2:15" ht="15" customHeight="1" x14ac:dyDescent="0.4">
      <c r="B648" s="10">
        <v>644</v>
      </c>
      <c r="C648" s="34" t="s">
        <v>822</v>
      </c>
      <c r="D648" s="68" t="s">
        <v>1464</v>
      </c>
      <c r="E648" s="68">
        <v>135479</v>
      </c>
      <c r="F648" s="68" t="s">
        <v>2256</v>
      </c>
      <c r="G648" s="68" t="s">
        <v>622</v>
      </c>
      <c r="H648" s="79"/>
      <c r="I648" s="229">
        <v>291.66666666666669</v>
      </c>
      <c r="J648" s="12" t="s">
        <v>53</v>
      </c>
      <c r="K648" s="97">
        <v>46205</v>
      </c>
      <c r="L648" s="95">
        <v>30</v>
      </c>
      <c r="M648" s="96">
        <v>46230</v>
      </c>
      <c r="N648" s="11">
        <f t="shared" si="20"/>
        <v>25</v>
      </c>
      <c r="O648" s="32" t="str">
        <f t="shared" si="21"/>
        <v>Yes</v>
      </c>
    </row>
    <row r="649" spans="2:15" ht="15" customHeight="1" x14ac:dyDescent="0.4">
      <c r="B649" s="10">
        <v>645</v>
      </c>
      <c r="C649" s="34" t="s">
        <v>822</v>
      </c>
      <c r="D649" s="68" t="s">
        <v>1465</v>
      </c>
      <c r="E649" s="68">
        <v>135409</v>
      </c>
      <c r="F649" s="68" t="s">
        <v>2257</v>
      </c>
      <c r="G649" s="68" t="s">
        <v>622</v>
      </c>
      <c r="H649" s="79"/>
      <c r="I649" s="229">
        <v>93.75</v>
      </c>
      <c r="J649" s="12" t="s">
        <v>53</v>
      </c>
      <c r="K649" s="97">
        <v>46202</v>
      </c>
      <c r="L649" s="95">
        <v>30</v>
      </c>
      <c r="M649" s="96">
        <v>46239</v>
      </c>
      <c r="N649" s="11">
        <f t="shared" si="20"/>
        <v>37</v>
      </c>
      <c r="O649" s="32" t="str">
        <f t="shared" si="21"/>
        <v>No</v>
      </c>
    </row>
    <row r="650" spans="2:15" ht="15" customHeight="1" x14ac:dyDescent="0.4">
      <c r="B650" s="10">
        <v>646</v>
      </c>
      <c r="C650" s="34" t="s">
        <v>822</v>
      </c>
      <c r="D650" s="68" t="s">
        <v>1466</v>
      </c>
      <c r="E650" s="68">
        <v>134994</v>
      </c>
      <c r="F650" s="68" t="s">
        <v>2258</v>
      </c>
      <c r="G650" s="68" t="s">
        <v>622</v>
      </c>
      <c r="H650" s="79"/>
      <c r="I650" s="229">
        <v>145.83333333333334</v>
      </c>
      <c r="J650" s="12" t="s">
        <v>53</v>
      </c>
      <c r="K650" s="97">
        <v>46198</v>
      </c>
      <c r="L650" s="95">
        <v>30</v>
      </c>
      <c r="M650" s="96">
        <v>46234</v>
      </c>
      <c r="N650" s="11">
        <f t="shared" si="20"/>
        <v>36</v>
      </c>
      <c r="O650" s="32" t="str">
        <f t="shared" si="21"/>
        <v>No</v>
      </c>
    </row>
    <row r="651" spans="2:15" ht="15" customHeight="1" x14ac:dyDescent="0.4">
      <c r="B651" s="10">
        <v>647</v>
      </c>
      <c r="C651" s="34" t="s">
        <v>822</v>
      </c>
      <c r="D651" s="68" t="s">
        <v>1467</v>
      </c>
      <c r="E651" s="68">
        <v>134574</v>
      </c>
      <c r="F651" s="68" t="s">
        <v>2259</v>
      </c>
      <c r="G651" s="68" t="s">
        <v>656</v>
      </c>
      <c r="H651" s="79"/>
      <c r="I651" s="229">
        <v>1416.6666666666667</v>
      </c>
      <c r="J651" s="12" t="s">
        <v>53</v>
      </c>
      <c r="K651" s="97">
        <v>46163</v>
      </c>
      <c r="L651" s="95">
        <v>30</v>
      </c>
      <c r="M651" s="96">
        <v>46190</v>
      </c>
      <c r="N651" s="11">
        <f t="shared" si="20"/>
        <v>27</v>
      </c>
      <c r="O651" s="32" t="str">
        <f t="shared" si="21"/>
        <v>Yes</v>
      </c>
    </row>
    <row r="652" spans="2:15" ht="15" customHeight="1" x14ac:dyDescent="0.4">
      <c r="B652" s="10">
        <v>648</v>
      </c>
      <c r="C652" s="34" t="s">
        <v>822</v>
      </c>
      <c r="D652" s="68" t="s">
        <v>1468</v>
      </c>
      <c r="E652" s="68">
        <v>134158</v>
      </c>
      <c r="F652" s="68" t="s">
        <v>2260</v>
      </c>
      <c r="G652" s="68" t="s">
        <v>2490</v>
      </c>
      <c r="H652" s="79"/>
      <c r="I652" s="229">
        <v>833.33333333333337</v>
      </c>
      <c r="J652" s="12" t="s">
        <v>53</v>
      </c>
      <c r="K652" s="97">
        <v>46237</v>
      </c>
      <c r="L652" s="95">
        <v>30</v>
      </c>
      <c r="M652" s="96">
        <v>46259</v>
      </c>
      <c r="N652" s="11">
        <f t="shared" si="20"/>
        <v>22</v>
      </c>
      <c r="O652" s="32" t="str">
        <f t="shared" si="21"/>
        <v>Yes</v>
      </c>
    </row>
    <row r="653" spans="2:15" ht="15" customHeight="1" x14ac:dyDescent="0.4">
      <c r="B653" s="10">
        <v>649</v>
      </c>
      <c r="C653" s="34" t="s">
        <v>822</v>
      </c>
      <c r="D653" s="68" t="s">
        <v>1469</v>
      </c>
      <c r="E653" s="68">
        <v>134158</v>
      </c>
      <c r="F653" s="68" t="s">
        <v>2260</v>
      </c>
      <c r="G653" s="68" t="s">
        <v>2490</v>
      </c>
      <c r="H653" s="79"/>
      <c r="I653" s="229">
        <v>479.16666666666669</v>
      </c>
      <c r="J653" s="12" t="s">
        <v>53</v>
      </c>
      <c r="K653" s="97">
        <v>46237</v>
      </c>
      <c r="L653" s="95">
        <v>30</v>
      </c>
      <c r="M653" s="96">
        <v>46259</v>
      </c>
      <c r="N653" s="11">
        <f t="shared" si="20"/>
        <v>22</v>
      </c>
      <c r="O653" s="32" t="str">
        <f t="shared" si="21"/>
        <v>Yes</v>
      </c>
    </row>
    <row r="654" spans="2:15" ht="15" customHeight="1" x14ac:dyDescent="0.4">
      <c r="B654" s="10">
        <v>650</v>
      </c>
      <c r="C654" s="34" t="s">
        <v>822</v>
      </c>
      <c r="D654" s="68" t="s">
        <v>1470</v>
      </c>
      <c r="E654" s="68">
        <v>134158</v>
      </c>
      <c r="F654" s="68" t="s">
        <v>1849</v>
      </c>
      <c r="G654" s="68" t="s">
        <v>2490</v>
      </c>
      <c r="H654" s="79"/>
      <c r="I654" s="229">
        <v>666.66666666666663</v>
      </c>
      <c r="J654" s="12" t="s">
        <v>53</v>
      </c>
      <c r="K654" s="97">
        <v>46238</v>
      </c>
      <c r="L654" s="95">
        <v>30</v>
      </c>
      <c r="M654" s="96">
        <v>46259</v>
      </c>
      <c r="N654" s="11">
        <f t="shared" si="20"/>
        <v>21</v>
      </c>
      <c r="O654" s="32" t="str">
        <f t="shared" si="21"/>
        <v>Yes</v>
      </c>
    </row>
    <row r="655" spans="2:15" ht="15" customHeight="1" x14ac:dyDescent="0.4">
      <c r="B655" s="10">
        <v>651</v>
      </c>
      <c r="C655" s="34" t="s">
        <v>822</v>
      </c>
      <c r="D655" s="68" t="s">
        <v>1471</v>
      </c>
      <c r="E655" s="68">
        <v>134158</v>
      </c>
      <c r="F655" s="68" t="s">
        <v>2261</v>
      </c>
      <c r="G655" s="68" t="s">
        <v>2490</v>
      </c>
      <c r="H655" s="79"/>
      <c r="I655" s="229">
        <v>166.66666666666666</v>
      </c>
      <c r="J655" s="12" t="s">
        <v>53</v>
      </c>
      <c r="K655" s="97">
        <v>46238</v>
      </c>
      <c r="L655" s="95">
        <v>30</v>
      </c>
      <c r="M655" s="96">
        <v>46259</v>
      </c>
      <c r="N655" s="11">
        <f t="shared" si="20"/>
        <v>21</v>
      </c>
      <c r="O655" s="32" t="str">
        <f t="shared" si="21"/>
        <v>Yes</v>
      </c>
    </row>
    <row r="656" spans="2:15" ht="15" customHeight="1" x14ac:dyDescent="0.4">
      <c r="B656" s="10">
        <v>652</v>
      </c>
      <c r="C656" s="34" t="s">
        <v>822</v>
      </c>
      <c r="D656" s="68" t="s">
        <v>1472</v>
      </c>
      <c r="E656" s="68">
        <v>134158</v>
      </c>
      <c r="F656" s="68" t="s">
        <v>2262</v>
      </c>
      <c r="G656" s="68" t="s">
        <v>2490</v>
      </c>
      <c r="H656" s="79"/>
      <c r="I656" s="229">
        <v>400</v>
      </c>
      <c r="J656" s="12" t="s">
        <v>53</v>
      </c>
      <c r="K656" s="97">
        <v>46238</v>
      </c>
      <c r="L656" s="95">
        <v>30</v>
      </c>
      <c r="M656" s="96">
        <v>46259</v>
      </c>
      <c r="N656" s="11">
        <f t="shared" si="20"/>
        <v>21</v>
      </c>
      <c r="O656" s="32" t="str">
        <f t="shared" si="21"/>
        <v>Yes</v>
      </c>
    </row>
    <row r="657" spans="2:15" ht="15" customHeight="1" x14ac:dyDescent="0.4">
      <c r="B657" s="10">
        <v>653</v>
      </c>
      <c r="C657" s="34" t="s">
        <v>822</v>
      </c>
      <c r="D657" s="68" t="s">
        <v>1473</v>
      </c>
      <c r="E657" s="68">
        <v>134158</v>
      </c>
      <c r="F657" s="68" t="s">
        <v>2263</v>
      </c>
      <c r="G657" s="68" t="s">
        <v>2490</v>
      </c>
      <c r="H657" s="79"/>
      <c r="I657" s="229">
        <v>260.41666666666669</v>
      </c>
      <c r="J657" s="12" t="s">
        <v>53</v>
      </c>
      <c r="K657" s="97">
        <v>46246</v>
      </c>
      <c r="L657" s="95">
        <v>30</v>
      </c>
      <c r="M657" s="96">
        <v>46259</v>
      </c>
      <c r="N657" s="11">
        <f t="shared" si="20"/>
        <v>13</v>
      </c>
      <c r="O657" s="32" t="str">
        <f t="shared" si="21"/>
        <v>Yes</v>
      </c>
    </row>
    <row r="658" spans="2:15" ht="15" customHeight="1" x14ac:dyDescent="0.4">
      <c r="B658" s="10">
        <v>654</v>
      </c>
      <c r="C658" s="34" t="s">
        <v>822</v>
      </c>
      <c r="D658" s="68" t="s">
        <v>1474</v>
      </c>
      <c r="E658" s="68">
        <v>134158</v>
      </c>
      <c r="F658" s="68" t="s">
        <v>2264</v>
      </c>
      <c r="G658" s="68" t="s">
        <v>2490</v>
      </c>
      <c r="H658" s="79"/>
      <c r="I658" s="229">
        <v>41.666666666666664</v>
      </c>
      <c r="J658" s="12" t="s">
        <v>53</v>
      </c>
      <c r="K658" s="97">
        <v>46246</v>
      </c>
      <c r="L658" s="95">
        <v>30</v>
      </c>
      <c r="M658" s="96">
        <v>46259</v>
      </c>
      <c r="N658" s="11">
        <f t="shared" si="20"/>
        <v>13</v>
      </c>
      <c r="O658" s="32" t="str">
        <f t="shared" si="21"/>
        <v>Yes</v>
      </c>
    </row>
    <row r="659" spans="2:15" ht="15" customHeight="1" x14ac:dyDescent="0.4">
      <c r="B659" s="10">
        <v>655</v>
      </c>
      <c r="C659" s="34" t="s">
        <v>822</v>
      </c>
      <c r="D659" s="68" t="s">
        <v>1475</v>
      </c>
      <c r="E659" s="68">
        <v>134158</v>
      </c>
      <c r="F659" s="68" t="s">
        <v>2264</v>
      </c>
      <c r="G659" s="68" t="s">
        <v>2490</v>
      </c>
      <c r="H659" s="93"/>
      <c r="I659" s="229">
        <v>41.666666666666664</v>
      </c>
      <c r="J659" s="12" t="s">
        <v>53</v>
      </c>
      <c r="K659" s="97">
        <v>46238</v>
      </c>
      <c r="L659" s="95">
        <v>30</v>
      </c>
      <c r="M659" s="96">
        <v>46259</v>
      </c>
      <c r="N659" s="11">
        <f t="shared" si="20"/>
        <v>21</v>
      </c>
      <c r="O659" s="32" t="str">
        <f t="shared" si="21"/>
        <v>Yes</v>
      </c>
    </row>
    <row r="660" spans="2:15" ht="15" customHeight="1" x14ac:dyDescent="0.4">
      <c r="B660" s="10">
        <v>656</v>
      </c>
      <c r="C660" s="34" t="s">
        <v>822</v>
      </c>
      <c r="D660" s="68" t="s">
        <v>1476</v>
      </c>
      <c r="E660" s="68">
        <v>134158</v>
      </c>
      <c r="F660" s="68" t="s">
        <v>2260</v>
      </c>
      <c r="G660" s="68" t="s">
        <v>2490</v>
      </c>
      <c r="H660" s="79"/>
      <c r="I660" s="229">
        <v>166.66666666666666</v>
      </c>
      <c r="J660" s="12" t="s">
        <v>53</v>
      </c>
      <c r="K660" s="97">
        <v>46238</v>
      </c>
      <c r="L660" s="95">
        <v>30</v>
      </c>
      <c r="M660" s="96">
        <v>46259</v>
      </c>
      <c r="N660" s="11">
        <f t="shared" si="20"/>
        <v>21</v>
      </c>
      <c r="O660" s="32" t="str">
        <f t="shared" si="21"/>
        <v>Yes</v>
      </c>
    </row>
    <row r="661" spans="2:15" ht="15" customHeight="1" x14ac:dyDescent="0.4">
      <c r="B661" s="10">
        <v>657</v>
      </c>
      <c r="C661" s="34" t="s">
        <v>822</v>
      </c>
      <c r="D661" s="68" t="s">
        <v>1477</v>
      </c>
      <c r="E661" s="68">
        <v>134158</v>
      </c>
      <c r="F661" s="68" t="s">
        <v>2265</v>
      </c>
      <c r="G661" s="68" t="s">
        <v>2490</v>
      </c>
      <c r="H661" s="79"/>
      <c r="I661" s="229">
        <v>566.66666666666663</v>
      </c>
      <c r="J661" s="12" t="s">
        <v>53</v>
      </c>
      <c r="K661" s="97">
        <v>46238</v>
      </c>
      <c r="L661" s="95">
        <v>30</v>
      </c>
      <c r="M661" s="96">
        <v>46259</v>
      </c>
      <c r="N661" s="11">
        <f t="shared" si="20"/>
        <v>21</v>
      </c>
      <c r="O661" s="32" t="str">
        <f t="shared" si="21"/>
        <v>Yes</v>
      </c>
    </row>
    <row r="662" spans="2:15" ht="15" customHeight="1" x14ac:dyDescent="0.4">
      <c r="B662" s="10">
        <v>658</v>
      </c>
      <c r="C662" s="34" t="s">
        <v>822</v>
      </c>
      <c r="D662" s="68" t="s">
        <v>1478</v>
      </c>
      <c r="E662" s="68">
        <v>134158</v>
      </c>
      <c r="F662" s="68" t="s">
        <v>2265</v>
      </c>
      <c r="G662" s="68" t="s">
        <v>2490</v>
      </c>
      <c r="H662" s="79"/>
      <c r="I662" s="229">
        <v>666.66666666666663</v>
      </c>
      <c r="J662" s="12" t="s">
        <v>53</v>
      </c>
      <c r="K662" s="97">
        <v>46233</v>
      </c>
      <c r="L662" s="95">
        <v>30</v>
      </c>
      <c r="M662" s="96">
        <v>46259</v>
      </c>
      <c r="N662" s="11">
        <f t="shared" si="20"/>
        <v>26</v>
      </c>
      <c r="O662" s="32" t="str">
        <f t="shared" si="21"/>
        <v>Yes</v>
      </c>
    </row>
    <row r="663" spans="2:15" ht="15" customHeight="1" x14ac:dyDescent="0.4">
      <c r="B663" s="10">
        <v>659</v>
      </c>
      <c r="C663" s="34" t="s">
        <v>822</v>
      </c>
      <c r="D663" s="68" t="s">
        <v>1479</v>
      </c>
      <c r="E663" s="68">
        <v>134158</v>
      </c>
      <c r="F663" s="68" t="s">
        <v>2266</v>
      </c>
      <c r="G663" s="68" t="s">
        <v>2490</v>
      </c>
      <c r="H663" s="79"/>
      <c r="I663" s="229">
        <v>62.5</v>
      </c>
      <c r="J663" s="12" t="s">
        <v>53</v>
      </c>
      <c r="K663" s="97">
        <v>46233</v>
      </c>
      <c r="L663" s="95">
        <v>30</v>
      </c>
      <c r="M663" s="96">
        <v>46259</v>
      </c>
      <c r="N663" s="11">
        <f t="shared" si="20"/>
        <v>26</v>
      </c>
      <c r="O663" s="32" t="str">
        <f t="shared" si="21"/>
        <v>Yes</v>
      </c>
    </row>
    <row r="664" spans="2:15" ht="15" customHeight="1" x14ac:dyDescent="0.4">
      <c r="B664" s="10">
        <v>660</v>
      </c>
      <c r="C664" s="34" t="s">
        <v>822</v>
      </c>
      <c r="D664" s="68" t="s">
        <v>1480</v>
      </c>
      <c r="E664" s="68">
        <v>134158</v>
      </c>
      <c r="F664" s="68" t="s">
        <v>2267</v>
      </c>
      <c r="G664" s="68" t="s">
        <v>2490</v>
      </c>
      <c r="H664" s="79"/>
      <c r="I664" s="229">
        <v>833.33333333333337</v>
      </c>
      <c r="J664" s="12" t="s">
        <v>53</v>
      </c>
      <c r="K664" s="97">
        <v>46233</v>
      </c>
      <c r="L664" s="95">
        <v>30</v>
      </c>
      <c r="M664" s="96">
        <v>46259</v>
      </c>
      <c r="N664" s="11">
        <f t="shared" si="20"/>
        <v>26</v>
      </c>
      <c r="O664" s="32" t="str">
        <f t="shared" si="21"/>
        <v>Yes</v>
      </c>
    </row>
    <row r="665" spans="2:15" ht="15" customHeight="1" x14ac:dyDescent="0.4">
      <c r="B665" s="10">
        <v>661</v>
      </c>
      <c r="C665" s="34" t="s">
        <v>822</v>
      </c>
      <c r="D665" s="68" t="s">
        <v>1481</v>
      </c>
      <c r="E665" s="68">
        <v>134157</v>
      </c>
      <c r="F665" s="68" t="s">
        <v>2268</v>
      </c>
      <c r="G665" s="68" t="s">
        <v>806</v>
      </c>
      <c r="H665" s="82"/>
      <c r="I665" s="229">
        <v>333.33333333333331</v>
      </c>
      <c r="J665" s="12" t="s">
        <v>53</v>
      </c>
      <c r="K665" s="97">
        <v>46233</v>
      </c>
      <c r="L665" s="95">
        <v>30</v>
      </c>
      <c r="M665" s="96">
        <v>46260</v>
      </c>
      <c r="N665" s="11">
        <f t="shared" si="20"/>
        <v>27</v>
      </c>
      <c r="O665" s="32" t="str">
        <f t="shared" si="21"/>
        <v>Yes</v>
      </c>
    </row>
    <row r="666" spans="2:15" ht="15" customHeight="1" x14ac:dyDescent="0.4">
      <c r="B666" s="10">
        <v>662</v>
      </c>
      <c r="C666" s="34" t="s">
        <v>822</v>
      </c>
      <c r="D666" s="68" t="s">
        <v>1482</v>
      </c>
      <c r="E666" s="68">
        <v>134157</v>
      </c>
      <c r="F666" s="68" t="s">
        <v>2269</v>
      </c>
      <c r="G666" s="68" t="s">
        <v>806</v>
      </c>
      <c r="H666" s="82"/>
      <c r="I666" s="229">
        <v>22.916666666666668</v>
      </c>
      <c r="J666" s="12" t="s">
        <v>53</v>
      </c>
      <c r="K666" s="97">
        <v>46233</v>
      </c>
      <c r="L666" s="95">
        <v>30</v>
      </c>
      <c r="M666" s="96">
        <v>46260</v>
      </c>
      <c r="N666" s="11">
        <f t="shared" si="20"/>
        <v>27</v>
      </c>
      <c r="O666" s="32" t="str">
        <f t="shared" si="21"/>
        <v>Yes</v>
      </c>
    </row>
    <row r="667" spans="2:15" ht="15" customHeight="1" x14ac:dyDescent="0.4">
      <c r="B667" s="10">
        <v>663</v>
      </c>
      <c r="C667" s="34" t="s">
        <v>822</v>
      </c>
      <c r="D667" s="68" t="s">
        <v>1483</v>
      </c>
      <c r="E667" s="68">
        <v>134157</v>
      </c>
      <c r="F667" s="68" t="s">
        <v>2270</v>
      </c>
      <c r="G667" s="68" t="s">
        <v>806</v>
      </c>
      <c r="H667" s="82"/>
      <c r="I667" s="229">
        <v>31.25</v>
      </c>
      <c r="J667" s="12" t="s">
        <v>53</v>
      </c>
      <c r="K667" s="97">
        <v>46233</v>
      </c>
      <c r="L667" s="95">
        <v>30</v>
      </c>
      <c r="M667" s="96">
        <v>46260</v>
      </c>
      <c r="N667" s="11">
        <f t="shared" si="20"/>
        <v>27</v>
      </c>
      <c r="O667" s="32" t="str">
        <f t="shared" si="21"/>
        <v>Yes</v>
      </c>
    </row>
    <row r="668" spans="2:15" ht="15" customHeight="1" x14ac:dyDescent="0.4">
      <c r="B668" s="10">
        <v>664</v>
      </c>
      <c r="C668" s="34" t="s">
        <v>822</v>
      </c>
      <c r="D668" s="68" t="s">
        <v>1484</v>
      </c>
      <c r="E668" s="68">
        <v>134157</v>
      </c>
      <c r="F668" s="68" t="s">
        <v>2271</v>
      </c>
      <c r="G668" s="68" t="s">
        <v>806</v>
      </c>
      <c r="H668" s="82"/>
      <c r="I668" s="229">
        <v>916.66666666666663</v>
      </c>
      <c r="J668" s="12" t="s">
        <v>53</v>
      </c>
      <c r="K668" s="97">
        <v>46233</v>
      </c>
      <c r="L668" s="95">
        <v>30</v>
      </c>
      <c r="M668" s="96">
        <v>46260</v>
      </c>
      <c r="N668" s="11">
        <f t="shared" si="20"/>
        <v>27</v>
      </c>
      <c r="O668" s="32" t="str">
        <f t="shared" si="21"/>
        <v>Yes</v>
      </c>
    </row>
    <row r="669" spans="2:15" ht="15" customHeight="1" x14ac:dyDescent="0.4">
      <c r="B669" s="10">
        <v>665</v>
      </c>
      <c r="C669" s="34" t="s">
        <v>822</v>
      </c>
      <c r="D669" s="68" t="s">
        <v>1485</v>
      </c>
      <c r="E669" s="68">
        <v>134157</v>
      </c>
      <c r="F669" s="68" t="s">
        <v>2272</v>
      </c>
      <c r="G669" s="68" t="s">
        <v>806</v>
      </c>
      <c r="H669" s="82"/>
      <c r="I669" s="229">
        <v>618.75</v>
      </c>
      <c r="J669" s="12" t="s">
        <v>53</v>
      </c>
      <c r="K669" s="97">
        <v>46233</v>
      </c>
      <c r="L669" s="95">
        <v>30</v>
      </c>
      <c r="M669" s="96">
        <v>46260</v>
      </c>
      <c r="N669" s="11">
        <f t="shared" si="20"/>
        <v>27</v>
      </c>
      <c r="O669" s="32" t="str">
        <f t="shared" si="21"/>
        <v>Yes</v>
      </c>
    </row>
    <row r="670" spans="2:15" ht="15" customHeight="1" x14ac:dyDescent="0.4">
      <c r="B670" s="10">
        <v>666</v>
      </c>
      <c r="C670" s="34" t="s">
        <v>822</v>
      </c>
      <c r="D670" s="68" t="s">
        <v>1486</v>
      </c>
      <c r="E670" s="68">
        <v>134157</v>
      </c>
      <c r="F670" s="68" t="s">
        <v>2273</v>
      </c>
      <c r="G670" s="68" t="s">
        <v>806</v>
      </c>
      <c r="H670" s="82"/>
      <c r="I670" s="229">
        <v>458.33333333333331</v>
      </c>
      <c r="J670" s="12" t="s">
        <v>53</v>
      </c>
      <c r="K670" s="97">
        <v>46233</v>
      </c>
      <c r="L670" s="95">
        <v>30</v>
      </c>
      <c r="M670" s="96">
        <v>46260</v>
      </c>
      <c r="N670" s="11">
        <f t="shared" si="20"/>
        <v>27</v>
      </c>
      <c r="O670" s="32" t="str">
        <f t="shared" si="21"/>
        <v>Yes</v>
      </c>
    </row>
    <row r="671" spans="2:15" ht="15" customHeight="1" x14ac:dyDescent="0.4">
      <c r="B671" s="10">
        <v>667</v>
      </c>
      <c r="C671" s="34" t="s">
        <v>822</v>
      </c>
      <c r="D671" s="68" t="s">
        <v>1487</v>
      </c>
      <c r="E671" s="68">
        <v>134157</v>
      </c>
      <c r="F671" s="68" t="s">
        <v>2274</v>
      </c>
      <c r="G671" s="68" t="s">
        <v>806</v>
      </c>
      <c r="H671" s="82"/>
      <c r="I671" s="229">
        <v>45.833333333333336</v>
      </c>
      <c r="J671" s="12" t="s">
        <v>53</v>
      </c>
      <c r="K671" s="97">
        <v>46233</v>
      </c>
      <c r="L671" s="95">
        <v>30</v>
      </c>
      <c r="M671" s="96">
        <v>46260</v>
      </c>
      <c r="N671" s="11">
        <f t="shared" si="20"/>
        <v>27</v>
      </c>
      <c r="O671" s="32" t="str">
        <f t="shared" si="21"/>
        <v>Yes</v>
      </c>
    </row>
    <row r="672" spans="2:15" ht="15" customHeight="1" x14ac:dyDescent="0.4">
      <c r="B672" s="10">
        <v>668</v>
      </c>
      <c r="C672" s="34" t="s">
        <v>822</v>
      </c>
      <c r="D672" s="68" t="s">
        <v>1488</v>
      </c>
      <c r="E672" s="68">
        <v>134157</v>
      </c>
      <c r="F672" s="68" t="s">
        <v>2275</v>
      </c>
      <c r="G672" s="68" t="s">
        <v>806</v>
      </c>
      <c r="H672" s="82"/>
      <c r="I672" s="229">
        <v>91.666666666666671</v>
      </c>
      <c r="J672" s="12" t="s">
        <v>53</v>
      </c>
      <c r="K672" s="97">
        <v>46233</v>
      </c>
      <c r="L672" s="95">
        <v>30</v>
      </c>
      <c r="M672" s="96">
        <v>46260</v>
      </c>
      <c r="N672" s="11">
        <f t="shared" si="20"/>
        <v>27</v>
      </c>
      <c r="O672" s="32" t="str">
        <f t="shared" si="21"/>
        <v>Yes</v>
      </c>
    </row>
    <row r="673" spans="2:15" ht="15" customHeight="1" x14ac:dyDescent="0.4">
      <c r="B673" s="10">
        <v>669</v>
      </c>
      <c r="C673" s="34" t="s">
        <v>822</v>
      </c>
      <c r="D673" s="68" t="s">
        <v>1489</v>
      </c>
      <c r="E673" s="68">
        <v>134157</v>
      </c>
      <c r="F673" s="68" t="s">
        <v>2276</v>
      </c>
      <c r="G673" s="68" t="s">
        <v>806</v>
      </c>
      <c r="H673" s="82"/>
      <c r="I673" s="229">
        <v>22.916666666666668</v>
      </c>
      <c r="J673" s="12" t="s">
        <v>53</v>
      </c>
      <c r="K673" s="97">
        <v>46233</v>
      </c>
      <c r="L673" s="95">
        <v>30</v>
      </c>
      <c r="M673" s="96">
        <v>46260</v>
      </c>
      <c r="N673" s="11">
        <f t="shared" si="20"/>
        <v>27</v>
      </c>
      <c r="O673" s="32" t="str">
        <f t="shared" si="21"/>
        <v>Yes</v>
      </c>
    </row>
    <row r="674" spans="2:15" ht="15" customHeight="1" x14ac:dyDescent="0.4">
      <c r="B674" s="10">
        <v>670</v>
      </c>
      <c r="C674" s="34" t="s">
        <v>822</v>
      </c>
      <c r="D674" s="68" t="s">
        <v>1490</v>
      </c>
      <c r="E674" s="68">
        <v>135162</v>
      </c>
      <c r="F674" s="68" t="s">
        <v>2277</v>
      </c>
      <c r="G674" s="68" t="s">
        <v>617</v>
      </c>
      <c r="H674" s="82"/>
      <c r="I674" s="229">
        <v>308.33333333333331</v>
      </c>
      <c r="J674" s="12" t="s">
        <v>53</v>
      </c>
      <c r="K674" s="97">
        <v>46233</v>
      </c>
      <c r="L674" s="95">
        <v>30</v>
      </c>
      <c r="M674" s="96">
        <v>46260</v>
      </c>
      <c r="N674" s="11">
        <f t="shared" si="20"/>
        <v>27</v>
      </c>
      <c r="O674" s="32" t="str">
        <f t="shared" si="21"/>
        <v>Yes</v>
      </c>
    </row>
    <row r="675" spans="2:15" ht="15" customHeight="1" x14ac:dyDescent="0.4">
      <c r="B675" s="10">
        <v>671</v>
      </c>
      <c r="C675" s="34" t="s">
        <v>822</v>
      </c>
      <c r="D675" s="68">
        <v>4057289</v>
      </c>
      <c r="E675" s="68">
        <v>132088</v>
      </c>
      <c r="F675" s="68" t="s">
        <v>2278</v>
      </c>
      <c r="G675" s="68" t="s">
        <v>2461</v>
      </c>
      <c r="H675" s="82"/>
      <c r="I675" s="229">
        <v>47978.6325</v>
      </c>
      <c r="J675" s="12" t="s">
        <v>53</v>
      </c>
      <c r="K675" s="97">
        <v>46230</v>
      </c>
      <c r="L675" s="95">
        <v>30</v>
      </c>
      <c r="M675" s="96">
        <v>46260</v>
      </c>
      <c r="N675" s="11">
        <f t="shared" si="20"/>
        <v>30</v>
      </c>
      <c r="O675" s="32" t="str">
        <f t="shared" si="21"/>
        <v>Yes</v>
      </c>
    </row>
    <row r="676" spans="2:15" ht="15" customHeight="1" x14ac:dyDescent="0.4">
      <c r="B676" s="10">
        <v>672</v>
      </c>
      <c r="C676" s="34" t="s">
        <v>822</v>
      </c>
      <c r="D676" s="68">
        <v>4057290</v>
      </c>
      <c r="E676" s="68">
        <v>132063</v>
      </c>
      <c r="F676" s="68" t="s">
        <v>2278</v>
      </c>
      <c r="G676" s="68" t="s">
        <v>2461</v>
      </c>
      <c r="H676" s="82"/>
      <c r="I676" s="229">
        <v>4000</v>
      </c>
      <c r="J676" s="12" t="s">
        <v>53</v>
      </c>
      <c r="K676" s="97">
        <v>46230</v>
      </c>
      <c r="L676" s="95">
        <v>30</v>
      </c>
      <c r="M676" s="96">
        <v>46260</v>
      </c>
      <c r="N676" s="11">
        <f t="shared" si="20"/>
        <v>30</v>
      </c>
      <c r="O676" s="32" t="str">
        <f t="shared" si="21"/>
        <v>Yes</v>
      </c>
    </row>
    <row r="677" spans="2:15" ht="15" customHeight="1" x14ac:dyDescent="0.4">
      <c r="B677" s="10">
        <v>673</v>
      </c>
      <c r="C677" s="34" t="s">
        <v>822</v>
      </c>
      <c r="D677" s="68" t="s">
        <v>1491</v>
      </c>
      <c r="E677" s="68">
        <v>136273</v>
      </c>
      <c r="F677" s="68" t="s">
        <v>2279</v>
      </c>
      <c r="G677" s="68" t="s">
        <v>732</v>
      </c>
      <c r="H677" s="82"/>
      <c r="I677" s="229">
        <v>2291.6666666666665</v>
      </c>
      <c r="J677" s="12" t="s">
        <v>53</v>
      </c>
      <c r="K677" s="97">
        <v>46246</v>
      </c>
      <c r="L677" s="95">
        <v>30</v>
      </c>
      <c r="M677" s="96">
        <v>46260</v>
      </c>
      <c r="N677" s="11">
        <f t="shared" si="20"/>
        <v>14</v>
      </c>
      <c r="O677" s="32" t="str">
        <f t="shared" si="21"/>
        <v>Yes</v>
      </c>
    </row>
    <row r="678" spans="2:15" ht="15" customHeight="1" x14ac:dyDescent="0.4">
      <c r="B678" s="10">
        <v>674</v>
      </c>
      <c r="C678" s="34" t="s">
        <v>822</v>
      </c>
      <c r="D678" s="68" t="s">
        <v>1492</v>
      </c>
      <c r="E678" s="68">
        <v>135764</v>
      </c>
      <c r="F678" s="68" t="s">
        <v>2280</v>
      </c>
      <c r="G678" s="68" t="s">
        <v>650</v>
      </c>
      <c r="H678" s="82"/>
      <c r="I678" s="229">
        <v>1175</v>
      </c>
      <c r="J678" s="12" t="s">
        <v>53</v>
      </c>
      <c r="K678" s="97">
        <v>46226</v>
      </c>
      <c r="L678" s="95">
        <v>30</v>
      </c>
      <c r="M678" s="96">
        <v>46255</v>
      </c>
      <c r="N678" s="11">
        <f t="shared" si="20"/>
        <v>29</v>
      </c>
      <c r="O678" s="32" t="str">
        <f t="shared" si="21"/>
        <v>Yes</v>
      </c>
    </row>
    <row r="679" spans="2:15" ht="15" customHeight="1" x14ac:dyDescent="0.4">
      <c r="B679" s="10">
        <v>675</v>
      </c>
      <c r="C679" s="34" t="s">
        <v>822</v>
      </c>
      <c r="D679" s="68" t="s">
        <v>1493</v>
      </c>
      <c r="E679" s="68">
        <v>135764</v>
      </c>
      <c r="F679" s="68" t="s">
        <v>391</v>
      </c>
      <c r="G679" s="68" t="s">
        <v>650</v>
      </c>
      <c r="H679" s="79"/>
      <c r="I679" s="229">
        <v>615</v>
      </c>
      <c r="J679" s="12" t="s">
        <v>53</v>
      </c>
      <c r="K679" s="97">
        <v>46226</v>
      </c>
      <c r="L679" s="95">
        <v>30</v>
      </c>
      <c r="M679" s="96">
        <v>46255</v>
      </c>
      <c r="N679" s="11">
        <f t="shared" si="20"/>
        <v>29</v>
      </c>
      <c r="O679" s="32" t="str">
        <f t="shared" si="21"/>
        <v>Yes</v>
      </c>
    </row>
    <row r="680" spans="2:15" ht="15" customHeight="1" x14ac:dyDescent="0.4">
      <c r="B680" s="10">
        <v>676</v>
      </c>
      <c r="C680" s="34" t="s">
        <v>822</v>
      </c>
      <c r="D680" s="68" t="s">
        <v>1494</v>
      </c>
      <c r="E680" s="68">
        <v>135451</v>
      </c>
      <c r="F680" s="68" t="s">
        <v>2281</v>
      </c>
      <c r="G680" s="68" t="s">
        <v>765</v>
      </c>
      <c r="H680" s="82"/>
      <c r="I680" s="229">
        <v>833.33333333333337</v>
      </c>
      <c r="J680" s="12" t="s">
        <v>53</v>
      </c>
      <c r="K680" s="97">
        <v>46206</v>
      </c>
      <c r="L680" s="95">
        <v>30</v>
      </c>
      <c r="M680" s="96">
        <v>46244</v>
      </c>
      <c r="N680" s="11">
        <f t="shared" si="20"/>
        <v>38</v>
      </c>
      <c r="O680" s="32" t="str">
        <f t="shared" si="21"/>
        <v>No</v>
      </c>
    </row>
    <row r="681" spans="2:15" ht="15" customHeight="1" x14ac:dyDescent="0.4">
      <c r="B681" s="10">
        <v>677</v>
      </c>
      <c r="C681" s="34" t="s">
        <v>822</v>
      </c>
      <c r="D681" s="68" t="s">
        <v>1495</v>
      </c>
      <c r="E681" s="68">
        <v>135346</v>
      </c>
      <c r="F681" s="68" t="s">
        <v>2282</v>
      </c>
      <c r="G681" s="68" t="s">
        <v>765</v>
      </c>
      <c r="H681" s="82"/>
      <c r="I681" s="229">
        <v>1177.0833333333333</v>
      </c>
      <c r="J681" s="12" t="s">
        <v>53</v>
      </c>
      <c r="K681" s="97">
        <v>46203</v>
      </c>
      <c r="L681" s="95">
        <v>30</v>
      </c>
      <c r="M681" s="96">
        <v>46231</v>
      </c>
      <c r="N681" s="11">
        <f t="shared" si="20"/>
        <v>28</v>
      </c>
      <c r="O681" s="32" t="str">
        <f t="shared" si="21"/>
        <v>Yes</v>
      </c>
    </row>
    <row r="682" spans="2:15" ht="15" customHeight="1" x14ac:dyDescent="0.4">
      <c r="B682" s="10">
        <v>678</v>
      </c>
      <c r="C682" s="34" t="s">
        <v>822</v>
      </c>
      <c r="D682" s="68" t="s">
        <v>1496</v>
      </c>
      <c r="E682" s="68">
        <v>136073</v>
      </c>
      <c r="F682" s="68" t="s">
        <v>298</v>
      </c>
      <c r="G682" s="68" t="s">
        <v>2562</v>
      </c>
      <c r="H682" s="82"/>
      <c r="I682" s="229">
        <v>125</v>
      </c>
      <c r="J682" s="12" t="s">
        <v>53</v>
      </c>
      <c r="K682" s="97">
        <v>46239</v>
      </c>
      <c r="L682" s="95">
        <v>30</v>
      </c>
      <c r="M682" s="96">
        <v>46260</v>
      </c>
      <c r="N682" s="11">
        <f t="shared" si="20"/>
        <v>21</v>
      </c>
      <c r="O682" s="32" t="str">
        <f t="shared" si="21"/>
        <v>Yes</v>
      </c>
    </row>
    <row r="683" spans="2:15" ht="15" customHeight="1" x14ac:dyDescent="0.4">
      <c r="B683" s="10">
        <v>679</v>
      </c>
      <c r="C683" s="34" t="s">
        <v>822</v>
      </c>
      <c r="D683" s="68" t="s">
        <v>1497</v>
      </c>
      <c r="E683" s="68">
        <v>135726</v>
      </c>
      <c r="F683" s="68" t="s">
        <v>2283</v>
      </c>
      <c r="G683" s="68" t="s">
        <v>651</v>
      </c>
      <c r="H683" s="82"/>
      <c r="I683" s="229">
        <v>1026.5625</v>
      </c>
      <c r="J683" s="12" t="s">
        <v>53</v>
      </c>
      <c r="K683" s="97">
        <v>46223</v>
      </c>
      <c r="L683" s="95">
        <v>30</v>
      </c>
      <c r="M683" s="96">
        <v>46254</v>
      </c>
      <c r="N683" s="11">
        <f t="shared" si="20"/>
        <v>31</v>
      </c>
      <c r="O683" s="32" t="str">
        <f t="shared" si="21"/>
        <v>No</v>
      </c>
    </row>
    <row r="684" spans="2:15" ht="15" customHeight="1" x14ac:dyDescent="0.4">
      <c r="B684" s="10">
        <v>680</v>
      </c>
      <c r="C684" s="34" t="s">
        <v>822</v>
      </c>
      <c r="D684" s="68" t="s">
        <v>1498</v>
      </c>
      <c r="E684" s="68">
        <v>135277</v>
      </c>
      <c r="F684" s="68" t="s">
        <v>2284</v>
      </c>
      <c r="G684" s="68" t="s">
        <v>651</v>
      </c>
      <c r="H684" s="79"/>
      <c r="I684" s="229">
        <v>135</v>
      </c>
      <c r="J684" s="12" t="s">
        <v>53</v>
      </c>
      <c r="K684" s="97">
        <v>46225</v>
      </c>
      <c r="L684" s="95">
        <v>30</v>
      </c>
      <c r="M684" s="96">
        <v>46258</v>
      </c>
      <c r="N684" s="11">
        <f t="shared" si="20"/>
        <v>33</v>
      </c>
      <c r="O684" s="32" t="str">
        <f t="shared" si="21"/>
        <v>No</v>
      </c>
    </row>
    <row r="685" spans="2:15" ht="15" customHeight="1" x14ac:dyDescent="0.4">
      <c r="B685" s="10">
        <v>681</v>
      </c>
      <c r="C685" s="34" t="s">
        <v>822</v>
      </c>
      <c r="D685" s="68" t="s">
        <v>1499</v>
      </c>
      <c r="E685" s="68">
        <v>135740</v>
      </c>
      <c r="F685" s="68" t="s">
        <v>2285</v>
      </c>
      <c r="G685" s="68" t="s">
        <v>651</v>
      </c>
      <c r="H685" s="79"/>
      <c r="I685" s="229">
        <v>634.8957375</v>
      </c>
      <c r="J685" s="12" t="s">
        <v>53</v>
      </c>
      <c r="K685" s="97">
        <v>46231</v>
      </c>
      <c r="L685" s="95">
        <v>30</v>
      </c>
      <c r="M685" s="96">
        <v>46259</v>
      </c>
      <c r="N685" s="11">
        <f t="shared" si="20"/>
        <v>28</v>
      </c>
      <c r="O685" s="32" t="str">
        <f t="shared" si="21"/>
        <v>Yes</v>
      </c>
    </row>
    <row r="686" spans="2:15" ht="15" customHeight="1" x14ac:dyDescent="0.4">
      <c r="B686" s="10">
        <v>682</v>
      </c>
      <c r="C686" s="34" t="s">
        <v>822</v>
      </c>
      <c r="D686" s="68" t="s">
        <v>1500</v>
      </c>
      <c r="E686" s="68">
        <v>134695</v>
      </c>
      <c r="F686" s="68" t="s">
        <v>2285</v>
      </c>
      <c r="G686" s="68" t="s">
        <v>651</v>
      </c>
      <c r="H686" s="79"/>
      <c r="I686" s="229">
        <v>452.70833333333331</v>
      </c>
      <c r="J686" s="12" t="s">
        <v>53</v>
      </c>
      <c r="K686" s="97">
        <v>46231</v>
      </c>
      <c r="L686" s="95">
        <v>30</v>
      </c>
      <c r="M686" s="96">
        <v>46259</v>
      </c>
      <c r="N686" s="11">
        <f t="shared" si="20"/>
        <v>28</v>
      </c>
      <c r="O686" s="32" t="str">
        <f t="shared" si="21"/>
        <v>Yes</v>
      </c>
    </row>
    <row r="687" spans="2:15" ht="15" customHeight="1" x14ac:dyDescent="0.4">
      <c r="B687" s="10">
        <v>683</v>
      </c>
      <c r="C687" s="34" t="s">
        <v>822</v>
      </c>
      <c r="D687" s="68" t="s">
        <v>1501</v>
      </c>
      <c r="E687" s="68">
        <v>135511</v>
      </c>
      <c r="F687" s="68" t="s">
        <v>2286</v>
      </c>
      <c r="G687" s="68" t="s">
        <v>651</v>
      </c>
      <c r="H687" s="79"/>
      <c r="I687" s="229">
        <v>416.29166666666669</v>
      </c>
      <c r="J687" s="12" t="s">
        <v>53</v>
      </c>
      <c r="K687" s="97">
        <v>46212</v>
      </c>
      <c r="L687" s="95">
        <v>30</v>
      </c>
      <c r="M687" s="96">
        <v>46240</v>
      </c>
      <c r="N687" s="11">
        <f t="shared" si="20"/>
        <v>28</v>
      </c>
      <c r="O687" s="32" t="str">
        <f t="shared" si="21"/>
        <v>Yes</v>
      </c>
    </row>
    <row r="688" spans="2:15" ht="15" customHeight="1" x14ac:dyDescent="0.4">
      <c r="B688" s="10">
        <v>684</v>
      </c>
      <c r="C688" s="34" t="s">
        <v>822</v>
      </c>
      <c r="D688" s="68" t="s">
        <v>1502</v>
      </c>
      <c r="E688" s="68">
        <v>134497</v>
      </c>
      <c r="F688" s="68" t="s">
        <v>2287</v>
      </c>
      <c r="G688" s="68" t="s">
        <v>2563</v>
      </c>
      <c r="H688" s="79"/>
      <c r="I688" s="229">
        <v>375</v>
      </c>
      <c r="J688" s="12" t="s">
        <v>53</v>
      </c>
      <c r="K688" s="97">
        <v>46232</v>
      </c>
      <c r="L688" s="95">
        <v>30</v>
      </c>
      <c r="M688" s="96">
        <v>46259</v>
      </c>
      <c r="N688" s="11">
        <f t="shared" si="20"/>
        <v>27</v>
      </c>
      <c r="O688" s="32" t="str">
        <f t="shared" si="21"/>
        <v>Yes</v>
      </c>
    </row>
    <row r="689" spans="2:15" ht="15" customHeight="1" x14ac:dyDescent="0.4">
      <c r="B689" s="10">
        <v>685</v>
      </c>
      <c r="C689" s="34" t="s">
        <v>822</v>
      </c>
      <c r="D689" s="68">
        <v>570</v>
      </c>
      <c r="E689" s="68">
        <v>134942</v>
      </c>
      <c r="F689" s="68" t="s">
        <v>2288</v>
      </c>
      <c r="G689" s="68" t="s">
        <v>2502</v>
      </c>
      <c r="H689" s="79"/>
      <c r="I689" s="229">
        <v>83.333333333333329</v>
      </c>
      <c r="J689" s="12" t="s">
        <v>53</v>
      </c>
      <c r="K689" s="97">
        <v>46230</v>
      </c>
      <c r="L689" s="95">
        <v>30</v>
      </c>
      <c r="M689" s="96">
        <v>46260</v>
      </c>
      <c r="N689" s="11">
        <f t="shared" si="20"/>
        <v>30</v>
      </c>
      <c r="O689" s="32" t="str">
        <f t="shared" si="21"/>
        <v>Yes</v>
      </c>
    </row>
    <row r="690" spans="2:15" ht="15" customHeight="1" x14ac:dyDescent="0.4">
      <c r="B690" s="10">
        <v>686</v>
      </c>
      <c r="C690" s="34" t="s">
        <v>822</v>
      </c>
      <c r="D690" s="68">
        <v>571</v>
      </c>
      <c r="E690" s="68">
        <v>134929</v>
      </c>
      <c r="F690" s="68" t="s">
        <v>2289</v>
      </c>
      <c r="G690" s="68" t="s">
        <v>2502</v>
      </c>
      <c r="H690" s="79"/>
      <c r="I690" s="229">
        <v>75</v>
      </c>
      <c r="J690" s="12" t="s">
        <v>53</v>
      </c>
      <c r="K690" s="97">
        <v>46230</v>
      </c>
      <c r="L690" s="95">
        <v>30</v>
      </c>
      <c r="M690" s="96">
        <v>46260</v>
      </c>
      <c r="N690" s="11">
        <f t="shared" si="20"/>
        <v>30</v>
      </c>
      <c r="O690" s="32" t="str">
        <f t="shared" si="21"/>
        <v>Yes</v>
      </c>
    </row>
    <row r="691" spans="2:15" ht="15" customHeight="1" x14ac:dyDescent="0.4">
      <c r="B691" s="10">
        <v>687</v>
      </c>
      <c r="C691" s="34" t="s">
        <v>822</v>
      </c>
      <c r="D691" s="68" t="s">
        <v>1503</v>
      </c>
      <c r="E691" s="68">
        <v>135753</v>
      </c>
      <c r="F691" s="68" t="s">
        <v>2290</v>
      </c>
      <c r="G691" s="68" t="s">
        <v>2502</v>
      </c>
      <c r="H691" s="79"/>
      <c r="I691" s="229">
        <v>300</v>
      </c>
      <c r="J691" s="12" t="s">
        <v>53</v>
      </c>
      <c r="K691" s="97">
        <v>46230</v>
      </c>
      <c r="L691" s="95">
        <v>30</v>
      </c>
      <c r="M691" s="96">
        <v>46260</v>
      </c>
      <c r="N691" s="11">
        <f t="shared" si="20"/>
        <v>30</v>
      </c>
      <c r="O691" s="32" t="str">
        <f t="shared" si="21"/>
        <v>Yes</v>
      </c>
    </row>
    <row r="692" spans="2:15" ht="15" customHeight="1" x14ac:dyDescent="0.4">
      <c r="B692" s="10">
        <v>688</v>
      </c>
      <c r="C692" s="34" t="s">
        <v>822</v>
      </c>
      <c r="D692" s="68" t="s">
        <v>1504</v>
      </c>
      <c r="E692" s="68">
        <v>135752</v>
      </c>
      <c r="F692" s="68" t="s">
        <v>2291</v>
      </c>
      <c r="G692" s="68" t="s">
        <v>2502</v>
      </c>
      <c r="H692" s="79"/>
      <c r="I692" s="229">
        <v>468.75</v>
      </c>
      <c r="J692" s="12" t="s">
        <v>53</v>
      </c>
      <c r="K692" s="97">
        <v>46230</v>
      </c>
      <c r="L692" s="95">
        <v>30</v>
      </c>
      <c r="M692" s="96">
        <v>46260</v>
      </c>
      <c r="N692" s="11">
        <f t="shared" si="20"/>
        <v>30</v>
      </c>
      <c r="O692" s="32" t="str">
        <f t="shared" si="21"/>
        <v>Yes</v>
      </c>
    </row>
    <row r="693" spans="2:15" ht="15" customHeight="1" x14ac:dyDescent="0.4">
      <c r="B693" s="10">
        <v>689</v>
      </c>
      <c r="C693" s="34" t="s">
        <v>822</v>
      </c>
      <c r="D693" s="68" t="s">
        <v>1505</v>
      </c>
      <c r="E693" s="68">
        <v>136198</v>
      </c>
      <c r="F693" s="68" t="s">
        <v>2292</v>
      </c>
      <c r="G693" s="68" t="s">
        <v>2564</v>
      </c>
      <c r="H693" s="79"/>
      <c r="I693" s="229">
        <v>520.83333333333337</v>
      </c>
      <c r="J693" s="12" t="s">
        <v>53</v>
      </c>
      <c r="K693" s="97">
        <v>46240</v>
      </c>
      <c r="L693" s="95">
        <v>30</v>
      </c>
      <c r="M693" s="96">
        <v>46260</v>
      </c>
      <c r="N693" s="11">
        <f t="shared" si="20"/>
        <v>20</v>
      </c>
      <c r="O693" s="32" t="str">
        <f t="shared" si="21"/>
        <v>Yes</v>
      </c>
    </row>
    <row r="694" spans="2:15" ht="15" customHeight="1" x14ac:dyDescent="0.4">
      <c r="B694" s="10">
        <v>690</v>
      </c>
      <c r="C694" s="34" t="s">
        <v>822</v>
      </c>
      <c r="D694" s="68" t="s">
        <v>1506</v>
      </c>
      <c r="E694" s="68">
        <v>135811</v>
      </c>
      <c r="F694" s="68" t="s">
        <v>2293</v>
      </c>
      <c r="G694" s="68" t="s">
        <v>2565</v>
      </c>
      <c r="H694" s="79"/>
      <c r="I694" s="229">
        <v>7812.5</v>
      </c>
      <c r="J694" s="12" t="s">
        <v>53</v>
      </c>
      <c r="K694" s="97">
        <v>46223</v>
      </c>
      <c r="L694" s="95">
        <v>30</v>
      </c>
      <c r="M694" s="96">
        <v>46256</v>
      </c>
      <c r="N694" s="11">
        <f t="shared" si="20"/>
        <v>33</v>
      </c>
      <c r="O694" s="32" t="str">
        <f t="shared" si="21"/>
        <v>No</v>
      </c>
    </row>
    <row r="695" spans="2:15" ht="15" customHeight="1" x14ac:dyDescent="0.35">
      <c r="B695" s="10">
        <v>691</v>
      </c>
      <c r="C695" s="34" t="s">
        <v>822</v>
      </c>
      <c r="D695" s="68" t="s">
        <v>1507</v>
      </c>
      <c r="E695" s="68">
        <v>135912</v>
      </c>
      <c r="F695" s="68" t="s">
        <v>2294</v>
      </c>
      <c r="G695" s="68" t="s">
        <v>2566</v>
      </c>
      <c r="H695" s="91"/>
      <c r="I695" s="229">
        <v>197.91666666666666</v>
      </c>
      <c r="J695" s="12" t="s">
        <v>53</v>
      </c>
      <c r="K695" s="97">
        <v>46238</v>
      </c>
      <c r="L695" s="95">
        <v>30</v>
      </c>
      <c r="M695" s="96">
        <v>46260</v>
      </c>
      <c r="N695" s="11">
        <f t="shared" si="20"/>
        <v>22</v>
      </c>
      <c r="O695" s="32" t="str">
        <f t="shared" si="21"/>
        <v>Yes</v>
      </c>
    </row>
    <row r="696" spans="2:15" ht="15" customHeight="1" x14ac:dyDescent="0.35">
      <c r="B696" s="10">
        <v>692</v>
      </c>
      <c r="C696" s="34" t="s">
        <v>822</v>
      </c>
      <c r="D696" s="68" t="s">
        <v>1508</v>
      </c>
      <c r="E696" s="68">
        <v>134122</v>
      </c>
      <c r="F696" s="68" t="s">
        <v>2295</v>
      </c>
      <c r="G696" s="68" t="s">
        <v>796</v>
      </c>
      <c r="H696" s="91"/>
      <c r="I696" s="229">
        <v>233.75</v>
      </c>
      <c r="J696" s="12" t="s">
        <v>53</v>
      </c>
      <c r="K696" s="97">
        <v>46231</v>
      </c>
      <c r="L696" s="95">
        <v>30</v>
      </c>
      <c r="M696" s="96">
        <v>46260</v>
      </c>
      <c r="N696" s="11">
        <f t="shared" si="20"/>
        <v>29</v>
      </c>
      <c r="O696" s="32" t="str">
        <f t="shared" si="21"/>
        <v>Yes</v>
      </c>
    </row>
    <row r="697" spans="2:15" ht="15" customHeight="1" x14ac:dyDescent="0.35">
      <c r="B697" s="10">
        <v>693</v>
      </c>
      <c r="C697" s="34" t="s">
        <v>822</v>
      </c>
      <c r="D697" s="68" t="s">
        <v>1509</v>
      </c>
      <c r="E697" s="68">
        <v>134122</v>
      </c>
      <c r="F697" s="68" t="s">
        <v>2296</v>
      </c>
      <c r="G697" s="68" t="s">
        <v>796</v>
      </c>
      <c r="H697" s="92"/>
      <c r="I697" s="229">
        <v>6056.25</v>
      </c>
      <c r="J697" s="12" t="s">
        <v>53</v>
      </c>
      <c r="K697" s="97">
        <v>46231</v>
      </c>
      <c r="L697" s="95">
        <v>30</v>
      </c>
      <c r="M697" s="96">
        <v>46260</v>
      </c>
      <c r="N697" s="11">
        <f t="shared" si="20"/>
        <v>29</v>
      </c>
      <c r="O697" s="32" t="str">
        <f t="shared" si="21"/>
        <v>Yes</v>
      </c>
    </row>
    <row r="698" spans="2:15" ht="15" customHeight="1" x14ac:dyDescent="0.35">
      <c r="B698" s="10">
        <v>694</v>
      </c>
      <c r="C698" s="34" t="s">
        <v>822</v>
      </c>
      <c r="D698" s="68" t="s">
        <v>1510</v>
      </c>
      <c r="E698" s="68">
        <v>134122</v>
      </c>
      <c r="F698" s="68" t="s">
        <v>2297</v>
      </c>
      <c r="G698" s="68" t="s">
        <v>796</v>
      </c>
      <c r="H698" s="91"/>
      <c r="I698" s="229">
        <v>2231.25</v>
      </c>
      <c r="J698" s="12" t="s">
        <v>53</v>
      </c>
      <c r="K698" s="97">
        <v>46231</v>
      </c>
      <c r="L698" s="95">
        <v>30</v>
      </c>
      <c r="M698" s="96">
        <v>46260</v>
      </c>
      <c r="N698" s="11">
        <f t="shared" si="20"/>
        <v>29</v>
      </c>
      <c r="O698" s="32" t="str">
        <f t="shared" si="21"/>
        <v>Yes</v>
      </c>
    </row>
    <row r="699" spans="2:15" ht="15" customHeight="1" x14ac:dyDescent="0.35">
      <c r="B699" s="10">
        <v>695</v>
      </c>
      <c r="C699" s="34" t="s">
        <v>822</v>
      </c>
      <c r="D699" s="68" t="s">
        <v>1511</v>
      </c>
      <c r="E699" s="68">
        <v>134122</v>
      </c>
      <c r="F699" s="68" t="s">
        <v>2298</v>
      </c>
      <c r="G699" s="68" t="s">
        <v>796</v>
      </c>
      <c r="H699" s="91"/>
      <c r="I699" s="229">
        <v>233.75</v>
      </c>
      <c r="J699" s="12" t="s">
        <v>53</v>
      </c>
      <c r="K699" s="97">
        <v>46231</v>
      </c>
      <c r="L699" s="95">
        <v>30</v>
      </c>
      <c r="M699" s="96">
        <v>46260</v>
      </c>
      <c r="N699" s="11">
        <f t="shared" si="20"/>
        <v>29</v>
      </c>
      <c r="O699" s="32" t="str">
        <f t="shared" si="21"/>
        <v>Yes</v>
      </c>
    </row>
    <row r="700" spans="2:15" ht="15" customHeight="1" x14ac:dyDescent="0.35">
      <c r="B700" s="10">
        <v>696</v>
      </c>
      <c r="C700" s="34" t="s">
        <v>822</v>
      </c>
      <c r="D700" s="68" t="s">
        <v>1512</v>
      </c>
      <c r="E700" s="68">
        <v>134122</v>
      </c>
      <c r="F700" s="68" t="s">
        <v>2299</v>
      </c>
      <c r="G700" s="68" t="s">
        <v>796</v>
      </c>
      <c r="H700" s="92"/>
      <c r="I700" s="229">
        <v>77.916666666666671</v>
      </c>
      <c r="J700" s="12" t="s">
        <v>53</v>
      </c>
      <c r="K700" s="97">
        <v>46231</v>
      </c>
      <c r="L700" s="95">
        <v>30</v>
      </c>
      <c r="M700" s="96">
        <v>46260</v>
      </c>
      <c r="N700" s="11">
        <f t="shared" si="20"/>
        <v>29</v>
      </c>
      <c r="O700" s="32" t="str">
        <f t="shared" si="21"/>
        <v>Yes</v>
      </c>
    </row>
    <row r="701" spans="2:15" ht="15" customHeight="1" x14ac:dyDescent="0.35">
      <c r="B701" s="10">
        <v>697</v>
      </c>
      <c r="C701" s="34" t="s">
        <v>822</v>
      </c>
      <c r="D701" s="68" t="s">
        <v>1513</v>
      </c>
      <c r="E701" s="68">
        <v>134122</v>
      </c>
      <c r="F701" s="68" t="s">
        <v>2300</v>
      </c>
      <c r="G701" s="68" t="s">
        <v>796</v>
      </c>
      <c r="H701" s="91"/>
      <c r="I701" s="229">
        <v>903.125</v>
      </c>
      <c r="J701" s="12" t="s">
        <v>53</v>
      </c>
      <c r="K701" s="97">
        <v>46231</v>
      </c>
      <c r="L701" s="95">
        <v>30</v>
      </c>
      <c r="M701" s="96">
        <v>46260</v>
      </c>
      <c r="N701" s="11">
        <f t="shared" si="20"/>
        <v>29</v>
      </c>
      <c r="O701" s="32" t="str">
        <f t="shared" si="21"/>
        <v>Yes</v>
      </c>
    </row>
    <row r="702" spans="2:15" ht="15" customHeight="1" x14ac:dyDescent="0.35">
      <c r="B702" s="10">
        <v>698</v>
      </c>
      <c r="C702" s="34" t="s">
        <v>822</v>
      </c>
      <c r="D702" s="68" t="s">
        <v>1514</v>
      </c>
      <c r="E702" s="68">
        <v>134122</v>
      </c>
      <c r="F702" s="68" t="s">
        <v>2301</v>
      </c>
      <c r="G702" s="68" t="s">
        <v>796</v>
      </c>
      <c r="H702" s="91"/>
      <c r="I702" s="229">
        <v>2231.25</v>
      </c>
      <c r="J702" s="12" t="s">
        <v>53</v>
      </c>
      <c r="K702" s="97">
        <v>46231</v>
      </c>
      <c r="L702" s="95">
        <v>30</v>
      </c>
      <c r="M702" s="96">
        <v>46260</v>
      </c>
      <c r="N702" s="11">
        <f t="shared" si="20"/>
        <v>29</v>
      </c>
      <c r="O702" s="32" t="str">
        <f t="shared" si="21"/>
        <v>Yes</v>
      </c>
    </row>
    <row r="703" spans="2:15" ht="15" customHeight="1" x14ac:dyDescent="0.35">
      <c r="B703" s="10">
        <v>699</v>
      </c>
      <c r="C703" s="34" t="s">
        <v>822</v>
      </c>
      <c r="D703" s="68" t="s">
        <v>1515</v>
      </c>
      <c r="E703" s="68">
        <v>134122</v>
      </c>
      <c r="F703" s="68" t="s">
        <v>2302</v>
      </c>
      <c r="G703" s="68" t="s">
        <v>796</v>
      </c>
      <c r="H703" s="91"/>
      <c r="I703" s="229">
        <v>233.75</v>
      </c>
      <c r="J703" s="12" t="s">
        <v>53</v>
      </c>
      <c r="K703" s="97">
        <v>46231</v>
      </c>
      <c r="L703" s="95">
        <v>30</v>
      </c>
      <c r="M703" s="96">
        <v>46260</v>
      </c>
      <c r="N703" s="11">
        <f t="shared" si="20"/>
        <v>29</v>
      </c>
      <c r="O703" s="32" t="str">
        <f t="shared" si="21"/>
        <v>Yes</v>
      </c>
    </row>
    <row r="704" spans="2:15" ht="15" customHeight="1" x14ac:dyDescent="0.35">
      <c r="B704" s="10">
        <v>700</v>
      </c>
      <c r="C704" s="34" t="s">
        <v>822</v>
      </c>
      <c r="D704" s="68" t="s">
        <v>1516</v>
      </c>
      <c r="E704" s="68">
        <v>134122</v>
      </c>
      <c r="F704" s="68" t="s">
        <v>2303</v>
      </c>
      <c r="G704" s="68" t="s">
        <v>796</v>
      </c>
      <c r="H704" s="91"/>
      <c r="I704" s="229">
        <v>4223.4375</v>
      </c>
      <c r="J704" s="12" t="s">
        <v>53</v>
      </c>
      <c r="K704" s="97">
        <v>46231</v>
      </c>
      <c r="L704" s="95">
        <v>30</v>
      </c>
      <c r="M704" s="96">
        <v>46260</v>
      </c>
      <c r="N704" s="11">
        <f t="shared" si="20"/>
        <v>29</v>
      </c>
      <c r="O704" s="32" t="str">
        <f t="shared" si="21"/>
        <v>Yes</v>
      </c>
    </row>
    <row r="705" spans="2:15" ht="15" customHeight="1" x14ac:dyDescent="0.4">
      <c r="B705" s="10">
        <v>701</v>
      </c>
      <c r="C705" s="34" t="s">
        <v>822</v>
      </c>
      <c r="D705" s="68" t="s">
        <v>1517</v>
      </c>
      <c r="E705" s="68">
        <v>134122</v>
      </c>
      <c r="F705" s="68" t="s">
        <v>2304</v>
      </c>
      <c r="G705" s="68" t="s">
        <v>796</v>
      </c>
      <c r="H705" s="79"/>
      <c r="I705" s="229">
        <v>233.75</v>
      </c>
      <c r="J705" s="12" t="s">
        <v>53</v>
      </c>
      <c r="K705" s="97">
        <v>46231</v>
      </c>
      <c r="L705" s="95">
        <v>30</v>
      </c>
      <c r="M705" s="96">
        <v>46260</v>
      </c>
      <c r="N705" s="11">
        <f t="shared" si="20"/>
        <v>29</v>
      </c>
      <c r="O705" s="32" t="str">
        <f t="shared" si="21"/>
        <v>Yes</v>
      </c>
    </row>
    <row r="706" spans="2:15" ht="15" customHeight="1" x14ac:dyDescent="0.4">
      <c r="B706" s="10">
        <v>702</v>
      </c>
      <c r="C706" s="34" t="s">
        <v>822</v>
      </c>
      <c r="D706" s="68" t="s">
        <v>1518</v>
      </c>
      <c r="E706" s="68">
        <v>134122</v>
      </c>
      <c r="F706" s="68" t="s">
        <v>2305</v>
      </c>
      <c r="G706" s="68" t="s">
        <v>796</v>
      </c>
      <c r="H706" s="79"/>
      <c r="I706" s="229">
        <v>903.125</v>
      </c>
      <c r="J706" s="12" t="s">
        <v>53</v>
      </c>
      <c r="K706" s="97">
        <v>46231</v>
      </c>
      <c r="L706" s="95">
        <v>30</v>
      </c>
      <c r="M706" s="96">
        <v>46260</v>
      </c>
      <c r="N706" s="11">
        <f t="shared" si="20"/>
        <v>29</v>
      </c>
      <c r="O706" s="32" t="str">
        <f t="shared" si="21"/>
        <v>Yes</v>
      </c>
    </row>
    <row r="707" spans="2:15" ht="15" customHeight="1" x14ac:dyDescent="0.4">
      <c r="B707" s="10">
        <v>703</v>
      </c>
      <c r="C707" s="34" t="s">
        <v>822</v>
      </c>
      <c r="D707" s="68" t="s">
        <v>1519</v>
      </c>
      <c r="E707" s="68">
        <v>134122</v>
      </c>
      <c r="F707" s="68" t="s">
        <v>2306</v>
      </c>
      <c r="G707" s="68" t="s">
        <v>796</v>
      </c>
      <c r="H707" s="93"/>
      <c r="I707" s="229">
        <v>77.916666666666671</v>
      </c>
      <c r="J707" s="12" t="s">
        <v>53</v>
      </c>
      <c r="K707" s="97">
        <v>46231</v>
      </c>
      <c r="L707" s="95">
        <v>30</v>
      </c>
      <c r="M707" s="96">
        <v>46260</v>
      </c>
      <c r="N707" s="11">
        <f t="shared" si="20"/>
        <v>29</v>
      </c>
      <c r="O707" s="32" t="str">
        <f t="shared" si="21"/>
        <v>Yes</v>
      </c>
    </row>
    <row r="708" spans="2:15" ht="15" customHeight="1" x14ac:dyDescent="0.4">
      <c r="B708" s="10">
        <v>704</v>
      </c>
      <c r="C708" s="34" t="s">
        <v>822</v>
      </c>
      <c r="D708" s="68" t="s">
        <v>1520</v>
      </c>
      <c r="E708" s="68">
        <v>134122</v>
      </c>
      <c r="F708" s="68" t="s">
        <v>2307</v>
      </c>
      <c r="G708" s="68" t="s">
        <v>796</v>
      </c>
      <c r="H708" s="79"/>
      <c r="I708" s="229">
        <v>903.125</v>
      </c>
      <c r="J708" s="12" t="s">
        <v>53</v>
      </c>
      <c r="K708" s="97">
        <v>46231</v>
      </c>
      <c r="L708" s="95">
        <v>30</v>
      </c>
      <c r="M708" s="96">
        <v>46260</v>
      </c>
      <c r="N708" s="11">
        <f t="shared" si="20"/>
        <v>29</v>
      </c>
      <c r="O708" s="32" t="str">
        <f t="shared" si="21"/>
        <v>Yes</v>
      </c>
    </row>
    <row r="709" spans="2:15" ht="15" customHeight="1" x14ac:dyDescent="0.4">
      <c r="B709" s="10">
        <v>705</v>
      </c>
      <c r="C709" s="34" t="s">
        <v>822</v>
      </c>
      <c r="D709" s="68" t="s">
        <v>1521</v>
      </c>
      <c r="E709" s="68">
        <v>134122</v>
      </c>
      <c r="F709" s="68" t="s">
        <v>2307</v>
      </c>
      <c r="G709" s="68" t="s">
        <v>796</v>
      </c>
      <c r="H709" s="79"/>
      <c r="I709" s="229">
        <v>77.916666666666671</v>
      </c>
      <c r="J709" s="12" t="s">
        <v>53</v>
      </c>
      <c r="K709" s="97">
        <v>46231</v>
      </c>
      <c r="L709" s="95">
        <v>30</v>
      </c>
      <c r="M709" s="96">
        <v>46260</v>
      </c>
      <c r="N709" s="11">
        <f t="shared" ref="N709:N772" si="22">IF(OR(M709="", K709=""),"", M709- K709)</f>
        <v>29</v>
      </c>
      <c r="O709" s="32" t="str">
        <f t="shared" ref="O709:O772" si="23">IF(OR(M709="", K709="", L709=""), "", IF((M709 - K709) &gt; L709, "No", "Yes"))</f>
        <v>Yes</v>
      </c>
    </row>
    <row r="710" spans="2:15" ht="15" customHeight="1" x14ac:dyDescent="0.4">
      <c r="B710" s="10">
        <v>706</v>
      </c>
      <c r="C710" s="34" t="s">
        <v>822</v>
      </c>
      <c r="D710" s="68" t="s">
        <v>1522</v>
      </c>
      <c r="E710" s="68">
        <v>135896</v>
      </c>
      <c r="F710" s="68" t="s">
        <v>2308</v>
      </c>
      <c r="G710" s="68" t="s">
        <v>2567</v>
      </c>
      <c r="H710" s="93"/>
      <c r="I710" s="229">
        <v>1500</v>
      </c>
      <c r="J710" s="12" t="s">
        <v>53</v>
      </c>
      <c r="K710" s="97">
        <v>46231</v>
      </c>
      <c r="L710" s="95">
        <v>30</v>
      </c>
      <c r="M710" s="96">
        <v>46260</v>
      </c>
      <c r="N710" s="11">
        <f t="shared" si="22"/>
        <v>29</v>
      </c>
      <c r="O710" s="32" t="str">
        <f t="shared" si="23"/>
        <v>Yes</v>
      </c>
    </row>
    <row r="711" spans="2:15" ht="15" customHeight="1" x14ac:dyDescent="0.4">
      <c r="B711" s="10">
        <v>707</v>
      </c>
      <c r="C711" s="34" t="s">
        <v>822</v>
      </c>
      <c r="D711" s="68" t="s">
        <v>1523</v>
      </c>
      <c r="E711" s="68">
        <v>133922</v>
      </c>
      <c r="F711" s="68" t="s">
        <v>2309</v>
      </c>
      <c r="G711" s="68" t="s">
        <v>2568</v>
      </c>
      <c r="H711" s="93"/>
      <c r="I711" s="229">
        <v>187.5</v>
      </c>
      <c r="J711" s="12" t="s">
        <v>53</v>
      </c>
      <c r="K711" s="97">
        <v>46231</v>
      </c>
      <c r="L711" s="95">
        <v>30</v>
      </c>
      <c r="M711" s="96">
        <v>46260</v>
      </c>
      <c r="N711" s="11">
        <f t="shared" si="22"/>
        <v>29</v>
      </c>
      <c r="O711" s="32" t="str">
        <f t="shared" si="23"/>
        <v>Yes</v>
      </c>
    </row>
    <row r="712" spans="2:15" ht="15" customHeight="1" x14ac:dyDescent="0.4">
      <c r="B712" s="10">
        <v>708</v>
      </c>
      <c r="C712" s="34" t="s">
        <v>822</v>
      </c>
      <c r="D712" s="68" t="s">
        <v>1524</v>
      </c>
      <c r="E712" s="68">
        <v>133922</v>
      </c>
      <c r="F712" s="68" t="s">
        <v>2310</v>
      </c>
      <c r="G712" s="68" t="s">
        <v>2568</v>
      </c>
      <c r="H712" s="93"/>
      <c r="I712" s="229">
        <v>187.5</v>
      </c>
      <c r="J712" s="12" t="s">
        <v>53</v>
      </c>
      <c r="K712" s="97">
        <v>46231</v>
      </c>
      <c r="L712" s="95">
        <v>30</v>
      </c>
      <c r="M712" s="96">
        <v>46260</v>
      </c>
      <c r="N712" s="11">
        <f t="shared" si="22"/>
        <v>29</v>
      </c>
      <c r="O712" s="32" t="str">
        <f t="shared" si="23"/>
        <v>Yes</v>
      </c>
    </row>
    <row r="713" spans="2:15" ht="15" customHeight="1" x14ac:dyDescent="0.4">
      <c r="B713" s="10">
        <v>709</v>
      </c>
      <c r="C713" s="34" t="s">
        <v>822</v>
      </c>
      <c r="D713" s="68" t="s">
        <v>1525</v>
      </c>
      <c r="E713" s="68">
        <v>134559</v>
      </c>
      <c r="F713" s="68" t="s">
        <v>2311</v>
      </c>
      <c r="G713" s="68" t="s">
        <v>2569</v>
      </c>
      <c r="H713" s="79"/>
      <c r="I713" s="229">
        <v>175.75270833333335</v>
      </c>
      <c r="J713" s="12" t="s">
        <v>53</v>
      </c>
      <c r="K713" s="97">
        <v>46232</v>
      </c>
      <c r="L713" s="95">
        <v>30</v>
      </c>
      <c r="M713" s="96">
        <v>46259</v>
      </c>
      <c r="N713" s="11">
        <f t="shared" si="22"/>
        <v>27</v>
      </c>
      <c r="O713" s="32" t="str">
        <f t="shared" si="23"/>
        <v>Yes</v>
      </c>
    </row>
    <row r="714" spans="2:15" ht="15" customHeight="1" x14ac:dyDescent="0.4">
      <c r="B714" s="10">
        <v>710</v>
      </c>
      <c r="C714" s="34" t="s">
        <v>822</v>
      </c>
      <c r="D714" s="68" t="s">
        <v>1526</v>
      </c>
      <c r="E714" s="68">
        <v>134559</v>
      </c>
      <c r="F714" s="68" t="s">
        <v>2312</v>
      </c>
      <c r="G714" s="68" t="s">
        <v>2569</v>
      </c>
      <c r="H714" s="79"/>
      <c r="I714" s="229">
        <v>209.33333333333334</v>
      </c>
      <c r="J714" s="12" t="s">
        <v>53</v>
      </c>
      <c r="K714" s="97">
        <v>46232</v>
      </c>
      <c r="L714" s="95">
        <v>30</v>
      </c>
      <c r="M714" s="96">
        <v>46259</v>
      </c>
      <c r="N714" s="11">
        <f t="shared" si="22"/>
        <v>27</v>
      </c>
      <c r="O714" s="32" t="str">
        <f t="shared" si="23"/>
        <v>Yes</v>
      </c>
    </row>
    <row r="715" spans="2:15" ht="15" customHeight="1" x14ac:dyDescent="0.4">
      <c r="B715" s="10">
        <v>711</v>
      </c>
      <c r="C715" s="34" t="s">
        <v>822</v>
      </c>
      <c r="D715" s="68" t="s">
        <v>1527</v>
      </c>
      <c r="E715" s="68">
        <v>134559</v>
      </c>
      <c r="F715" s="68" t="s">
        <v>2313</v>
      </c>
      <c r="G715" s="68" t="s">
        <v>2569</v>
      </c>
      <c r="H715" s="79"/>
      <c r="I715" s="229">
        <v>213.58333333333334</v>
      </c>
      <c r="J715" s="12" t="s">
        <v>53</v>
      </c>
      <c r="K715" s="97">
        <v>46232</v>
      </c>
      <c r="L715" s="95">
        <v>30</v>
      </c>
      <c r="M715" s="96">
        <v>46259</v>
      </c>
      <c r="N715" s="11">
        <f t="shared" si="22"/>
        <v>27</v>
      </c>
      <c r="O715" s="32" t="str">
        <f t="shared" si="23"/>
        <v>Yes</v>
      </c>
    </row>
    <row r="716" spans="2:15" ht="15" customHeight="1" x14ac:dyDescent="0.4">
      <c r="B716" s="10">
        <v>712</v>
      </c>
      <c r="C716" s="34" t="s">
        <v>822</v>
      </c>
      <c r="D716" s="68" t="s">
        <v>1528</v>
      </c>
      <c r="E716" s="68">
        <v>130277</v>
      </c>
      <c r="F716" s="68" t="s">
        <v>2314</v>
      </c>
      <c r="G716" s="68" t="s">
        <v>2570</v>
      </c>
      <c r="H716" s="79"/>
      <c r="I716" s="229">
        <v>2000</v>
      </c>
      <c r="J716" s="12" t="s">
        <v>53</v>
      </c>
      <c r="K716" s="97">
        <v>46223</v>
      </c>
      <c r="L716" s="95">
        <v>30</v>
      </c>
      <c r="M716" s="96">
        <v>46255</v>
      </c>
      <c r="N716" s="11">
        <f t="shared" si="22"/>
        <v>32</v>
      </c>
      <c r="O716" s="32" t="str">
        <f t="shared" si="23"/>
        <v>No</v>
      </c>
    </row>
    <row r="717" spans="2:15" ht="15" customHeight="1" x14ac:dyDescent="0.4">
      <c r="B717" s="10">
        <v>713</v>
      </c>
      <c r="C717" s="34" t="s">
        <v>822</v>
      </c>
      <c r="D717" s="68" t="s">
        <v>1529</v>
      </c>
      <c r="E717" s="68">
        <v>130277</v>
      </c>
      <c r="F717" s="68" t="s">
        <v>2315</v>
      </c>
      <c r="G717" s="68" t="s">
        <v>2570</v>
      </c>
      <c r="H717" s="79"/>
      <c r="I717" s="229">
        <v>1250</v>
      </c>
      <c r="J717" s="12" t="s">
        <v>53</v>
      </c>
      <c r="K717" s="97">
        <v>46223</v>
      </c>
      <c r="L717" s="95">
        <v>30</v>
      </c>
      <c r="M717" s="96">
        <v>46254</v>
      </c>
      <c r="N717" s="11">
        <f t="shared" si="22"/>
        <v>31</v>
      </c>
      <c r="O717" s="32" t="str">
        <f t="shared" si="23"/>
        <v>No</v>
      </c>
    </row>
    <row r="718" spans="2:15" ht="15" customHeight="1" x14ac:dyDescent="0.4">
      <c r="B718" s="10">
        <v>714</v>
      </c>
      <c r="C718" s="34" t="s">
        <v>822</v>
      </c>
      <c r="D718" s="68" t="s">
        <v>1530</v>
      </c>
      <c r="E718" s="68">
        <v>128210</v>
      </c>
      <c r="F718" s="68" t="s">
        <v>2316</v>
      </c>
      <c r="G718" s="68" t="s">
        <v>2570</v>
      </c>
      <c r="H718" s="79"/>
      <c r="I718" s="229">
        <v>1035</v>
      </c>
      <c r="J718" s="12" t="s">
        <v>53</v>
      </c>
      <c r="K718" s="97">
        <v>46223</v>
      </c>
      <c r="L718" s="95">
        <v>30</v>
      </c>
      <c r="M718" s="96">
        <v>46254</v>
      </c>
      <c r="N718" s="11">
        <f t="shared" si="22"/>
        <v>31</v>
      </c>
      <c r="O718" s="32" t="str">
        <f t="shared" si="23"/>
        <v>No</v>
      </c>
    </row>
    <row r="719" spans="2:15" ht="15" customHeight="1" x14ac:dyDescent="0.35">
      <c r="B719" s="10">
        <v>715</v>
      </c>
      <c r="C719" s="34" t="s">
        <v>822</v>
      </c>
      <c r="D719" s="68" t="s">
        <v>1531</v>
      </c>
      <c r="E719" s="68">
        <v>133921</v>
      </c>
      <c r="F719" s="68" t="s">
        <v>2317</v>
      </c>
      <c r="G719" s="68" t="s">
        <v>2509</v>
      </c>
      <c r="H719" s="94"/>
      <c r="I719" s="229">
        <v>291.66666666666669</v>
      </c>
      <c r="J719" s="12" t="s">
        <v>53</v>
      </c>
      <c r="K719" s="97">
        <v>46231</v>
      </c>
      <c r="L719" s="95">
        <v>30</v>
      </c>
      <c r="M719" s="96">
        <v>46261</v>
      </c>
      <c r="N719" s="11">
        <f t="shared" si="22"/>
        <v>30</v>
      </c>
      <c r="O719" s="32" t="str">
        <f t="shared" si="23"/>
        <v>Yes</v>
      </c>
    </row>
    <row r="720" spans="2:15" ht="15" customHeight="1" x14ac:dyDescent="0.4">
      <c r="B720" s="10">
        <v>716</v>
      </c>
      <c r="C720" s="34" t="s">
        <v>822</v>
      </c>
      <c r="D720" s="68" t="s">
        <v>1532</v>
      </c>
      <c r="E720" s="68">
        <v>133921</v>
      </c>
      <c r="F720" s="68" t="s">
        <v>1954</v>
      </c>
      <c r="G720" s="68" t="s">
        <v>2509</v>
      </c>
      <c r="H720" s="79"/>
      <c r="I720" s="229">
        <v>125</v>
      </c>
      <c r="J720" s="12" t="s">
        <v>53</v>
      </c>
      <c r="K720" s="97">
        <v>46231</v>
      </c>
      <c r="L720" s="95">
        <v>30</v>
      </c>
      <c r="M720" s="96">
        <v>46261</v>
      </c>
      <c r="N720" s="11">
        <f t="shared" si="22"/>
        <v>30</v>
      </c>
      <c r="O720" s="32" t="str">
        <f t="shared" si="23"/>
        <v>Yes</v>
      </c>
    </row>
    <row r="721" spans="2:15" ht="15" customHeight="1" x14ac:dyDescent="0.4">
      <c r="B721" s="10">
        <v>717</v>
      </c>
      <c r="C721" s="34" t="s">
        <v>822</v>
      </c>
      <c r="D721" s="68" t="s">
        <v>1533</v>
      </c>
      <c r="E721" s="68">
        <v>135494</v>
      </c>
      <c r="F721" s="68" t="s">
        <v>2318</v>
      </c>
      <c r="G721" s="68" t="s">
        <v>2571</v>
      </c>
      <c r="H721" s="79"/>
      <c r="I721" s="229">
        <v>5097.916666666667</v>
      </c>
      <c r="J721" s="12" t="s">
        <v>53</v>
      </c>
      <c r="K721" s="97">
        <v>46220</v>
      </c>
      <c r="L721" s="95">
        <v>30</v>
      </c>
      <c r="M721" s="96">
        <v>46256</v>
      </c>
      <c r="N721" s="11">
        <f t="shared" si="22"/>
        <v>36</v>
      </c>
      <c r="O721" s="32" t="str">
        <f t="shared" si="23"/>
        <v>No</v>
      </c>
    </row>
    <row r="722" spans="2:15" ht="16" customHeight="1" x14ac:dyDescent="0.4">
      <c r="B722" s="10">
        <v>718</v>
      </c>
      <c r="C722" s="34" t="s">
        <v>822</v>
      </c>
      <c r="D722" s="68" t="s">
        <v>1534</v>
      </c>
      <c r="E722" s="68">
        <v>135077</v>
      </c>
      <c r="F722" s="68" t="s">
        <v>2319</v>
      </c>
      <c r="G722" s="68" t="s">
        <v>2571</v>
      </c>
      <c r="H722" s="79"/>
      <c r="I722" s="229">
        <v>1109.375</v>
      </c>
      <c r="J722" s="12" t="s">
        <v>53</v>
      </c>
      <c r="K722" s="97">
        <v>46220</v>
      </c>
      <c r="L722" s="95">
        <v>30</v>
      </c>
      <c r="M722" s="96">
        <v>46258</v>
      </c>
      <c r="N722" s="11">
        <f t="shared" si="22"/>
        <v>38</v>
      </c>
      <c r="O722" s="32" t="str">
        <f t="shared" si="23"/>
        <v>No</v>
      </c>
    </row>
    <row r="723" spans="2:15" ht="15" customHeight="1" x14ac:dyDescent="0.4">
      <c r="B723" s="10">
        <v>719</v>
      </c>
      <c r="C723" s="34" t="s">
        <v>822</v>
      </c>
      <c r="D723" s="68" t="s">
        <v>1535</v>
      </c>
      <c r="E723" s="68">
        <v>135077</v>
      </c>
      <c r="F723" s="68" t="s">
        <v>2320</v>
      </c>
      <c r="G723" s="68" t="s">
        <v>2571</v>
      </c>
      <c r="H723" s="79"/>
      <c r="I723" s="229">
        <v>1101.5625</v>
      </c>
      <c r="J723" s="12" t="s">
        <v>53</v>
      </c>
      <c r="K723" s="97">
        <v>46220</v>
      </c>
      <c r="L723" s="95">
        <v>30</v>
      </c>
      <c r="M723" s="96">
        <v>46245</v>
      </c>
      <c r="N723" s="11">
        <f t="shared" si="22"/>
        <v>25</v>
      </c>
      <c r="O723" s="32" t="str">
        <f t="shared" si="23"/>
        <v>Yes</v>
      </c>
    </row>
    <row r="724" spans="2:15" ht="15" customHeight="1" x14ac:dyDescent="0.4">
      <c r="B724" s="10">
        <v>720</v>
      </c>
      <c r="C724" s="34" t="s">
        <v>822</v>
      </c>
      <c r="D724" s="68" t="s">
        <v>1536</v>
      </c>
      <c r="E724" s="68">
        <v>135272</v>
      </c>
      <c r="F724" s="68" t="s">
        <v>2321</v>
      </c>
      <c r="G724" s="68" t="s">
        <v>2572</v>
      </c>
      <c r="H724" s="79"/>
      <c r="I724" s="229">
        <v>1576.875</v>
      </c>
      <c r="J724" s="12" t="s">
        <v>53</v>
      </c>
      <c r="K724" s="97">
        <v>46206</v>
      </c>
      <c r="L724" s="95">
        <v>30</v>
      </c>
      <c r="M724" s="96">
        <v>46235</v>
      </c>
      <c r="N724" s="11">
        <f t="shared" si="22"/>
        <v>29</v>
      </c>
      <c r="O724" s="32" t="str">
        <f t="shared" si="23"/>
        <v>Yes</v>
      </c>
    </row>
    <row r="725" spans="2:15" ht="15" customHeight="1" x14ac:dyDescent="0.4">
      <c r="B725" s="10">
        <v>721</v>
      </c>
      <c r="C725" s="34" t="s">
        <v>822</v>
      </c>
      <c r="D725" s="68" t="s">
        <v>1537</v>
      </c>
      <c r="E725" s="68">
        <v>130251</v>
      </c>
      <c r="F725" s="68" t="s">
        <v>2322</v>
      </c>
      <c r="G725" s="68" t="s">
        <v>2512</v>
      </c>
      <c r="H725" s="79"/>
      <c r="I725" s="229">
        <v>336.66666666666669</v>
      </c>
      <c r="J725" s="12" t="s">
        <v>53</v>
      </c>
      <c r="K725" s="97">
        <v>46233</v>
      </c>
      <c r="L725" s="95">
        <v>30</v>
      </c>
      <c r="M725" s="96">
        <v>46260</v>
      </c>
      <c r="N725" s="11">
        <f t="shared" si="22"/>
        <v>27</v>
      </c>
      <c r="O725" s="32" t="str">
        <f t="shared" si="23"/>
        <v>Yes</v>
      </c>
    </row>
    <row r="726" spans="2:15" ht="15" customHeight="1" x14ac:dyDescent="0.4">
      <c r="B726" s="10">
        <v>722</v>
      </c>
      <c r="C726" s="34" t="s">
        <v>822</v>
      </c>
      <c r="D726" s="68" t="s">
        <v>1538</v>
      </c>
      <c r="E726" s="68">
        <v>135788</v>
      </c>
      <c r="F726" s="68" t="s">
        <v>2323</v>
      </c>
      <c r="G726" s="68" t="s">
        <v>2573</v>
      </c>
      <c r="H726" s="79"/>
      <c r="I726" s="229">
        <v>375</v>
      </c>
      <c r="J726" s="12" t="s">
        <v>53</v>
      </c>
      <c r="K726" s="97">
        <v>46223</v>
      </c>
      <c r="L726" s="95">
        <v>30</v>
      </c>
      <c r="M726" s="96">
        <v>46251</v>
      </c>
      <c r="N726" s="11">
        <f t="shared" si="22"/>
        <v>28</v>
      </c>
      <c r="O726" s="32" t="str">
        <f t="shared" si="23"/>
        <v>Yes</v>
      </c>
    </row>
    <row r="727" spans="2:15" ht="15" customHeight="1" x14ac:dyDescent="0.4">
      <c r="B727" s="10">
        <v>723</v>
      </c>
      <c r="C727" s="34" t="s">
        <v>822</v>
      </c>
      <c r="D727" s="68">
        <v>5740626</v>
      </c>
      <c r="E727" s="68">
        <v>135611</v>
      </c>
      <c r="F727" s="68" t="s">
        <v>2324</v>
      </c>
      <c r="G727" s="68" t="s">
        <v>659</v>
      </c>
      <c r="H727" s="79"/>
      <c r="I727" s="229">
        <v>229.16666666666666</v>
      </c>
      <c r="J727" s="12" t="s">
        <v>53</v>
      </c>
      <c r="K727" s="97">
        <v>46212</v>
      </c>
      <c r="L727" s="95">
        <v>30</v>
      </c>
      <c r="M727" s="96">
        <v>46242</v>
      </c>
      <c r="N727" s="11">
        <f t="shared" si="22"/>
        <v>30</v>
      </c>
      <c r="O727" s="32" t="str">
        <f t="shared" si="23"/>
        <v>Yes</v>
      </c>
    </row>
    <row r="728" spans="2:15" ht="15" customHeight="1" x14ac:dyDescent="0.4">
      <c r="B728" s="10">
        <v>724</v>
      </c>
      <c r="C728" s="34" t="s">
        <v>822</v>
      </c>
      <c r="D728" s="68">
        <v>5730626</v>
      </c>
      <c r="E728" s="68">
        <v>135612</v>
      </c>
      <c r="F728" s="68" t="s">
        <v>2325</v>
      </c>
      <c r="G728" s="68" t="s">
        <v>659</v>
      </c>
      <c r="H728" s="79"/>
      <c r="I728" s="229">
        <v>187.5</v>
      </c>
      <c r="J728" s="12" t="s">
        <v>53</v>
      </c>
      <c r="K728" s="97">
        <v>46212</v>
      </c>
      <c r="L728" s="95">
        <v>30</v>
      </c>
      <c r="M728" s="96">
        <v>46248</v>
      </c>
      <c r="N728" s="11">
        <f t="shared" si="22"/>
        <v>36</v>
      </c>
      <c r="O728" s="32" t="str">
        <f t="shared" si="23"/>
        <v>No</v>
      </c>
    </row>
    <row r="729" spans="2:15" ht="15" customHeight="1" x14ac:dyDescent="0.4">
      <c r="B729" s="10">
        <v>725</v>
      </c>
      <c r="C729" s="34" t="s">
        <v>822</v>
      </c>
      <c r="D729" s="68">
        <v>5720626</v>
      </c>
      <c r="E729" s="68">
        <v>135536</v>
      </c>
      <c r="F729" s="68" t="s">
        <v>2326</v>
      </c>
      <c r="G729" s="68" t="s">
        <v>659</v>
      </c>
      <c r="H729" s="79"/>
      <c r="I729" s="229">
        <v>66.666666666666671</v>
      </c>
      <c r="J729" s="12" t="s">
        <v>53</v>
      </c>
      <c r="K729" s="97">
        <v>46211</v>
      </c>
      <c r="L729" s="95">
        <v>30</v>
      </c>
      <c r="M729" s="96">
        <v>46241</v>
      </c>
      <c r="N729" s="11">
        <f t="shared" si="22"/>
        <v>30</v>
      </c>
      <c r="O729" s="32" t="str">
        <f t="shared" si="23"/>
        <v>Yes</v>
      </c>
    </row>
    <row r="730" spans="2:15" ht="15" customHeight="1" x14ac:dyDescent="0.4">
      <c r="B730" s="10">
        <v>726</v>
      </c>
      <c r="C730" s="34" t="s">
        <v>822</v>
      </c>
      <c r="D730" s="68" t="s">
        <v>1539</v>
      </c>
      <c r="E730" s="68">
        <v>135985</v>
      </c>
      <c r="F730" s="68" t="s">
        <v>2327</v>
      </c>
      <c r="G730" s="68" t="s">
        <v>2574</v>
      </c>
      <c r="H730" s="79"/>
      <c r="I730" s="229">
        <v>354.16666666666669</v>
      </c>
      <c r="J730" s="12" t="s">
        <v>53</v>
      </c>
      <c r="K730" s="97">
        <v>46234</v>
      </c>
      <c r="L730" s="95">
        <v>30</v>
      </c>
      <c r="M730" s="96">
        <v>46260</v>
      </c>
      <c r="N730" s="11">
        <f t="shared" si="22"/>
        <v>26</v>
      </c>
      <c r="O730" s="32" t="str">
        <f t="shared" si="23"/>
        <v>Yes</v>
      </c>
    </row>
    <row r="731" spans="2:15" ht="15" customHeight="1" x14ac:dyDescent="0.4">
      <c r="B731" s="10">
        <v>727</v>
      </c>
      <c r="C731" s="34" t="s">
        <v>822</v>
      </c>
      <c r="D731" s="68" t="s">
        <v>1540</v>
      </c>
      <c r="E731" s="68">
        <v>135974</v>
      </c>
      <c r="F731" s="68" t="s">
        <v>2328</v>
      </c>
      <c r="G731" s="68" t="s">
        <v>2575</v>
      </c>
      <c r="H731" s="79"/>
      <c r="I731" s="229">
        <v>1041.6666666666667</v>
      </c>
      <c r="J731" s="12" t="s">
        <v>53</v>
      </c>
      <c r="K731" s="97">
        <v>46232</v>
      </c>
      <c r="L731" s="95">
        <v>30</v>
      </c>
      <c r="M731" s="96">
        <v>46260</v>
      </c>
      <c r="N731" s="11">
        <f t="shared" si="22"/>
        <v>28</v>
      </c>
      <c r="O731" s="32" t="str">
        <f t="shared" si="23"/>
        <v>Yes</v>
      </c>
    </row>
    <row r="732" spans="2:15" ht="15" customHeight="1" x14ac:dyDescent="0.4">
      <c r="B732" s="10">
        <v>728</v>
      </c>
      <c r="C732" s="34" t="s">
        <v>822</v>
      </c>
      <c r="D732" s="68" t="s">
        <v>1541</v>
      </c>
      <c r="E732" s="68">
        <v>135981</v>
      </c>
      <c r="F732" s="68" t="s">
        <v>2329</v>
      </c>
      <c r="G732" s="68" t="s">
        <v>2576</v>
      </c>
      <c r="H732" s="79"/>
      <c r="I732" s="229">
        <v>1041.6666666666667</v>
      </c>
      <c r="J732" s="12" t="s">
        <v>53</v>
      </c>
      <c r="K732" s="97">
        <v>46234</v>
      </c>
      <c r="L732" s="95">
        <v>30</v>
      </c>
      <c r="M732" s="96">
        <v>46260</v>
      </c>
      <c r="N732" s="11">
        <f t="shared" si="22"/>
        <v>26</v>
      </c>
      <c r="O732" s="32" t="str">
        <f t="shared" si="23"/>
        <v>Yes</v>
      </c>
    </row>
    <row r="733" spans="2:15" ht="15" customHeight="1" x14ac:dyDescent="0.4">
      <c r="B733" s="10">
        <v>729</v>
      </c>
      <c r="C733" s="34" t="s">
        <v>822</v>
      </c>
      <c r="D733" s="68" t="s">
        <v>1542</v>
      </c>
      <c r="E733" s="68">
        <v>135032</v>
      </c>
      <c r="F733" s="68" t="s">
        <v>2330</v>
      </c>
      <c r="G733" s="68" t="s">
        <v>2577</v>
      </c>
      <c r="H733" s="79"/>
      <c r="I733" s="229">
        <v>178.33333333333334</v>
      </c>
      <c r="J733" s="12" t="s">
        <v>53</v>
      </c>
      <c r="K733" s="97">
        <v>46233</v>
      </c>
      <c r="L733" s="95">
        <v>30</v>
      </c>
      <c r="M733" s="96">
        <v>46260</v>
      </c>
      <c r="N733" s="11">
        <f t="shared" si="22"/>
        <v>27</v>
      </c>
      <c r="O733" s="32" t="str">
        <f t="shared" si="23"/>
        <v>Yes</v>
      </c>
    </row>
    <row r="734" spans="2:15" ht="15" customHeight="1" x14ac:dyDescent="0.4">
      <c r="B734" s="10">
        <v>730</v>
      </c>
      <c r="C734" s="34" t="s">
        <v>822</v>
      </c>
      <c r="D734" s="68" t="s">
        <v>1543</v>
      </c>
      <c r="E734" s="68">
        <v>130274</v>
      </c>
      <c r="F734" s="68" t="s">
        <v>2331</v>
      </c>
      <c r="G734" s="68" t="s">
        <v>766</v>
      </c>
      <c r="H734" s="79"/>
      <c r="I734" s="229">
        <v>208.33333333333334</v>
      </c>
      <c r="J734" s="12" t="s">
        <v>53</v>
      </c>
      <c r="K734" s="97">
        <v>46233</v>
      </c>
      <c r="L734" s="95">
        <v>30</v>
      </c>
      <c r="M734" s="96">
        <v>46260</v>
      </c>
      <c r="N734" s="11">
        <f t="shared" si="22"/>
        <v>27</v>
      </c>
      <c r="O734" s="32" t="str">
        <f t="shared" si="23"/>
        <v>Yes</v>
      </c>
    </row>
    <row r="735" spans="2:15" ht="15" customHeight="1" x14ac:dyDescent="0.4">
      <c r="B735" s="10">
        <v>731</v>
      </c>
      <c r="C735" s="34" t="s">
        <v>822</v>
      </c>
      <c r="D735" s="68" t="s">
        <v>1544</v>
      </c>
      <c r="E735" s="68">
        <v>129994</v>
      </c>
      <c r="F735" s="68" t="s">
        <v>2332</v>
      </c>
      <c r="G735" s="68" t="s">
        <v>628</v>
      </c>
      <c r="H735" s="79"/>
      <c r="I735" s="229">
        <v>207.36</v>
      </c>
      <c r="J735" s="12" t="s">
        <v>53</v>
      </c>
      <c r="K735" s="97">
        <v>46232</v>
      </c>
      <c r="L735" s="95">
        <v>30</v>
      </c>
      <c r="M735" s="96">
        <v>46260</v>
      </c>
      <c r="N735" s="11">
        <f t="shared" si="22"/>
        <v>28</v>
      </c>
      <c r="O735" s="32" t="str">
        <f t="shared" si="23"/>
        <v>Yes</v>
      </c>
    </row>
    <row r="736" spans="2:15" ht="15" customHeight="1" x14ac:dyDescent="0.4">
      <c r="B736" s="10">
        <v>732</v>
      </c>
      <c r="C736" s="34" t="s">
        <v>822</v>
      </c>
      <c r="D736" s="68" t="s">
        <v>1545</v>
      </c>
      <c r="E736" s="68">
        <v>129994</v>
      </c>
      <c r="F736" s="68" t="s">
        <v>2333</v>
      </c>
      <c r="G736" s="68" t="s">
        <v>628</v>
      </c>
      <c r="H736" s="79"/>
      <c r="I736" s="229">
        <v>120</v>
      </c>
      <c r="J736" s="12" t="s">
        <v>53</v>
      </c>
      <c r="K736" s="97">
        <v>46232</v>
      </c>
      <c r="L736" s="95">
        <v>30</v>
      </c>
      <c r="M736" s="96">
        <v>46260</v>
      </c>
      <c r="N736" s="11">
        <f t="shared" si="22"/>
        <v>28</v>
      </c>
      <c r="O736" s="32" t="str">
        <f t="shared" si="23"/>
        <v>Yes</v>
      </c>
    </row>
    <row r="737" spans="2:15" ht="15" customHeight="1" x14ac:dyDescent="0.4">
      <c r="B737" s="10">
        <v>733</v>
      </c>
      <c r="C737" s="34" t="s">
        <v>822</v>
      </c>
      <c r="D737" s="68" t="s">
        <v>1546</v>
      </c>
      <c r="E737" s="68">
        <v>133927</v>
      </c>
      <c r="F737" s="68" t="s">
        <v>2334</v>
      </c>
      <c r="G737" s="68" t="s">
        <v>628</v>
      </c>
      <c r="H737" s="79"/>
      <c r="I737" s="229">
        <v>15</v>
      </c>
      <c r="J737" s="12" t="s">
        <v>53</v>
      </c>
      <c r="K737" s="97">
        <v>46232</v>
      </c>
      <c r="L737" s="95">
        <v>30</v>
      </c>
      <c r="M737" s="96">
        <v>46260</v>
      </c>
      <c r="N737" s="11">
        <f t="shared" si="22"/>
        <v>28</v>
      </c>
      <c r="O737" s="32" t="str">
        <f t="shared" si="23"/>
        <v>Yes</v>
      </c>
    </row>
    <row r="738" spans="2:15" ht="15" customHeight="1" x14ac:dyDescent="0.4">
      <c r="B738" s="10">
        <v>734</v>
      </c>
      <c r="C738" s="34" t="s">
        <v>822</v>
      </c>
      <c r="D738" s="68" t="s">
        <v>1547</v>
      </c>
      <c r="E738" s="68">
        <v>136058</v>
      </c>
      <c r="F738" s="68" t="s">
        <v>2335</v>
      </c>
      <c r="G738" s="68" t="s">
        <v>628</v>
      </c>
      <c r="H738" s="79"/>
      <c r="I738" s="229">
        <v>137.28</v>
      </c>
      <c r="J738" s="12" t="s">
        <v>53</v>
      </c>
      <c r="K738" s="97">
        <v>46232</v>
      </c>
      <c r="L738" s="95">
        <v>30</v>
      </c>
      <c r="M738" s="96">
        <v>46260</v>
      </c>
      <c r="N738" s="11">
        <f t="shared" si="22"/>
        <v>28</v>
      </c>
      <c r="O738" s="32" t="str">
        <f t="shared" si="23"/>
        <v>Yes</v>
      </c>
    </row>
    <row r="739" spans="2:15" ht="15" customHeight="1" x14ac:dyDescent="0.4">
      <c r="B739" s="10">
        <v>735</v>
      </c>
      <c r="C739" s="34" t="s">
        <v>822</v>
      </c>
      <c r="D739" s="68" t="s">
        <v>1548</v>
      </c>
      <c r="E739" s="68">
        <v>136058</v>
      </c>
      <c r="F739" s="68" t="s">
        <v>2336</v>
      </c>
      <c r="G739" s="68" t="s">
        <v>628</v>
      </c>
      <c r="H739" s="79"/>
      <c r="I739" s="229">
        <v>207.36</v>
      </c>
      <c r="J739" s="12" t="s">
        <v>53</v>
      </c>
      <c r="K739" s="97">
        <v>46232</v>
      </c>
      <c r="L739" s="95">
        <v>30</v>
      </c>
      <c r="M739" s="96">
        <v>46260</v>
      </c>
      <c r="N739" s="11">
        <f t="shared" si="22"/>
        <v>28</v>
      </c>
      <c r="O739" s="32" t="str">
        <f t="shared" si="23"/>
        <v>Yes</v>
      </c>
    </row>
    <row r="740" spans="2:15" ht="15" customHeight="1" x14ac:dyDescent="0.4">
      <c r="B740" s="10">
        <v>736</v>
      </c>
      <c r="C740" s="34" t="s">
        <v>822</v>
      </c>
      <c r="D740" s="68" t="s">
        <v>1549</v>
      </c>
      <c r="E740" s="68">
        <v>136058</v>
      </c>
      <c r="F740" s="68" t="s">
        <v>2337</v>
      </c>
      <c r="G740" s="68" t="s">
        <v>628</v>
      </c>
      <c r="H740" s="79"/>
      <c r="I740" s="229">
        <v>207.36</v>
      </c>
      <c r="J740" s="12" t="s">
        <v>53</v>
      </c>
      <c r="K740" s="97">
        <v>46232</v>
      </c>
      <c r="L740" s="95">
        <v>30</v>
      </c>
      <c r="M740" s="96">
        <v>46260</v>
      </c>
      <c r="N740" s="11">
        <f t="shared" si="22"/>
        <v>28</v>
      </c>
      <c r="O740" s="32" t="str">
        <f t="shared" si="23"/>
        <v>Yes</v>
      </c>
    </row>
    <row r="741" spans="2:15" ht="15" customHeight="1" x14ac:dyDescent="0.4">
      <c r="B741" s="10">
        <v>737</v>
      </c>
      <c r="C741" s="34" t="s">
        <v>822</v>
      </c>
      <c r="D741" s="68" t="s">
        <v>1550</v>
      </c>
      <c r="E741" s="68">
        <v>136058</v>
      </c>
      <c r="F741" s="68" t="s">
        <v>2338</v>
      </c>
      <c r="G741" s="68" t="s">
        <v>628</v>
      </c>
      <c r="H741" s="79"/>
      <c r="I741" s="229">
        <v>207.36</v>
      </c>
      <c r="J741" s="12" t="s">
        <v>53</v>
      </c>
      <c r="K741" s="97">
        <v>46232</v>
      </c>
      <c r="L741" s="95">
        <v>30</v>
      </c>
      <c r="M741" s="96">
        <v>46260</v>
      </c>
      <c r="N741" s="11">
        <f t="shared" si="22"/>
        <v>28</v>
      </c>
      <c r="O741" s="32" t="str">
        <f t="shared" si="23"/>
        <v>Yes</v>
      </c>
    </row>
    <row r="742" spans="2:15" ht="15" customHeight="1" x14ac:dyDescent="0.4">
      <c r="B742" s="10">
        <v>738</v>
      </c>
      <c r="C742" s="34" t="s">
        <v>822</v>
      </c>
      <c r="D742" s="68" t="s">
        <v>1551</v>
      </c>
      <c r="E742" s="68">
        <v>136058</v>
      </c>
      <c r="F742" s="68" t="s">
        <v>2339</v>
      </c>
      <c r="G742" s="68" t="s">
        <v>628</v>
      </c>
      <c r="H742" s="79"/>
      <c r="I742" s="229">
        <v>100.8</v>
      </c>
      <c r="J742" s="12" t="s">
        <v>53</v>
      </c>
      <c r="K742" s="97">
        <v>46232</v>
      </c>
      <c r="L742" s="95">
        <v>30</v>
      </c>
      <c r="M742" s="96">
        <v>46260</v>
      </c>
      <c r="N742" s="11">
        <f t="shared" si="22"/>
        <v>28</v>
      </c>
      <c r="O742" s="32" t="str">
        <f t="shared" si="23"/>
        <v>Yes</v>
      </c>
    </row>
    <row r="743" spans="2:15" ht="15" customHeight="1" x14ac:dyDescent="0.4">
      <c r="B743" s="10">
        <v>739</v>
      </c>
      <c r="C743" s="34" t="s">
        <v>822</v>
      </c>
      <c r="D743" s="68" t="s">
        <v>1552</v>
      </c>
      <c r="E743" s="68">
        <v>136058</v>
      </c>
      <c r="F743" s="68" t="s">
        <v>301</v>
      </c>
      <c r="G743" s="68" t="s">
        <v>628</v>
      </c>
      <c r="H743" s="79"/>
      <c r="I743" s="229">
        <v>20.736000000000001</v>
      </c>
      <c r="J743" s="12" t="s">
        <v>53</v>
      </c>
      <c r="K743" s="97">
        <v>46232</v>
      </c>
      <c r="L743" s="95">
        <v>30</v>
      </c>
      <c r="M743" s="96">
        <v>46260</v>
      </c>
      <c r="N743" s="11">
        <f t="shared" si="22"/>
        <v>28</v>
      </c>
      <c r="O743" s="32" t="str">
        <f t="shared" si="23"/>
        <v>Yes</v>
      </c>
    </row>
    <row r="744" spans="2:15" ht="15" customHeight="1" x14ac:dyDescent="0.4">
      <c r="B744" s="10">
        <v>740</v>
      </c>
      <c r="C744" s="34" t="s">
        <v>822</v>
      </c>
      <c r="D744" s="68" t="s">
        <v>1553</v>
      </c>
      <c r="E744" s="68">
        <v>136058</v>
      </c>
      <c r="F744" s="68" t="s">
        <v>2340</v>
      </c>
      <c r="G744" s="68" t="s">
        <v>628</v>
      </c>
      <c r="H744" s="79"/>
      <c r="I744" s="229">
        <v>100.8</v>
      </c>
      <c r="J744" s="12" t="s">
        <v>53</v>
      </c>
      <c r="K744" s="97">
        <v>46232</v>
      </c>
      <c r="L744" s="95">
        <v>30</v>
      </c>
      <c r="M744" s="96">
        <v>46260</v>
      </c>
      <c r="N744" s="11">
        <f t="shared" si="22"/>
        <v>28</v>
      </c>
      <c r="O744" s="32" t="str">
        <f t="shared" si="23"/>
        <v>Yes</v>
      </c>
    </row>
    <row r="745" spans="2:15" ht="15" customHeight="1" x14ac:dyDescent="0.4">
      <c r="B745" s="10">
        <v>741</v>
      </c>
      <c r="C745" s="34" t="s">
        <v>822</v>
      </c>
      <c r="D745" s="68" t="s">
        <v>1554</v>
      </c>
      <c r="E745" s="68">
        <v>133927</v>
      </c>
      <c r="F745" s="68" t="s">
        <v>2341</v>
      </c>
      <c r="G745" s="68" t="s">
        <v>628</v>
      </c>
      <c r="H745" s="79"/>
      <c r="I745" s="229">
        <v>426.25</v>
      </c>
      <c r="J745" s="12" t="s">
        <v>53</v>
      </c>
      <c r="K745" s="97">
        <v>46232</v>
      </c>
      <c r="L745" s="95">
        <v>30</v>
      </c>
      <c r="M745" s="96">
        <v>46260</v>
      </c>
      <c r="N745" s="11">
        <f t="shared" si="22"/>
        <v>28</v>
      </c>
      <c r="O745" s="32" t="str">
        <f t="shared" si="23"/>
        <v>Yes</v>
      </c>
    </row>
    <row r="746" spans="2:15" ht="15" customHeight="1" x14ac:dyDescent="0.4">
      <c r="B746" s="10">
        <v>742</v>
      </c>
      <c r="C746" s="34" t="s">
        <v>822</v>
      </c>
      <c r="D746" s="68" t="s">
        <v>1555</v>
      </c>
      <c r="E746" s="68">
        <v>133927</v>
      </c>
      <c r="F746" s="68" t="s">
        <v>2342</v>
      </c>
      <c r="G746" s="68" t="s">
        <v>628</v>
      </c>
      <c r="H746" s="79"/>
      <c r="I746" s="229">
        <v>57.5</v>
      </c>
      <c r="J746" s="12" t="s">
        <v>53</v>
      </c>
      <c r="K746" s="97">
        <v>46232</v>
      </c>
      <c r="L746" s="95">
        <v>30</v>
      </c>
      <c r="M746" s="96">
        <v>46260</v>
      </c>
      <c r="N746" s="11">
        <f t="shared" si="22"/>
        <v>28</v>
      </c>
      <c r="O746" s="32" t="str">
        <f t="shared" si="23"/>
        <v>Yes</v>
      </c>
    </row>
    <row r="747" spans="2:15" ht="15" customHeight="1" x14ac:dyDescent="0.4">
      <c r="B747" s="10">
        <v>743</v>
      </c>
      <c r="C747" s="34" t="s">
        <v>822</v>
      </c>
      <c r="D747" s="68" t="s">
        <v>1556</v>
      </c>
      <c r="E747" s="68">
        <v>133927</v>
      </c>
      <c r="F747" s="68" t="s">
        <v>2343</v>
      </c>
      <c r="G747" s="68" t="s">
        <v>628</v>
      </c>
      <c r="H747" s="79"/>
      <c r="I747" s="229">
        <v>426.25</v>
      </c>
      <c r="J747" s="12" t="s">
        <v>53</v>
      </c>
      <c r="K747" s="97">
        <v>46232</v>
      </c>
      <c r="L747" s="95">
        <v>30</v>
      </c>
      <c r="M747" s="96">
        <v>46260</v>
      </c>
      <c r="N747" s="11">
        <f t="shared" si="22"/>
        <v>28</v>
      </c>
      <c r="O747" s="32" t="str">
        <f t="shared" si="23"/>
        <v>Yes</v>
      </c>
    </row>
    <row r="748" spans="2:15" ht="15" customHeight="1" x14ac:dyDescent="0.4">
      <c r="B748" s="10">
        <v>744</v>
      </c>
      <c r="C748" s="34" t="s">
        <v>822</v>
      </c>
      <c r="D748" s="68" t="s">
        <v>1557</v>
      </c>
      <c r="E748" s="68">
        <v>133927</v>
      </c>
      <c r="F748" s="68" t="s">
        <v>2341</v>
      </c>
      <c r="G748" s="68" t="s">
        <v>628</v>
      </c>
      <c r="H748" s="79"/>
      <c r="I748" s="229">
        <v>426.25</v>
      </c>
      <c r="J748" s="12" t="s">
        <v>53</v>
      </c>
      <c r="K748" s="97">
        <v>46232</v>
      </c>
      <c r="L748" s="95">
        <v>30</v>
      </c>
      <c r="M748" s="96">
        <v>46260</v>
      </c>
      <c r="N748" s="11">
        <f t="shared" si="22"/>
        <v>28</v>
      </c>
      <c r="O748" s="32" t="str">
        <f t="shared" si="23"/>
        <v>Yes</v>
      </c>
    </row>
    <row r="749" spans="2:15" ht="15" customHeight="1" x14ac:dyDescent="0.4">
      <c r="B749" s="10">
        <v>745</v>
      </c>
      <c r="C749" s="34" t="s">
        <v>822</v>
      </c>
      <c r="D749" s="68" t="s">
        <v>1558</v>
      </c>
      <c r="E749" s="68">
        <v>133927</v>
      </c>
      <c r="F749" s="68" t="s">
        <v>2341</v>
      </c>
      <c r="G749" s="68" t="s">
        <v>628</v>
      </c>
      <c r="H749" s="79"/>
      <c r="I749" s="229">
        <v>57.5</v>
      </c>
      <c r="J749" s="12" t="s">
        <v>53</v>
      </c>
      <c r="K749" s="97">
        <v>46232</v>
      </c>
      <c r="L749" s="95">
        <v>30</v>
      </c>
      <c r="M749" s="96">
        <v>46260</v>
      </c>
      <c r="N749" s="11">
        <f t="shared" si="22"/>
        <v>28</v>
      </c>
      <c r="O749" s="32" t="str">
        <f t="shared" si="23"/>
        <v>Yes</v>
      </c>
    </row>
    <row r="750" spans="2:15" ht="15" customHeight="1" x14ac:dyDescent="0.4">
      <c r="B750" s="10">
        <v>746</v>
      </c>
      <c r="C750" s="34" t="s">
        <v>822</v>
      </c>
      <c r="D750" s="68" t="s">
        <v>1559</v>
      </c>
      <c r="E750" s="68">
        <v>133896</v>
      </c>
      <c r="F750" s="68" t="s">
        <v>2344</v>
      </c>
      <c r="G750" s="68" t="s">
        <v>2578</v>
      </c>
      <c r="H750" s="79"/>
      <c r="I750" s="229">
        <v>347.22208333333333</v>
      </c>
      <c r="J750" s="12" t="s">
        <v>53</v>
      </c>
      <c r="K750" s="97">
        <v>46233</v>
      </c>
      <c r="L750" s="95">
        <v>30</v>
      </c>
      <c r="M750" s="96">
        <v>46260</v>
      </c>
      <c r="N750" s="11">
        <f t="shared" si="22"/>
        <v>27</v>
      </c>
      <c r="O750" s="32" t="str">
        <f t="shared" si="23"/>
        <v>Yes</v>
      </c>
    </row>
    <row r="751" spans="2:15" ht="15" customHeight="1" x14ac:dyDescent="0.4">
      <c r="B751" s="10">
        <v>747</v>
      </c>
      <c r="C751" s="34" t="s">
        <v>822</v>
      </c>
      <c r="D751" s="68" t="s">
        <v>1560</v>
      </c>
      <c r="E751" s="68">
        <v>135490</v>
      </c>
      <c r="F751" s="68" t="s">
        <v>2345</v>
      </c>
      <c r="G751" s="68" t="s">
        <v>2579</v>
      </c>
      <c r="H751" s="79"/>
      <c r="I751" s="229">
        <v>18.600000000000001</v>
      </c>
      <c r="J751" s="12" t="s">
        <v>53</v>
      </c>
      <c r="K751" s="97">
        <v>46218</v>
      </c>
      <c r="L751" s="95">
        <v>30</v>
      </c>
      <c r="M751" s="96">
        <v>46254</v>
      </c>
      <c r="N751" s="11">
        <f t="shared" si="22"/>
        <v>36</v>
      </c>
      <c r="O751" s="32" t="str">
        <f t="shared" si="23"/>
        <v>No</v>
      </c>
    </row>
    <row r="752" spans="2:15" ht="15" customHeight="1" x14ac:dyDescent="0.4">
      <c r="B752" s="10">
        <v>748</v>
      </c>
      <c r="C752" s="34" t="s">
        <v>822</v>
      </c>
      <c r="D752" s="68" t="s">
        <v>1561</v>
      </c>
      <c r="E752" s="68">
        <v>134930</v>
      </c>
      <c r="F752" s="68" t="s">
        <v>2346</v>
      </c>
      <c r="G752" s="68" t="s">
        <v>708</v>
      </c>
      <c r="H752" s="79"/>
      <c r="I752" s="229">
        <v>197.71875</v>
      </c>
      <c r="J752" s="12" t="s">
        <v>53</v>
      </c>
      <c r="K752" s="97">
        <v>46216</v>
      </c>
      <c r="L752" s="95">
        <v>30</v>
      </c>
      <c r="M752" s="96">
        <v>46253</v>
      </c>
      <c r="N752" s="11">
        <f t="shared" si="22"/>
        <v>37</v>
      </c>
      <c r="O752" s="32" t="str">
        <f t="shared" si="23"/>
        <v>No</v>
      </c>
    </row>
    <row r="753" spans="2:15" ht="15" customHeight="1" x14ac:dyDescent="0.4">
      <c r="B753" s="10">
        <v>749</v>
      </c>
      <c r="C753" s="34" t="s">
        <v>822</v>
      </c>
      <c r="D753" s="68" t="s">
        <v>1562</v>
      </c>
      <c r="E753" s="68">
        <v>135068</v>
      </c>
      <c r="F753" s="68" t="s">
        <v>2347</v>
      </c>
      <c r="G753" s="68" t="s">
        <v>629</v>
      </c>
      <c r="H753" s="79"/>
      <c r="I753" s="229">
        <v>305.89779999999996</v>
      </c>
      <c r="J753" s="12" t="s">
        <v>53</v>
      </c>
      <c r="K753" s="97">
        <v>46210</v>
      </c>
      <c r="L753" s="95">
        <v>30</v>
      </c>
      <c r="M753" s="96">
        <v>46247</v>
      </c>
      <c r="N753" s="11">
        <f t="shared" si="22"/>
        <v>37</v>
      </c>
      <c r="O753" s="32" t="str">
        <f t="shared" si="23"/>
        <v>No</v>
      </c>
    </row>
    <row r="754" spans="2:15" ht="15" customHeight="1" x14ac:dyDescent="0.4">
      <c r="B754" s="10">
        <v>750</v>
      </c>
      <c r="C754" s="34" t="s">
        <v>822</v>
      </c>
      <c r="D754" s="68" t="s">
        <v>1563</v>
      </c>
      <c r="E754" s="68">
        <v>131321</v>
      </c>
      <c r="F754" s="68" t="s">
        <v>2348</v>
      </c>
      <c r="G754" s="68" t="s">
        <v>629</v>
      </c>
      <c r="H754" s="79"/>
      <c r="I754" s="229">
        <v>4500.0022500000005</v>
      </c>
      <c r="J754" s="12" t="s">
        <v>53</v>
      </c>
      <c r="K754" s="97">
        <v>46233</v>
      </c>
      <c r="L754" s="95">
        <v>30</v>
      </c>
      <c r="M754" s="96">
        <v>46260</v>
      </c>
      <c r="N754" s="11">
        <f t="shared" si="22"/>
        <v>27</v>
      </c>
      <c r="O754" s="32" t="str">
        <f t="shared" si="23"/>
        <v>Yes</v>
      </c>
    </row>
    <row r="755" spans="2:15" ht="15" customHeight="1" x14ac:dyDescent="0.4">
      <c r="B755" s="10">
        <v>751</v>
      </c>
      <c r="C755" s="34" t="s">
        <v>822</v>
      </c>
      <c r="D755" s="68" t="s">
        <v>1564</v>
      </c>
      <c r="E755" s="68">
        <v>133279</v>
      </c>
      <c r="F755" s="68" t="s">
        <v>2349</v>
      </c>
      <c r="G755" s="68" t="s">
        <v>629</v>
      </c>
      <c r="H755" s="79"/>
      <c r="I755" s="229">
        <v>1064.58</v>
      </c>
      <c r="J755" s="12" t="s">
        <v>53</v>
      </c>
      <c r="K755" s="97">
        <v>46233</v>
      </c>
      <c r="L755" s="95">
        <v>30</v>
      </c>
      <c r="M755" s="96">
        <v>46260</v>
      </c>
      <c r="N755" s="11">
        <f t="shared" si="22"/>
        <v>27</v>
      </c>
      <c r="O755" s="32" t="str">
        <f t="shared" si="23"/>
        <v>Yes</v>
      </c>
    </row>
    <row r="756" spans="2:15" ht="15" customHeight="1" x14ac:dyDescent="0.4">
      <c r="B756" s="10">
        <v>752</v>
      </c>
      <c r="C756" s="34" t="s">
        <v>822</v>
      </c>
      <c r="D756" s="68" t="s">
        <v>1565</v>
      </c>
      <c r="E756" s="68">
        <v>135548</v>
      </c>
      <c r="F756" s="68" t="s">
        <v>2350</v>
      </c>
      <c r="G756" s="68" t="s">
        <v>629</v>
      </c>
      <c r="H756" s="79"/>
      <c r="I756" s="229">
        <v>275.64999999999998</v>
      </c>
      <c r="J756" s="12" t="s">
        <v>53</v>
      </c>
      <c r="K756" s="97">
        <v>46233</v>
      </c>
      <c r="L756" s="95">
        <v>30</v>
      </c>
      <c r="M756" s="96">
        <v>46260</v>
      </c>
      <c r="N756" s="11">
        <f t="shared" si="22"/>
        <v>27</v>
      </c>
      <c r="O756" s="32" t="str">
        <f t="shared" si="23"/>
        <v>Yes</v>
      </c>
    </row>
    <row r="757" spans="2:15" ht="15" customHeight="1" x14ac:dyDescent="0.4">
      <c r="B757" s="10">
        <v>753</v>
      </c>
      <c r="C757" s="34" t="s">
        <v>822</v>
      </c>
      <c r="D757" s="68" t="s">
        <v>1566</v>
      </c>
      <c r="E757" s="68">
        <v>134938</v>
      </c>
      <c r="F757" s="68" t="s">
        <v>2351</v>
      </c>
      <c r="G757" s="68" t="s">
        <v>629</v>
      </c>
      <c r="H757" s="79"/>
      <c r="I757" s="229">
        <v>235.25</v>
      </c>
      <c r="J757" s="12" t="s">
        <v>53</v>
      </c>
      <c r="K757" s="97">
        <v>46210</v>
      </c>
      <c r="L757" s="95">
        <v>30</v>
      </c>
      <c r="M757" s="96">
        <v>46246</v>
      </c>
      <c r="N757" s="11">
        <f t="shared" si="22"/>
        <v>36</v>
      </c>
      <c r="O757" s="32" t="str">
        <f t="shared" si="23"/>
        <v>No</v>
      </c>
    </row>
    <row r="758" spans="2:15" ht="15" customHeight="1" x14ac:dyDescent="0.4">
      <c r="B758" s="10">
        <v>754</v>
      </c>
      <c r="C758" s="34" t="s">
        <v>822</v>
      </c>
      <c r="D758" s="68" t="s">
        <v>1567</v>
      </c>
      <c r="E758" s="68">
        <v>135396</v>
      </c>
      <c r="F758" s="68" t="s">
        <v>2352</v>
      </c>
      <c r="G758" s="68" t="s">
        <v>629</v>
      </c>
      <c r="H758" s="79"/>
      <c r="I758" s="229">
        <v>1889.4749999999999</v>
      </c>
      <c r="J758" s="12" t="s">
        <v>53</v>
      </c>
      <c r="K758" s="97">
        <v>46198</v>
      </c>
      <c r="L758" s="95">
        <v>30</v>
      </c>
      <c r="M758" s="96">
        <v>46227</v>
      </c>
      <c r="N758" s="11">
        <f t="shared" si="22"/>
        <v>29</v>
      </c>
      <c r="O758" s="32" t="str">
        <f t="shared" si="23"/>
        <v>Yes</v>
      </c>
    </row>
    <row r="759" spans="2:15" ht="15" customHeight="1" x14ac:dyDescent="0.4">
      <c r="B759" s="10">
        <v>755</v>
      </c>
      <c r="C759" s="34" t="s">
        <v>822</v>
      </c>
      <c r="D759" s="68" t="s">
        <v>1568</v>
      </c>
      <c r="E759" s="68">
        <v>119736</v>
      </c>
      <c r="F759" s="68" t="s">
        <v>2353</v>
      </c>
      <c r="G759" s="68" t="s">
        <v>736</v>
      </c>
      <c r="H759" s="79"/>
      <c r="I759" s="229">
        <v>1800</v>
      </c>
      <c r="J759" s="12" t="s">
        <v>53</v>
      </c>
      <c r="K759" s="97">
        <v>46211</v>
      </c>
      <c r="L759" s="95">
        <v>30</v>
      </c>
      <c r="M759" s="96">
        <v>46247</v>
      </c>
      <c r="N759" s="11">
        <f t="shared" si="22"/>
        <v>36</v>
      </c>
      <c r="O759" s="32" t="str">
        <f t="shared" si="23"/>
        <v>No</v>
      </c>
    </row>
    <row r="760" spans="2:15" ht="15" customHeight="1" x14ac:dyDescent="0.4">
      <c r="B760" s="10">
        <v>756</v>
      </c>
      <c r="C760" s="34" t="s">
        <v>822</v>
      </c>
      <c r="D760" s="68" t="s">
        <v>1569</v>
      </c>
      <c r="E760" s="68">
        <v>135725</v>
      </c>
      <c r="F760" s="68" t="s">
        <v>2354</v>
      </c>
      <c r="G760" s="68" t="s">
        <v>736</v>
      </c>
      <c r="H760" s="79"/>
      <c r="I760" s="229">
        <v>6593.27</v>
      </c>
      <c r="J760" s="12" t="s">
        <v>53</v>
      </c>
      <c r="K760" s="97">
        <v>46211</v>
      </c>
      <c r="L760" s="95">
        <v>30</v>
      </c>
      <c r="M760" s="96">
        <v>46248</v>
      </c>
      <c r="N760" s="11">
        <f t="shared" si="22"/>
        <v>37</v>
      </c>
      <c r="O760" s="32" t="str">
        <f t="shared" si="23"/>
        <v>No</v>
      </c>
    </row>
    <row r="761" spans="2:15" ht="15" customHeight="1" x14ac:dyDescent="0.4">
      <c r="B761" s="10">
        <v>757</v>
      </c>
      <c r="C761" s="34" t="s">
        <v>822</v>
      </c>
      <c r="D761" s="68" t="s">
        <v>1570</v>
      </c>
      <c r="E761" s="68">
        <v>134273</v>
      </c>
      <c r="F761" s="68" t="s">
        <v>2355</v>
      </c>
      <c r="G761" s="68" t="s">
        <v>657</v>
      </c>
      <c r="H761" s="79"/>
      <c r="I761" s="229">
        <v>810</v>
      </c>
      <c r="J761" s="12" t="s">
        <v>53</v>
      </c>
      <c r="K761" s="97">
        <v>46230</v>
      </c>
      <c r="L761" s="95">
        <v>30</v>
      </c>
      <c r="M761" s="96">
        <v>46260</v>
      </c>
      <c r="N761" s="11">
        <f t="shared" si="22"/>
        <v>30</v>
      </c>
      <c r="O761" s="32" t="str">
        <f t="shared" si="23"/>
        <v>Yes</v>
      </c>
    </row>
    <row r="762" spans="2:15" ht="15" customHeight="1" x14ac:dyDescent="0.4">
      <c r="B762" s="10">
        <v>758</v>
      </c>
      <c r="C762" s="34" t="s">
        <v>822</v>
      </c>
      <c r="D762" s="68" t="s">
        <v>1571</v>
      </c>
      <c r="E762" s="68">
        <v>134907</v>
      </c>
      <c r="F762" s="68" t="s">
        <v>2356</v>
      </c>
      <c r="G762" s="68" t="s">
        <v>657</v>
      </c>
      <c r="H762" s="79"/>
      <c r="I762" s="229">
        <v>1109.52125</v>
      </c>
      <c r="J762" s="12" t="s">
        <v>53</v>
      </c>
      <c r="K762" s="97">
        <v>46230</v>
      </c>
      <c r="L762" s="95">
        <v>30</v>
      </c>
      <c r="M762" s="96">
        <v>46261</v>
      </c>
      <c r="N762" s="11">
        <f t="shared" si="22"/>
        <v>31</v>
      </c>
      <c r="O762" s="32" t="str">
        <f t="shared" si="23"/>
        <v>No</v>
      </c>
    </row>
    <row r="763" spans="2:15" ht="15" customHeight="1" x14ac:dyDescent="0.4">
      <c r="B763" s="10">
        <v>759</v>
      </c>
      <c r="C763" s="34" t="s">
        <v>822</v>
      </c>
      <c r="D763" s="68" t="s">
        <v>1572</v>
      </c>
      <c r="E763" s="68">
        <v>135290</v>
      </c>
      <c r="F763" s="68" t="s">
        <v>2357</v>
      </c>
      <c r="G763" s="68" t="s">
        <v>657</v>
      </c>
      <c r="H763" s="79"/>
      <c r="I763" s="229">
        <v>435.75975</v>
      </c>
      <c r="J763" s="12" t="s">
        <v>53</v>
      </c>
      <c r="K763" s="97">
        <v>46230</v>
      </c>
      <c r="L763" s="95">
        <v>30</v>
      </c>
      <c r="M763" s="96">
        <v>46261</v>
      </c>
      <c r="N763" s="11">
        <f t="shared" si="22"/>
        <v>31</v>
      </c>
      <c r="O763" s="32" t="str">
        <f t="shared" si="23"/>
        <v>No</v>
      </c>
    </row>
    <row r="764" spans="2:15" ht="15" customHeight="1" x14ac:dyDescent="0.4">
      <c r="B764" s="10">
        <v>760</v>
      </c>
      <c r="C764" s="34" t="s">
        <v>822</v>
      </c>
      <c r="D764" s="68" t="s">
        <v>1573</v>
      </c>
      <c r="E764" s="68">
        <v>135065</v>
      </c>
      <c r="F764" s="68" t="s">
        <v>2358</v>
      </c>
      <c r="G764" s="68" t="s">
        <v>604</v>
      </c>
      <c r="H764" s="79"/>
      <c r="I764" s="229">
        <v>729.52525000000003</v>
      </c>
      <c r="J764" s="12" t="s">
        <v>53</v>
      </c>
      <c r="K764" s="97">
        <v>46190</v>
      </c>
      <c r="L764" s="95">
        <v>30</v>
      </c>
      <c r="M764" s="96">
        <v>46225</v>
      </c>
      <c r="N764" s="11">
        <f t="shared" si="22"/>
        <v>35</v>
      </c>
      <c r="O764" s="32" t="str">
        <f t="shared" si="23"/>
        <v>No</v>
      </c>
    </row>
    <row r="765" spans="2:15" ht="15" customHeight="1" x14ac:dyDescent="0.4">
      <c r="B765" s="10">
        <v>761</v>
      </c>
      <c r="C765" s="34" t="s">
        <v>822</v>
      </c>
      <c r="D765" s="68" t="s">
        <v>1574</v>
      </c>
      <c r="E765" s="68">
        <v>135020</v>
      </c>
      <c r="F765" s="68" t="s">
        <v>2359</v>
      </c>
      <c r="G765" s="68" t="s">
        <v>604</v>
      </c>
      <c r="H765" s="79"/>
      <c r="I765" s="229">
        <v>1434.171</v>
      </c>
      <c r="J765" s="12" t="s">
        <v>53</v>
      </c>
      <c r="K765" s="97">
        <v>46190</v>
      </c>
      <c r="L765" s="95">
        <v>30</v>
      </c>
      <c r="M765" s="96">
        <v>46218</v>
      </c>
      <c r="N765" s="11">
        <f t="shared" si="22"/>
        <v>28</v>
      </c>
      <c r="O765" s="32" t="str">
        <f t="shared" si="23"/>
        <v>Yes</v>
      </c>
    </row>
    <row r="766" spans="2:15" ht="15" customHeight="1" x14ac:dyDescent="0.4">
      <c r="B766" s="10">
        <v>762</v>
      </c>
      <c r="C766" s="34" t="s">
        <v>822</v>
      </c>
      <c r="D766" s="68" t="s">
        <v>1575</v>
      </c>
      <c r="E766" s="68">
        <v>135049</v>
      </c>
      <c r="F766" s="68" t="s">
        <v>2360</v>
      </c>
      <c r="G766" s="68" t="s">
        <v>604</v>
      </c>
      <c r="H766" s="79"/>
      <c r="I766" s="229">
        <v>1552.7034999999998</v>
      </c>
      <c r="J766" s="12" t="s">
        <v>53</v>
      </c>
      <c r="K766" s="97">
        <v>46190</v>
      </c>
      <c r="L766" s="95">
        <v>30</v>
      </c>
      <c r="M766" s="96">
        <v>46215</v>
      </c>
      <c r="N766" s="11">
        <f t="shared" si="22"/>
        <v>25</v>
      </c>
      <c r="O766" s="32" t="str">
        <f t="shared" si="23"/>
        <v>Yes</v>
      </c>
    </row>
    <row r="767" spans="2:15" ht="15" customHeight="1" x14ac:dyDescent="0.4">
      <c r="B767" s="10">
        <v>763</v>
      </c>
      <c r="C767" s="34" t="s">
        <v>822</v>
      </c>
      <c r="D767" s="68" t="s">
        <v>1576</v>
      </c>
      <c r="E767" s="68">
        <v>135049</v>
      </c>
      <c r="F767" s="68" t="s">
        <v>2361</v>
      </c>
      <c r="G767" s="68" t="s">
        <v>604</v>
      </c>
      <c r="H767" s="79"/>
      <c r="I767" s="229">
        <v>646.20400000000006</v>
      </c>
      <c r="J767" s="12" t="s">
        <v>53</v>
      </c>
      <c r="K767" s="97">
        <v>46190</v>
      </c>
      <c r="L767" s="95">
        <v>30</v>
      </c>
      <c r="M767" s="96">
        <v>46216</v>
      </c>
      <c r="N767" s="11">
        <f t="shared" si="22"/>
        <v>26</v>
      </c>
      <c r="O767" s="32" t="str">
        <f t="shared" si="23"/>
        <v>Yes</v>
      </c>
    </row>
    <row r="768" spans="2:15" ht="15" customHeight="1" x14ac:dyDescent="0.4">
      <c r="B768" s="10">
        <v>764</v>
      </c>
      <c r="C768" s="34" t="s">
        <v>822</v>
      </c>
      <c r="D768" s="68">
        <v>260812</v>
      </c>
      <c r="E768" s="68">
        <v>135899</v>
      </c>
      <c r="F768" s="68" t="s">
        <v>2362</v>
      </c>
      <c r="G768" s="68" t="s">
        <v>2580</v>
      </c>
      <c r="H768" s="79"/>
      <c r="I768" s="229">
        <v>947.91666666666663</v>
      </c>
      <c r="J768" s="12" t="s">
        <v>53</v>
      </c>
      <c r="K768" s="97">
        <v>46226</v>
      </c>
      <c r="L768" s="95">
        <v>30</v>
      </c>
      <c r="M768" s="96">
        <v>46261</v>
      </c>
      <c r="N768" s="11">
        <f t="shared" si="22"/>
        <v>35</v>
      </c>
      <c r="O768" s="32" t="str">
        <f t="shared" si="23"/>
        <v>No</v>
      </c>
    </row>
    <row r="769" spans="2:15" ht="15" customHeight="1" x14ac:dyDescent="0.4">
      <c r="B769" s="10">
        <v>765</v>
      </c>
      <c r="C769" s="34" t="s">
        <v>822</v>
      </c>
      <c r="D769" s="68" t="s">
        <v>1577</v>
      </c>
      <c r="E769" s="68">
        <v>135987</v>
      </c>
      <c r="F769" s="68" t="s">
        <v>2363</v>
      </c>
      <c r="G769" s="68" t="s">
        <v>2527</v>
      </c>
      <c r="H769" s="79"/>
      <c r="I769" s="229">
        <v>502.08333333333331</v>
      </c>
      <c r="J769" s="12" t="s">
        <v>53</v>
      </c>
      <c r="K769" s="97">
        <v>46232</v>
      </c>
      <c r="L769" s="95">
        <v>30</v>
      </c>
      <c r="M769" s="96">
        <v>46260</v>
      </c>
      <c r="N769" s="11">
        <f t="shared" si="22"/>
        <v>28</v>
      </c>
      <c r="O769" s="32" t="str">
        <f t="shared" si="23"/>
        <v>Yes</v>
      </c>
    </row>
    <row r="770" spans="2:15" ht="15" customHeight="1" x14ac:dyDescent="0.4">
      <c r="B770" s="10">
        <v>766</v>
      </c>
      <c r="C770" s="34" t="s">
        <v>822</v>
      </c>
      <c r="D770" s="68" t="s">
        <v>1578</v>
      </c>
      <c r="E770" s="68">
        <v>134442</v>
      </c>
      <c r="F770" s="68" t="s">
        <v>2364</v>
      </c>
      <c r="G770" s="68" t="s">
        <v>793</v>
      </c>
      <c r="H770" s="79"/>
      <c r="I770" s="229">
        <v>150</v>
      </c>
      <c r="J770" s="12" t="s">
        <v>53</v>
      </c>
      <c r="K770" s="97">
        <v>46225</v>
      </c>
      <c r="L770" s="95">
        <v>30</v>
      </c>
      <c r="M770" s="96">
        <v>46253</v>
      </c>
      <c r="N770" s="11">
        <f t="shared" si="22"/>
        <v>28</v>
      </c>
      <c r="O770" s="32" t="str">
        <f t="shared" si="23"/>
        <v>Yes</v>
      </c>
    </row>
    <row r="771" spans="2:15" ht="15" customHeight="1" x14ac:dyDescent="0.4">
      <c r="B771" s="10">
        <v>767</v>
      </c>
      <c r="C771" s="34" t="s">
        <v>822</v>
      </c>
      <c r="D771" s="68" t="s">
        <v>1579</v>
      </c>
      <c r="E771" s="68">
        <v>134442</v>
      </c>
      <c r="F771" s="68" t="s">
        <v>2365</v>
      </c>
      <c r="G771" s="68" t="s">
        <v>793</v>
      </c>
      <c r="H771" s="79"/>
      <c r="I771" s="229">
        <v>150</v>
      </c>
      <c r="J771" s="12" t="s">
        <v>53</v>
      </c>
      <c r="K771" s="97">
        <v>46225</v>
      </c>
      <c r="L771" s="95">
        <v>30</v>
      </c>
      <c r="M771" s="96">
        <v>46260</v>
      </c>
      <c r="N771" s="11">
        <f t="shared" si="22"/>
        <v>35</v>
      </c>
      <c r="O771" s="32" t="str">
        <f t="shared" si="23"/>
        <v>No</v>
      </c>
    </row>
    <row r="772" spans="2:15" ht="15" customHeight="1" x14ac:dyDescent="0.4">
      <c r="B772" s="10">
        <v>768</v>
      </c>
      <c r="C772" s="34" t="s">
        <v>822</v>
      </c>
      <c r="D772" s="68" t="s">
        <v>1580</v>
      </c>
      <c r="E772" s="68">
        <v>134442</v>
      </c>
      <c r="F772" s="68" t="s">
        <v>2366</v>
      </c>
      <c r="G772" s="68" t="s">
        <v>793</v>
      </c>
      <c r="H772" s="79"/>
      <c r="I772" s="229">
        <v>150</v>
      </c>
      <c r="J772" s="12" t="s">
        <v>53</v>
      </c>
      <c r="K772" s="97">
        <v>46225</v>
      </c>
      <c r="L772" s="95">
        <v>30</v>
      </c>
      <c r="M772" s="96">
        <v>46254</v>
      </c>
      <c r="N772" s="11">
        <f t="shared" si="22"/>
        <v>29</v>
      </c>
      <c r="O772" s="32" t="str">
        <f t="shared" si="23"/>
        <v>Yes</v>
      </c>
    </row>
    <row r="773" spans="2:15" ht="15" customHeight="1" x14ac:dyDescent="0.4">
      <c r="B773" s="10">
        <v>769</v>
      </c>
      <c r="C773" s="34" t="s">
        <v>822</v>
      </c>
      <c r="D773" s="68" t="s">
        <v>1581</v>
      </c>
      <c r="E773" s="68">
        <v>134442</v>
      </c>
      <c r="F773" s="68" t="s">
        <v>2021</v>
      </c>
      <c r="G773" s="68" t="s">
        <v>793</v>
      </c>
      <c r="H773" s="79"/>
      <c r="I773" s="229">
        <v>150</v>
      </c>
      <c r="J773" s="12" t="s">
        <v>53</v>
      </c>
      <c r="K773" s="97">
        <v>46225</v>
      </c>
      <c r="L773" s="95">
        <v>30</v>
      </c>
      <c r="M773" s="96">
        <v>46258</v>
      </c>
      <c r="N773" s="11">
        <f t="shared" ref="N773:N836" si="24">IF(OR(M773="", K773=""),"", M773- K773)</f>
        <v>33</v>
      </c>
      <c r="O773" s="32" t="str">
        <f t="shared" ref="O773:O836" si="25">IF(OR(M773="", K773="", L773=""), "", IF((M773 - K773) &gt; L773, "No", "Yes"))</f>
        <v>No</v>
      </c>
    </row>
    <row r="774" spans="2:15" ht="15" customHeight="1" x14ac:dyDescent="0.4">
      <c r="B774" s="10">
        <v>770</v>
      </c>
      <c r="C774" s="34" t="s">
        <v>822</v>
      </c>
      <c r="D774" s="68" t="s">
        <v>1582</v>
      </c>
      <c r="E774" s="68">
        <v>134442</v>
      </c>
      <c r="F774" s="68" t="s">
        <v>2367</v>
      </c>
      <c r="G774" s="68" t="s">
        <v>793</v>
      </c>
      <c r="H774" s="79"/>
      <c r="I774" s="229">
        <v>150</v>
      </c>
      <c r="J774" s="12" t="s">
        <v>53</v>
      </c>
      <c r="K774" s="97">
        <v>46225</v>
      </c>
      <c r="L774" s="95">
        <v>30</v>
      </c>
      <c r="M774" s="96">
        <v>46260</v>
      </c>
      <c r="N774" s="11">
        <f t="shared" si="24"/>
        <v>35</v>
      </c>
      <c r="O774" s="32" t="str">
        <f t="shared" si="25"/>
        <v>No</v>
      </c>
    </row>
    <row r="775" spans="2:15" ht="15" customHeight="1" x14ac:dyDescent="0.4">
      <c r="B775" s="10">
        <v>771</v>
      </c>
      <c r="C775" s="34" t="s">
        <v>822</v>
      </c>
      <c r="D775" s="68" t="s">
        <v>1583</v>
      </c>
      <c r="E775" s="68">
        <v>134442</v>
      </c>
      <c r="F775" s="68" t="s">
        <v>2368</v>
      </c>
      <c r="G775" s="68" t="s">
        <v>793</v>
      </c>
      <c r="H775" s="79"/>
      <c r="I775" s="229">
        <v>150</v>
      </c>
      <c r="J775" s="12" t="s">
        <v>53</v>
      </c>
      <c r="K775" s="97">
        <v>46225</v>
      </c>
      <c r="L775" s="95">
        <v>30</v>
      </c>
      <c r="M775" s="96">
        <v>46258</v>
      </c>
      <c r="N775" s="11">
        <f t="shared" si="24"/>
        <v>33</v>
      </c>
      <c r="O775" s="32" t="str">
        <f t="shared" si="25"/>
        <v>No</v>
      </c>
    </row>
    <row r="776" spans="2:15" ht="15" customHeight="1" x14ac:dyDescent="0.4">
      <c r="B776" s="10">
        <v>772</v>
      </c>
      <c r="C776" s="34" t="s">
        <v>822</v>
      </c>
      <c r="D776" s="68" t="s">
        <v>1584</v>
      </c>
      <c r="E776" s="68">
        <v>134442</v>
      </c>
      <c r="F776" s="68" t="s">
        <v>2369</v>
      </c>
      <c r="G776" s="68" t="s">
        <v>793</v>
      </c>
      <c r="H776" s="79"/>
      <c r="I776" s="229">
        <v>150</v>
      </c>
      <c r="J776" s="12" t="s">
        <v>53</v>
      </c>
      <c r="K776" s="97">
        <v>46225</v>
      </c>
      <c r="L776" s="95">
        <v>30</v>
      </c>
      <c r="M776" s="96">
        <v>46260</v>
      </c>
      <c r="N776" s="11">
        <f t="shared" si="24"/>
        <v>35</v>
      </c>
      <c r="O776" s="32" t="str">
        <f t="shared" si="25"/>
        <v>No</v>
      </c>
    </row>
    <row r="777" spans="2:15" ht="15" customHeight="1" x14ac:dyDescent="0.4">
      <c r="B777" s="10">
        <v>773</v>
      </c>
      <c r="C777" s="34" t="s">
        <v>822</v>
      </c>
      <c r="D777" s="68" t="s">
        <v>1585</v>
      </c>
      <c r="E777" s="68">
        <v>135348</v>
      </c>
      <c r="F777" s="68" t="s">
        <v>2370</v>
      </c>
      <c r="G777" s="68" t="s">
        <v>793</v>
      </c>
      <c r="H777" s="79"/>
      <c r="I777" s="229">
        <v>93.75</v>
      </c>
      <c r="J777" s="12" t="s">
        <v>53</v>
      </c>
      <c r="K777" s="97">
        <v>46225</v>
      </c>
      <c r="L777" s="95">
        <v>30</v>
      </c>
      <c r="M777" s="96">
        <v>46257</v>
      </c>
      <c r="N777" s="11">
        <f t="shared" si="24"/>
        <v>32</v>
      </c>
      <c r="O777" s="32" t="str">
        <f t="shared" si="25"/>
        <v>No</v>
      </c>
    </row>
    <row r="778" spans="2:15" ht="15" customHeight="1" x14ac:dyDescent="0.4">
      <c r="B778" s="10">
        <v>774</v>
      </c>
      <c r="C778" s="34" t="s">
        <v>822</v>
      </c>
      <c r="D778" s="68" t="s">
        <v>1586</v>
      </c>
      <c r="E778" s="68">
        <v>135589</v>
      </c>
      <c r="F778" s="68" t="s">
        <v>2371</v>
      </c>
      <c r="G778" s="68" t="s">
        <v>793</v>
      </c>
      <c r="H778" s="79"/>
      <c r="I778" s="229">
        <v>36.01</v>
      </c>
      <c r="J778" s="12" t="s">
        <v>53</v>
      </c>
      <c r="K778" s="97">
        <v>46225</v>
      </c>
      <c r="L778" s="95">
        <v>30</v>
      </c>
      <c r="M778" s="96">
        <v>46258</v>
      </c>
      <c r="N778" s="11">
        <f t="shared" si="24"/>
        <v>33</v>
      </c>
      <c r="O778" s="32" t="str">
        <f t="shared" si="25"/>
        <v>No</v>
      </c>
    </row>
    <row r="779" spans="2:15" ht="15" customHeight="1" x14ac:dyDescent="0.4">
      <c r="B779" s="10">
        <v>775</v>
      </c>
      <c r="C779" s="34" t="s">
        <v>822</v>
      </c>
      <c r="D779" s="68" t="s">
        <v>1587</v>
      </c>
      <c r="E779" s="68">
        <v>135586</v>
      </c>
      <c r="F779" s="68" t="s">
        <v>1587</v>
      </c>
      <c r="G779" s="68" t="s">
        <v>793</v>
      </c>
      <c r="H779" s="79"/>
      <c r="I779" s="229">
        <v>108.03</v>
      </c>
      <c r="J779" s="12" t="s">
        <v>53</v>
      </c>
      <c r="K779" s="97">
        <v>46225</v>
      </c>
      <c r="L779" s="95">
        <v>30</v>
      </c>
      <c r="M779" s="96">
        <v>46259</v>
      </c>
      <c r="N779" s="11">
        <f t="shared" si="24"/>
        <v>34</v>
      </c>
      <c r="O779" s="32" t="str">
        <f t="shared" si="25"/>
        <v>No</v>
      </c>
    </row>
    <row r="780" spans="2:15" ht="15" customHeight="1" x14ac:dyDescent="0.4">
      <c r="B780" s="10">
        <v>776</v>
      </c>
      <c r="C780" s="34" t="s">
        <v>822</v>
      </c>
      <c r="D780" s="68" t="s">
        <v>1588</v>
      </c>
      <c r="E780" s="68">
        <v>135599</v>
      </c>
      <c r="F780" s="68" t="s">
        <v>1824</v>
      </c>
      <c r="G780" s="68" t="s">
        <v>793</v>
      </c>
      <c r="H780" s="79"/>
      <c r="I780" s="229">
        <v>130</v>
      </c>
      <c r="J780" s="12" t="s">
        <v>53</v>
      </c>
      <c r="K780" s="97">
        <v>46225</v>
      </c>
      <c r="L780" s="95">
        <v>30</v>
      </c>
      <c r="M780" s="96">
        <v>46256</v>
      </c>
      <c r="N780" s="11">
        <f t="shared" si="24"/>
        <v>31</v>
      </c>
      <c r="O780" s="32" t="str">
        <f t="shared" si="25"/>
        <v>No</v>
      </c>
    </row>
    <row r="781" spans="2:15" ht="15" customHeight="1" x14ac:dyDescent="0.4">
      <c r="B781" s="10">
        <v>777</v>
      </c>
      <c r="C781" s="34" t="s">
        <v>822</v>
      </c>
      <c r="D781" s="68" t="s">
        <v>1589</v>
      </c>
      <c r="E781" s="68">
        <v>133925</v>
      </c>
      <c r="F781" s="68" t="s">
        <v>2372</v>
      </c>
      <c r="G781" s="68" t="s">
        <v>793</v>
      </c>
      <c r="H781" s="79"/>
      <c r="I781" s="229">
        <v>17</v>
      </c>
      <c r="J781" s="12" t="s">
        <v>53</v>
      </c>
      <c r="K781" s="97">
        <v>46225</v>
      </c>
      <c r="L781" s="95">
        <v>30</v>
      </c>
      <c r="M781" s="96">
        <v>46258</v>
      </c>
      <c r="N781" s="11">
        <f t="shared" si="24"/>
        <v>33</v>
      </c>
      <c r="O781" s="32" t="str">
        <f t="shared" si="25"/>
        <v>No</v>
      </c>
    </row>
    <row r="782" spans="2:15" ht="15" customHeight="1" x14ac:dyDescent="0.4">
      <c r="B782" s="10">
        <v>778</v>
      </c>
      <c r="C782" s="34" t="s">
        <v>822</v>
      </c>
      <c r="D782" s="68" t="s">
        <v>1590</v>
      </c>
      <c r="E782" s="68">
        <v>133925</v>
      </c>
      <c r="F782" s="68" t="s">
        <v>2372</v>
      </c>
      <c r="G782" s="68" t="s">
        <v>793</v>
      </c>
      <c r="H782" s="79"/>
      <c r="I782" s="229">
        <v>8.5</v>
      </c>
      <c r="J782" s="12" t="s">
        <v>53</v>
      </c>
      <c r="K782" s="97">
        <v>46225</v>
      </c>
      <c r="L782" s="95">
        <v>30</v>
      </c>
      <c r="M782" s="96">
        <v>46255</v>
      </c>
      <c r="N782" s="11">
        <f t="shared" si="24"/>
        <v>30</v>
      </c>
      <c r="O782" s="32" t="str">
        <f t="shared" si="25"/>
        <v>Yes</v>
      </c>
    </row>
    <row r="783" spans="2:15" ht="15" customHeight="1" x14ac:dyDescent="0.4">
      <c r="B783" s="10">
        <v>779</v>
      </c>
      <c r="C783" s="34" t="s">
        <v>822</v>
      </c>
      <c r="D783" s="68" t="s">
        <v>1591</v>
      </c>
      <c r="E783" s="68">
        <v>133925</v>
      </c>
      <c r="F783" s="68" t="s">
        <v>2373</v>
      </c>
      <c r="G783" s="68" t="s">
        <v>793</v>
      </c>
      <c r="H783" s="79"/>
      <c r="I783" s="229">
        <v>17</v>
      </c>
      <c r="J783" s="12" t="s">
        <v>53</v>
      </c>
      <c r="K783" s="97">
        <v>46225</v>
      </c>
      <c r="L783" s="95">
        <v>30</v>
      </c>
      <c r="M783" s="96">
        <v>46255</v>
      </c>
      <c r="N783" s="11">
        <f t="shared" si="24"/>
        <v>30</v>
      </c>
      <c r="O783" s="32" t="str">
        <f t="shared" si="25"/>
        <v>Yes</v>
      </c>
    </row>
    <row r="784" spans="2:15" ht="15" customHeight="1" x14ac:dyDescent="0.4">
      <c r="B784" s="10">
        <v>780</v>
      </c>
      <c r="C784" s="34" t="s">
        <v>822</v>
      </c>
      <c r="D784" s="68" t="s">
        <v>1592</v>
      </c>
      <c r="E784" s="68">
        <v>133925</v>
      </c>
      <c r="F784" s="68" t="s">
        <v>2372</v>
      </c>
      <c r="G784" s="68" t="s">
        <v>793</v>
      </c>
      <c r="H784" s="79"/>
      <c r="I784" s="229">
        <v>17</v>
      </c>
      <c r="J784" s="12" t="s">
        <v>53</v>
      </c>
      <c r="K784" s="97">
        <v>46225</v>
      </c>
      <c r="L784" s="95">
        <v>30</v>
      </c>
      <c r="M784" s="96">
        <v>46260</v>
      </c>
      <c r="N784" s="11">
        <f t="shared" si="24"/>
        <v>35</v>
      </c>
      <c r="O784" s="32" t="str">
        <f t="shared" si="25"/>
        <v>No</v>
      </c>
    </row>
    <row r="785" spans="2:15" ht="15" customHeight="1" x14ac:dyDescent="0.4">
      <c r="B785" s="10">
        <v>781</v>
      </c>
      <c r="C785" s="34" t="s">
        <v>822</v>
      </c>
      <c r="D785" s="68" t="s">
        <v>1593</v>
      </c>
      <c r="E785" s="68">
        <v>133925</v>
      </c>
      <c r="F785" s="68" t="s">
        <v>2372</v>
      </c>
      <c r="G785" s="68" t="s">
        <v>793</v>
      </c>
      <c r="H785" s="79"/>
      <c r="I785" s="229">
        <v>19.125</v>
      </c>
      <c r="J785" s="12" t="s">
        <v>53</v>
      </c>
      <c r="K785" s="97">
        <v>46225</v>
      </c>
      <c r="L785" s="95">
        <v>30</v>
      </c>
      <c r="M785" s="96">
        <v>46254</v>
      </c>
      <c r="N785" s="11">
        <f t="shared" si="24"/>
        <v>29</v>
      </c>
      <c r="O785" s="32" t="str">
        <f t="shared" si="25"/>
        <v>Yes</v>
      </c>
    </row>
    <row r="786" spans="2:15" ht="15" customHeight="1" x14ac:dyDescent="0.4">
      <c r="B786" s="10">
        <v>782</v>
      </c>
      <c r="C786" s="34" t="s">
        <v>822</v>
      </c>
      <c r="D786" s="68" t="s">
        <v>1594</v>
      </c>
      <c r="E786" s="68">
        <v>133925</v>
      </c>
      <c r="F786" s="68" t="s">
        <v>2372</v>
      </c>
      <c r="G786" s="68" t="s">
        <v>793</v>
      </c>
      <c r="H786" s="79"/>
      <c r="I786" s="229">
        <v>19.125</v>
      </c>
      <c r="J786" s="12" t="s">
        <v>53</v>
      </c>
      <c r="K786" s="97">
        <v>46225</v>
      </c>
      <c r="L786" s="95">
        <v>30</v>
      </c>
      <c r="M786" s="96">
        <v>46256</v>
      </c>
      <c r="N786" s="11">
        <f t="shared" si="24"/>
        <v>31</v>
      </c>
      <c r="O786" s="32" t="str">
        <f t="shared" si="25"/>
        <v>No</v>
      </c>
    </row>
    <row r="787" spans="2:15" ht="15" customHeight="1" x14ac:dyDescent="0.4">
      <c r="B787" s="10">
        <v>783</v>
      </c>
      <c r="C787" s="34" t="s">
        <v>822</v>
      </c>
      <c r="D787" s="68" t="s">
        <v>1595</v>
      </c>
      <c r="E787" s="68">
        <v>133925</v>
      </c>
      <c r="F787" s="68" t="s">
        <v>2373</v>
      </c>
      <c r="G787" s="68" t="s">
        <v>793</v>
      </c>
      <c r="H787" s="79"/>
      <c r="I787" s="229">
        <v>55.02</v>
      </c>
      <c r="J787" s="12" t="s">
        <v>53</v>
      </c>
      <c r="K787" s="97">
        <v>46225</v>
      </c>
      <c r="L787" s="95">
        <v>30</v>
      </c>
      <c r="M787" s="96">
        <v>46259</v>
      </c>
      <c r="N787" s="11">
        <f t="shared" si="24"/>
        <v>34</v>
      </c>
      <c r="O787" s="32" t="str">
        <f t="shared" si="25"/>
        <v>No</v>
      </c>
    </row>
    <row r="788" spans="2:15" ht="15" customHeight="1" x14ac:dyDescent="0.4">
      <c r="B788" s="10">
        <v>784</v>
      </c>
      <c r="C788" s="34" t="s">
        <v>822</v>
      </c>
      <c r="D788" s="68" t="s">
        <v>1596</v>
      </c>
      <c r="E788" s="68">
        <v>133925</v>
      </c>
      <c r="F788" s="68" t="s">
        <v>2373</v>
      </c>
      <c r="G788" s="68" t="s">
        <v>793</v>
      </c>
      <c r="H788" s="79"/>
      <c r="I788" s="229">
        <v>55.02</v>
      </c>
      <c r="J788" s="12" t="s">
        <v>53</v>
      </c>
      <c r="K788" s="97">
        <v>46225</v>
      </c>
      <c r="L788" s="95">
        <v>30</v>
      </c>
      <c r="M788" s="96">
        <v>46256</v>
      </c>
      <c r="N788" s="11">
        <f t="shared" si="24"/>
        <v>31</v>
      </c>
      <c r="O788" s="32" t="str">
        <f t="shared" si="25"/>
        <v>No</v>
      </c>
    </row>
    <row r="789" spans="2:15" ht="15" customHeight="1" x14ac:dyDescent="0.4">
      <c r="B789" s="10">
        <v>785</v>
      </c>
      <c r="C789" s="34" t="s">
        <v>822</v>
      </c>
      <c r="D789" s="68" t="s">
        <v>1597</v>
      </c>
      <c r="E789" s="68">
        <v>133925</v>
      </c>
      <c r="F789" s="68" t="s">
        <v>2373</v>
      </c>
      <c r="G789" s="68" t="s">
        <v>793</v>
      </c>
      <c r="H789" s="79"/>
      <c r="I789" s="229">
        <v>110.04</v>
      </c>
      <c r="J789" s="12" t="s">
        <v>53</v>
      </c>
      <c r="K789" s="97">
        <v>46225</v>
      </c>
      <c r="L789" s="95">
        <v>30</v>
      </c>
      <c r="M789" s="96">
        <v>46254</v>
      </c>
      <c r="N789" s="11">
        <f t="shared" si="24"/>
        <v>29</v>
      </c>
      <c r="O789" s="32" t="str">
        <f t="shared" si="25"/>
        <v>Yes</v>
      </c>
    </row>
    <row r="790" spans="2:15" ht="15" customHeight="1" x14ac:dyDescent="0.4">
      <c r="B790" s="10">
        <v>786</v>
      </c>
      <c r="C790" s="34" t="s">
        <v>822</v>
      </c>
      <c r="D790" s="68" t="s">
        <v>1598</v>
      </c>
      <c r="E790" s="68">
        <v>133925</v>
      </c>
      <c r="F790" s="68" t="s">
        <v>2374</v>
      </c>
      <c r="G790" s="68" t="s">
        <v>793</v>
      </c>
      <c r="H790" s="79"/>
      <c r="I790" s="229">
        <v>110.04</v>
      </c>
      <c r="J790" s="12" t="s">
        <v>53</v>
      </c>
      <c r="K790" s="97">
        <v>46225</v>
      </c>
      <c r="L790" s="95">
        <v>30</v>
      </c>
      <c r="M790" s="96">
        <v>46253</v>
      </c>
      <c r="N790" s="11">
        <f t="shared" si="24"/>
        <v>28</v>
      </c>
      <c r="O790" s="32" t="str">
        <f t="shared" si="25"/>
        <v>Yes</v>
      </c>
    </row>
    <row r="791" spans="2:15" ht="15" customHeight="1" x14ac:dyDescent="0.4">
      <c r="B791" s="10">
        <v>787</v>
      </c>
      <c r="C791" s="34" t="s">
        <v>822</v>
      </c>
      <c r="D791" s="68" t="s">
        <v>1599</v>
      </c>
      <c r="E791" s="68">
        <v>133925</v>
      </c>
      <c r="F791" s="68" t="s">
        <v>2375</v>
      </c>
      <c r="G791" s="68" t="s">
        <v>793</v>
      </c>
      <c r="H791" s="79"/>
      <c r="I791" s="229">
        <v>89.25</v>
      </c>
      <c r="J791" s="12" t="s">
        <v>53</v>
      </c>
      <c r="K791" s="97">
        <v>46225</v>
      </c>
      <c r="L791" s="95">
        <v>30</v>
      </c>
      <c r="M791" s="96">
        <v>46258</v>
      </c>
      <c r="N791" s="11">
        <f t="shared" si="24"/>
        <v>33</v>
      </c>
      <c r="O791" s="32" t="str">
        <f t="shared" si="25"/>
        <v>No</v>
      </c>
    </row>
    <row r="792" spans="2:15" ht="15" customHeight="1" x14ac:dyDescent="0.4">
      <c r="B792" s="10">
        <v>788</v>
      </c>
      <c r="C792" s="34" t="s">
        <v>822</v>
      </c>
      <c r="D792" s="68" t="s">
        <v>1600</v>
      </c>
      <c r="E792" s="68">
        <v>133925</v>
      </c>
      <c r="F792" s="68" t="s">
        <v>2375</v>
      </c>
      <c r="G792" s="68" t="s">
        <v>793</v>
      </c>
      <c r="H792" s="79"/>
      <c r="I792" s="229">
        <v>89.25</v>
      </c>
      <c r="J792" s="12" t="s">
        <v>53</v>
      </c>
      <c r="K792" s="97">
        <v>46225</v>
      </c>
      <c r="L792" s="95">
        <v>30</v>
      </c>
      <c r="M792" s="96">
        <v>46256</v>
      </c>
      <c r="N792" s="11">
        <f t="shared" si="24"/>
        <v>31</v>
      </c>
      <c r="O792" s="32" t="str">
        <f t="shared" si="25"/>
        <v>No</v>
      </c>
    </row>
    <row r="793" spans="2:15" ht="15" customHeight="1" x14ac:dyDescent="0.4">
      <c r="B793" s="10">
        <v>789</v>
      </c>
      <c r="C793" s="34" t="s">
        <v>822</v>
      </c>
      <c r="D793" s="68" t="s">
        <v>1601</v>
      </c>
      <c r="E793" s="68">
        <v>133925</v>
      </c>
      <c r="F793" s="68" t="s">
        <v>1601</v>
      </c>
      <c r="G793" s="68" t="s">
        <v>793</v>
      </c>
      <c r="H793" s="79"/>
      <c r="I793" s="229">
        <v>89.25</v>
      </c>
      <c r="J793" s="12" t="s">
        <v>53</v>
      </c>
      <c r="K793" s="97">
        <v>46225</v>
      </c>
      <c r="L793" s="95">
        <v>30</v>
      </c>
      <c r="M793" s="96">
        <v>46260</v>
      </c>
      <c r="N793" s="11">
        <f t="shared" si="24"/>
        <v>35</v>
      </c>
      <c r="O793" s="32" t="str">
        <f t="shared" si="25"/>
        <v>No</v>
      </c>
    </row>
    <row r="794" spans="2:15" ht="15" customHeight="1" x14ac:dyDescent="0.4">
      <c r="B794" s="10">
        <v>790</v>
      </c>
      <c r="C794" s="34" t="s">
        <v>822</v>
      </c>
      <c r="D794" s="68" t="s">
        <v>1602</v>
      </c>
      <c r="E794" s="68">
        <v>133925</v>
      </c>
      <c r="F794" s="68" t="s">
        <v>2376</v>
      </c>
      <c r="G794" s="68" t="s">
        <v>793</v>
      </c>
      <c r="H794" s="79"/>
      <c r="I794" s="229">
        <v>89.25</v>
      </c>
      <c r="J794" s="12" t="s">
        <v>53</v>
      </c>
      <c r="K794" s="97">
        <v>46225</v>
      </c>
      <c r="L794" s="95">
        <v>30</v>
      </c>
      <c r="M794" s="96">
        <v>46255</v>
      </c>
      <c r="N794" s="11">
        <f t="shared" si="24"/>
        <v>30</v>
      </c>
      <c r="O794" s="32" t="str">
        <f t="shared" si="25"/>
        <v>Yes</v>
      </c>
    </row>
    <row r="795" spans="2:15" ht="15" customHeight="1" x14ac:dyDescent="0.4">
      <c r="B795" s="10">
        <v>791</v>
      </c>
      <c r="C795" s="34" t="s">
        <v>822</v>
      </c>
      <c r="D795" s="68" t="s">
        <v>1603</v>
      </c>
      <c r="E795" s="68">
        <v>133925</v>
      </c>
      <c r="F795" s="68" t="s">
        <v>2375</v>
      </c>
      <c r="G795" s="68" t="s">
        <v>793</v>
      </c>
      <c r="H795" s="79"/>
      <c r="I795" s="229">
        <v>89.25</v>
      </c>
      <c r="J795" s="12" t="s">
        <v>53</v>
      </c>
      <c r="K795" s="97">
        <v>46225</v>
      </c>
      <c r="L795" s="95">
        <v>30</v>
      </c>
      <c r="M795" s="96">
        <v>46260</v>
      </c>
      <c r="N795" s="11">
        <f t="shared" si="24"/>
        <v>35</v>
      </c>
      <c r="O795" s="32" t="str">
        <f t="shared" si="25"/>
        <v>No</v>
      </c>
    </row>
    <row r="796" spans="2:15" ht="15" customHeight="1" x14ac:dyDescent="0.4">
      <c r="B796" s="10">
        <v>792</v>
      </c>
      <c r="C796" s="34" t="s">
        <v>822</v>
      </c>
      <c r="D796" s="68" t="s">
        <v>1604</v>
      </c>
      <c r="E796" s="68">
        <v>133925</v>
      </c>
      <c r="F796" s="68" t="s">
        <v>2377</v>
      </c>
      <c r="G796" s="68" t="s">
        <v>793</v>
      </c>
      <c r="H796" s="79"/>
      <c r="I796" s="229">
        <v>89.25</v>
      </c>
      <c r="J796" s="12" t="s">
        <v>53</v>
      </c>
      <c r="K796" s="97">
        <v>46225</v>
      </c>
      <c r="L796" s="95">
        <v>30</v>
      </c>
      <c r="M796" s="96">
        <v>46259</v>
      </c>
      <c r="N796" s="11">
        <f t="shared" si="24"/>
        <v>34</v>
      </c>
      <c r="O796" s="32" t="str">
        <f t="shared" si="25"/>
        <v>No</v>
      </c>
    </row>
    <row r="797" spans="2:15" ht="15" customHeight="1" x14ac:dyDescent="0.4">
      <c r="B797" s="10">
        <v>793</v>
      </c>
      <c r="C797" s="34" t="s">
        <v>822</v>
      </c>
      <c r="D797" s="68" t="s">
        <v>1605</v>
      </c>
      <c r="E797" s="68">
        <v>133925</v>
      </c>
      <c r="F797" s="68" t="s">
        <v>2378</v>
      </c>
      <c r="G797" s="68" t="s">
        <v>793</v>
      </c>
      <c r="H797" s="79"/>
      <c r="I797" s="229">
        <v>1100.4000000000001</v>
      </c>
      <c r="J797" s="12" t="s">
        <v>53</v>
      </c>
      <c r="K797" s="97">
        <v>46225</v>
      </c>
      <c r="L797" s="95">
        <v>30</v>
      </c>
      <c r="M797" s="96">
        <v>46256</v>
      </c>
      <c r="N797" s="11">
        <f t="shared" si="24"/>
        <v>31</v>
      </c>
      <c r="O797" s="32" t="str">
        <f t="shared" si="25"/>
        <v>No</v>
      </c>
    </row>
    <row r="798" spans="2:15" ht="15" customHeight="1" x14ac:dyDescent="0.4">
      <c r="B798" s="10">
        <v>794</v>
      </c>
      <c r="C798" s="34" t="s">
        <v>822</v>
      </c>
      <c r="D798" s="68" t="s">
        <v>1606</v>
      </c>
      <c r="E798" s="68">
        <v>133925</v>
      </c>
      <c r="F798" s="68" t="s">
        <v>2378</v>
      </c>
      <c r="G798" s="68" t="s">
        <v>793</v>
      </c>
      <c r="H798" s="79"/>
      <c r="I798" s="229">
        <v>1100.4000000000001</v>
      </c>
      <c r="J798" s="12" t="s">
        <v>53</v>
      </c>
      <c r="K798" s="97">
        <v>46225</v>
      </c>
      <c r="L798" s="95">
        <v>30</v>
      </c>
      <c r="M798" s="96">
        <v>46258</v>
      </c>
      <c r="N798" s="11">
        <f t="shared" si="24"/>
        <v>33</v>
      </c>
      <c r="O798" s="32" t="str">
        <f t="shared" si="25"/>
        <v>No</v>
      </c>
    </row>
    <row r="799" spans="2:15" ht="15" customHeight="1" x14ac:dyDescent="0.4">
      <c r="B799" s="10">
        <v>795</v>
      </c>
      <c r="C799" s="34" t="s">
        <v>822</v>
      </c>
      <c r="D799" s="68" t="s">
        <v>1607</v>
      </c>
      <c r="E799" s="68">
        <v>133925</v>
      </c>
      <c r="F799" s="68" t="s">
        <v>2379</v>
      </c>
      <c r="G799" s="68" t="s">
        <v>793</v>
      </c>
      <c r="H799" s="79"/>
      <c r="I799" s="229">
        <v>1100.4000000000001</v>
      </c>
      <c r="J799" s="12" t="s">
        <v>53</v>
      </c>
      <c r="K799" s="97">
        <v>46225</v>
      </c>
      <c r="L799" s="95">
        <v>30</v>
      </c>
      <c r="M799" s="96">
        <v>46258</v>
      </c>
      <c r="N799" s="11">
        <f t="shared" si="24"/>
        <v>33</v>
      </c>
      <c r="O799" s="32" t="str">
        <f t="shared" si="25"/>
        <v>No</v>
      </c>
    </row>
    <row r="800" spans="2:15" ht="15" customHeight="1" x14ac:dyDescent="0.4">
      <c r="B800" s="10">
        <v>796</v>
      </c>
      <c r="C800" s="34" t="s">
        <v>822</v>
      </c>
      <c r="D800" s="68" t="s">
        <v>1608</v>
      </c>
      <c r="E800" s="68">
        <v>133925</v>
      </c>
      <c r="F800" s="68" t="s">
        <v>2380</v>
      </c>
      <c r="G800" s="68" t="s">
        <v>793</v>
      </c>
      <c r="H800" s="79"/>
      <c r="I800" s="229">
        <v>1100.4000000000001</v>
      </c>
      <c r="J800" s="12" t="s">
        <v>53</v>
      </c>
      <c r="K800" s="97">
        <v>46225</v>
      </c>
      <c r="L800" s="95">
        <v>30</v>
      </c>
      <c r="M800" s="96">
        <v>46260</v>
      </c>
      <c r="N800" s="11">
        <f t="shared" si="24"/>
        <v>35</v>
      </c>
      <c r="O800" s="32" t="str">
        <f t="shared" si="25"/>
        <v>No</v>
      </c>
    </row>
    <row r="801" spans="2:15" ht="15" customHeight="1" x14ac:dyDescent="0.4">
      <c r="B801" s="10">
        <v>797</v>
      </c>
      <c r="C801" s="34" t="s">
        <v>822</v>
      </c>
      <c r="D801" s="68" t="s">
        <v>1609</v>
      </c>
      <c r="E801" s="68">
        <v>133925</v>
      </c>
      <c r="F801" s="68" t="s">
        <v>2381</v>
      </c>
      <c r="G801" s="68" t="s">
        <v>793</v>
      </c>
      <c r="H801" s="79"/>
      <c r="I801" s="229">
        <v>1100.4000000000001</v>
      </c>
      <c r="J801" s="12" t="s">
        <v>53</v>
      </c>
      <c r="K801" s="97">
        <v>46225</v>
      </c>
      <c r="L801" s="95">
        <v>30</v>
      </c>
      <c r="M801" s="96">
        <v>46253</v>
      </c>
      <c r="N801" s="11">
        <f t="shared" si="24"/>
        <v>28</v>
      </c>
      <c r="O801" s="32" t="str">
        <f t="shared" si="25"/>
        <v>Yes</v>
      </c>
    </row>
    <row r="802" spans="2:15" ht="15" customHeight="1" x14ac:dyDescent="0.4">
      <c r="B802" s="10">
        <v>798</v>
      </c>
      <c r="C802" s="34" t="s">
        <v>822</v>
      </c>
      <c r="D802" s="68" t="s">
        <v>1610</v>
      </c>
      <c r="E802" s="68">
        <v>133925</v>
      </c>
      <c r="F802" s="68" t="s">
        <v>2382</v>
      </c>
      <c r="G802" s="68" t="s">
        <v>793</v>
      </c>
      <c r="H802" s="79"/>
      <c r="I802" s="229">
        <v>1100.4000000000001</v>
      </c>
      <c r="J802" s="12" t="s">
        <v>53</v>
      </c>
      <c r="K802" s="97">
        <v>46225</v>
      </c>
      <c r="L802" s="95">
        <v>30</v>
      </c>
      <c r="M802" s="96">
        <v>46254</v>
      </c>
      <c r="N802" s="11">
        <f t="shared" si="24"/>
        <v>29</v>
      </c>
      <c r="O802" s="32" t="str">
        <f t="shared" si="25"/>
        <v>Yes</v>
      </c>
    </row>
    <row r="803" spans="2:15" ht="15" customHeight="1" x14ac:dyDescent="0.4">
      <c r="B803" s="10">
        <v>799</v>
      </c>
      <c r="C803" s="34" t="s">
        <v>822</v>
      </c>
      <c r="D803" s="68" t="s">
        <v>1611</v>
      </c>
      <c r="E803" s="68">
        <v>133925</v>
      </c>
      <c r="F803" s="68" t="s">
        <v>2383</v>
      </c>
      <c r="G803" s="68" t="s">
        <v>793</v>
      </c>
      <c r="H803" s="79"/>
      <c r="I803" s="229">
        <v>1100.4000000000001</v>
      </c>
      <c r="J803" s="12" t="s">
        <v>53</v>
      </c>
      <c r="K803" s="97">
        <v>46225</v>
      </c>
      <c r="L803" s="95">
        <v>30</v>
      </c>
      <c r="M803" s="96">
        <v>46254</v>
      </c>
      <c r="N803" s="11">
        <f t="shared" si="24"/>
        <v>29</v>
      </c>
      <c r="O803" s="32" t="str">
        <f t="shared" si="25"/>
        <v>Yes</v>
      </c>
    </row>
    <row r="804" spans="2:15" ht="15" customHeight="1" x14ac:dyDescent="0.4">
      <c r="B804" s="10">
        <v>800</v>
      </c>
      <c r="C804" s="34" t="s">
        <v>822</v>
      </c>
      <c r="D804" s="68" t="s">
        <v>1612</v>
      </c>
      <c r="E804" s="68">
        <v>133925</v>
      </c>
      <c r="F804" s="68" t="s">
        <v>2384</v>
      </c>
      <c r="G804" s="68" t="s">
        <v>793</v>
      </c>
      <c r="H804" s="79"/>
      <c r="I804" s="229">
        <v>1603.8330000000001</v>
      </c>
      <c r="J804" s="12" t="s">
        <v>53</v>
      </c>
      <c r="K804" s="97">
        <v>46225</v>
      </c>
      <c r="L804" s="95">
        <v>30</v>
      </c>
      <c r="M804" s="96">
        <v>46259</v>
      </c>
      <c r="N804" s="11">
        <f t="shared" si="24"/>
        <v>34</v>
      </c>
      <c r="O804" s="32" t="str">
        <f t="shared" si="25"/>
        <v>No</v>
      </c>
    </row>
    <row r="805" spans="2:15" ht="15" customHeight="1" x14ac:dyDescent="0.4">
      <c r="B805" s="10">
        <v>801</v>
      </c>
      <c r="C805" s="34" t="s">
        <v>822</v>
      </c>
      <c r="D805" s="68" t="s">
        <v>1613</v>
      </c>
      <c r="E805" s="68">
        <v>133925</v>
      </c>
      <c r="F805" s="68" t="s">
        <v>2385</v>
      </c>
      <c r="G805" s="68" t="s">
        <v>793</v>
      </c>
      <c r="H805" s="79"/>
      <c r="I805" s="229">
        <v>119</v>
      </c>
      <c r="J805" s="12" t="s">
        <v>53</v>
      </c>
      <c r="K805" s="97">
        <v>46225</v>
      </c>
      <c r="L805" s="95">
        <v>30</v>
      </c>
      <c r="M805" s="96">
        <v>46260</v>
      </c>
      <c r="N805" s="11">
        <f t="shared" si="24"/>
        <v>35</v>
      </c>
      <c r="O805" s="32" t="str">
        <f t="shared" si="25"/>
        <v>No</v>
      </c>
    </row>
    <row r="806" spans="2:15" ht="15" customHeight="1" x14ac:dyDescent="0.4">
      <c r="B806" s="10">
        <v>802</v>
      </c>
      <c r="C806" s="34" t="s">
        <v>822</v>
      </c>
      <c r="D806" s="68" t="s">
        <v>1614</v>
      </c>
      <c r="E806" s="68">
        <v>133925</v>
      </c>
      <c r="F806" s="68" t="s">
        <v>2386</v>
      </c>
      <c r="G806" s="68" t="s">
        <v>793</v>
      </c>
      <c r="H806" s="79"/>
      <c r="I806" s="229">
        <v>3180</v>
      </c>
      <c r="J806" s="12" t="s">
        <v>53</v>
      </c>
      <c r="K806" s="97">
        <v>46225</v>
      </c>
      <c r="L806" s="95">
        <v>30</v>
      </c>
      <c r="M806" s="96">
        <v>46258</v>
      </c>
      <c r="N806" s="11">
        <f t="shared" si="24"/>
        <v>33</v>
      </c>
      <c r="O806" s="32" t="str">
        <f t="shared" si="25"/>
        <v>No</v>
      </c>
    </row>
    <row r="807" spans="2:15" ht="15" customHeight="1" x14ac:dyDescent="0.4">
      <c r="B807" s="10">
        <v>803</v>
      </c>
      <c r="C807" s="34" t="s">
        <v>822</v>
      </c>
      <c r="D807" s="68" t="s">
        <v>1615</v>
      </c>
      <c r="E807" s="68">
        <v>133925</v>
      </c>
      <c r="F807" s="68" t="s">
        <v>2387</v>
      </c>
      <c r="G807" s="68" t="s">
        <v>793</v>
      </c>
      <c r="H807" s="79"/>
      <c r="I807" s="229">
        <v>2970</v>
      </c>
      <c r="J807" s="12" t="s">
        <v>53</v>
      </c>
      <c r="K807" s="97">
        <v>46225</v>
      </c>
      <c r="L807" s="95">
        <v>30</v>
      </c>
      <c r="M807" s="96">
        <v>46259</v>
      </c>
      <c r="N807" s="11">
        <f t="shared" si="24"/>
        <v>34</v>
      </c>
      <c r="O807" s="32" t="str">
        <f t="shared" si="25"/>
        <v>No</v>
      </c>
    </row>
    <row r="808" spans="2:15" ht="15" customHeight="1" x14ac:dyDescent="0.4">
      <c r="B808" s="10">
        <v>804</v>
      </c>
      <c r="C808" s="34" t="s">
        <v>822</v>
      </c>
      <c r="D808" s="68" t="s">
        <v>1616</v>
      </c>
      <c r="E808" s="68">
        <v>133925</v>
      </c>
      <c r="F808" s="68" t="s">
        <v>2387</v>
      </c>
      <c r="G808" s="68" t="s">
        <v>793</v>
      </c>
      <c r="H808" s="79"/>
      <c r="I808" s="229">
        <v>89.25</v>
      </c>
      <c r="J808" s="12" t="s">
        <v>53</v>
      </c>
      <c r="K808" s="97">
        <v>46225</v>
      </c>
      <c r="L808" s="95">
        <v>30</v>
      </c>
      <c r="M808" s="96">
        <v>46255</v>
      </c>
      <c r="N808" s="11">
        <f t="shared" si="24"/>
        <v>30</v>
      </c>
      <c r="O808" s="32" t="str">
        <f t="shared" si="25"/>
        <v>Yes</v>
      </c>
    </row>
    <row r="809" spans="2:15" ht="15" customHeight="1" x14ac:dyDescent="0.4">
      <c r="B809" s="10">
        <v>805</v>
      </c>
      <c r="C809" s="34" t="s">
        <v>822</v>
      </c>
      <c r="D809" s="68" t="s">
        <v>1617</v>
      </c>
      <c r="E809" s="68">
        <v>133925</v>
      </c>
      <c r="F809" s="68" t="s">
        <v>2388</v>
      </c>
      <c r="G809" s="68" t="s">
        <v>793</v>
      </c>
      <c r="H809" s="79"/>
      <c r="I809" s="229">
        <v>673.995</v>
      </c>
      <c r="J809" s="12" t="s">
        <v>53</v>
      </c>
      <c r="K809" s="97">
        <v>46225</v>
      </c>
      <c r="L809" s="95">
        <v>30</v>
      </c>
      <c r="M809" s="96">
        <v>46253</v>
      </c>
      <c r="N809" s="11">
        <f t="shared" si="24"/>
        <v>28</v>
      </c>
      <c r="O809" s="32" t="str">
        <f t="shared" si="25"/>
        <v>Yes</v>
      </c>
    </row>
    <row r="810" spans="2:15" ht="15" customHeight="1" x14ac:dyDescent="0.4">
      <c r="B810" s="10">
        <v>806</v>
      </c>
      <c r="C810" s="34" t="s">
        <v>822</v>
      </c>
      <c r="D810" s="68" t="s">
        <v>1618</v>
      </c>
      <c r="E810" s="68">
        <v>133925</v>
      </c>
      <c r="F810" s="68" t="s">
        <v>2388</v>
      </c>
      <c r="G810" s="68" t="s">
        <v>793</v>
      </c>
      <c r="H810" s="79"/>
      <c r="I810" s="229">
        <v>673.995</v>
      </c>
      <c r="J810" s="12" t="s">
        <v>53</v>
      </c>
      <c r="K810" s="97">
        <v>46225</v>
      </c>
      <c r="L810" s="95">
        <v>30</v>
      </c>
      <c r="M810" s="96">
        <v>46258</v>
      </c>
      <c r="N810" s="11">
        <f t="shared" si="24"/>
        <v>33</v>
      </c>
      <c r="O810" s="32" t="str">
        <f t="shared" si="25"/>
        <v>No</v>
      </c>
    </row>
    <row r="811" spans="2:15" ht="15" customHeight="1" x14ac:dyDescent="0.4">
      <c r="B811" s="10">
        <v>807</v>
      </c>
      <c r="C811" s="34" t="s">
        <v>822</v>
      </c>
      <c r="D811" s="68" t="s">
        <v>1619</v>
      </c>
      <c r="E811" s="68">
        <v>133925</v>
      </c>
      <c r="F811" s="68" t="s">
        <v>2388</v>
      </c>
      <c r="G811" s="68" t="s">
        <v>793</v>
      </c>
      <c r="H811" s="79"/>
      <c r="I811" s="229">
        <v>673.995</v>
      </c>
      <c r="J811" s="12" t="s">
        <v>53</v>
      </c>
      <c r="K811" s="97">
        <v>46225</v>
      </c>
      <c r="L811" s="95">
        <v>30</v>
      </c>
      <c r="M811" s="96">
        <v>46256</v>
      </c>
      <c r="N811" s="11">
        <f t="shared" si="24"/>
        <v>31</v>
      </c>
      <c r="O811" s="32" t="str">
        <f t="shared" si="25"/>
        <v>No</v>
      </c>
    </row>
    <row r="812" spans="2:15" ht="15" customHeight="1" x14ac:dyDescent="0.4">
      <c r="B812" s="10">
        <v>808</v>
      </c>
      <c r="C812" s="34" t="s">
        <v>822</v>
      </c>
      <c r="D812" s="68" t="s">
        <v>1620</v>
      </c>
      <c r="E812" s="68">
        <v>133925</v>
      </c>
      <c r="F812" s="68" t="s">
        <v>2389</v>
      </c>
      <c r="G812" s="68" t="s">
        <v>793</v>
      </c>
      <c r="H812" s="79"/>
      <c r="I812" s="229">
        <v>673.995</v>
      </c>
      <c r="J812" s="12" t="s">
        <v>53</v>
      </c>
      <c r="K812" s="97">
        <v>46225</v>
      </c>
      <c r="L812" s="95">
        <v>30</v>
      </c>
      <c r="M812" s="96">
        <v>46259</v>
      </c>
      <c r="N812" s="11">
        <f t="shared" si="24"/>
        <v>34</v>
      </c>
      <c r="O812" s="32" t="str">
        <f t="shared" si="25"/>
        <v>No</v>
      </c>
    </row>
    <row r="813" spans="2:15" ht="15" customHeight="1" x14ac:dyDescent="0.4">
      <c r="B813" s="10">
        <v>809</v>
      </c>
      <c r="C813" s="34" t="s">
        <v>822</v>
      </c>
      <c r="D813" s="68" t="s">
        <v>1621</v>
      </c>
      <c r="E813" s="68">
        <v>133925</v>
      </c>
      <c r="F813" s="68" t="s">
        <v>2390</v>
      </c>
      <c r="G813" s="68" t="s">
        <v>793</v>
      </c>
      <c r="H813" s="79"/>
      <c r="I813" s="229">
        <v>673.995</v>
      </c>
      <c r="J813" s="12" t="s">
        <v>53</v>
      </c>
      <c r="K813" s="97">
        <v>46225</v>
      </c>
      <c r="L813" s="95">
        <v>30</v>
      </c>
      <c r="M813" s="96">
        <v>46254</v>
      </c>
      <c r="N813" s="11">
        <f t="shared" si="24"/>
        <v>29</v>
      </c>
      <c r="O813" s="32" t="str">
        <f t="shared" si="25"/>
        <v>Yes</v>
      </c>
    </row>
    <row r="814" spans="2:15" ht="15" customHeight="1" x14ac:dyDescent="0.4">
      <c r="B814" s="10">
        <v>810</v>
      </c>
      <c r="C814" s="34" t="s">
        <v>822</v>
      </c>
      <c r="D814" s="68" t="s">
        <v>1622</v>
      </c>
      <c r="E814" s="68">
        <v>133925</v>
      </c>
      <c r="F814" s="68" t="s">
        <v>2391</v>
      </c>
      <c r="G814" s="68" t="s">
        <v>793</v>
      </c>
      <c r="H814" s="79"/>
      <c r="I814" s="229">
        <v>673.995</v>
      </c>
      <c r="J814" s="12" t="s">
        <v>53</v>
      </c>
      <c r="K814" s="97">
        <v>46225</v>
      </c>
      <c r="L814" s="95">
        <v>30</v>
      </c>
      <c r="M814" s="96">
        <v>46253</v>
      </c>
      <c r="N814" s="11">
        <f t="shared" si="24"/>
        <v>28</v>
      </c>
      <c r="O814" s="32" t="str">
        <f t="shared" si="25"/>
        <v>Yes</v>
      </c>
    </row>
    <row r="815" spans="2:15" ht="15" customHeight="1" x14ac:dyDescent="0.4">
      <c r="B815" s="10">
        <v>811</v>
      </c>
      <c r="C815" s="34" t="s">
        <v>822</v>
      </c>
      <c r="D815" s="68" t="s">
        <v>1623</v>
      </c>
      <c r="E815" s="68">
        <v>133925</v>
      </c>
      <c r="F815" s="68" t="s">
        <v>2392</v>
      </c>
      <c r="G815" s="68" t="s">
        <v>793</v>
      </c>
      <c r="H815" s="79"/>
      <c r="I815" s="229">
        <v>673.995</v>
      </c>
      <c r="J815" s="12" t="s">
        <v>53</v>
      </c>
      <c r="K815" s="97">
        <v>46225</v>
      </c>
      <c r="L815" s="95">
        <v>30</v>
      </c>
      <c r="M815" s="96">
        <v>46259</v>
      </c>
      <c r="N815" s="11">
        <f t="shared" si="24"/>
        <v>34</v>
      </c>
      <c r="O815" s="32" t="str">
        <f t="shared" si="25"/>
        <v>No</v>
      </c>
    </row>
    <row r="816" spans="2:15" ht="15" customHeight="1" x14ac:dyDescent="0.4">
      <c r="B816" s="10">
        <v>812</v>
      </c>
      <c r="C816" s="34" t="s">
        <v>822</v>
      </c>
      <c r="D816" s="68" t="s">
        <v>1624</v>
      </c>
      <c r="E816" s="68">
        <v>133925</v>
      </c>
      <c r="F816" s="68" t="s">
        <v>2388</v>
      </c>
      <c r="G816" s="68" t="s">
        <v>793</v>
      </c>
      <c r="H816" s="79"/>
      <c r="I816" s="229">
        <v>673.995</v>
      </c>
      <c r="J816" s="12" t="s">
        <v>53</v>
      </c>
      <c r="K816" s="97">
        <v>46225</v>
      </c>
      <c r="L816" s="95">
        <v>30</v>
      </c>
      <c r="M816" s="96">
        <v>46254</v>
      </c>
      <c r="N816" s="11">
        <f t="shared" si="24"/>
        <v>29</v>
      </c>
      <c r="O816" s="32" t="str">
        <f t="shared" si="25"/>
        <v>Yes</v>
      </c>
    </row>
    <row r="817" spans="2:15" ht="15" customHeight="1" x14ac:dyDescent="0.4">
      <c r="B817" s="10">
        <v>813</v>
      </c>
      <c r="C817" s="34" t="s">
        <v>822</v>
      </c>
      <c r="D817" s="68" t="s">
        <v>1625</v>
      </c>
      <c r="E817" s="68">
        <v>133925</v>
      </c>
      <c r="F817" s="68" t="s">
        <v>2388</v>
      </c>
      <c r="G817" s="68" t="s">
        <v>793</v>
      </c>
      <c r="H817" s="79"/>
      <c r="I817" s="229">
        <v>467.67</v>
      </c>
      <c r="J817" s="12" t="s">
        <v>53</v>
      </c>
      <c r="K817" s="97">
        <v>46225</v>
      </c>
      <c r="L817" s="95">
        <v>30</v>
      </c>
      <c r="M817" s="96">
        <v>46254</v>
      </c>
      <c r="N817" s="11">
        <f t="shared" si="24"/>
        <v>29</v>
      </c>
      <c r="O817" s="32" t="str">
        <f t="shared" si="25"/>
        <v>Yes</v>
      </c>
    </row>
    <row r="818" spans="2:15" ht="15" customHeight="1" x14ac:dyDescent="0.4">
      <c r="B818" s="10">
        <v>814</v>
      </c>
      <c r="C818" s="34" t="s">
        <v>822</v>
      </c>
      <c r="D818" s="68" t="s">
        <v>1626</v>
      </c>
      <c r="E818" s="68">
        <v>133925</v>
      </c>
      <c r="F818" s="68" t="s">
        <v>2393</v>
      </c>
      <c r="G818" s="68" t="s">
        <v>793</v>
      </c>
      <c r="H818" s="79"/>
      <c r="I818" s="229">
        <v>55</v>
      </c>
      <c r="J818" s="12" t="s">
        <v>53</v>
      </c>
      <c r="K818" s="97">
        <v>46225</v>
      </c>
      <c r="L818" s="95">
        <v>30</v>
      </c>
      <c r="M818" s="96">
        <v>46258</v>
      </c>
      <c r="N818" s="11">
        <f t="shared" si="24"/>
        <v>33</v>
      </c>
      <c r="O818" s="32" t="str">
        <f t="shared" si="25"/>
        <v>No</v>
      </c>
    </row>
    <row r="819" spans="2:15" ht="15" customHeight="1" x14ac:dyDescent="0.4">
      <c r="B819" s="10">
        <v>815</v>
      </c>
      <c r="C819" s="34" t="s">
        <v>822</v>
      </c>
      <c r="D819" s="68" t="s">
        <v>1627</v>
      </c>
      <c r="E819" s="68">
        <v>133925</v>
      </c>
      <c r="F819" s="68" t="s">
        <v>2393</v>
      </c>
      <c r="G819" s="68" t="s">
        <v>793</v>
      </c>
      <c r="H819" s="79"/>
      <c r="I819" s="229">
        <v>48.875</v>
      </c>
      <c r="J819" s="12" t="s">
        <v>53</v>
      </c>
      <c r="K819" s="97">
        <v>46225</v>
      </c>
      <c r="L819" s="95">
        <v>30</v>
      </c>
      <c r="M819" s="96">
        <v>46258</v>
      </c>
      <c r="N819" s="11">
        <f t="shared" si="24"/>
        <v>33</v>
      </c>
      <c r="O819" s="32" t="str">
        <f t="shared" si="25"/>
        <v>No</v>
      </c>
    </row>
    <row r="820" spans="2:15" ht="15" customHeight="1" x14ac:dyDescent="0.4">
      <c r="B820" s="10">
        <v>816</v>
      </c>
      <c r="C820" s="34" t="s">
        <v>822</v>
      </c>
      <c r="D820" s="68" t="s">
        <v>1628</v>
      </c>
      <c r="E820" s="68">
        <v>133925</v>
      </c>
      <c r="F820" s="68" t="s">
        <v>2393</v>
      </c>
      <c r="G820" s="68" t="s">
        <v>793</v>
      </c>
      <c r="H820" s="79"/>
      <c r="I820" s="229">
        <v>48.875</v>
      </c>
      <c r="J820" s="12" t="s">
        <v>53</v>
      </c>
      <c r="K820" s="97">
        <v>46225</v>
      </c>
      <c r="L820" s="95">
        <v>30</v>
      </c>
      <c r="M820" s="96">
        <v>46256</v>
      </c>
      <c r="N820" s="11">
        <f t="shared" si="24"/>
        <v>31</v>
      </c>
      <c r="O820" s="32" t="str">
        <f t="shared" si="25"/>
        <v>No</v>
      </c>
    </row>
    <row r="821" spans="2:15" ht="15" customHeight="1" x14ac:dyDescent="0.4">
      <c r="B821" s="10">
        <v>817</v>
      </c>
      <c r="C821" s="34" t="s">
        <v>822</v>
      </c>
      <c r="D821" s="68" t="s">
        <v>1629</v>
      </c>
      <c r="E821" s="68">
        <v>133925</v>
      </c>
      <c r="F821" s="68" t="s">
        <v>2388</v>
      </c>
      <c r="G821" s="68" t="s">
        <v>793</v>
      </c>
      <c r="H821" s="79"/>
      <c r="I821" s="229">
        <v>48.875</v>
      </c>
      <c r="J821" s="12" t="s">
        <v>53</v>
      </c>
      <c r="K821" s="97">
        <v>46225</v>
      </c>
      <c r="L821" s="95">
        <v>30</v>
      </c>
      <c r="M821" s="96">
        <v>46253</v>
      </c>
      <c r="N821" s="11">
        <f t="shared" si="24"/>
        <v>28</v>
      </c>
      <c r="O821" s="32" t="str">
        <f t="shared" si="25"/>
        <v>Yes</v>
      </c>
    </row>
    <row r="822" spans="2:15" ht="15" customHeight="1" x14ac:dyDescent="0.4">
      <c r="B822" s="10">
        <v>818</v>
      </c>
      <c r="C822" s="34" t="s">
        <v>822</v>
      </c>
      <c r="D822" s="68" t="s">
        <v>1630</v>
      </c>
      <c r="E822" s="68">
        <v>133925</v>
      </c>
      <c r="F822" s="68" t="s">
        <v>2394</v>
      </c>
      <c r="G822" s="68" t="s">
        <v>793</v>
      </c>
      <c r="H822" s="79"/>
      <c r="I822" s="229">
        <v>48.875</v>
      </c>
      <c r="J822" s="12" t="s">
        <v>53</v>
      </c>
      <c r="K822" s="97">
        <v>46225</v>
      </c>
      <c r="L822" s="95">
        <v>30</v>
      </c>
      <c r="M822" s="96">
        <v>46258</v>
      </c>
      <c r="N822" s="11">
        <f t="shared" si="24"/>
        <v>33</v>
      </c>
      <c r="O822" s="32" t="str">
        <f t="shared" si="25"/>
        <v>No</v>
      </c>
    </row>
    <row r="823" spans="2:15" ht="15" customHeight="1" x14ac:dyDescent="0.4">
      <c r="B823" s="10">
        <v>819</v>
      </c>
      <c r="C823" s="34" t="s">
        <v>822</v>
      </c>
      <c r="D823" s="68" t="s">
        <v>1631</v>
      </c>
      <c r="E823" s="68">
        <v>133925</v>
      </c>
      <c r="F823" s="68" t="s">
        <v>2391</v>
      </c>
      <c r="G823" s="68" t="s">
        <v>793</v>
      </c>
      <c r="H823" s="79"/>
      <c r="I823" s="229">
        <v>48.875</v>
      </c>
      <c r="J823" s="12" t="s">
        <v>53</v>
      </c>
      <c r="K823" s="97">
        <v>46225</v>
      </c>
      <c r="L823" s="95">
        <v>30</v>
      </c>
      <c r="M823" s="96">
        <v>46256</v>
      </c>
      <c r="N823" s="11">
        <f t="shared" si="24"/>
        <v>31</v>
      </c>
      <c r="O823" s="32" t="str">
        <f t="shared" si="25"/>
        <v>No</v>
      </c>
    </row>
    <row r="824" spans="2:15" ht="15" customHeight="1" x14ac:dyDescent="0.4">
      <c r="B824" s="10">
        <v>820</v>
      </c>
      <c r="C824" s="34" t="s">
        <v>822</v>
      </c>
      <c r="D824" s="68" t="s">
        <v>1632</v>
      </c>
      <c r="E824" s="68">
        <v>133925</v>
      </c>
      <c r="F824" s="68" t="s">
        <v>2393</v>
      </c>
      <c r="G824" s="68" t="s">
        <v>793</v>
      </c>
      <c r="H824" s="79"/>
      <c r="I824" s="229">
        <v>48.875</v>
      </c>
      <c r="J824" s="12" t="s">
        <v>53</v>
      </c>
      <c r="K824" s="97">
        <v>46225</v>
      </c>
      <c r="L824" s="95">
        <v>30</v>
      </c>
      <c r="M824" s="96">
        <v>46255</v>
      </c>
      <c r="N824" s="11">
        <f t="shared" si="24"/>
        <v>30</v>
      </c>
      <c r="O824" s="32" t="str">
        <f t="shared" si="25"/>
        <v>Yes</v>
      </c>
    </row>
    <row r="825" spans="2:15" ht="15" customHeight="1" x14ac:dyDescent="0.4">
      <c r="B825" s="10">
        <v>821</v>
      </c>
      <c r="C825" s="34" t="s">
        <v>822</v>
      </c>
      <c r="D825" s="68" t="s">
        <v>1633</v>
      </c>
      <c r="E825" s="68">
        <v>135323</v>
      </c>
      <c r="F825" s="68" t="s">
        <v>2395</v>
      </c>
      <c r="G825" s="68" t="s">
        <v>2581</v>
      </c>
      <c r="H825" s="79"/>
      <c r="I825" s="229">
        <v>206.25</v>
      </c>
      <c r="J825" s="12" t="s">
        <v>53</v>
      </c>
      <c r="K825" s="97">
        <v>46209</v>
      </c>
      <c r="L825" s="95">
        <v>30</v>
      </c>
      <c r="M825" s="96">
        <v>46235</v>
      </c>
      <c r="N825" s="11">
        <f t="shared" si="24"/>
        <v>26</v>
      </c>
      <c r="O825" s="32" t="str">
        <f t="shared" si="25"/>
        <v>Yes</v>
      </c>
    </row>
    <row r="826" spans="2:15" ht="15" customHeight="1" x14ac:dyDescent="0.4">
      <c r="B826" s="10">
        <v>822</v>
      </c>
      <c r="C826" s="34" t="s">
        <v>822</v>
      </c>
      <c r="D826" s="68" t="s">
        <v>1634</v>
      </c>
      <c r="E826" s="68">
        <v>136008</v>
      </c>
      <c r="F826" s="68" t="s">
        <v>2396</v>
      </c>
      <c r="G826" s="68" t="s">
        <v>634</v>
      </c>
      <c r="H826" s="79"/>
      <c r="I826" s="229">
        <v>833.33333333333337</v>
      </c>
      <c r="J826" s="12" t="s">
        <v>53</v>
      </c>
      <c r="K826" s="97">
        <v>46245</v>
      </c>
      <c r="L826" s="95">
        <v>30</v>
      </c>
      <c r="M826" s="96">
        <v>46258</v>
      </c>
      <c r="N826" s="11">
        <f t="shared" si="24"/>
        <v>13</v>
      </c>
      <c r="O826" s="32" t="str">
        <f t="shared" si="25"/>
        <v>Yes</v>
      </c>
    </row>
    <row r="827" spans="2:15" ht="15" customHeight="1" x14ac:dyDescent="0.4">
      <c r="B827" s="10">
        <v>823</v>
      </c>
      <c r="C827" s="34" t="s">
        <v>822</v>
      </c>
      <c r="D827" s="68" t="s">
        <v>1635</v>
      </c>
      <c r="E827" s="68">
        <v>135857</v>
      </c>
      <c r="F827" s="68" t="s">
        <v>2397</v>
      </c>
      <c r="G827" s="68" t="s">
        <v>634</v>
      </c>
      <c r="H827" s="79"/>
      <c r="I827" s="229">
        <v>65.4375</v>
      </c>
      <c r="J827" s="12" t="s">
        <v>53</v>
      </c>
      <c r="K827" s="97">
        <v>46245</v>
      </c>
      <c r="L827" s="95">
        <v>30</v>
      </c>
      <c r="M827" s="96">
        <v>46258</v>
      </c>
      <c r="N827" s="11">
        <f t="shared" si="24"/>
        <v>13</v>
      </c>
      <c r="O827" s="32" t="str">
        <f t="shared" si="25"/>
        <v>Yes</v>
      </c>
    </row>
    <row r="828" spans="2:15" ht="15" customHeight="1" x14ac:dyDescent="0.4">
      <c r="B828" s="10">
        <v>824</v>
      </c>
      <c r="C828" s="34" t="s">
        <v>822</v>
      </c>
      <c r="D828" s="68" t="s">
        <v>1636</v>
      </c>
      <c r="E828" s="68">
        <v>135140</v>
      </c>
      <c r="F828" s="68" t="s">
        <v>2398</v>
      </c>
      <c r="G828" s="68" t="s">
        <v>2582</v>
      </c>
      <c r="H828" s="79"/>
      <c r="I828" s="229">
        <v>1063.9583333333333</v>
      </c>
      <c r="J828" s="12" t="s">
        <v>53</v>
      </c>
      <c r="K828" s="97">
        <v>46245</v>
      </c>
      <c r="L828" s="95">
        <v>30</v>
      </c>
      <c r="M828" s="96">
        <v>46260</v>
      </c>
      <c r="N828" s="11">
        <f t="shared" si="24"/>
        <v>15</v>
      </c>
      <c r="O828" s="32" t="str">
        <f t="shared" si="25"/>
        <v>Yes</v>
      </c>
    </row>
    <row r="829" spans="2:15" ht="15" customHeight="1" x14ac:dyDescent="0.4">
      <c r="B829" s="10">
        <v>825</v>
      </c>
      <c r="C829" s="34" t="s">
        <v>822</v>
      </c>
      <c r="D829" s="68">
        <v>204466</v>
      </c>
      <c r="E829" s="68">
        <v>136047</v>
      </c>
      <c r="F829" s="68" t="s">
        <v>2399</v>
      </c>
      <c r="G829" s="68" t="s">
        <v>709</v>
      </c>
      <c r="H829" s="79"/>
      <c r="I829" s="229">
        <v>3060.2708333333335</v>
      </c>
      <c r="J829" s="12" t="s">
        <v>53</v>
      </c>
      <c r="K829" s="97">
        <v>46233</v>
      </c>
      <c r="L829" s="95">
        <v>30</v>
      </c>
      <c r="M829" s="96">
        <v>46258</v>
      </c>
      <c r="N829" s="11">
        <f t="shared" si="24"/>
        <v>25</v>
      </c>
      <c r="O829" s="32" t="str">
        <f t="shared" si="25"/>
        <v>Yes</v>
      </c>
    </row>
    <row r="830" spans="2:15" ht="15" customHeight="1" x14ac:dyDescent="0.4">
      <c r="B830" s="10">
        <v>826</v>
      </c>
      <c r="C830" s="34" t="s">
        <v>822</v>
      </c>
      <c r="D830" s="68">
        <v>204412</v>
      </c>
      <c r="E830" s="68">
        <v>135993</v>
      </c>
      <c r="F830" s="68" t="s">
        <v>2400</v>
      </c>
      <c r="G830" s="68" t="s">
        <v>709</v>
      </c>
      <c r="H830" s="79"/>
      <c r="I830" s="229">
        <v>231.60416666666666</v>
      </c>
      <c r="J830" s="12" t="s">
        <v>53</v>
      </c>
      <c r="K830" s="97">
        <v>46233</v>
      </c>
      <c r="L830" s="95">
        <v>30</v>
      </c>
      <c r="M830" s="96">
        <v>46258</v>
      </c>
      <c r="N830" s="11">
        <f t="shared" si="24"/>
        <v>25</v>
      </c>
      <c r="O830" s="32" t="str">
        <f t="shared" si="25"/>
        <v>Yes</v>
      </c>
    </row>
    <row r="831" spans="2:15" ht="15" customHeight="1" x14ac:dyDescent="0.4">
      <c r="B831" s="10">
        <v>827</v>
      </c>
      <c r="C831" s="34" t="s">
        <v>822</v>
      </c>
      <c r="D831" s="68" t="s">
        <v>1637</v>
      </c>
      <c r="E831" s="68">
        <v>136050</v>
      </c>
      <c r="F831" s="68" t="s">
        <v>2401</v>
      </c>
      <c r="G831" s="68" t="s">
        <v>709</v>
      </c>
      <c r="H831" s="79"/>
      <c r="I831" s="229">
        <v>898.95833333333337</v>
      </c>
      <c r="J831" s="12" t="s">
        <v>53</v>
      </c>
      <c r="K831" s="97">
        <v>46237</v>
      </c>
      <c r="L831" s="95">
        <v>30</v>
      </c>
      <c r="M831" s="96">
        <v>46258</v>
      </c>
      <c r="N831" s="11">
        <f t="shared" si="24"/>
        <v>21</v>
      </c>
      <c r="O831" s="32" t="str">
        <f t="shared" si="25"/>
        <v>Yes</v>
      </c>
    </row>
    <row r="832" spans="2:15" ht="15" customHeight="1" x14ac:dyDescent="0.4">
      <c r="B832" s="10">
        <v>828</v>
      </c>
      <c r="C832" s="34" t="s">
        <v>822</v>
      </c>
      <c r="D832" s="68" t="s">
        <v>1638</v>
      </c>
      <c r="E832" s="68">
        <v>136054</v>
      </c>
      <c r="F832" s="68" t="s">
        <v>2402</v>
      </c>
      <c r="G832" s="68" t="s">
        <v>709</v>
      </c>
      <c r="H832" s="79"/>
      <c r="I832" s="229">
        <v>207.0625</v>
      </c>
      <c r="J832" s="12" t="s">
        <v>53</v>
      </c>
      <c r="K832" s="97">
        <v>46237</v>
      </c>
      <c r="L832" s="95">
        <v>30</v>
      </c>
      <c r="M832" s="96">
        <v>46258</v>
      </c>
      <c r="N832" s="11">
        <f t="shared" si="24"/>
        <v>21</v>
      </c>
      <c r="O832" s="32" t="str">
        <f t="shared" si="25"/>
        <v>Yes</v>
      </c>
    </row>
    <row r="833" spans="2:15" ht="15" customHeight="1" x14ac:dyDescent="0.4">
      <c r="B833" s="10">
        <v>829</v>
      </c>
      <c r="C833" s="34" t="s">
        <v>822</v>
      </c>
      <c r="D833" s="68">
        <v>204413</v>
      </c>
      <c r="E833" s="68">
        <v>136005</v>
      </c>
      <c r="F833" s="68" t="s">
        <v>2403</v>
      </c>
      <c r="G833" s="68" t="s">
        <v>709</v>
      </c>
      <c r="H833" s="79"/>
      <c r="I833" s="229">
        <v>585.8125</v>
      </c>
      <c r="J833" s="12" t="s">
        <v>53</v>
      </c>
      <c r="K833" s="97">
        <v>46233</v>
      </c>
      <c r="L833" s="95">
        <v>30</v>
      </c>
      <c r="M833" s="96">
        <v>46258</v>
      </c>
      <c r="N833" s="11">
        <f t="shared" si="24"/>
        <v>25</v>
      </c>
      <c r="O833" s="32" t="str">
        <f t="shared" si="25"/>
        <v>Yes</v>
      </c>
    </row>
    <row r="834" spans="2:15" ht="15" customHeight="1" x14ac:dyDescent="0.4">
      <c r="B834" s="10">
        <v>830</v>
      </c>
      <c r="C834" s="34" t="s">
        <v>822</v>
      </c>
      <c r="D834" s="68" t="s">
        <v>1639</v>
      </c>
      <c r="E834" s="68">
        <v>136204</v>
      </c>
      <c r="F834" s="68" t="s">
        <v>2404</v>
      </c>
      <c r="G834" s="68" t="s">
        <v>675</v>
      </c>
      <c r="H834" s="79"/>
      <c r="I834" s="229">
        <v>13500</v>
      </c>
      <c r="J834" s="12" t="s">
        <v>53</v>
      </c>
      <c r="K834" s="97">
        <v>46253</v>
      </c>
      <c r="L834" s="95">
        <v>30</v>
      </c>
      <c r="M834" s="96">
        <v>46253</v>
      </c>
      <c r="N834" s="11">
        <f t="shared" si="24"/>
        <v>0</v>
      </c>
      <c r="O834" s="32" t="str">
        <f t="shared" si="25"/>
        <v>Yes</v>
      </c>
    </row>
    <row r="835" spans="2:15" ht="15" customHeight="1" x14ac:dyDescent="0.4">
      <c r="B835" s="10">
        <v>831</v>
      </c>
      <c r="C835" s="34" t="s">
        <v>822</v>
      </c>
      <c r="D835" s="68">
        <v>281</v>
      </c>
      <c r="E835" s="68">
        <v>134605</v>
      </c>
      <c r="F835" s="68" t="s">
        <v>2405</v>
      </c>
      <c r="G835" s="68" t="s">
        <v>2583</v>
      </c>
      <c r="H835" s="79"/>
      <c r="I835" s="229">
        <v>1583.3333333333333</v>
      </c>
      <c r="J835" s="12" t="s">
        <v>53</v>
      </c>
      <c r="K835" s="97">
        <v>46246</v>
      </c>
      <c r="L835" s="95">
        <v>30</v>
      </c>
      <c r="M835" s="96">
        <v>46258</v>
      </c>
      <c r="N835" s="11">
        <f t="shared" si="24"/>
        <v>12</v>
      </c>
      <c r="O835" s="32" t="str">
        <f t="shared" si="25"/>
        <v>Yes</v>
      </c>
    </row>
    <row r="836" spans="2:15" ht="15" customHeight="1" x14ac:dyDescent="0.4">
      <c r="B836" s="10">
        <v>832</v>
      </c>
      <c r="C836" s="34" t="s">
        <v>822</v>
      </c>
      <c r="D836" s="68" t="s">
        <v>963</v>
      </c>
      <c r="E836" s="68">
        <v>136428</v>
      </c>
      <c r="F836" s="68" t="s">
        <v>2406</v>
      </c>
      <c r="G836" s="68" t="s">
        <v>789</v>
      </c>
      <c r="H836" s="79"/>
      <c r="I836" s="229">
        <v>1567.2291666666667</v>
      </c>
      <c r="J836" s="12" t="s">
        <v>53</v>
      </c>
      <c r="K836" s="97">
        <v>46254</v>
      </c>
      <c r="L836" s="95">
        <v>30</v>
      </c>
      <c r="M836" s="96">
        <v>46256</v>
      </c>
      <c r="N836" s="11">
        <f t="shared" si="24"/>
        <v>2</v>
      </c>
      <c r="O836" s="32" t="str">
        <f t="shared" si="25"/>
        <v>Yes</v>
      </c>
    </row>
    <row r="837" spans="2:15" ht="15" customHeight="1" x14ac:dyDescent="0.4">
      <c r="B837" s="10">
        <v>833</v>
      </c>
      <c r="C837" s="34" t="s">
        <v>822</v>
      </c>
      <c r="D837" s="68" t="s">
        <v>1640</v>
      </c>
      <c r="E837" s="68">
        <v>136113</v>
      </c>
      <c r="F837" s="68" t="s">
        <v>2407</v>
      </c>
      <c r="G837" s="68" t="s">
        <v>612</v>
      </c>
      <c r="H837" s="79"/>
      <c r="I837" s="229">
        <v>-57.82</v>
      </c>
      <c r="J837" s="12" t="s">
        <v>53</v>
      </c>
      <c r="K837" s="97">
        <v>46241</v>
      </c>
      <c r="L837" s="95">
        <v>30</v>
      </c>
      <c r="M837" s="96">
        <v>46262</v>
      </c>
      <c r="N837" s="11">
        <f t="shared" ref="N837:N900" si="26">IF(OR(M837="", K837=""),"", M837- K837)</f>
        <v>21</v>
      </c>
      <c r="O837" s="32" t="str">
        <f t="shared" ref="O837:O876" si="27">IF(OR(M837="", K837="", L837=""), "", IF((M837 - K837) &gt; L837, "No", "Yes"))</f>
        <v>Yes</v>
      </c>
    </row>
    <row r="838" spans="2:15" ht="15" customHeight="1" x14ac:dyDescent="0.4">
      <c r="B838" s="10">
        <v>834</v>
      </c>
      <c r="C838" s="34" t="s">
        <v>822</v>
      </c>
      <c r="D838" s="68" t="s">
        <v>1641</v>
      </c>
      <c r="E838" s="68">
        <v>136118</v>
      </c>
      <c r="F838" s="68" t="s">
        <v>2408</v>
      </c>
      <c r="G838" s="68" t="s">
        <v>612</v>
      </c>
      <c r="H838" s="79"/>
      <c r="I838" s="229">
        <v>-160.01685000000001</v>
      </c>
      <c r="J838" s="12" t="s">
        <v>53</v>
      </c>
      <c r="K838" s="97">
        <v>46241</v>
      </c>
      <c r="L838" s="95">
        <v>30</v>
      </c>
      <c r="M838" s="96">
        <v>46262</v>
      </c>
      <c r="N838" s="11">
        <f t="shared" si="26"/>
        <v>21</v>
      </c>
      <c r="O838" s="32" t="str">
        <f t="shared" si="27"/>
        <v>Yes</v>
      </c>
    </row>
    <row r="839" spans="2:15" ht="15" customHeight="1" x14ac:dyDescent="0.4">
      <c r="B839" s="10">
        <v>835</v>
      </c>
      <c r="C839" s="34" t="s">
        <v>822</v>
      </c>
      <c r="D839" s="68" t="s">
        <v>1642</v>
      </c>
      <c r="E839" s="68">
        <v>136120</v>
      </c>
      <c r="F839" s="68" t="s">
        <v>2409</v>
      </c>
      <c r="G839" s="68" t="s">
        <v>612</v>
      </c>
      <c r="H839" s="79"/>
      <c r="I839" s="229">
        <v>-68.75</v>
      </c>
      <c r="J839" s="12" t="s">
        <v>53</v>
      </c>
      <c r="K839" s="97">
        <v>46241</v>
      </c>
      <c r="L839" s="95">
        <v>30</v>
      </c>
      <c r="M839" s="96">
        <v>46262</v>
      </c>
      <c r="N839" s="11">
        <f t="shared" si="26"/>
        <v>21</v>
      </c>
      <c r="O839" s="32" t="str">
        <f t="shared" si="27"/>
        <v>Yes</v>
      </c>
    </row>
    <row r="840" spans="2:15" ht="15" customHeight="1" x14ac:dyDescent="0.4">
      <c r="B840" s="10">
        <v>836</v>
      </c>
      <c r="C840" s="34" t="s">
        <v>822</v>
      </c>
      <c r="D840" s="68" t="s">
        <v>1643</v>
      </c>
      <c r="E840" s="68">
        <v>136099</v>
      </c>
      <c r="F840" s="68" t="s">
        <v>2410</v>
      </c>
      <c r="G840" s="68" t="s">
        <v>612</v>
      </c>
      <c r="H840" s="79"/>
      <c r="I840" s="229">
        <v>-239.85</v>
      </c>
      <c r="J840" s="12" t="s">
        <v>53</v>
      </c>
      <c r="K840" s="97">
        <v>46241</v>
      </c>
      <c r="L840" s="95">
        <v>30</v>
      </c>
      <c r="M840" s="96">
        <v>46262</v>
      </c>
      <c r="N840" s="11">
        <f t="shared" si="26"/>
        <v>21</v>
      </c>
      <c r="O840" s="32" t="str">
        <f t="shared" si="27"/>
        <v>Yes</v>
      </c>
    </row>
    <row r="841" spans="2:15" ht="15" customHeight="1" x14ac:dyDescent="0.4">
      <c r="B841" s="10">
        <v>837</v>
      </c>
      <c r="C841" s="34" t="s">
        <v>822</v>
      </c>
      <c r="D841" s="68" t="s">
        <v>1644</v>
      </c>
      <c r="E841" s="68">
        <v>136100</v>
      </c>
      <c r="F841" s="68" t="s">
        <v>2411</v>
      </c>
      <c r="G841" s="68" t="s">
        <v>612</v>
      </c>
      <c r="H841" s="79"/>
      <c r="I841" s="229">
        <v>-58.424999999999997</v>
      </c>
      <c r="J841" s="12" t="s">
        <v>53</v>
      </c>
      <c r="K841" s="97">
        <v>46241</v>
      </c>
      <c r="L841" s="95">
        <v>30</v>
      </c>
      <c r="M841" s="96">
        <v>46262</v>
      </c>
      <c r="N841" s="11">
        <f t="shared" si="26"/>
        <v>21</v>
      </c>
      <c r="O841" s="32" t="str">
        <f t="shared" si="27"/>
        <v>Yes</v>
      </c>
    </row>
    <row r="842" spans="2:15" ht="15" customHeight="1" x14ac:dyDescent="0.4">
      <c r="B842" s="10">
        <v>838</v>
      </c>
      <c r="C842" s="34" t="s">
        <v>822</v>
      </c>
      <c r="D842" s="68" t="s">
        <v>1645</v>
      </c>
      <c r="E842" s="68">
        <v>136103</v>
      </c>
      <c r="F842" s="68" t="s">
        <v>2412</v>
      </c>
      <c r="G842" s="68" t="s">
        <v>612</v>
      </c>
      <c r="H842" s="79"/>
      <c r="I842" s="229">
        <v>-352.08</v>
      </c>
      <c r="J842" s="12" t="s">
        <v>53</v>
      </c>
      <c r="K842" s="97">
        <v>46241</v>
      </c>
      <c r="L842" s="95">
        <v>30</v>
      </c>
      <c r="M842" s="96">
        <v>46262</v>
      </c>
      <c r="N842" s="11">
        <f t="shared" si="26"/>
        <v>21</v>
      </c>
      <c r="O842" s="32" t="str">
        <f t="shared" si="27"/>
        <v>Yes</v>
      </c>
    </row>
    <row r="843" spans="2:15" ht="15" customHeight="1" x14ac:dyDescent="0.4">
      <c r="B843" s="10">
        <v>839</v>
      </c>
      <c r="C843" s="34" t="s">
        <v>822</v>
      </c>
      <c r="D843" s="68" t="s">
        <v>1646</v>
      </c>
      <c r="E843" s="68">
        <v>136099</v>
      </c>
      <c r="F843" s="68" t="s">
        <v>2413</v>
      </c>
      <c r="G843" s="68" t="s">
        <v>612</v>
      </c>
      <c r="H843" s="79"/>
      <c r="I843" s="229">
        <v>-255.22499999999999</v>
      </c>
      <c r="J843" s="12" t="s">
        <v>53</v>
      </c>
      <c r="K843" s="97">
        <v>46241</v>
      </c>
      <c r="L843" s="95">
        <v>30</v>
      </c>
      <c r="M843" s="96">
        <v>46262</v>
      </c>
      <c r="N843" s="11">
        <f t="shared" si="26"/>
        <v>21</v>
      </c>
      <c r="O843" s="32" t="str">
        <f t="shared" si="27"/>
        <v>Yes</v>
      </c>
    </row>
    <row r="844" spans="2:15" ht="15" customHeight="1" x14ac:dyDescent="0.4">
      <c r="B844" s="10">
        <v>840</v>
      </c>
      <c r="C844" s="34" t="s">
        <v>822</v>
      </c>
      <c r="D844" s="68" t="s">
        <v>1647</v>
      </c>
      <c r="E844" s="68">
        <v>136097</v>
      </c>
      <c r="F844" s="68" t="s">
        <v>2414</v>
      </c>
      <c r="G844" s="68" t="s">
        <v>612</v>
      </c>
      <c r="H844" s="79"/>
      <c r="I844" s="229">
        <v>-535.22395833333337</v>
      </c>
      <c r="J844" s="12" t="s">
        <v>53</v>
      </c>
      <c r="K844" s="97">
        <v>46241</v>
      </c>
      <c r="L844" s="95">
        <v>30</v>
      </c>
      <c r="M844" s="96">
        <v>46262</v>
      </c>
      <c r="N844" s="11">
        <f t="shared" si="26"/>
        <v>21</v>
      </c>
      <c r="O844" s="32" t="str">
        <f t="shared" si="27"/>
        <v>Yes</v>
      </c>
    </row>
    <row r="845" spans="2:15" ht="15" customHeight="1" x14ac:dyDescent="0.4">
      <c r="B845" s="10">
        <v>841</v>
      </c>
      <c r="C845" s="34" t="s">
        <v>822</v>
      </c>
      <c r="D845" s="68" t="s">
        <v>1648</v>
      </c>
      <c r="E845" s="68">
        <v>136097</v>
      </c>
      <c r="F845" s="68" t="s">
        <v>2415</v>
      </c>
      <c r="G845" s="68" t="s">
        <v>612</v>
      </c>
      <c r="H845" s="79"/>
      <c r="I845" s="229">
        <v>-64.260416666666671</v>
      </c>
      <c r="J845" s="12" t="s">
        <v>53</v>
      </c>
      <c r="K845" s="97">
        <v>46241</v>
      </c>
      <c r="L845" s="95">
        <v>30</v>
      </c>
      <c r="M845" s="96">
        <v>46262</v>
      </c>
      <c r="N845" s="11">
        <f t="shared" si="26"/>
        <v>21</v>
      </c>
      <c r="O845" s="32" t="str">
        <f t="shared" si="27"/>
        <v>Yes</v>
      </c>
    </row>
    <row r="846" spans="2:15" ht="15" customHeight="1" x14ac:dyDescent="0.4">
      <c r="B846" s="10">
        <v>842</v>
      </c>
      <c r="C846" s="34" t="s">
        <v>822</v>
      </c>
      <c r="D846" s="68" t="s">
        <v>1649</v>
      </c>
      <c r="E846" s="68">
        <v>136106</v>
      </c>
      <c r="F846" s="68" t="s">
        <v>2416</v>
      </c>
      <c r="G846" s="68" t="s">
        <v>612</v>
      </c>
      <c r="H846" s="79"/>
      <c r="I846" s="229">
        <v>1508.809</v>
      </c>
      <c r="J846" s="12" t="s">
        <v>53</v>
      </c>
      <c r="K846" s="97">
        <v>46241</v>
      </c>
      <c r="L846" s="95">
        <v>30</v>
      </c>
      <c r="M846" s="96">
        <v>46262</v>
      </c>
      <c r="N846" s="11">
        <f t="shared" si="26"/>
        <v>21</v>
      </c>
      <c r="O846" s="32" t="str">
        <f t="shared" si="27"/>
        <v>Yes</v>
      </c>
    </row>
    <row r="847" spans="2:15" ht="15" customHeight="1" x14ac:dyDescent="0.4">
      <c r="B847" s="10">
        <v>843</v>
      </c>
      <c r="C847" s="34" t="s">
        <v>822</v>
      </c>
      <c r="D847" s="68" t="s">
        <v>1650</v>
      </c>
      <c r="E847" s="68">
        <v>136105</v>
      </c>
      <c r="F847" s="68" t="s">
        <v>2417</v>
      </c>
      <c r="G847" s="68" t="s">
        <v>612</v>
      </c>
      <c r="H847" s="79"/>
      <c r="I847" s="229">
        <v>3494.0837499999998</v>
      </c>
      <c r="J847" s="12" t="s">
        <v>53</v>
      </c>
      <c r="K847" s="97">
        <v>46241</v>
      </c>
      <c r="L847" s="95">
        <v>30</v>
      </c>
      <c r="M847" s="96">
        <v>46262</v>
      </c>
      <c r="N847" s="11">
        <f t="shared" si="26"/>
        <v>21</v>
      </c>
      <c r="O847" s="32" t="str">
        <f t="shared" si="27"/>
        <v>Yes</v>
      </c>
    </row>
    <row r="848" spans="2:15" ht="15" customHeight="1" x14ac:dyDescent="0.4">
      <c r="B848" s="10">
        <v>844</v>
      </c>
      <c r="C848" s="34" t="s">
        <v>822</v>
      </c>
      <c r="D848" s="68" t="s">
        <v>1651</v>
      </c>
      <c r="E848" s="68">
        <v>136103</v>
      </c>
      <c r="F848" s="68" t="s">
        <v>2418</v>
      </c>
      <c r="G848" s="68" t="s">
        <v>612</v>
      </c>
      <c r="H848" s="79"/>
      <c r="I848" s="229">
        <v>1588.22</v>
      </c>
      <c r="J848" s="12" t="s">
        <v>53</v>
      </c>
      <c r="K848" s="97">
        <v>46241</v>
      </c>
      <c r="L848" s="95">
        <v>30</v>
      </c>
      <c r="M848" s="96">
        <v>46262</v>
      </c>
      <c r="N848" s="11">
        <f t="shared" si="26"/>
        <v>21</v>
      </c>
      <c r="O848" s="32" t="str">
        <f t="shared" si="27"/>
        <v>Yes</v>
      </c>
    </row>
    <row r="849" spans="2:15" ht="15" customHeight="1" x14ac:dyDescent="0.4">
      <c r="B849" s="10">
        <v>845</v>
      </c>
      <c r="C849" s="34" t="s">
        <v>822</v>
      </c>
      <c r="D849" s="68" t="s">
        <v>1652</v>
      </c>
      <c r="E849" s="68">
        <v>136100</v>
      </c>
      <c r="F849" s="68" t="s">
        <v>2419</v>
      </c>
      <c r="G849" s="68" t="s">
        <v>612</v>
      </c>
      <c r="H849" s="79"/>
      <c r="I849" s="229">
        <v>1214.5250000000001</v>
      </c>
      <c r="J849" s="12" t="s">
        <v>53</v>
      </c>
      <c r="K849" s="97">
        <v>46241</v>
      </c>
      <c r="L849" s="95">
        <v>30</v>
      </c>
      <c r="M849" s="96">
        <v>46262</v>
      </c>
      <c r="N849" s="11">
        <f t="shared" si="26"/>
        <v>21</v>
      </c>
      <c r="O849" s="32" t="str">
        <f t="shared" si="27"/>
        <v>Yes</v>
      </c>
    </row>
    <row r="850" spans="2:15" ht="15" customHeight="1" x14ac:dyDescent="0.4">
      <c r="B850" s="10">
        <v>846</v>
      </c>
      <c r="C850" s="34" t="s">
        <v>822</v>
      </c>
      <c r="D850" s="68" t="s">
        <v>1653</v>
      </c>
      <c r="E850" s="68">
        <v>136099</v>
      </c>
      <c r="F850" s="68" t="s">
        <v>2420</v>
      </c>
      <c r="G850" s="68" t="s">
        <v>612</v>
      </c>
      <c r="H850" s="79"/>
      <c r="I850" s="229">
        <v>2802.75</v>
      </c>
      <c r="J850" s="12" t="s">
        <v>53</v>
      </c>
      <c r="K850" s="97">
        <v>46241</v>
      </c>
      <c r="L850" s="95">
        <v>30</v>
      </c>
      <c r="M850" s="96">
        <v>46262</v>
      </c>
      <c r="N850" s="11">
        <f t="shared" si="26"/>
        <v>21</v>
      </c>
      <c r="O850" s="32" t="str">
        <f t="shared" si="27"/>
        <v>Yes</v>
      </c>
    </row>
    <row r="851" spans="2:15" ht="15" customHeight="1" x14ac:dyDescent="0.4">
      <c r="B851" s="10">
        <v>847</v>
      </c>
      <c r="C851" s="34" t="s">
        <v>822</v>
      </c>
      <c r="D851" s="68" t="s">
        <v>1654</v>
      </c>
      <c r="E851" s="68">
        <v>136092</v>
      </c>
      <c r="F851" s="68" t="s">
        <v>2421</v>
      </c>
      <c r="G851" s="68" t="s">
        <v>612</v>
      </c>
      <c r="H851" s="79"/>
      <c r="I851" s="229">
        <v>186.85</v>
      </c>
      <c r="J851" s="12" t="s">
        <v>53</v>
      </c>
      <c r="K851" s="97">
        <v>46241</v>
      </c>
      <c r="L851" s="95">
        <v>30</v>
      </c>
      <c r="M851" s="96">
        <v>46262</v>
      </c>
      <c r="N851" s="11">
        <f t="shared" si="26"/>
        <v>21</v>
      </c>
      <c r="O851" s="32" t="str">
        <f t="shared" si="27"/>
        <v>Yes</v>
      </c>
    </row>
    <row r="852" spans="2:15" ht="15" customHeight="1" x14ac:dyDescent="0.4">
      <c r="B852" s="10">
        <v>848</v>
      </c>
      <c r="C852" s="34" t="s">
        <v>822</v>
      </c>
      <c r="D852" s="68" t="s">
        <v>1655</v>
      </c>
      <c r="E852" s="68">
        <v>136097</v>
      </c>
      <c r="F852" s="68" t="s">
        <v>2422</v>
      </c>
      <c r="G852" s="68" t="s">
        <v>612</v>
      </c>
      <c r="H852" s="79"/>
      <c r="I852" s="229">
        <v>2278.125</v>
      </c>
      <c r="J852" s="12" t="s">
        <v>53</v>
      </c>
      <c r="K852" s="97">
        <v>46241</v>
      </c>
      <c r="L852" s="95">
        <v>30</v>
      </c>
      <c r="M852" s="96">
        <v>46262</v>
      </c>
      <c r="N852" s="11">
        <f t="shared" si="26"/>
        <v>21</v>
      </c>
      <c r="O852" s="32" t="str">
        <f t="shared" si="27"/>
        <v>Yes</v>
      </c>
    </row>
    <row r="853" spans="2:15" ht="15" customHeight="1" x14ac:dyDescent="0.4">
      <c r="B853" s="10">
        <v>849</v>
      </c>
      <c r="C853" s="34" t="s">
        <v>822</v>
      </c>
      <c r="D853" s="68" t="s">
        <v>1656</v>
      </c>
      <c r="E853" s="68">
        <v>136093</v>
      </c>
      <c r="F853" s="68" t="s">
        <v>2423</v>
      </c>
      <c r="G853" s="68" t="s">
        <v>612</v>
      </c>
      <c r="H853" s="79"/>
      <c r="I853" s="229">
        <v>151.875</v>
      </c>
      <c r="J853" s="12" t="s">
        <v>53</v>
      </c>
      <c r="K853" s="97">
        <v>46241</v>
      </c>
      <c r="L853" s="95">
        <v>30</v>
      </c>
      <c r="M853" s="96">
        <v>46262</v>
      </c>
      <c r="N853" s="11">
        <f t="shared" si="26"/>
        <v>21</v>
      </c>
      <c r="O853" s="32" t="str">
        <f t="shared" si="27"/>
        <v>Yes</v>
      </c>
    </row>
    <row r="854" spans="2:15" ht="15" customHeight="1" x14ac:dyDescent="0.4">
      <c r="B854" s="10">
        <v>850</v>
      </c>
      <c r="C854" s="34" t="s">
        <v>822</v>
      </c>
      <c r="D854" s="68" t="s">
        <v>1657</v>
      </c>
      <c r="E854" s="68">
        <v>136123</v>
      </c>
      <c r="F854" s="68" t="s">
        <v>2424</v>
      </c>
      <c r="G854" s="68" t="s">
        <v>612</v>
      </c>
      <c r="H854" s="79"/>
      <c r="I854" s="229">
        <v>15.300014583333335</v>
      </c>
      <c r="J854" s="12" t="s">
        <v>53</v>
      </c>
      <c r="K854" s="97">
        <v>46241</v>
      </c>
      <c r="L854" s="95">
        <v>30</v>
      </c>
      <c r="M854" s="96">
        <v>46262</v>
      </c>
      <c r="N854" s="11">
        <f t="shared" si="26"/>
        <v>21</v>
      </c>
      <c r="O854" s="32" t="str">
        <f t="shared" si="27"/>
        <v>Yes</v>
      </c>
    </row>
    <row r="855" spans="2:15" ht="15" customHeight="1" x14ac:dyDescent="0.4">
      <c r="B855" s="10">
        <v>851</v>
      </c>
      <c r="C855" s="34" t="s">
        <v>822</v>
      </c>
      <c r="D855" s="68" t="s">
        <v>1658</v>
      </c>
      <c r="E855" s="68">
        <v>136124</v>
      </c>
      <c r="F855" s="68" t="s">
        <v>2425</v>
      </c>
      <c r="G855" s="68" t="s">
        <v>612</v>
      </c>
      <c r="H855" s="79"/>
      <c r="I855" s="229">
        <v>1052.71875</v>
      </c>
      <c r="J855" s="12" t="s">
        <v>53</v>
      </c>
      <c r="K855" s="97">
        <v>46241</v>
      </c>
      <c r="L855" s="95">
        <v>30</v>
      </c>
      <c r="M855" s="96">
        <v>46262</v>
      </c>
      <c r="N855" s="11">
        <f t="shared" si="26"/>
        <v>21</v>
      </c>
      <c r="O855" s="32" t="str">
        <f t="shared" si="27"/>
        <v>Yes</v>
      </c>
    </row>
    <row r="856" spans="2:15" ht="15" customHeight="1" x14ac:dyDescent="0.4">
      <c r="B856" s="10">
        <v>852</v>
      </c>
      <c r="C856" s="34" t="s">
        <v>822</v>
      </c>
      <c r="D856" s="68" t="s">
        <v>1659</v>
      </c>
      <c r="E856" s="68">
        <v>136116</v>
      </c>
      <c r="F856" s="68" t="s">
        <v>2426</v>
      </c>
      <c r="G856" s="68" t="s">
        <v>612</v>
      </c>
      <c r="H856" s="79"/>
      <c r="I856" s="229">
        <v>1322.15</v>
      </c>
      <c r="J856" s="12" t="s">
        <v>53</v>
      </c>
      <c r="K856" s="97">
        <v>46241</v>
      </c>
      <c r="L856" s="95">
        <v>30</v>
      </c>
      <c r="M856" s="96">
        <v>46262</v>
      </c>
      <c r="N856" s="11">
        <f t="shared" si="26"/>
        <v>21</v>
      </c>
      <c r="O856" s="32" t="str">
        <f t="shared" si="27"/>
        <v>Yes</v>
      </c>
    </row>
    <row r="857" spans="2:15" ht="15" customHeight="1" x14ac:dyDescent="0.4">
      <c r="B857" s="10">
        <v>853</v>
      </c>
      <c r="C857" s="34" t="s">
        <v>822</v>
      </c>
      <c r="D857" s="68" t="s">
        <v>1660</v>
      </c>
      <c r="E857" s="68">
        <v>136120</v>
      </c>
      <c r="F857" s="68" t="s">
        <v>2427</v>
      </c>
      <c r="G857" s="68" t="s">
        <v>612</v>
      </c>
      <c r="H857" s="79"/>
      <c r="I857" s="229">
        <v>203.53749999999999</v>
      </c>
      <c r="J857" s="12" t="s">
        <v>53</v>
      </c>
      <c r="K857" s="97">
        <v>46241</v>
      </c>
      <c r="L857" s="95">
        <v>30</v>
      </c>
      <c r="M857" s="96">
        <v>46262</v>
      </c>
      <c r="N857" s="11">
        <f t="shared" si="26"/>
        <v>21</v>
      </c>
      <c r="O857" s="32" t="str">
        <f t="shared" si="27"/>
        <v>Yes</v>
      </c>
    </row>
    <row r="858" spans="2:15" ht="15" customHeight="1" x14ac:dyDescent="0.4">
      <c r="B858" s="10">
        <v>854</v>
      </c>
      <c r="C858" s="34" t="s">
        <v>822</v>
      </c>
      <c r="D858" s="68" t="s">
        <v>1661</v>
      </c>
      <c r="E858" s="68">
        <v>136115</v>
      </c>
      <c r="F858" s="68" t="s">
        <v>2428</v>
      </c>
      <c r="G858" s="68" t="s">
        <v>612</v>
      </c>
      <c r="H858" s="79"/>
      <c r="I858" s="229">
        <v>203.53749999999999</v>
      </c>
      <c r="J858" s="12" t="s">
        <v>53</v>
      </c>
      <c r="K858" s="97">
        <v>46241</v>
      </c>
      <c r="L858" s="95">
        <v>30</v>
      </c>
      <c r="M858" s="96">
        <v>46262</v>
      </c>
      <c r="N858" s="11">
        <f t="shared" si="26"/>
        <v>21</v>
      </c>
      <c r="O858" s="32" t="str">
        <f t="shared" si="27"/>
        <v>Yes</v>
      </c>
    </row>
    <row r="859" spans="2:15" ht="15" customHeight="1" x14ac:dyDescent="0.4">
      <c r="B859" s="10">
        <v>855</v>
      </c>
      <c r="C859" s="34" t="s">
        <v>822</v>
      </c>
      <c r="D859" s="68" t="s">
        <v>1662</v>
      </c>
      <c r="E859" s="68">
        <v>136111</v>
      </c>
      <c r="F859" s="68" t="s">
        <v>2429</v>
      </c>
      <c r="G859" s="68" t="s">
        <v>612</v>
      </c>
      <c r="H859" s="79"/>
      <c r="I859" s="229">
        <v>203.53749999999999</v>
      </c>
      <c r="J859" s="12" t="s">
        <v>53</v>
      </c>
      <c r="K859" s="97">
        <v>46241</v>
      </c>
      <c r="L859" s="95">
        <v>30</v>
      </c>
      <c r="M859" s="96">
        <v>46262</v>
      </c>
      <c r="N859" s="11">
        <f t="shared" si="26"/>
        <v>21</v>
      </c>
      <c r="O859" s="32" t="str">
        <f t="shared" si="27"/>
        <v>Yes</v>
      </c>
    </row>
    <row r="860" spans="2:15" ht="15" customHeight="1" x14ac:dyDescent="0.4">
      <c r="B860" s="10">
        <v>856</v>
      </c>
      <c r="C860" s="34" t="s">
        <v>822</v>
      </c>
      <c r="D860" s="68" t="s">
        <v>1663</v>
      </c>
      <c r="E860" s="68">
        <v>136119</v>
      </c>
      <c r="F860" s="68" t="s">
        <v>2430</v>
      </c>
      <c r="G860" s="68" t="s">
        <v>612</v>
      </c>
      <c r="H860" s="79"/>
      <c r="I860" s="229">
        <v>186.07304999999999</v>
      </c>
      <c r="J860" s="12" t="s">
        <v>53</v>
      </c>
      <c r="K860" s="97">
        <v>46241</v>
      </c>
      <c r="L860" s="95">
        <v>30</v>
      </c>
      <c r="M860" s="96">
        <v>46262</v>
      </c>
      <c r="N860" s="11">
        <f t="shared" si="26"/>
        <v>21</v>
      </c>
      <c r="O860" s="32" t="str">
        <f t="shared" si="27"/>
        <v>Yes</v>
      </c>
    </row>
    <row r="861" spans="2:15" ht="15" customHeight="1" x14ac:dyDescent="0.4">
      <c r="B861" s="10">
        <v>857</v>
      </c>
      <c r="C861" s="34" t="s">
        <v>822</v>
      </c>
      <c r="D861" s="68" t="s">
        <v>1664</v>
      </c>
      <c r="E861" s="68">
        <v>136110</v>
      </c>
      <c r="F861" s="68" t="s">
        <v>2431</v>
      </c>
      <c r="G861" s="68" t="s">
        <v>612</v>
      </c>
      <c r="H861" s="79"/>
      <c r="I861" s="229">
        <v>195.79374999999999</v>
      </c>
      <c r="J861" s="12" t="s">
        <v>53</v>
      </c>
      <c r="K861" s="97">
        <v>46241</v>
      </c>
      <c r="L861" s="95">
        <v>30</v>
      </c>
      <c r="M861" s="96">
        <v>46262</v>
      </c>
      <c r="N861" s="11">
        <f t="shared" si="26"/>
        <v>21</v>
      </c>
      <c r="O861" s="32" t="str">
        <f t="shared" si="27"/>
        <v>Yes</v>
      </c>
    </row>
    <row r="862" spans="2:15" ht="15" customHeight="1" x14ac:dyDescent="0.4">
      <c r="B862" s="10">
        <v>858</v>
      </c>
      <c r="C862" s="34" t="s">
        <v>822</v>
      </c>
      <c r="D862" s="68" t="s">
        <v>1665</v>
      </c>
      <c r="E862" s="68">
        <v>136118</v>
      </c>
      <c r="F862" s="68" t="s">
        <v>2432</v>
      </c>
      <c r="G862" s="68" t="s">
        <v>612</v>
      </c>
      <c r="H862" s="79"/>
      <c r="I862" s="229">
        <v>198.25115</v>
      </c>
      <c r="J862" s="12" t="s">
        <v>53</v>
      </c>
      <c r="K862" s="97">
        <v>46241</v>
      </c>
      <c r="L862" s="95">
        <v>30</v>
      </c>
      <c r="M862" s="96">
        <v>46262</v>
      </c>
      <c r="N862" s="11">
        <f t="shared" si="26"/>
        <v>21</v>
      </c>
      <c r="O862" s="32" t="str">
        <f t="shared" si="27"/>
        <v>Yes</v>
      </c>
    </row>
    <row r="863" spans="2:15" ht="15" customHeight="1" x14ac:dyDescent="0.4">
      <c r="B863" s="10">
        <v>859</v>
      </c>
      <c r="C863" s="34" t="s">
        <v>822</v>
      </c>
      <c r="D863" s="68" t="s">
        <v>1666</v>
      </c>
      <c r="E863" s="68">
        <v>136117</v>
      </c>
      <c r="F863" s="68" t="s">
        <v>2433</v>
      </c>
      <c r="G863" s="68" t="s">
        <v>612</v>
      </c>
      <c r="H863" s="79"/>
      <c r="I863" s="229">
        <v>179.9965</v>
      </c>
      <c r="J863" s="12" t="s">
        <v>53</v>
      </c>
      <c r="K863" s="97">
        <v>46241</v>
      </c>
      <c r="L863" s="95">
        <v>30</v>
      </c>
      <c r="M863" s="96">
        <v>46262</v>
      </c>
      <c r="N863" s="11">
        <f t="shared" si="26"/>
        <v>21</v>
      </c>
      <c r="O863" s="32" t="str">
        <f t="shared" si="27"/>
        <v>Yes</v>
      </c>
    </row>
    <row r="864" spans="2:15" ht="15" customHeight="1" x14ac:dyDescent="0.4">
      <c r="B864" s="10">
        <v>860</v>
      </c>
      <c r="C864" s="34" t="s">
        <v>822</v>
      </c>
      <c r="D864" s="68" t="s">
        <v>1667</v>
      </c>
      <c r="E864" s="68">
        <v>136117</v>
      </c>
      <c r="F864" s="68" t="s">
        <v>2434</v>
      </c>
      <c r="G864" s="68" t="s">
        <v>612</v>
      </c>
      <c r="H864" s="79"/>
      <c r="I864" s="229">
        <v>188.05</v>
      </c>
      <c r="J864" s="12" t="s">
        <v>53</v>
      </c>
      <c r="K864" s="97">
        <v>46241</v>
      </c>
      <c r="L864" s="95">
        <v>30</v>
      </c>
      <c r="M864" s="96">
        <v>46262</v>
      </c>
      <c r="N864" s="11">
        <f t="shared" si="26"/>
        <v>21</v>
      </c>
      <c r="O864" s="32" t="str">
        <f t="shared" si="27"/>
        <v>Yes</v>
      </c>
    </row>
    <row r="865" spans="2:15" ht="15" customHeight="1" x14ac:dyDescent="0.4">
      <c r="B865" s="10">
        <v>861</v>
      </c>
      <c r="C865" s="34" t="s">
        <v>822</v>
      </c>
      <c r="D865" s="68" t="s">
        <v>1668</v>
      </c>
      <c r="E865" s="68">
        <v>136112</v>
      </c>
      <c r="F865" s="68" t="s">
        <v>2435</v>
      </c>
      <c r="G865" s="68" t="s">
        <v>612</v>
      </c>
      <c r="H865" s="79"/>
      <c r="I865" s="229">
        <v>188.05</v>
      </c>
      <c r="J865" s="12" t="s">
        <v>53</v>
      </c>
      <c r="K865" s="97">
        <v>46241</v>
      </c>
      <c r="L865" s="95">
        <v>30</v>
      </c>
      <c r="M865" s="96">
        <v>46262</v>
      </c>
      <c r="N865" s="11">
        <f t="shared" si="26"/>
        <v>21</v>
      </c>
      <c r="O865" s="32" t="str">
        <f t="shared" si="27"/>
        <v>Yes</v>
      </c>
    </row>
    <row r="866" spans="2:15" ht="15" customHeight="1" x14ac:dyDescent="0.4">
      <c r="B866" s="10">
        <v>862</v>
      </c>
      <c r="C866" s="34" t="s">
        <v>822</v>
      </c>
      <c r="D866" s="68" t="s">
        <v>1669</v>
      </c>
      <c r="E866" s="68">
        <v>136109</v>
      </c>
      <c r="F866" s="68" t="s">
        <v>2436</v>
      </c>
      <c r="G866" s="68" t="s">
        <v>612</v>
      </c>
      <c r="H866" s="79"/>
      <c r="I866" s="229">
        <v>188.05</v>
      </c>
      <c r="J866" s="12" t="s">
        <v>53</v>
      </c>
      <c r="K866" s="97">
        <v>46241</v>
      </c>
      <c r="L866" s="95">
        <v>30</v>
      </c>
      <c r="M866" s="96">
        <v>46262</v>
      </c>
      <c r="N866" s="11">
        <f t="shared" si="26"/>
        <v>21</v>
      </c>
      <c r="O866" s="32" t="str">
        <f t="shared" si="27"/>
        <v>Yes</v>
      </c>
    </row>
    <row r="867" spans="2:15" ht="15" customHeight="1" x14ac:dyDescent="0.4">
      <c r="B867" s="10">
        <v>863</v>
      </c>
      <c r="C867" s="34" t="s">
        <v>822</v>
      </c>
      <c r="D867" s="68" t="s">
        <v>1670</v>
      </c>
      <c r="E867" s="68">
        <v>136113</v>
      </c>
      <c r="F867" s="68" t="s">
        <v>2437</v>
      </c>
      <c r="G867" s="68" t="s">
        <v>612</v>
      </c>
      <c r="H867" s="79"/>
      <c r="I867" s="229">
        <v>500</v>
      </c>
      <c r="J867" s="12" t="s">
        <v>53</v>
      </c>
      <c r="K867" s="97">
        <v>46241</v>
      </c>
      <c r="L867" s="95">
        <v>30</v>
      </c>
      <c r="M867" s="96">
        <v>46262</v>
      </c>
      <c r="N867" s="11">
        <f t="shared" si="26"/>
        <v>21</v>
      </c>
      <c r="O867" s="32" t="str">
        <f t="shared" si="27"/>
        <v>Yes</v>
      </c>
    </row>
    <row r="868" spans="2:15" ht="15" customHeight="1" x14ac:dyDescent="0.4">
      <c r="B868" s="10">
        <v>864</v>
      </c>
      <c r="C868" s="34" t="s">
        <v>822</v>
      </c>
      <c r="D868" s="68" t="s">
        <v>1671</v>
      </c>
      <c r="E868" s="68">
        <v>136104</v>
      </c>
      <c r="F868" s="68" t="s">
        <v>2438</v>
      </c>
      <c r="G868" s="68" t="s">
        <v>612</v>
      </c>
      <c r="H868" s="79"/>
      <c r="I868" s="229">
        <v>156.05000000000001</v>
      </c>
      <c r="J868" s="12" t="s">
        <v>53</v>
      </c>
      <c r="K868" s="97">
        <v>46241</v>
      </c>
      <c r="L868" s="95">
        <v>30</v>
      </c>
      <c r="M868" s="96">
        <v>46262</v>
      </c>
      <c r="N868" s="11">
        <f t="shared" si="26"/>
        <v>21</v>
      </c>
      <c r="O868" s="32" t="str">
        <f t="shared" si="27"/>
        <v>Yes</v>
      </c>
    </row>
    <row r="869" spans="2:15" ht="15" customHeight="1" x14ac:dyDescent="0.4">
      <c r="B869" s="10">
        <v>865</v>
      </c>
      <c r="C869" s="34" t="s">
        <v>822</v>
      </c>
      <c r="D869" s="68" t="s">
        <v>1672</v>
      </c>
      <c r="E869" s="68">
        <v>136080</v>
      </c>
      <c r="F869" s="68" t="s">
        <v>2439</v>
      </c>
      <c r="G869" s="68" t="s">
        <v>612</v>
      </c>
      <c r="H869" s="79"/>
      <c r="I869" s="229">
        <v>188.05</v>
      </c>
      <c r="J869" s="12" t="s">
        <v>53</v>
      </c>
      <c r="K869" s="97">
        <v>46241</v>
      </c>
      <c r="L869" s="95">
        <v>30</v>
      </c>
      <c r="M869" s="96">
        <v>46262</v>
      </c>
      <c r="N869" s="11">
        <f t="shared" si="26"/>
        <v>21</v>
      </c>
      <c r="O869" s="32" t="str">
        <f t="shared" si="27"/>
        <v>Yes</v>
      </c>
    </row>
    <row r="870" spans="2:15" ht="15" customHeight="1" x14ac:dyDescent="0.4">
      <c r="B870" s="10">
        <v>866</v>
      </c>
      <c r="C870" s="34" t="s">
        <v>822</v>
      </c>
      <c r="D870" s="68" t="s">
        <v>1673</v>
      </c>
      <c r="E870" s="68">
        <v>135219</v>
      </c>
      <c r="F870" s="68" t="s">
        <v>2440</v>
      </c>
      <c r="G870" s="68" t="s">
        <v>612</v>
      </c>
      <c r="H870" s="79"/>
      <c r="I870" s="229">
        <v>280.97500000000002</v>
      </c>
      <c r="J870" s="12" t="s">
        <v>53</v>
      </c>
      <c r="K870" s="97">
        <v>46209</v>
      </c>
      <c r="L870" s="95">
        <v>30</v>
      </c>
      <c r="M870" s="96">
        <v>46245</v>
      </c>
      <c r="N870" s="11">
        <f t="shared" si="26"/>
        <v>36</v>
      </c>
      <c r="O870" s="32" t="str">
        <f t="shared" si="27"/>
        <v>No</v>
      </c>
    </row>
    <row r="871" spans="2:15" ht="15" customHeight="1" x14ac:dyDescent="0.4">
      <c r="B871" s="10">
        <v>867</v>
      </c>
      <c r="C871" s="34" t="s">
        <v>822</v>
      </c>
      <c r="D871" s="68" t="s">
        <v>1674</v>
      </c>
      <c r="E871" s="68">
        <v>136153</v>
      </c>
      <c r="F871" s="68" t="s">
        <v>2441</v>
      </c>
      <c r="G871" s="68" t="s">
        <v>612</v>
      </c>
      <c r="H871" s="79"/>
      <c r="I871" s="229">
        <v>241.5575</v>
      </c>
      <c r="J871" s="12" t="s">
        <v>53</v>
      </c>
      <c r="K871" s="97">
        <v>46241</v>
      </c>
      <c r="L871" s="95">
        <v>30</v>
      </c>
      <c r="M871" s="96">
        <v>46262</v>
      </c>
      <c r="N871" s="11">
        <f t="shared" si="26"/>
        <v>21</v>
      </c>
      <c r="O871" s="32" t="str">
        <f t="shared" si="27"/>
        <v>Yes</v>
      </c>
    </row>
    <row r="872" spans="2:15" ht="15" customHeight="1" x14ac:dyDescent="0.4">
      <c r="B872" s="10">
        <v>868</v>
      </c>
      <c r="C872" s="34" t="s">
        <v>822</v>
      </c>
      <c r="D872" s="68" t="s">
        <v>1675</v>
      </c>
      <c r="E872" s="68">
        <v>132758</v>
      </c>
      <c r="F872" s="68" t="s">
        <v>2442</v>
      </c>
      <c r="G872" s="68" t="s">
        <v>2548</v>
      </c>
      <c r="H872" s="79"/>
      <c r="I872" s="229">
        <v>6004.166666666667</v>
      </c>
      <c r="J872" s="12" t="s">
        <v>53</v>
      </c>
      <c r="K872" s="97">
        <v>46233</v>
      </c>
      <c r="L872" s="95">
        <v>30</v>
      </c>
      <c r="M872" s="96">
        <v>46258</v>
      </c>
      <c r="N872" s="11">
        <f t="shared" si="26"/>
        <v>25</v>
      </c>
      <c r="O872" s="32" t="str">
        <f t="shared" si="27"/>
        <v>Yes</v>
      </c>
    </row>
    <row r="873" spans="2:15" ht="15" customHeight="1" x14ac:dyDescent="0.4">
      <c r="B873" s="10">
        <v>869</v>
      </c>
      <c r="C873" s="34" t="s">
        <v>822</v>
      </c>
      <c r="D873" s="68" t="s">
        <v>1676</v>
      </c>
      <c r="E873" s="68">
        <v>136153</v>
      </c>
      <c r="F873" s="68" t="s">
        <v>2443</v>
      </c>
      <c r="G873" s="68" t="s">
        <v>612</v>
      </c>
      <c r="H873" s="79"/>
      <c r="I873" s="229">
        <v>164.81874999999999</v>
      </c>
      <c r="J873" s="12" t="s">
        <v>53</v>
      </c>
      <c r="K873" s="97">
        <v>46241</v>
      </c>
      <c r="L873" s="95">
        <v>30</v>
      </c>
      <c r="M873" s="96">
        <v>46262</v>
      </c>
      <c r="N873" s="11">
        <f t="shared" si="26"/>
        <v>21</v>
      </c>
      <c r="O873" s="32" t="str">
        <f t="shared" si="27"/>
        <v>Yes</v>
      </c>
    </row>
    <row r="874" spans="2:15" ht="15" customHeight="1" x14ac:dyDescent="0.4">
      <c r="B874" s="10">
        <v>870</v>
      </c>
      <c r="C874" s="34" t="s">
        <v>822</v>
      </c>
      <c r="D874" s="68" t="s">
        <v>1677</v>
      </c>
      <c r="E874" s="68">
        <v>129645</v>
      </c>
      <c r="F874" s="68" t="s">
        <v>2444</v>
      </c>
      <c r="G874" s="68" t="s">
        <v>612</v>
      </c>
      <c r="H874" s="79"/>
      <c r="I874" s="229">
        <v>156.05000000000001</v>
      </c>
      <c r="J874" s="12" t="s">
        <v>53</v>
      </c>
      <c r="K874" s="97">
        <v>46241</v>
      </c>
      <c r="L874" s="95">
        <v>30</v>
      </c>
      <c r="M874" s="96">
        <v>46262</v>
      </c>
      <c r="N874" s="11">
        <f t="shared" si="26"/>
        <v>21</v>
      </c>
      <c r="O874" s="32" t="str">
        <f t="shared" si="27"/>
        <v>Yes</v>
      </c>
    </row>
    <row r="875" spans="2:15" ht="15" customHeight="1" x14ac:dyDescent="0.4">
      <c r="B875" s="10">
        <v>871</v>
      </c>
      <c r="C875" s="34" t="s">
        <v>822</v>
      </c>
      <c r="D875" s="68">
        <v>46258</v>
      </c>
      <c r="E875" s="68">
        <v>136376</v>
      </c>
      <c r="F875" s="68" t="s">
        <v>2445</v>
      </c>
      <c r="G875" s="68" t="s">
        <v>784</v>
      </c>
      <c r="H875" s="79"/>
      <c r="I875" s="229">
        <v>36000</v>
      </c>
      <c r="J875" s="12" t="s">
        <v>53</v>
      </c>
      <c r="K875" s="97">
        <v>46262</v>
      </c>
      <c r="L875" s="95">
        <v>30</v>
      </c>
      <c r="M875" s="96">
        <v>46265</v>
      </c>
      <c r="N875" s="11">
        <f t="shared" si="26"/>
        <v>3</v>
      </c>
      <c r="O875" s="32" t="str">
        <f t="shared" si="27"/>
        <v>Yes</v>
      </c>
    </row>
    <row r="876" spans="2:15" ht="15" customHeight="1" x14ac:dyDescent="0.4">
      <c r="B876" s="10">
        <v>872</v>
      </c>
      <c r="C876" s="34" t="s">
        <v>822</v>
      </c>
      <c r="D876" s="68" t="s">
        <v>1678</v>
      </c>
      <c r="E876" s="68">
        <v>136374</v>
      </c>
      <c r="F876" s="68" t="s">
        <v>2446</v>
      </c>
      <c r="G876" s="68" t="s">
        <v>783</v>
      </c>
      <c r="H876" s="79"/>
      <c r="I876" s="229">
        <v>2569.4</v>
      </c>
      <c r="J876" s="12" t="s">
        <v>53</v>
      </c>
      <c r="K876" s="97">
        <v>46253</v>
      </c>
      <c r="L876" s="95">
        <v>30</v>
      </c>
      <c r="M876" s="96">
        <v>46265</v>
      </c>
      <c r="N876" s="11">
        <f t="shared" si="26"/>
        <v>12</v>
      </c>
      <c r="O876" s="32" t="str">
        <f t="shared" si="27"/>
        <v>Yes</v>
      </c>
    </row>
  </sheetData>
  <autoFilter ref="B4:O876" xr:uid="{00000000-0009-0000-0000-000004000000}">
    <sortState xmlns:xlrd2="http://schemas.microsoft.com/office/spreadsheetml/2017/richdata2" ref="B5:O876">
      <sortCondition ref="B7:B876"/>
    </sortState>
  </autoFilter>
  <mergeCells count="7">
    <mergeCell ref="B1:O1"/>
    <mergeCell ref="C2:C3"/>
    <mergeCell ref="K2:K3"/>
    <mergeCell ref="M2:M3"/>
    <mergeCell ref="L2:L3"/>
    <mergeCell ref="N2:N3"/>
    <mergeCell ref="O2:O3"/>
  </mergeCells>
  <conditionalFormatting sqref="O5:O876">
    <cfRule type="cellIs" dxfId="19" priority="1" stopIfTrue="1" operator="equal">
      <formula>"No"</formula>
    </cfRule>
    <cfRule type="cellIs" dxfId="18" priority="4" stopIfTrue="1" operator="equal">
      <formula>"YES"</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5"/>
  <sheetViews>
    <sheetView workbookViewId="0">
      <selection activeCell="D5" sqref="D5:H15"/>
    </sheetView>
  </sheetViews>
  <sheetFormatPr baseColWidth="10" defaultColWidth="8.7265625" defaultRowHeight="14.5" x14ac:dyDescent="0.35"/>
  <cols>
    <col min="2" max="2" width="61.453125" bestFit="1" customWidth="1"/>
    <col min="3" max="3" width="13" customWidth="1"/>
    <col min="4" max="8" width="13.453125" customWidth="1"/>
  </cols>
  <sheetData>
    <row r="1" spans="2:8" x14ac:dyDescent="0.35">
      <c r="C1" s="7" t="s">
        <v>0</v>
      </c>
      <c r="D1" s="7" t="s">
        <v>1</v>
      </c>
      <c r="E1" s="7" t="s">
        <v>2</v>
      </c>
      <c r="F1" s="7" t="s">
        <v>3</v>
      </c>
      <c r="G1" s="7" t="s">
        <v>4</v>
      </c>
      <c r="H1" s="7" t="s">
        <v>5</v>
      </c>
    </row>
    <row r="2" spans="2:8" x14ac:dyDescent="0.35">
      <c r="C2" s="271" t="s">
        <v>6</v>
      </c>
      <c r="D2" s="4"/>
      <c r="E2" s="4"/>
      <c r="F2" s="4"/>
      <c r="G2" s="4"/>
      <c r="H2" s="4"/>
    </row>
    <row r="3" spans="2:8" x14ac:dyDescent="0.35">
      <c r="C3" s="244"/>
      <c r="D3" s="4"/>
      <c r="E3" s="4"/>
      <c r="F3" s="4"/>
      <c r="G3" s="4"/>
      <c r="H3" s="4"/>
    </row>
    <row r="4" spans="2:8" ht="15" thickBot="1" x14ac:dyDescent="0.4">
      <c r="C4" s="244"/>
      <c r="D4" s="4"/>
      <c r="E4" s="4"/>
      <c r="F4" s="4"/>
      <c r="G4" s="4"/>
      <c r="H4" s="4"/>
    </row>
    <row r="5" spans="2:8" x14ac:dyDescent="0.35">
      <c r="B5" s="3" t="s">
        <v>29</v>
      </c>
      <c r="C5" s="1">
        <v>0.1</v>
      </c>
      <c r="D5" s="186">
        <v>4.8171294096934276E-2</v>
      </c>
      <c r="E5" s="186">
        <v>0.16677990700565659</v>
      </c>
      <c r="F5" s="186">
        <v>3.313484726035399E-2</v>
      </c>
      <c r="G5" s="186">
        <v>2.527432992858937E-2</v>
      </c>
      <c r="H5" s="187">
        <v>8.4332494369860192E-2</v>
      </c>
    </row>
    <row r="6" spans="2:8" x14ac:dyDescent="0.35">
      <c r="B6" s="40" t="s">
        <v>30</v>
      </c>
      <c r="C6" s="2"/>
      <c r="D6" s="133">
        <v>2313580.9749779254</v>
      </c>
      <c r="E6" s="133">
        <v>1405117.3483655159</v>
      </c>
      <c r="F6" s="133">
        <v>2944643.0478628334</v>
      </c>
      <c r="G6" s="133">
        <v>5911843.2783816447</v>
      </c>
      <c r="H6" s="134">
        <v>4057811.9150561714</v>
      </c>
    </row>
    <row r="7" spans="2:8" x14ac:dyDescent="0.35">
      <c r="B7" s="3" t="s">
        <v>12</v>
      </c>
      <c r="C7" s="8">
        <v>4</v>
      </c>
      <c r="D7" s="180">
        <v>2.6799645390070923</v>
      </c>
      <c r="E7" s="180">
        <v>2.2793522267206479</v>
      </c>
      <c r="F7" s="180">
        <v>2.5273522975929978</v>
      </c>
      <c r="G7" s="180">
        <v>4.4675716440422324</v>
      </c>
      <c r="H7" s="136">
        <v>10.029999999999999</v>
      </c>
    </row>
    <row r="8" spans="2:8" x14ac:dyDescent="0.35">
      <c r="B8" s="3" t="s">
        <v>13</v>
      </c>
      <c r="C8" s="1">
        <v>0.9</v>
      </c>
      <c r="D8" s="188">
        <v>0.82062647754137119</v>
      </c>
      <c r="E8" s="188">
        <v>0.92307692307692313</v>
      </c>
      <c r="F8" s="188">
        <v>0.89934354485776802</v>
      </c>
      <c r="G8" s="188">
        <v>0.67469879518072284</v>
      </c>
      <c r="H8" s="152">
        <v>0.37090909090909091</v>
      </c>
    </row>
    <row r="9" spans="2:8" x14ac:dyDescent="0.35">
      <c r="B9" s="3" t="s">
        <v>31</v>
      </c>
      <c r="C9" s="8">
        <v>4</v>
      </c>
      <c r="D9" s="180">
        <v>3.978723404255319</v>
      </c>
      <c r="E9" s="180">
        <v>5.0769230769230766</v>
      </c>
      <c r="F9" s="180">
        <v>4.9474835886214441</v>
      </c>
      <c r="G9" s="180">
        <v>5.4630467571644044</v>
      </c>
      <c r="H9" s="136">
        <v>10.289090909090909</v>
      </c>
    </row>
    <row r="10" spans="2:8" x14ac:dyDescent="0.35">
      <c r="B10" s="3" t="s">
        <v>15</v>
      </c>
      <c r="C10" s="1">
        <v>0.9</v>
      </c>
      <c r="D10" s="153">
        <v>0.9657210401891253</v>
      </c>
      <c r="E10" s="154">
        <v>0.93117408906882593</v>
      </c>
      <c r="F10" s="154">
        <v>0.57330415754923414</v>
      </c>
      <c r="G10" s="154">
        <v>1</v>
      </c>
      <c r="H10" s="155">
        <v>0.64181818181818184</v>
      </c>
    </row>
    <row r="11" spans="2:8" x14ac:dyDescent="0.35">
      <c r="B11" s="3" t="s">
        <v>17</v>
      </c>
      <c r="C11" s="8">
        <v>5</v>
      </c>
      <c r="D11" s="180">
        <v>4.7954545454545459</v>
      </c>
      <c r="E11" s="180">
        <v>8.75</v>
      </c>
      <c r="F11" s="180">
        <v>5.7115384615384617</v>
      </c>
      <c r="G11" s="180">
        <v>5.9318181818181817</v>
      </c>
      <c r="H11" s="136">
        <v>8.7857142857142865</v>
      </c>
    </row>
    <row r="12" spans="2:8" x14ac:dyDescent="0.35">
      <c r="B12" s="3" t="s">
        <v>18</v>
      </c>
      <c r="C12" s="8">
        <v>10</v>
      </c>
      <c r="D12" s="139">
        <v>8.8235294117647065</v>
      </c>
      <c r="E12" s="156">
        <v>12</v>
      </c>
      <c r="F12" s="156">
        <v>6.9333333333333336</v>
      </c>
      <c r="G12" s="156">
        <v>17.166666666666668</v>
      </c>
      <c r="H12" s="140">
        <v>11.384615384615385</v>
      </c>
    </row>
    <row r="13" spans="2:8" x14ac:dyDescent="0.35">
      <c r="B13" s="3" t="s">
        <v>19</v>
      </c>
      <c r="C13" s="1">
        <v>0.7</v>
      </c>
      <c r="D13" s="188">
        <v>0.63120567375886527</v>
      </c>
      <c r="E13" s="188">
        <v>0.34008097165991902</v>
      </c>
      <c r="F13" s="188">
        <v>0.42669584245076586</v>
      </c>
      <c r="G13" s="188">
        <v>0.67168674698795183</v>
      </c>
      <c r="H13" s="152">
        <v>0.69272727272727275</v>
      </c>
    </row>
    <row r="14" spans="2:8" x14ac:dyDescent="0.35">
      <c r="B14" s="3" t="s">
        <v>70</v>
      </c>
      <c r="C14" s="1"/>
      <c r="D14" s="157">
        <v>0.86749214239949346</v>
      </c>
      <c r="E14" s="157">
        <v>0.68475341676910695</v>
      </c>
      <c r="F14" s="157">
        <v>0.34244347495100352</v>
      </c>
      <c r="G14" s="157">
        <v>0.86533851894573544</v>
      </c>
      <c r="H14" s="155">
        <v>0.63832356103025467</v>
      </c>
    </row>
    <row r="15" spans="2:8" ht="15" thickBot="1" x14ac:dyDescent="0.4">
      <c r="B15" s="3" t="s">
        <v>21</v>
      </c>
      <c r="C15" s="1">
        <v>0.7</v>
      </c>
      <c r="D15" s="119">
        <v>0.69405174713256867</v>
      </c>
      <c r="E15" s="119">
        <v>0.87044145873320533</v>
      </c>
      <c r="F15" s="120">
        <v>0</v>
      </c>
      <c r="G15" s="119">
        <v>0.45753968253968252</v>
      </c>
      <c r="H15" s="121">
        <v>0.77419354838709675</v>
      </c>
    </row>
  </sheetData>
  <mergeCells count="1">
    <mergeCell ref="C2:C4"/>
  </mergeCells>
  <conditionalFormatting sqref="D5:H5">
    <cfRule type="cellIs" dxfId="17" priority="9" stopIfTrue="1" operator="lessThan">
      <formula>$C$5</formula>
    </cfRule>
    <cfRule type="cellIs" dxfId="16" priority="10" stopIfTrue="1" operator="greaterThanOrEqual">
      <formula>$C$5</formula>
    </cfRule>
  </conditionalFormatting>
  <conditionalFormatting sqref="D7:H7">
    <cfRule type="cellIs" dxfId="15" priority="17" stopIfTrue="1" operator="greaterThan">
      <formula>$C$7</formula>
    </cfRule>
    <cfRule type="cellIs" dxfId="14" priority="18" stopIfTrue="1" operator="lessThanOrEqual">
      <formula>C7+$C$7</formula>
    </cfRule>
  </conditionalFormatting>
  <conditionalFormatting sqref="D8:H8">
    <cfRule type="cellIs" dxfId="13" priority="15" stopIfTrue="1" operator="lessThan">
      <formula>$C$8</formula>
    </cfRule>
    <cfRule type="cellIs" dxfId="12" priority="16" stopIfTrue="1" operator="greaterThanOrEqual">
      <formula>$C$8</formula>
    </cfRule>
  </conditionalFormatting>
  <conditionalFormatting sqref="D9:H9">
    <cfRule type="cellIs" dxfId="11" priority="13" stopIfTrue="1" operator="greaterThan">
      <formula>$C$9</formula>
    </cfRule>
    <cfRule type="cellIs" dxfId="10" priority="14" stopIfTrue="1" operator="lessThanOrEqual">
      <formula>$C$9</formula>
    </cfRule>
  </conditionalFormatting>
  <conditionalFormatting sqref="D10:H10">
    <cfRule type="cellIs" dxfId="9" priority="1" stopIfTrue="1" operator="lessThan">
      <formula>$C$8</formula>
    </cfRule>
    <cfRule type="cellIs" dxfId="8" priority="2" stopIfTrue="1" operator="greaterThanOrEqual">
      <formula>$C$8</formula>
    </cfRule>
  </conditionalFormatting>
  <conditionalFormatting sqref="D11:H11">
    <cfRule type="cellIs" dxfId="7" priority="7" stopIfTrue="1" operator="greaterThan">
      <formula>$C$11</formula>
    </cfRule>
    <cfRule type="cellIs" dxfId="6" priority="8" stopIfTrue="1" operator="lessThanOrEqual">
      <formula>$C$11</formula>
    </cfRule>
  </conditionalFormatting>
  <conditionalFormatting sqref="D12:H12">
    <cfRule type="cellIs" dxfId="5" priority="5" stopIfTrue="1" operator="greaterThan">
      <formula>$C$12</formula>
    </cfRule>
    <cfRule type="cellIs" dxfId="4" priority="6" stopIfTrue="1" operator="lessThanOrEqual">
      <formula>$C$12</formula>
    </cfRule>
  </conditionalFormatting>
  <conditionalFormatting sqref="D13:H14">
    <cfRule type="cellIs" dxfId="3" priority="11" stopIfTrue="1" operator="lessThan">
      <formula>$C$13</formula>
    </cfRule>
    <cfRule type="cellIs" dxfId="2" priority="12" stopIfTrue="1" operator="greaterThanOrEqual">
      <formula>$C$13</formula>
    </cfRule>
  </conditionalFormatting>
  <conditionalFormatting sqref="D15:H15">
    <cfRule type="cellIs" dxfId="1" priority="3" operator="lessThan">
      <formula>$C$15</formula>
    </cfRule>
    <cfRule type="cellIs" dxfId="0" priority="4" operator="greaterThanOrEqual">
      <formula>$C$15</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C6421-FA3E-4B66-921D-7ABB7587EB67}">
  <dimension ref="B2:E16"/>
  <sheetViews>
    <sheetView workbookViewId="0">
      <selection activeCell="D13" sqref="D13:D16"/>
    </sheetView>
  </sheetViews>
  <sheetFormatPr baseColWidth="10" defaultColWidth="8.7265625" defaultRowHeight="14.5" x14ac:dyDescent="0.35"/>
  <cols>
    <col min="2" max="2" width="17.08984375" customWidth="1"/>
    <col min="3" max="3" width="34.453125" customWidth="1"/>
    <col min="4" max="4" width="24.08984375" bestFit="1" customWidth="1"/>
    <col min="5" max="5" width="19.08984375" customWidth="1"/>
    <col min="6" max="6" width="10.6328125" bestFit="1" customWidth="1"/>
  </cols>
  <sheetData>
    <row r="2" spans="2:5" ht="15" thickBot="1" x14ac:dyDescent="0.4"/>
    <row r="3" spans="2:5" ht="15" thickBot="1" x14ac:dyDescent="0.4">
      <c r="B3" s="162" t="s">
        <v>109</v>
      </c>
      <c r="C3" s="143" t="s">
        <v>135</v>
      </c>
    </row>
    <row r="4" spans="2:5" x14ac:dyDescent="0.35">
      <c r="B4" s="142" t="s">
        <v>1</v>
      </c>
      <c r="C4" s="158"/>
    </row>
    <row r="5" spans="2:5" x14ac:dyDescent="0.35">
      <c r="B5" s="141" t="s">
        <v>2</v>
      </c>
      <c r="C5" s="158"/>
    </row>
    <row r="6" spans="2:5" x14ac:dyDescent="0.35">
      <c r="B6" s="141" t="s">
        <v>3</v>
      </c>
      <c r="C6" s="189"/>
    </row>
    <row r="7" spans="2:5" x14ac:dyDescent="0.35">
      <c r="B7" s="141" t="s">
        <v>4</v>
      </c>
      <c r="C7" s="158"/>
    </row>
    <row r="8" spans="2:5" x14ac:dyDescent="0.35">
      <c r="B8" s="141" t="s">
        <v>5</v>
      </c>
      <c r="C8" s="158"/>
    </row>
    <row r="11" spans="2:5" ht="15" thickBot="1" x14ac:dyDescent="0.4"/>
    <row r="12" spans="2:5" ht="15" thickBot="1" x14ac:dyDescent="0.4">
      <c r="B12" s="162" t="s">
        <v>213</v>
      </c>
      <c r="C12" s="143" t="s">
        <v>233</v>
      </c>
      <c r="D12" s="143" t="s">
        <v>226</v>
      </c>
      <c r="E12" s="143" t="s">
        <v>87</v>
      </c>
    </row>
    <row r="13" spans="2:5" x14ac:dyDescent="0.35">
      <c r="B13" s="141" t="s">
        <v>214</v>
      </c>
      <c r="C13" s="141" t="s">
        <v>215</v>
      </c>
      <c r="D13" s="141" t="s">
        <v>229</v>
      </c>
      <c r="E13" s="141" t="s">
        <v>222</v>
      </c>
    </row>
    <row r="14" spans="2:5" x14ac:dyDescent="0.35">
      <c r="B14" s="141" t="s">
        <v>216</v>
      </c>
      <c r="C14" s="141" t="s">
        <v>219</v>
      </c>
      <c r="D14" s="141" t="s">
        <v>230</v>
      </c>
      <c r="E14" s="141" t="s">
        <v>223</v>
      </c>
    </row>
    <row r="15" spans="2:5" x14ac:dyDescent="0.35">
      <c r="B15" s="141" t="s">
        <v>217</v>
      </c>
      <c r="C15" s="141" t="s">
        <v>220</v>
      </c>
      <c r="D15" s="141" t="s">
        <v>232</v>
      </c>
      <c r="E15" s="141"/>
    </row>
    <row r="16" spans="2:5" x14ac:dyDescent="0.35">
      <c r="B16" s="141" t="s">
        <v>218</v>
      </c>
      <c r="C16" s="141" t="s">
        <v>221</v>
      </c>
      <c r="D16" s="141" t="s">
        <v>231</v>
      </c>
      <c r="E16" s="141"/>
    </row>
  </sheetData>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DASHBOARD</vt:lpstr>
      <vt:lpstr>PR-PO SLA &amp; Contract%</vt:lpstr>
      <vt:lpstr>Customs_Clearance</vt:lpstr>
      <vt:lpstr>Open Projects</vt:lpstr>
      <vt:lpstr>Open Projects Pivot</vt:lpstr>
      <vt:lpstr>List</vt:lpstr>
      <vt:lpstr>PPOT</vt:lpstr>
      <vt:lpstr>M-1 YTD performance</vt:lpstr>
      <vt:lpstr>Submissions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Oumara Abdou</dc:creator>
  <cp:lastModifiedBy>Faniry Ravorombato</cp:lastModifiedBy>
  <dcterms:created xsi:type="dcterms:W3CDTF">2025-11-11T12:39:07Z</dcterms:created>
  <dcterms:modified xsi:type="dcterms:W3CDTF">2026-09-21T08:09:17Z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0x0101002E876574E8D9694BA722FF8FE812CCEC</vt:lpwstr>
  </property>
</Properties>
</file>