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Utilisateurs\Faniry25\Desktop\KPI 26 YAS MG\"/>
    </mc:Choice>
  </mc:AlternateContent>
  <xr:revisionPtr revIDLastSave="0" documentId="8_{DF48F876-9913-4B72-9F09-33AB0C4D5570}" xr6:coauthVersionLast="47" xr6:coauthVersionMax="47" xr10:uidLastSave="{00000000-0000-0000-0000-000000000000}"/>
  <bookViews>
    <workbookView xWindow="-120" yWindow="-16320" windowWidth="29040" windowHeight="15720" activeTab="1" xr2:uid="{00000000-000D-0000-FFFF-FFFF00000000}"/>
  </bookViews>
  <sheets>
    <sheet name="DASHBOARD" sheetId="1" r:id="rId1"/>
    <sheet name="PR-PO SLA &amp; Contract%" sheetId="3" r:id="rId2"/>
    <sheet name="Customs_Clearance" sheetId="4" r:id="rId3"/>
    <sheet name="Open Projects" sheetId="6" state="hidden" r:id="rId4"/>
    <sheet name="Open Projects Pivot" sheetId="10" state="hidden" r:id="rId5"/>
    <sheet name="List" sheetId="7" state="hidden" r:id="rId6"/>
    <sheet name="PPOT" sheetId="5" r:id="rId7"/>
    <sheet name="M-1 YTD performance" sheetId="2" r:id="rId8"/>
    <sheet name="Submissions" sheetId="8" r:id="rId9"/>
  </sheets>
  <externalReferences>
    <externalReference r:id="rId10"/>
  </externalReferences>
  <definedNames>
    <definedName name="_xlnm._FilterDatabase" localSheetId="2" hidden="1">Customs_Clearance!$B$4:$M$703</definedName>
    <definedName name="_xlnm._FilterDatabase" localSheetId="3" hidden="1">'Open Projects'!$A$1:$AG$1</definedName>
    <definedName name="_xlnm._FilterDatabase" localSheetId="6" hidden="1">PPOT!$B$4:$O$2105</definedName>
    <definedName name="_xlnm._FilterDatabase" localSheetId="1" hidden="1">'PR-PO SLA &amp; Contract%'!$B$4:$W$1726</definedName>
  </definedNames>
  <calcPr calcId="191029"/>
  <pivotCaches>
    <pivotCache cacheId="12"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 l="1"/>
  <c r="F3" i="3"/>
  <c r="I5" i="3"/>
  <c r="K5" i="3"/>
  <c r="M5" i="3"/>
  <c r="S5" i="3"/>
  <c r="V5" i="3"/>
  <c r="W5" i="3"/>
  <c r="I6" i="3"/>
  <c r="K6" i="3"/>
  <c r="M6" i="3"/>
  <c r="S6" i="3"/>
  <c r="V6" i="3"/>
  <c r="W6" i="3"/>
  <c r="I7" i="3"/>
  <c r="K7" i="3"/>
  <c r="M7" i="3"/>
  <c r="S7" i="3"/>
  <c r="V7" i="3"/>
  <c r="W7" i="3"/>
  <c r="I8" i="3"/>
  <c r="K8" i="3"/>
  <c r="M8" i="3"/>
  <c r="S8" i="3"/>
  <c r="V8" i="3"/>
  <c r="W8" i="3"/>
  <c r="I9" i="3"/>
  <c r="K9" i="3"/>
  <c r="M9" i="3"/>
  <c r="S9" i="3"/>
  <c r="V9" i="3"/>
  <c r="W9" i="3"/>
  <c r="I10" i="3"/>
  <c r="K10" i="3"/>
  <c r="M10" i="3"/>
  <c r="S10" i="3"/>
  <c r="V10" i="3"/>
  <c r="W10" i="3"/>
  <c r="I11" i="3"/>
  <c r="K11" i="3"/>
  <c r="M11" i="3"/>
  <c r="S11" i="3"/>
  <c r="V11" i="3"/>
  <c r="W11" i="3"/>
  <c r="I12" i="3"/>
  <c r="K12" i="3"/>
  <c r="M12" i="3"/>
  <c r="S12" i="3"/>
  <c r="V12" i="3"/>
  <c r="W12" i="3"/>
  <c r="I13" i="3"/>
  <c r="K13" i="3"/>
  <c r="M13" i="3"/>
  <c r="S13" i="3"/>
  <c r="V13" i="3"/>
  <c r="W13" i="3"/>
  <c r="I14" i="3"/>
  <c r="K14" i="3"/>
  <c r="M14" i="3"/>
  <c r="S14" i="3"/>
  <c r="V14" i="3"/>
  <c r="W14" i="3"/>
  <c r="I15" i="3"/>
  <c r="K15" i="3"/>
  <c r="M15" i="3"/>
  <c r="S15" i="3"/>
  <c r="V15" i="3"/>
  <c r="W15" i="3"/>
  <c r="I16" i="3"/>
  <c r="K16" i="3"/>
  <c r="M16" i="3"/>
  <c r="S16" i="3"/>
  <c r="V16" i="3"/>
  <c r="W16" i="3"/>
  <c r="I17" i="3"/>
  <c r="K17" i="3"/>
  <c r="M17" i="3"/>
  <c r="S17" i="3"/>
  <c r="V17" i="3"/>
  <c r="W17" i="3"/>
  <c r="I18" i="3"/>
  <c r="K18" i="3"/>
  <c r="M18" i="3"/>
  <c r="S18" i="3"/>
  <c r="V18" i="3"/>
  <c r="W18" i="3"/>
  <c r="I19" i="3"/>
  <c r="K19" i="3"/>
  <c r="M19" i="3"/>
  <c r="S19" i="3"/>
  <c r="V19" i="3"/>
  <c r="W19" i="3"/>
  <c r="I20" i="3"/>
  <c r="K20" i="3"/>
  <c r="M20" i="3"/>
  <c r="S20" i="3"/>
  <c r="V20" i="3"/>
  <c r="W20" i="3"/>
  <c r="I21" i="3"/>
  <c r="K21" i="3"/>
  <c r="M21" i="3"/>
  <c r="S21" i="3"/>
  <c r="V21" i="3"/>
  <c r="W21" i="3"/>
  <c r="I22" i="3"/>
  <c r="K22" i="3"/>
  <c r="M22" i="3"/>
  <c r="S22" i="3"/>
  <c r="V22" i="3"/>
  <c r="W22" i="3"/>
  <c r="I23" i="3"/>
  <c r="K23" i="3"/>
  <c r="M23" i="3"/>
  <c r="S23" i="3"/>
  <c r="V23" i="3"/>
  <c r="W23" i="3"/>
  <c r="I24" i="3"/>
  <c r="K24" i="3"/>
  <c r="M24" i="3"/>
  <c r="S24" i="3"/>
  <c r="V24" i="3"/>
  <c r="W24" i="3"/>
  <c r="I25" i="3"/>
  <c r="K25" i="3"/>
  <c r="M25" i="3"/>
  <c r="S25" i="3"/>
  <c r="V25" i="3"/>
  <c r="W25" i="3"/>
  <c r="I26" i="3"/>
  <c r="K26" i="3"/>
  <c r="M26" i="3"/>
  <c r="S26" i="3"/>
  <c r="V26" i="3"/>
  <c r="W26" i="3"/>
  <c r="I27" i="3"/>
  <c r="K27" i="3"/>
  <c r="M27" i="3"/>
  <c r="S27" i="3"/>
  <c r="V27" i="3"/>
  <c r="W27" i="3"/>
  <c r="I28" i="3"/>
  <c r="K28" i="3"/>
  <c r="M28" i="3"/>
  <c r="S28" i="3"/>
  <c r="V28" i="3"/>
  <c r="W28" i="3"/>
  <c r="I29" i="3"/>
  <c r="K29" i="3"/>
  <c r="M29" i="3"/>
  <c r="S29" i="3"/>
  <c r="V29" i="3"/>
  <c r="W29" i="3"/>
  <c r="I30" i="3"/>
  <c r="K30" i="3"/>
  <c r="M30" i="3"/>
  <c r="S30" i="3"/>
  <c r="V30" i="3"/>
  <c r="W30" i="3"/>
  <c r="I31" i="3"/>
  <c r="K31" i="3"/>
  <c r="M31" i="3"/>
  <c r="S31" i="3"/>
  <c r="V31" i="3"/>
  <c r="W31" i="3"/>
  <c r="I32" i="3"/>
  <c r="K32" i="3"/>
  <c r="M32" i="3"/>
  <c r="S32" i="3"/>
  <c r="V32" i="3"/>
  <c r="W32" i="3"/>
  <c r="I33" i="3"/>
  <c r="K33" i="3"/>
  <c r="M33" i="3"/>
  <c r="S33" i="3"/>
  <c r="V33" i="3"/>
  <c r="W33" i="3"/>
  <c r="I34" i="3"/>
  <c r="K34" i="3"/>
  <c r="M34" i="3"/>
  <c r="S34" i="3"/>
  <c r="V34" i="3"/>
  <c r="W34" i="3"/>
  <c r="I35" i="3"/>
  <c r="K35" i="3"/>
  <c r="M35" i="3"/>
  <c r="S35" i="3"/>
  <c r="V35" i="3"/>
  <c r="W35" i="3"/>
  <c r="I36" i="3"/>
  <c r="K36" i="3"/>
  <c r="M36" i="3"/>
  <c r="S36" i="3"/>
  <c r="V36" i="3"/>
  <c r="W36" i="3"/>
  <c r="I37" i="3"/>
  <c r="K37" i="3"/>
  <c r="M37" i="3"/>
  <c r="S37" i="3"/>
  <c r="V37" i="3"/>
  <c r="W37" i="3"/>
  <c r="I38" i="3"/>
  <c r="K38" i="3"/>
  <c r="M38" i="3"/>
  <c r="S38" i="3"/>
  <c r="V38" i="3"/>
  <c r="W38" i="3"/>
  <c r="I39" i="3"/>
  <c r="K39" i="3"/>
  <c r="M39" i="3"/>
  <c r="S39" i="3"/>
  <c r="V39" i="3"/>
  <c r="W39" i="3"/>
  <c r="I40" i="3"/>
  <c r="K40" i="3"/>
  <c r="M40" i="3"/>
  <c r="S40" i="3"/>
  <c r="V40" i="3"/>
  <c r="W40" i="3"/>
  <c r="I41" i="3"/>
  <c r="K41" i="3"/>
  <c r="M41" i="3"/>
  <c r="S41" i="3"/>
  <c r="V41" i="3"/>
  <c r="W41" i="3"/>
  <c r="I42" i="3"/>
  <c r="K42" i="3"/>
  <c r="M42" i="3"/>
  <c r="S42" i="3"/>
  <c r="V42" i="3"/>
  <c r="W42" i="3"/>
  <c r="I43" i="3"/>
  <c r="K43" i="3"/>
  <c r="M43" i="3"/>
  <c r="S43" i="3"/>
  <c r="V43" i="3"/>
  <c r="W43" i="3"/>
  <c r="I44" i="3"/>
  <c r="K44" i="3"/>
  <c r="M44" i="3"/>
  <c r="S44" i="3"/>
  <c r="V44" i="3"/>
  <c r="W44" i="3"/>
  <c r="I45" i="3"/>
  <c r="K45" i="3"/>
  <c r="M45" i="3"/>
  <c r="S45" i="3"/>
  <c r="V45" i="3"/>
  <c r="W45" i="3"/>
  <c r="I46" i="3"/>
  <c r="K46" i="3"/>
  <c r="M46" i="3"/>
  <c r="S46" i="3"/>
  <c r="V46" i="3"/>
  <c r="W46" i="3"/>
  <c r="I47" i="3"/>
  <c r="K47" i="3"/>
  <c r="M47" i="3"/>
  <c r="S47" i="3"/>
  <c r="V47" i="3"/>
  <c r="W47" i="3"/>
  <c r="I48" i="3"/>
  <c r="K48" i="3"/>
  <c r="M48" i="3"/>
  <c r="S48" i="3"/>
  <c r="V48" i="3"/>
  <c r="W48" i="3"/>
  <c r="I49" i="3"/>
  <c r="K49" i="3"/>
  <c r="M49" i="3"/>
  <c r="S49" i="3"/>
  <c r="V49" i="3"/>
  <c r="W49" i="3"/>
  <c r="I50" i="3"/>
  <c r="K50" i="3"/>
  <c r="M50" i="3"/>
  <c r="S50" i="3"/>
  <c r="V50" i="3"/>
  <c r="W50" i="3"/>
  <c r="I51" i="3"/>
  <c r="K51" i="3"/>
  <c r="M51" i="3"/>
  <c r="S51" i="3"/>
  <c r="V51" i="3"/>
  <c r="W51" i="3"/>
  <c r="I52" i="3"/>
  <c r="K52" i="3"/>
  <c r="M52" i="3"/>
  <c r="S52" i="3"/>
  <c r="V52" i="3"/>
  <c r="W52" i="3"/>
  <c r="I53" i="3"/>
  <c r="K53" i="3"/>
  <c r="M53" i="3"/>
  <c r="S53" i="3"/>
  <c r="V53" i="3"/>
  <c r="W53" i="3"/>
  <c r="I54" i="3"/>
  <c r="K54" i="3"/>
  <c r="M54" i="3"/>
  <c r="S54" i="3"/>
  <c r="V54" i="3"/>
  <c r="W54" i="3"/>
  <c r="I55" i="3"/>
  <c r="K55" i="3"/>
  <c r="M55" i="3"/>
  <c r="S55" i="3"/>
  <c r="V55" i="3"/>
  <c r="W55" i="3"/>
  <c r="I56" i="3"/>
  <c r="K56" i="3"/>
  <c r="M56" i="3"/>
  <c r="S56" i="3"/>
  <c r="V56" i="3"/>
  <c r="W56" i="3"/>
  <c r="I57" i="3"/>
  <c r="K57" i="3"/>
  <c r="M57" i="3"/>
  <c r="S57" i="3"/>
  <c r="V57" i="3"/>
  <c r="W57" i="3"/>
  <c r="I58" i="3"/>
  <c r="K58" i="3"/>
  <c r="M58" i="3"/>
  <c r="S58" i="3"/>
  <c r="V58" i="3"/>
  <c r="W58" i="3"/>
  <c r="I59" i="3"/>
  <c r="K59" i="3"/>
  <c r="M59" i="3"/>
  <c r="S59" i="3"/>
  <c r="V59" i="3"/>
  <c r="W59" i="3"/>
  <c r="I60" i="3"/>
  <c r="K60" i="3"/>
  <c r="M60" i="3"/>
  <c r="S60" i="3"/>
  <c r="V60" i="3"/>
  <c r="W60" i="3"/>
  <c r="I61" i="3"/>
  <c r="K61" i="3"/>
  <c r="M61" i="3"/>
  <c r="S61" i="3"/>
  <c r="V61" i="3"/>
  <c r="W61" i="3"/>
  <c r="I62" i="3"/>
  <c r="K62" i="3"/>
  <c r="M62" i="3"/>
  <c r="S62" i="3"/>
  <c r="V62" i="3"/>
  <c r="W62" i="3"/>
  <c r="I63" i="3"/>
  <c r="K63" i="3"/>
  <c r="M63" i="3"/>
  <c r="S63" i="3"/>
  <c r="V63" i="3"/>
  <c r="W63" i="3"/>
  <c r="I64" i="3"/>
  <c r="K64" i="3"/>
  <c r="M64" i="3"/>
  <c r="S64" i="3"/>
  <c r="V64" i="3"/>
  <c r="W64" i="3"/>
  <c r="I65" i="3"/>
  <c r="K65" i="3"/>
  <c r="M65" i="3"/>
  <c r="S65" i="3"/>
  <c r="V65" i="3"/>
  <c r="W65" i="3"/>
  <c r="I66" i="3"/>
  <c r="K66" i="3"/>
  <c r="M66" i="3"/>
  <c r="S66" i="3"/>
  <c r="V66" i="3"/>
  <c r="W66" i="3"/>
  <c r="I67" i="3"/>
  <c r="K67" i="3"/>
  <c r="M67" i="3"/>
  <c r="S67" i="3"/>
  <c r="V67" i="3"/>
  <c r="W67" i="3"/>
  <c r="I68" i="3"/>
  <c r="K68" i="3"/>
  <c r="M68" i="3"/>
  <c r="S68" i="3"/>
  <c r="V68" i="3"/>
  <c r="W68" i="3"/>
  <c r="I69" i="3"/>
  <c r="K69" i="3"/>
  <c r="M69" i="3"/>
  <c r="S69" i="3"/>
  <c r="V69" i="3"/>
  <c r="W69" i="3"/>
  <c r="I70" i="3"/>
  <c r="K70" i="3"/>
  <c r="M70" i="3"/>
  <c r="S70" i="3"/>
  <c r="V70" i="3"/>
  <c r="W70" i="3"/>
  <c r="I71" i="3"/>
  <c r="K71" i="3"/>
  <c r="M71" i="3"/>
  <c r="S71" i="3"/>
  <c r="V71" i="3"/>
  <c r="W71" i="3"/>
  <c r="I72" i="3"/>
  <c r="K72" i="3"/>
  <c r="M72" i="3"/>
  <c r="S72" i="3"/>
  <c r="V72" i="3"/>
  <c r="W72" i="3"/>
  <c r="I73" i="3"/>
  <c r="K73" i="3"/>
  <c r="M73" i="3"/>
  <c r="S73" i="3"/>
  <c r="V73" i="3"/>
  <c r="W73" i="3"/>
  <c r="I74" i="3"/>
  <c r="K74" i="3"/>
  <c r="M74" i="3"/>
  <c r="S74" i="3"/>
  <c r="V74" i="3"/>
  <c r="W74" i="3"/>
  <c r="I75" i="3"/>
  <c r="K75" i="3"/>
  <c r="M75" i="3"/>
  <c r="S75" i="3"/>
  <c r="V75" i="3"/>
  <c r="W75" i="3"/>
  <c r="I76" i="3"/>
  <c r="K76" i="3"/>
  <c r="M76" i="3"/>
  <c r="S76" i="3"/>
  <c r="V76" i="3"/>
  <c r="W76" i="3"/>
  <c r="I77" i="3"/>
  <c r="K77" i="3"/>
  <c r="M77" i="3"/>
  <c r="S77" i="3"/>
  <c r="V77" i="3"/>
  <c r="W77" i="3"/>
  <c r="I78" i="3"/>
  <c r="K78" i="3"/>
  <c r="M78" i="3"/>
  <c r="S78" i="3"/>
  <c r="V78" i="3"/>
  <c r="W78" i="3"/>
  <c r="I79" i="3"/>
  <c r="K79" i="3"/>
  <c r="M79" i="3"/>
  <c r="S79" i="3"/>
  <c r="V79" i="3"/>
  <c r="W79" i="3"/>
  <c r="I80" i="3"/>
  <c r="K80" i="3"/>
  <c r="M80" i="3"/>
  <c r="S80" i="3"/>
  <c r="V80" i="3"/>
  <c r="W80" i="3"/>
  <c r="I81" i="3"/>
  <c r="K81" i="3"/>
  <c r="M81" i="3"/>
  <c r="S81" i="3"/>
  <c r="V81" i="3"/>
  <c r="W81" i="3"/>
  <c r="I82" i="3"/>
  <c r="K82" i="3"/>
  <c r="M82" i="3"/>
  <c r="S82" i="3"/>
  <c r="V82" i="3"/>
  <c r="W82" i="3"/>
  <c r="I83" i="3"/>
  <c r="K83" i="3"/>
  <c r="M83" i="3"/>
  <c r="S83" i="3"/>
  <c r="V83" i="3"/>
  <c r="W83" i="3"/>
  <c r="I84" i="3"/>
  <c r="K84" i="3"/>
  <c r="M84" i="3"/>
  <c r="S84" i="3"/>
  <c r="V84" i="3"/>
  <c r="W84" i="3"/>
  <c r="I85" i="3"/>
  <c r="K85" i="3"/>
  <c r="M85" i="3"/>
  <c r="S85" i="3"/>
  <c r="V85" i="3"/>
  <c r="W85" i="3"/>
  <c r="I86" i="3"/>
  <c r="K86" i="3"/>
  <c r="M86" i="3"/>
  <c r="S86" i="3"/>
  <c r="V86" i="3"/>
  <c r="W86" i="3"/>
  <c r="I87" i="3"/>
  <c r="K87" i="3"/>
  <c r="M87" i="3"/>
  <c r="S87" i="3"/>
  <c r="V87" i="3"/>
  <c r="W87" i="3"/>
  <c r="I88" i="3"/>
  <c r="K88" i="3"/>
  <c r="M88" i="3"/>
  <c r="S88" i="3"/>
  <c r="V88" i="3"/>
  <c r="W88" i="3"/>
  <c r="I89" i="3"/>
  <c r="K89" i="3"/>
  <c r="M89" i="3"/>
  <c r="S89" i="3"/>
  <c r="V89" i="3"/>
  <c r="W89" i="3"/>
  <c r="I90" i="3"/>
  <c r="K90" i="3"/>
  <c r="M90" i="3"/>
  <c r="S90" i="3"/>
  <c r="V90" i="3"/>
  <c r="W90" i="3"/>
  <c r="I91" i="3"/>
  <c r="K91" i="3"/>
  <c r="M91" i="3"/>
  <c r="S91" i="3"/>
  <c r="V91" i="3"/>
  <c r="W91" i="3"/>
  <c r="I92" i="3"/>
  <c r="K92" i="3"/>
  <c r="M92" i="3"/>
  <c r="S92" i="3"/>
  <c r="V92" i="3"/>
  <c r="W92" i="3"/>
  <c r="I93" i="3"/>
  <c r="K93" i="3"/>
  <c r="M93" i="3"/>
  <c r="S93" i="3"/>
  <c r="V93" i="3"/>
  <c r="W93" i="3"/>
  <c r="I94" i="3"/>
  <c r="K94" i="3"/>
  <c r="M94" i="3"/>
  <c r="S94" i="3"/>
  <c r="V94" i="3"/>
  <c r="W94" i="3"/>
  <c r="I95" i="3"/>
  <c r="K95" i="3"/>
  <c r="M95" i="3"/>
  <c r="S95" i="3"/>
  <c r="V95" i="3"/>
  <c r="W95" i="3"/>
  <c r="I96" i="3"/>
  <c r="K96" i="3"/>
  <c r="M96" i="3"/>
  <c r="S96" i="3"/>
  <c r="V96" i="3"/>
  <c r="W96" i="3"/>
  <c r="I97" i="3"/>
  <c r="K97" i="3"/>
  <c r="M97" i="3"/>
  <c r="S97" i="3"/>
  <c r="V97" i="3"/>
  <c r="W97" i="3"/>
  <c r="I98" i="3"/>
  <c r="K98" i="3"/>
  <c r="M98" i="3"/>
  <c r="S98" i="3"/>
  <c r="V98" i="3"/>
  <c r="W98" i="3"/>
  <c r="I99" i="3"/>
  <c r="K99" i="3"/>
  <c r="M99" i="3"/>
  <c r="S99" i="3"/>
  <c r="V99" i="3"/>
  <c r="W99" i="3"/>
  <c r="I100" i="3"/>
  <c r="K100" i="3"/>
  <c r="M100" i="3"/>
  <c r="S100" i="3"/>
  <c r="V100" i="3"/>
  <c r="W100" i="3"/>
  <c r="I101" i="3"/>
  <c r="K101" i="3"/>
  <c r="M101" i="3"/>
  <c r="S101" i="3"/>
  <c r="V101" i="3"/>
  <c r="W101" i="3"/>
  <c r="I102" i="3"/>
  <c r="K102" i="3"/>
  <c r="M102" i="3"/>
  <c r="S102" i="3"/>
  <c r="V102" i="3"/>
  <c r="W102" i="3"/>
  <c r="I103" i="3"/>
  <c r="K103" i="3"/>
  <c r="M103" i="3"/>
  <c r="S103" i="3"/>
  <c r="V103" i="3"/>
  <c r="W103" i="3"/>
  <c r="I104" i="3"/>
  <c r="K104" i="3"/>
  <c r="M104" i="3"/>
  <c r="S104" i="3"/>
  <c r="V104" i="3"/>
  <c r="W104" i="3"/>
  <c r="I105" i="3"/>
  <c r="K105" i="3"/>
  <c r="M105" i="3"/>
  <c r="S105" i="3"/>
  <c r="V105" i="3"/>
  <c r="W105" i="3"/>
  <c r="I106" i="3"/>
  <c r="K106" i="3"/>
  <c r="M106" i="3"/>
  <c r="S106" i="3"/>
  <c r="V106" i="3"/>
  <c r="W106" i="3"/>
  <c r="I107" i="3"/>
  <c r="K107" i="3"/>
  <c r="M107" i="3"/>
  <c r="S107" i="3"/>
  <c r="V107" i="3"/>
  <c r="W107" i="3"/>
  <c r="I108" i="3"/>
  <c r="K108" i="3"/>
  <c r="M108" i="3"/>
  <c r="S108" i="3"/>
  <c r="V108" i="3"/>
  <c r="W108" i="3"/>
  <c r="I109" i="3"/>
  <c r="K109" i="3"/>
  <c r="M109" i="3"/>
  <c r="S109" i="3"/>
  <c r="V109" i="3"/>
  <c r="W109" i="3"/>
  <c r="I110" i="3"/>
  <c r="K110" i="3"/>
  <c r="M110" i="3"/>
  <c r="S110" i="3"/>
  <c r="V110" i="3"/>
  <c r="W110" i="3"/>
  <c r="I111" i="3"/>
  <c r="K111" i="3"/>
  <c r="M111" i="3"/>
  <c r="S111" i="3"/>
  <c r="V111" i="3"/>
  <c r="W111" i="3"/>
  <c r="I112" i="3"/>
  <c r="K112" i="3"/>
  <c r="M112" i="3"/>
  <c r="S112" i="3"/>
  <c r="V112" i="3"/>
  <c r="W112" i="3"/>
  <c r="I113" i="3"/>
  <c r="K113" i="3"/>
  <c r="M113" i="3"/>
  <c r="S113" i="3"/>
  <c r="V113" i="3"/>
  <c r="W113" i="3"/>
  <c r="I114" i="3"/>
  <c r="K114" i="3"/>
  <c r="M114" i="3"/>
  <c r="S114" i="3"/>
  <c r="V114" i="3"/>
  <c r="W114" i="3"/>
  <c r="I115" i="3"/>
  <c r="K115" i="3"/>
  <c r="M115" i="3"/>
  <c r="S115" i="3"/>
  <c r="V115" i="3"/>
  <c r="W115" i="3"/>
  <c r="I116" i="3"/>
  <c r="K116" i="3"/>
  <c r="M116" i="3"/>
  <c r="S116" i="3"/>
  <c r="V116" i="3"/>
  <c r="W116" i="3"/>
  <c r="I117" i="3"/>
  <c r="K117" i="3"/>
  <c r="M117" i="3"/>
  <c r="S117" i="3"/>
  <c r="V117" i="3"/>
  <c r="W117" i="3"/>
  <c r="I118" i="3"/>
  <c r="K118" i="3"/>
  <c r="M118" i="3"/>
  <c r="S118" i="3"/>
  <c r="V118" i="3"/>
  <c r="W118" i="3"/>
  <c r="I119" i="3"/>
  <c r="K119" i="3"/>
  <c r="M119" i="3"/>
  <c r="S119" i="3"/>
  <c r="V119" i="3"/>
  <c r="W119" i="3"/>
  <c r="I120" i="3"/>
  <c r="K120" i="3"/>
  <c r="M120" i="3"/>
  <c r="S120" i="3"/>
  <c r="V120" i="3"/>
  <c r="W120" i="3"/>
  <c r="I121" i="3"/>
  <c r="K121" i="3"/>
  <c r="M121" i="3"/>
  <c r="S121" i="3"/>
  <c r="V121" i="3"/>
  <c r="W121" i="3"/>
  <c r="I122" i="3"/>
  <c r="K122" i="3"/>
  <c r="M122" i="3"/>
  <c r="S122" i="3"/>
  <c r="V122" i="3"/>
  <c r="W122" i="3"/>
  <c r="I123" i="3"/>
  <c r="K123" i="3"/>
  <c r="M123" i="3"/>
  <c r="S123" i="3"/>
  <c r="V123" i="3"/>
  <c r="W123" i="3"/>
  <c r="I124" i="3"/>
  <c r="K124" i="3"/>
  <c r="M124" i="3"/>
  <c r="S124" i="3"/>
  <c r="V124" i="3"/>
  <c r="W124" i="3"/>
  <c r="I125" i="3"/>
  <c r="K125" i="3"/>
  <c r="M125" i="3"/>
  <c r="S125" i="3"/>
  <c r="V125" i="3"/>
  <c r="W125" i="3"/>
  <c r="I126" i="3"/>
  <c r="K126" i="3"/>
  <c r="M126" i="3"/>
  <c r="S126" i="3"/>
  <c r="V126" i="3"/>
  <c r="W126" i="3"/>
  <c r="I127" i="3"/>
  <c r="K127" i="3"/>
  <c r="M127" i="3"/>
  <c r="S127" i="3"/>
  <c r="V127" i="3"/>
  <c r="W127" i="3"/>
  <c r="I128" i="3"/>
  <c r="K128" i="3"/>
  <c r="M128" i="3"/>
  <c r="S128" i="3"/>
  <c r="V128" i="3"/>
  <c r="W128" i="3"/>
  <c r="I129" i="3"/>
  <c r="K129" i="3"/>
  <c r="M129" i="3"/>
  <c r="S129" i="3"/>
  <c r="V129" i="3"/>
  <c r="W129" i="3"/>
  <c r="I130" i="3"/>
  <c r="K130" i="3"/>
  <c r="M130" i="3"/>
  <c r="S130" i="3"/>
  <c r="V130" i="3"/>
  <c r="W130" i="3"/>
  <c r="I131" i="3"/>
  <c r="K131" i="3"/>
  <c r="M131" i="3"/>
  <c r="S131" i="3"/>
  <c r="V131" i="3"/>
  <c r="W131" i="3"/>
  <c r="I132" i="3"/>
  <c r="K132" i="3"/>
  <c r="M132" i="3"/>
  <c r="S132" i="3"/>
  <c r="V132" i="3"/>
  <c r="W132" i="3"/>
  <c r="I133" i="3"/>
  <c r="K133" i="3"/>
  <c r="M133" i="3"/>
  <c r="S133" i="3"/>
  <c r="V133" i="3"/>
  <c r="W133" i="3"/>
  <c r="I134" i="3"/>
  <c r="K134" i="3"/>
  <c r="M134" i="3"/>
  <c r="S134" i="3"/>
  <c r="V134" i="3"/>
  <c r="W134" i="3"/>
  <c r="I135" i="3"/>
  <c r="K135" i="3"/>
  <c r="M135" i="3"/>
  <c r="S135" i="3"/>
  <c r="V135" i="3"/>
  <c r="W135" i="3"/>
  <c r="I136" i="3"/>
  <c r="K136" i="3"/>
  <c r="M136" i="3"/>
  <c r="S136" i="3"/>
  <c r="V136" i="3"/>
  <c r="W136" i="3"/>
  <c r="I137" i="3"/>
  <c r="K137" i="3"/>
  <c r="M137" i="3"/>
  <c r="S137" i="3"/>
  <c r="V137" i="3"/>
  <c r="W137" i="3"/>
  <c r="I138" i="3"/>
  <c r="K138" i="3"/>
  <c r="M138" i="3"/>
  <c r="S138" i="3"/>
  <c r="V138" i="3"/>
  <c r="W138" i="3"/>
  <c r="I139" i="3"/>
  <c r="K139" i="3"/>
  <c r="M139" i="3"/>
  <c r="S139" i="3"/>
  <c r="V139" i="3"/>
  <c r="W139" i="3"/>
  <c r="I140" i="3"/>
  <c r="K140" i="3"/>
  <c r="M140" i="3"/>
  <c r="S140" i="3"/>
  <c r="V140" i="3"/>
  <c r="W140" i="3"/>
  <c r="I141" i="3"/>
  <c r="K141" i="3"/>
  <c r="M141" i="3"/>
  <c r="S141" i="3"/>
  <c r="V141" i="3"/>
  <c r="W141" i="3"/>
  <c r="I142" i="3"/>
  <c r="K142" i="3"/>
  <c r="M142" i="3"/>
  <c r="S142" i="3"/>
  <c r="V142" i="3"/>
  <c r="W142" i="3"/>
  <c r="I143" i="3"/>
  <c r="K143" i="3"/>
  <c r="M143" i="3"/>
  <c r="S143" i="3"/>
  <c r="V143" i="3"/>
  <c r="W143" i="3"/>
  <c r="I144" i="3"/>
  <c r="K144" i="3"/>
  <c r="M144" i="3"/>
  <c r="S144" i="3"/>
  <c r="V144" i="3"/>
  <c r="W144" i="3"/>
  <c r="I145" i="3"/>
  <c r="K145" i="3"/>
  <c r="M145" i="3"/>
  <c r="S145" i="3"/>
  <c r="V145" i="3"/>
  <c r="W145" i="3"/>
  <c r="I146" i="3"/>
  <c r="K146" i="3"/>
  <c r="M146" i="3"/>
  <c r="S146" i="3"/>
  <c r="V146" i="3"/>
  <c r="W146" i="3"/>
  <c r="I147" i="3"/>
  <c r="K147" i="3"/>
  <c r="M147" i="3"/>
  <c r="S147" i="3"/>
  <c r="V147" i="3"/>
  <c r="W147" i="3"/>
  <c r="I148" i="3"/>
  <c r="K148" i="3"/>
  <c r="M148" i="3"/>
  <c r="S148" i="3"/>
  <c r="V148" i="3"/>
  <c r="W148" i="3"/>
  <c r="I149" i="3"/>
  <c r="K149" i="3"/>
  <c r="M149" i="3"/>
  <c r="S149" i="3"/>
  <c r="V149" i="3"/>
  <c r="W149" i="3"/>
  <c r="I150" i="3"/>
  <c r="K150" i="3"/>
  <c r="M150" i="3"/>
  <c r="S150" i="3"/>
  <c r="V150" i="3"/>
  <c r="W150" i="3"/>
  <c r="I151" i="3"/>
  <c r="K151" i="3"/>
  <c r="M151" i="3"/>
  <c r="S151" i="3"/>
  <c r="V151" i="3"/>
  <c r="W151" i="3"/>
  <c r="I152" i="3"/>
  <c r="K152" i="3"/>
  <c r="M152" i="3"/>
  <c r="S152" i="3"/>
  <c r="V152" i="3"/>
  <c r="W152" i="3"/>
  <c r="I153" i="3"/>
  <c r="K153" i="3"/>
  <c r="M153" i="3"/>
  <c r="S153" i="3"/>
  <c r="V153" i="3"/>
  <c r="W153" i="3"/>
  <c r="I154" i="3"/>
  <c r="K154" i="3"/>
  <c r="M154" i="3"/>
  <c r="S154" i="3"/>
  <c r="V154" i="3"/>
  <c r="W154" i="3"/>
  <c r="I155" i="3"/>
  <c r="K155" i="3"/>
  <c r="M155" i="3"/>
  <c r="S155" i="3"/>
  <c r="V155" i="3"/>
  <c r="W155" i="3"/>
  <c r="I156" i="3"/>
  <c r="K156" i="3"/>
  <c r="M156" i="3"/>
  <c r="S156" i="3"/>
  <c r="V156" i="3"/>
  <c r="W156" i="3"/>
  <c r="I157" i="3"/>
  <c r="K157" i="3"/>
  <c r="M157" i="3"/>
  <c r="S157" i="3"/>
  <c r="V157" i="3"/>
  <c r="W157" i="3"/>
  <c r="I158" i="3"/>
  <c r="K158" i="3"/>
  <c r="M158" i="3"/>
  <c r="S158" i="3"/>
  <c r="V158" i="3"/>
  <c r="W158" i="3"/>
  <c r="I159" i="3"/>
  <c r="K159" i="3"/>
  <c r="M159" i="3"/>
  <c r="S159" i="3"/>
  <c r="V159" i="3"/>
  <c r="W159" i="3"/>
  <c r="I160" i="3"/>
  <c r="K160" i="3"/>
  <c r="M160" i="3"/>
  <c r="S160" i="3"/>
  <c r="V160" i="3"/>
  <c r="W160" i="3"/>
  <c r="I161" i="3"/>
  <c r="K161" i="3"/>
  <c r="M161" i="3"/>
  <c r="S161" i="3"/>
  <c r="V161" i="3"/>
  <c r="W161" i="3"/>
  <c r="I162" i="3"/>
  <c r="K162" i="3"/>
  <c r="M162" i="3"/>
  <c r="S162" i="3"/>
  <c r="V162" i="3"/>
  <c r="W162" i="3"/>
  <c r="I163" i="3"/>
  <c r="K163" i="3"/>
  <c r="M163" i="3"/>
  <c r="S163" i="3"/>
  <c r="V163" i="3"/>
  <c r="W163" i="3"/>
  <c r="I164" i="3"/>
  <c r="K164" i="3"/>
  <c r="M164" i="3"/>
  <c r="S164" i="3"/>
  <c r="V164" i="3"/>
  <c r="W164" i="3"/>
  <c r="I165" i="3"/>
  <c r="K165" i="3"/>
  <c r="M165" i="3"/>
  <c r="V165" i="3"/>
  <c r="W165" i="3"/>
  <c r="I166" i="3"/>
  <c r="K166" i="3"/>
  <c r="M166" i="3"/>
  <c r="V166" i="3"/>
  <c r="W166" i="3"/>
  <c r="I167" i="3"/>
  <c r="K167" i="3"/>
  <c r="M167" i="3"/>
  <c r="V167" i="3"/>
  <c r="W167" i="3"/>
  <c r="I168" i="3"/>
  <c r="K168" i="3"/>
  <c r="M168" i="3"/>
  <c r="V168" i="3"/>
  <c r="W168" i="3"/>
  <c r="I169" i="3"/>
  <c r="K169" i="3"/>
  <c r="M169" i="3"/>
  <c r="V169" i="3"/>
  <c r="W169" i="3"/>
  <c r="I170" i="3"/>
  <c r="K170" i="3"/>
  <c r="M170" i="3"/>
  <c r="V170" i="3"/>
  <c r="W170" i="3"/>
  <c r="I171" i="3"/>
  <c r="K171" i="3"/>
  <c r="M171" i="3"/>
  <c r="V171" i="3"/>
  <c r="W171" i="3"/>
  <c r="I172" i="3"/>
  <c r="K172" i="3"/>
  <c r="M172" i="3"/>
  <c r="V172" i="3"/>
  <c r="W172" i="3"/>
  <c r="I173" i="3"/>
  <c r="K173" i="3"/>
  <c r="M173" i="3"/>
  <c r="V173" i="3"/>
  <c r="W173" i="3"/>
  <c r="I174" i="3"/>
  <c r="K174" i="3"/>
  <c r="M174" i="3"/>
  <c r="V174" i="3"/>
  <c r="W174" i="3"/>
  <c r="I175" i="3"/>
  <c r="K175" i="3"/>
  <c r="M175" i="3"/>
  <c r="V175" i="3"/>
  <c r="W175" i="3"/>
  <c r="I176" i="3"/>
  <c r="K176" i="3"/>
  <c r="M176" i="3"/>
  <c r="V176" i="3"/>
  <c r="W176" i="3"/>
  <c r="I177" i="3"/>
  <c r="K177" i="3"/>
  <c r="M177" i="3"/>
  <c r="V177" i="3"/>
  <c r="W177" i="3"/>
  <c r="I178" i="3"/>
  <c r="K178" i="3"/>
  <c r="M178" i="3"/>
  <c r="V178" i="3"/>
  <c r="W178" i="3"/>
  <c r="I179" i="3"/>
  <c r="K179" i="3"/>
  <c r="M179" i="3"/>
  <c r="V179" i="3"/>
  <c r="W179" i="3"/>
  <c r="I180" i="3"/>
  <c r="K180" i="3"/>
  <c r="M180" i="3"/>
  <c r="V180" i="3"/>
  <c r="W180" i="3"/>
  <c r="I181" i="3"/>
  <c r="K181" i="3"/>
  <c r="M181" i="3"/>
  <c r="V181" i="3"/>
  <c r="W181" i="3"/>
  <c r="I182" i="3"/>
  <c r="K182" i="3"/>
  <c r="M182" i="3"/>
  <c r="V182" i="3"/>
  <c r="W182" i="3"/>
  <c r="I183" i="3"/>
  <c r="K183" i="3"/>
  <c r="M183" i="3"/>
  <c r="V183" i="3"/>
  <c r="W183" i="3"/>
  <c r="I184" i="3"/>
  <c r="K184" i="3"/>
  <c r="M184" i="3"/>
  <c r="V184" i="3"/>
  <c r="W184" i="3"/>
  <c r="I185" i="3"/>
  <c r="K185" i="3"/>
  <c r="M185" i="3"/>
  <c r="V185" i="3"/>
  <c r="W185" i="3"/>
  <c r="I186" i="3"/>
  <c r="K186" i="3"/>
  <c r="M186" i="3"/>
  <c r="S186" i="3"/>
  <c r="V186" i="3"/>
  <c r="W186" i="3"/>
  <c r="I187" i="3"/>
  <c r="K187" i="3"/>
  <c r="M187" i="3"/>
  <c r="S187" i="3"/>
  <c r="V187" i="3"/>
  <c r="W187" i="3"/>
  <c r="I188" i="3"/>
  <c r="K188" i="3"/>
  <c r="M188" i="3"/>
  <c r="S188" i="3"/>
  <c r="V188" i="3"/>
  <c r="W188" i="3"/>
  <c r="I189" i="3"/>
  <c r="K189" i="3"/>
  <c r="M189" i="3"/>
  <c r="S189" i="3"/>
  <c r="V189" i="3"/>
  <c r="W189" i="3"/>
  <c r="I190" i="3"/>
  <c r="K190" i="3"/>
  <c r="M190" i="3"/>
  <c r="S190" i="3"/>
  <c r="V190" i="3"/>
  <c r="W190" i="3"/>
  <c r="I191" i="3"/>
  <c r="K191" i="3"/>
  <c r="M191" i="3"/>
  <c r="S191" i="3"/>
  <c r="V191" i="3"/>
  <c r="W191" i="3"/>
  <c r="I192" i="3"/>
  <c r="K192" i="3"/>
  <c r="M192" i="3"/>
  <c r="S192" i="3"/>
  <c r="V192" i="3"/>
  <c r="W192" i="3"/>
  <c r="I193" i="3"/>
  <c r="K193" i="3"/>
  <c r="M193" i="3"/>
  <c r="S193" i="3"/>
  <c r="V193" i="3"/>
  <c r="W193" i="3"/>
  <c r="I194" i="3"/>
  <c r="K194" i="3"/>
  <c r="M194" i="3"/>
  <c r="S194" i="3"/>
  <c r="V194" i="3"/>
  <c r="W194" i="3"/>
  <c r="I195" i="3"/>
  <c r="K195" i="3"/>
  <c r="M195" i="3"/>
  <c r="S195" i="3"/>
  <c r="V195" i="3"/>
  <c r="W195" i="3"/>
  <c r="I196" i="3"/>
  <c r="K196" i="3"/>
  <c r="M196" i="3"/>
  <c r="S196" i="3"/>
  <c r="V196" i="3"/>
  <c r="W196" i="3"/>
  <c r="I197" i="3"/>
  <c r="K197" i="3"/>
  <c r="M197" i="3"/>
  <c r="S197" i="3"/>
  <c r="V197" i="3"/>
  <c r="W197" i="3"/>
  <c r="I198" i="3"/>
  <c r="K198" i="3"/>
  <c r="M198" i="3"/>
  <c r="S198" i="3"/>
  <c r="V198" i="3"/>
  <c r="W198" i="3"/>
  <c r="I199" i="3"/>
  <c r="K199" i="3"/>
  <c r="M199" i="3"/>
  <c r="S199" i="3"/>
  <c r="V199" i="3"/>
  <c r="W199" i="3"/>
  <c r="I200" i="3"/>
  <c r="K200" i="3"/>
  <c r="M200" i="3"/>
  <c r="S200" i="3"/>
  <c r="V200" i="3"/>
  <c r="W200" i="3"/>
  <c r="I201" i="3"/>
  <c r="K201" i="3"/>
  <c r="M201" i="3"/>
  <c r="S201" i="3"/>
  <c r="V201" i="3"/>
  <c r="W201" i="3"/>
  <c r="I202" i="3"/>
  <c r="K202" i="3"/>
  <c r="M202" i="3"/>
  <c r="S202" i="3"/>
  <c r="V202" i="3"/>
  <c r="W202" i="3"/>
  <c r="I203" i="3"/>
  <c r="K203" i="3"/>
  <c r="M203" i="3"/>
  <c r="S203" i="3"/>
  <c r="V203" i="3"/>
  <c r="W203" i="3"/>
  <c r="I204" i="3"/>
  <c r="K204" i="3"/>
  <c r="M204" i="3"/>
  <c r="S204" i="3"/>
  <c r="V204" i="3"/>
  <c r="W204" i="3"/>
  <c r="I205" i="3"/>
  <c r="K205" i="3"/>
  <c r="M205" i="3"/>
  <c r="S205" i="3"/>
  <c r="V205" i="3"/>
  <c r="W205" i="3"/>
  <c r="I206" i="3"/>
  <c r="K206" i="3"/>
  <c r="M206" i="3"/>
  <c r="S206" i="3"/>
  <c r="V206" i="3"/>
  <c r="W206" i="3"/>
  <c r="I207" i="3"/>
  <c r="K207" i="3"/>
  <c r="M207" i="3"/>
  <c r="S207" i="3"/>
  <c r="V207" i="3"/>
  <c r="W207" i="3"/>
  <c r="I208" i="3"/>
  <c r="K208" i="3"/>
  <c r="M208" i="3"/>
  <c r="S208" i="3"/>
  <c r="V208" i="3"/>
  <c r="W208" i="3"/>
  <c r="I209" i="3"/>
  <c r="K209" i="3"/>
  <c r="M209" i="3"/>
  <c r="S209" i="3"/>
  <c r="V209" i="3"/>
  <c r="W209" i="3"/>
  <c r="I210" i="3"/>
  <c r="K210" i="3"/>
  <c r="M210" i="3"/>
  <c r="S210" i="3"/>
  <c r="V210" i="3"/>
  <c r="W210" i="3"/>
  <c r="I211" i="3"/>
  <c r="K211" i="3"/>
  <c r="M211" i="3"/>
  <c r="S211" i="3"/>
  <c r="V211" i="3"/>
  <c r="W211" i="3"/>
  <c r="I212" i="3"/>
  <c r="K212" i="3"/>
  <c r="M212" i="3"/>
  <c r="S212" i="3"/>
  <c r="V212" i="3"/>
  <c r="W212" i="3"/>
  <c r="I213" i="3"/>
  <c r="K213" i="3"/>
  <c r="M213" i="3"/>
  <c r="S213" i="3"/>
  <c r="V213" i="3"/>
  <c r="W213" i="3"/>
  <c r="I214" i="3"/>
  <c r="K214" i="3"/>
  <c r="M214" i="3"/>
  <c r="S214" i="3"/>
  <c r="V214" i="3"/>
  <c r="W214" i="3"/>
  <c r="I215" i="3"/>
  <c r="K215" i="3"/>
  <c r="M215" i="3"/>
  <c r="S215" i="3"/>
  <c r="V215" i="3"/>
  <c r="W215" i="3"/>
  <c r="I216" i="3"/>
  <c r="K216" i="3"/>
  <c r="M216" i="3"/>
  <c r="S216" i="3"/>
  <c r="V216" i="3"/>
  <c r="W216" i="3"/>
  <c r="I217" i="3"/>
  <c r="K217" i="3"/>
  <c r="M217" i="3"/>
  <c r="S217" i="3"/>
  <c r="V217" i="3"/>
  <c r="W217" i="3"/>
  <c r="I218" i="3"/>
  <c r="K218" i="3"/>
  <c r="M218" i="3"/>
  <c r="S218" i="3"/>
  <c r="V218" i="3"/>
  <c r="W218" i="3"/>
  <c r="I219" i="3"/>
  <c r="K219" i="3"/>
  <c r="M219" i="3"/>
  <c r="S219" i="3"/>
  <c r="V219" i="3"/>
  <c r="W219" i="3"/>
  <c r="I220" i="3"/>
  <c r="K220" i="3"/>
  <c r="M220" i="3"/>
  <c r="S220" i="3"/>
  <c r="V220" i="3"/>
  <c r="W220" i="3"/>
  <c r="I221" i="3"/>
  <c r="K221" i="3"/>
  <c r="M221" i="3"/>
  <c r="S221" i="3"/>
  <c r="V221" i="3"/>
  <c r="W221" i="3"/>
  <c r="I222" i="3"/>
  <c r="K222" i="3"/>
  <c r="M222" i="3"/>
  <c r="S222" i="3"/>
  <c r="V222" i="3"/>
  <c r="W222" i="3"/>
  <c r="I223" i="3"/>
  <c r="K223" i="3"/>
  <c r="M223" i="3"/>
  <c r="S223" i="3"/>
  <c r="V223" i="3"/>
  <c r="W223" i="3"/>
  <c r="I224" i="3"/>
  <c r="K224" i="3"/>
  <c r="M224" i="3"/>
  <c r="S224" i="3"/>
  <c r="V224" i="3"/>
  <c r="W224" i="3"/>
  <c r="I225" i="3"/>
  <c r="K225" i="3"/>
  <c r="M225" i="3"/>
  <c r="S225" i="3"/>
  <c r="V225" i="3"/>
  <c r="W225" i="3"/>
  <c r="I226" i="3"/>
  <c r="K226" i="3"/>
  <c r="M226" i="3"/>
  <c r="S226" i="3"/>
  <c r="V226" i="3"/>
  <c r="W226" i="3"/>
  <c r="I227" i="3"/>
  <c r="K227" i="3"/>
  <c r="M227" i="3"/>
  <c r="S227" i="3"/>
  <c r="V227" i="3"/>
  <c r="W227" i="3"/>
  <c r="I228" i="3"/>
  <c r="K228" i="3"/>
  <c r="M228" i="3"/>
  <c r="S228" i="3"/>
  <c r="V228" i="3"/>
  <c r="W228" i="3"/>
  <c r="I229" i="3"/>
  <c r="K229" i="3"/>
  <c r="M229" i="3"/>
  <c r="S229" i="3"/>
  <c r="V229" i="3"/>
  <c r="W229" i="3"/>
  <c r="I230" i="3"/>
  <c r="K230" i="3"/>
  <c r="M230" i="3"/>
  <c r="S230" i="3"/>
  <c r="V230" i="3"/>
  <c r="W230" i="3"/>
  <c r="I231" i="3"/>
  <c r="K231" i="3"/>
  <c r="M231" i="3"/>
  <c r="S231" i="3"/>
  <c r="V231" i="3"/>
  <c r="W231" i="3"/>
  <c r="I232" i="3"/>
  <c r="K232" i="3"/>
  <c r="M232" i="3"/>
  <c r="S232" i="3"/>
  <c r="V232" i="3"/>
  <c r="W232" i="3"/>
  <c r="I233" i="3"/>
  <c r="K233" i="3"/>
  <c r="M233" i="3"/>
  <c r="S233" i="3"/>
  <c r="V233" i="3"/>
  <c r="W233" i="3"/>
  <c r="I234" i="3"/>
  <c r="K234" i="3"/>
  <c r="M234" i="3"/>
  <c r="S234" i="3"/>
  <c r="V234" i="3"/>
  <c r="W234" i="3"/>
  <c r="I235" i="3"/>
  <c r="K235" i="3"/>
  <c r="M235" i="3"/>
  <c r="S235" i="3"/>
  <c r="V235" i="3"/>
  <c r="W235" i="3"/>
  <c r="I236" i="3"/>
  <c r="K236" i="3"/>
  <c r="M236" i="3"/>
  <c r="S236" i="3"/>
  <c r="V236" i="3"/>
  <c r="W236" i="3"/>
  <c r="I237" i="3"/>
  <c r="K237" i="3"/>
  <c r="M237" i="3"/>
  <c r="S237" i="3"/>
  <c r="V237" i="3"/>
  <c r="W237" i="3"/>
  <c r="I238" i="3"/>
  <c r="K238" i="3"/>
  <c r="M238" i="3"/>
  <c r="S238" i="3"/>
  <c r="V238" i="3"/>
  <c r="W238" i="3"/>
  <c r="I239" i="3"/>
  <c r="K239" i="3"/>
  <c r="M239" i="3"/>
  <c r="S239" i="3"/>
  <c r="V239" i="3"/>
  <c r="W239" i="3"/>
  <c r="I240" i="3"/>
  <c r="K240" i="3"/>
  <c r="M240" i="3"/>
  <c r="S240" i="3"/>
  <c r="V240" i="3"/>
  <c r="W240" i="3"/>
  <c r="I241" i="3"/>
  <c r="K241" i="3"/>
  <c r="M241" i="3"/>
  <c r="S241" i="3"/>
  <c r="V241" i="3"/>
  <c r="W241" i="3"/>
  <c r="I242" i="3"/>
  <c r="K242" i="3"/>
  <c r="M242" i="3"/>
  <c r="S242" i="3"/>
  <c r="V242" i="3"/>
  <c r="W242" i="3"/>
  <c r="I243" i="3"/>
  <c r="K243" i="3"/>
  <c r="M243" i="3"/>
  <c r="S243" i="3"/>
  <c r="V243" i="3"/>
  <c r="W243" i="3"/>
  <c r="I244" i="3"/>
  <c r="K244" i="3"/>
  <c r="M244" i="3"/>
  <c r="S244" i="3"/>
  <c r="V244" i="3"/>
  <c r="W244" i="3"/>
  <c r="I245" i="3"/>
  <c r="K245" i="3"/>
  <c r="M245" i="3"/>
  <c r="S245" i="3"/>
  <c r="V245" i="3"/>
  <c r="W245" i="3"/>
  <c r="I246" i="3"/>
  <c r="K246" i="3"/>
  <c r="M246" i="3"/>
  <c r="S246" i="3"/>
  <c r="V246" i="3"/>
  <c r="W246" i="3"/>
  <c r="I247" i="3"/>
  <c r="K247" i="3"/>
  <c r="M247" i="3"/>
  <c r="S247" i="3"/>
  <c r="V247" i="3"/>
  <c r="W247" i="3"/>
  <c r="I248" i="3"/>
  <c r="K248" i="3"/>
  <c r="M248" i="3"/>
  <c r="S248" i="3"/>
  <c r="V248" i="3"/>
  <c r="W248" i="3"/>
  <c r="I249" i="3"/>
  <c r="K249" i="3"/>
  <c r="M249" i="3"/>
  <c r="S249" i="3"/>
  <c r="V249" i="3"/>
  <c r="W249" i="3"/>
  <c r="I250" i="3"/>
  <c r="K250" i="3"/>
  <c r="M250" i="3"/>
  <c r="S250" i="3"/>
  <c r="V250" i="3"/>
  <c r="W250" i="3"/>
  <c r="I251" i="3"/>
  <c r="K251" i="3"/>
  <c r="M251" i="3"/>
  <c r="S251" i="3"/>
  <c r="V251" i="3"/>
  <c r="W251" i="3"/>
  <c r="I252" i="3"/>
  <c r="K252" i="3"/>
  <c r="M252" i="3"/>
  <c r="S252" i="3"/>
  <c r="V252" i="3"/>
  <c r="W252" i="3"/>
  <c r="I253" i="3"/>
  <c r="K253" i="3"/>
  <c r="M253" i="3"/>
  <c r="S253" i="3"/>
  <c r="V253" i="3"/>
  <c r="W253" i="3"/>
  <c r="I254" i="3"/>
  <c r="K254" i="3"/>
  <c r="M254" i="3"/>
  <c r="S254" i="3"/>
  <c r="V254" i="3"/>
  <c r="W254" i="3"/>
  <c r="I255" i="3"/>
  <c r="K255" i="3"/>
  <c r="M255" i="3"/>
  <c r="S255" i="3"/>
  <c r="V255" i="3"/>
  <c r="W255" i="3"/>
  <c r="I256" i="3"/>
  <c r="K256" i="3"/>
  <c r="M256" i="3"/>
  <c r="S256" i="3"/>
  <c r="V256" i="3"/>
  <c r="W256" i="3"/>
  <c r="I257" i="3"/>
  <c r="K257" i="3"/>
  <c r="M257" i="3"/>
  <c r="S257" i="3"/>
  <c r="V257" i="3"/>
  <c r="W257" i="3"/>
  <c r="I258" i="3"/>
  <c r="K258" i="3"/>
  <c r="M258" i="3"/>
  <c r="S258" i="3"/>
  <c r="V258" i="3"/>
  <c r="W258" i="3"/>
  <c r="I259" i="3"/>
  <c r="K259" i="3"/>
  <c r="M259" i="3"/>
  <c r="S259" i="3"/>
  <c r="V259" i="3"/>
  <c r="W259" i="3"/>
  <c r="I260" i="3"/>
  <c r="K260" i="3"/>
  <c r="M260" i="3"/>
  <c r="S260" i="3"/>
  <c r="V260" i="3"/>
  <c r="W260" i="3"/>
  <c r="I261" i="3"/>
  <c r="K261" i="3"/>
  <c r="M261" i="3"/>
  <c r="S261" i="3"/>
  <c r="V261" i="3"/>
  <c r="W261" i="3"/>
  <c r="I262" i="3"/>
  <c r="K262" i="3"/>
  <c r="M262" i="3"/>
  <c r="S262" i="3"/>
  <c r="V262" i="3"/>
  <c r="W262" i="3"/>
  <c r="I263" i="3"/>
  <c r="K263" i="3"/>
  <c r="M263" i="3"/>
  <c r="S263" i="3"/>
  <c r="V263" i="3"/>
  <c r="W263" i="3"/>
  <c r="I264" i="3"/>
  <c r="K264" i="3"/>
  <c r="M264" i="3"/>
  <c r="S264" i="3"/>
  <c r="V264" i="3"/>
  <c r="W264" i="3"/>
  <c r="I265" i="3"/>
  <c r="K265" i="3"/>
  <c r="M265" i="3"/>
  <c r="S265" i="3"/>
  <c r="V265" i="3"/>
  <c r="W265" i="3"/>
  <c r="I266" i="3"/>
  <c r="K266" i="3"/>
  <c r="M266" i="3"/>
  <c r="S266" i="3"/>
  <c r="V266" i="3"/>
  <c r="W266" i="3"/>
  <c r="I267" i="3"/>
  <c r="K267" i="3"/>
  <c r="M267" i="3"/>
  <c r="S267" i="3"/>
  <c r="V267" i="3"/>
  <c r="W267" i="3"/>
  <c r="I268" i="3"/>
  <c r="K268" i="3"/>
  <c r="M268" i="3"/>
  <c r="S268" i="3"/>
  <c r="V268" i="3"/>
  <c r="W268" i="3"/>
  <c r="I269" i="3"/>
  <c r="K269" i="3"/>
  <c r="M269" i="3"/>
  <c r="S269" i="3"/>
  <c r="V269" i="3"/>
  <c r="W269" i="3"/>
  <c r="I270" i="3"/>
  <c r="K270" i="3"/>
  <c r="M270" i="3"/>
  <c r="S270" i="3"/>
  <c r="V270" i="3"/>
  <c r="W270" i="3"/>
  <c r="I271" i="3"/>
  <c r="K271" i="3"/>
  <c r="M271" i="3"/>
  <c r="S271" i="3"/>
  <c r="V271" i="3"/>
  <c r="W271" i="3"/>
  <c r="I272" i="3"/>
  <c r="K272" i="3"/>
  <c r="M272" i="3"/>
  <c r="S272" i="3"/>
  <c r="V272" i="3"/>
  <c r="W272" i="3"/>
  <c r="I273" i="3"/>
  <c r="K273" i="3"/>
  <c r="M273" i="3"/>
  <c r="S273" i="3"/>
  <c r="V273" i="3"/>
  <c r="W273" i="3"/>
  <c r="I274" i="3"/>
  <c r="K274" i="3"/>
  <c r="M274" i="3"/>
  <c r="S274" i="3"/>
  <c r="V274" i="3"/>
  <c r="W274" i="3"/>
  <c r="I275" i="3"/>
  <c r="K275" i="3"/>
  <c r="M275" i="3"/>
  <c r="S275" i="3"/>
  <c r="V275" i="3"/>
  <c r="W275" i="3"/>
  <c r="I276" i="3"/>
  <c r="K276" i="3"/>
  <c r="M276" i="3"/>
  <c r="S276" i="3"/>
  <c r="V276" i="3"/>
  <c r="W276" i="3"/>
  <c r="I277" i="3"/>
  <c r="K277" i="3"/>
  <c r="M277" i="3"/>
  <c r="S277" i="3"/>
  <c r="V277" i="3"/>
  <c r="W277" i="3"/>
  <c r="I278" i="3"/>
  <c r="K278" i="3"/>
  <c r="M278" i="3"/>
  <c r="S278" i="3"/>
  <c r="V278" i="3"/>
  <c r="W278" i="3"/>
  <c r="I279" i="3"/>
  <c r="K279" i="3"/>
  <c r="M279" i="3"/>
  <c r="S279" i="3"/>
  <c r="V279" i="3"/>
  <c r="W279" i="3"/>
  <c r="I280" i="3"/>
  <c r="K280" i="3"/>
  <c r="M280" i="3"/>
  <c r="S280" i="3"/>
  <c r="V280" i="3"/>
  <c r="W280" i="3"/>
  <c r="I281" i="3"/>
  <c r="K281" i="3"/>
  <c r="M281" i="3"/>
  <c r="S281" i="3"/>
  <c r="V281" i="3"/>
  <c r="W281" i="3"/>
  <c r="I282" i="3"/>
  <c r="K282" i="3"/>
  <c r="M282" i="3"/>
  <c r="S282" i="3"/>
  <c r="V282" i="3"/>
  <c r="W282" i="3"/>
  <c r="I283" i="3"/>
  <c r="K283" i="3"/>
  <c r="M283" i="3"/>
  <c r="S283" i="3"/>
  <c r="V283" i="3"/>
  <c r="W283" i="3"/>
  <c r="I284" i="3"/>
  <c r="K284" i="3"/>
  <c r="M284" i="3"/>
  <c r="S284" i="3"/>
  <c r="V284" i="3"/>
  <c r="W284" i="3"/>
  <c r="I285" i="3"/>
  <c r="K285" i="3"/>
  <c r="M285" i="3"/>
  <c r="S285" i="3"/>
  <c r="V285" i="3"/>
  <c r="W285" i="3"/>
  <c r="I286" i="3"/>
  <c r="K286" i="3"/>
  <c r="M286" i="3"/>
  <c r="S286" i="3"/>
  <c r="V286" i="3"/>
  <c r="W286" i="3"/>
  <c r="I287" i="3"/>
  <c r="K287" i="3"/>
  <c r="M287" i="3"/>
  <c r="S287" i="3"/>
  <c r="V287" i="3"/>
  <c r="W287" i="3"/>
  <c r="I288" i="3"/>
  <c r="K288" i="3"/>
  <c r="M288" i="3"/>
  <c r="S288" i="3"/>
  <c r="V288" i="3"/>
  <c r="W288" i="3"/>
  <c r="I289" i="3"/>
  <c r="K289" i="3"/>
  <c r="M289" i="3"/>
  <c r="S289" i="3"/>
  <c r="V289" i="3"/>
  <c r="W289" i="3"/>
  <c r="I290" i="3"/>
  <c r="K290" i="3"/>
  <c r="M290" i="3"/>
  <c r="S290" i="3"/>
  <c r="V290" i="3"/>
  <c r="W290" i="3"/>
  <c r="I291" i="3"/>
  <c r="K291" i="3"/>
  <c r="M291" i="3"/>
  <c r="S291" i="3"/>
  <c r="V291" i="3"/>
  <c r="W291" i="3"/>
  <c r="I292" i="3"/>
  <c r="K292" i="3"/>
  <c r="M292" i="3"/>
  <c r="S292" i="3"/>
  <c r="V292" i="3"/>
  <c r="W292" i="3"/>
  <c r="I293" i="3"/>
  <c r="K293" i="3"/>
  <c r="M293" i="3"/>
  <c r="S293" i="3"/>
  <c r="V293" i="3"/>
  <c r="W293" i="3"/>
  <c r="I294" i="3"/>
  <c r="K294" i="3"/>
  <c r="M294" i="3"/>
  <c r="S294" i="3"/>
  <c r="V294" i="3"/>
  <c r="W294" i="3"/>
  <c r="I295" i="3"/>
  <c r="K295" i="3"/>
  <c r="M295" i="3"/>
  <c r="S295" i="3"/>
  <c r="V295" i="3"/>
  <c r="W295" i="3"/>
  <c r="I296" i="3"/>
  <c r="K296" i="3"/>
  <c r="M296" i="3"/>
  <c r="S296" i="3"/>
  <c r="V296" i="3"/>
  <c r="W296" i="3"/>
  <c r="I297" i="3"/>
  <c r="K297" i="3"/>
  <c r="M297" i="3"/>
  <c r="S297" i="3"/>
  <c r="V297" i="3"/>
  <c r="W297" i="3"/>
  <c r="I298" i="3"/>
  <c r="K298" i="3"/>
  <c r="M298" i="3"/>
  <c r="S298" i="3"/>
  <c r="V298" i="3"/>
  <c r="W298" i="3"/>
  <c r="I299" i="3"/>
  <c r="K299" i="3"/>
  <c r="M299" i="3"/>
  <c r="S299" i="3"/>
  <c r="V299" i="3"/>
  <c r="W299" i="3"/>
  <c r="I300" i="3"/>
  <c r="K300" i="3"/>
  <c r="M300" i="3"/>
  <c r="S300" i="3"/>
  <c r="V300" i="3"/>
  <c r="W300" i="3"/>
  <c r="I301" i="3"/>
  <c r="K301" i="3"/>
  <c r="M301" i="3"/>
  <c r="S301" i="3"/>
  <c r="V301" i="3"/>
  <c r="W301" i="3"/>
  <c r="I302" i="3"/>
  <c r="K302" i="3"/>
  <c r="M302" i="3"/>
  <c r="S302" i="3"/>
  <c r="V302" i="3"/>
  <c r="W302" i="3"/>
  <c r="I303" i="3"/>
  <c r="K303" i="3"/>
  <c r="M303" i="3"/>
  <c r="S303" i="3"/>
  <c r="V303" i="3"/>
  <c r="W303" i="3"/>
  <c r="I304" i="3"/>
  <c r="K304" i="3"/>
  <c r="M304" i="3"/>
  <c r="S304" i="3"/>
  <c r="V304" i="3"/>
  <c r="W304" i="3"/>
  <c r="I305" i="3"/>
  <c r="K305" i="3"/>
  <c r="M305" i="3"/>
  <c r="S305" i="3"/>
  <c r="V305" i="3"/>
  <c r="W305" i="3"/>
  <c r="I306" i="3"/>
  <c r="K306" i="3"/>
  <c r="M306" i="3"/>
  <c r="S306" i="3"/>
  <c r="V306" i="3"/>
  <c r="W306" i="3"/>
  <c r="I307" i="3"/>
  <c r="K307" i="3"/>
  <c r="M307" i="3"/>
  <c r="S307" i="3"/>
  <c r="V307" i="3"/>
  <c r="W307" i="3"/>
  <c r="I308" i="3"/>
  <c r="K308" i="3"/>
  <c r="M308" i="3"/>
  <c r="S308" i="3"/>
  <c r="V308" i="3"/>
  <c r="W308" i="3"/>
  <c r="I309" i="3"/>
  <c r="K309" i="3"/>
  <c r="M309" i="3"/>
  <c r="S309" i="3"/>
  <c r="V309" i="3"/>
  <c r="W309" i="3"/>
  <c r="I310" i="3"/>
  <c r="K310" i="3"/>
  <c r="M310" i="3"/>
  <c r="S310" i="3"/>
  <c r="V310" i="3"/>
  <c r="W310" i="3"/>
  <c r="I311" i="3"/>
  <c r="K311" i="3"/>
  <c r="M311" i="3"/>
  <c r="S311" i="3"/>
  <c r="V311" i="3"/>
  <c r="W311" i="3"/>
  <c r="I312" i="3"/>
  <c r="K312" i="3"/>
  <c r="M312" i="3"/>
  <c r="S312" i="3"/>
  <c r="V312" i="3"/>
  <c r="W312" i="3"/>
  <c r="I313" i="3"/>
  <c r="K313" i="3"/>
  <c r="M313" i="3"/>
  <c r="S313" i="3"/>
  <c r="V313" i="3"/>
  <c r="W313" i="3"/>
  <c r="I314" i="3"/>
  <c r="K314" i="3"/>
  <c r="M314" i="3"/>
  <c r="S314" i="3"/>
  <c r="V314" i="3"/>
  <c r="W314" i="3"/>
  <c r="I315" i="3"/>
  <c r="K315" i="3"/>
  <c r="M315" i="3"/>
  <c r="S315" i="3"/>
  <c r="V315" i="3"/>
  <c r="W315" i="3"/>
  <c r="I316" i="3"/>
  <c r="K316" i="3"/>
  <c r="M316" i="3"/>
  <c r="S316" i="3"/>
  <c r="V316" i="3"/>
  <c r="W316" i="3"/>
  <c r="I317" i="3"/>
  <c r="K317" i="3"/>
  <c r="M317" i="3"/>
  <c r="S317" i="3"/>
  <c r="V317" i="3"/>
  <c r="W317" i="3"/>
  <c r="I318" i="3"/>
  <c r="K318" i="3"/>
  <c r="M318" i="3"/>
  <c r="S318" i="3"/>
  <c r="V318" i="3"/>
  <c r="W318" i="3"/>
  <c r="I319" i="3"/>
  <c r="K319" i="3"/>
  <c r="M319" i="3"/>
  <c r="S319" i="3"/>
  <c r="V319" i="3"/>
  <c r="W319" i="3"/>
  <c r="I320" i="3"/>
  <c r="K320" i="3"/>
  <c r="M320" i="3"/>
  <c r="S320" i="3"/>
  <c r="V320" i="3"/>
  <c r="W320" i="3"/>
  <c r="I321" i="3"/>
  <c r="K321" i="3"/>
  <c r="M321" i="3"/>
  <c r="S321" i="3"/>
  <c r="V321" i="3"/>
  <c r="W321" i="3"/>
  <c r="I322" i="3"/>
  <c r="K322" i="3"/>
  <c r="M322" i="3"/>
  <c r="S322" i="3"/>
  <c r="V322" i="3"/>
  <c r="W322" i="3"/>
  <c r="I323" i="3"/>
  <c r="K323" i="3"/>
  <c r="M323" i="3"/>
  <c r="S323" i="3"/>
  <c r="V323" i="3"/>
  <c r="W323" i="3"/>
  <c r="I324" i="3"/>
  <c r="K324" i="3"/>
  <c r="M324" i="3"/>
  <c r="S324" i="3"/>
  <c r="V324" i="3"/>
  <c r="W324" i="3"/>
  <c r="I325" i="3"/>
  <c r="K325" i="3"/>
  <c r="M325" i="3"/>
  <c r="S325" i="3"/>
  <c r="V325" i="3"/>
  <c r="W325" i="3"/>
  <c r="I326" i="3"/>
  <c r="K326" i="3"/>
  <c r="M326" i="3"/>
  <c r="S326" i="3"/>
  <c r="V326" i="3"/>
  <c r="W326" i="3"/>
  <c r="I327" i="3"/>
  <c r="K327" i="3"/>
  <c r="M327" i="3"/>
  <c r="S327" i="3"/>
  <c r="V327" i="3"/>
  <c r="W327" i="3"/>
  <c r="I328" i="3"/>
  <c r="K328" i="3"/>
  <c r="M328" i="3"/>
  <c r="S328" i="3"/>
  <c r="V328" i="3"/>
  <c r="W328" i="3"/>
  <c r="I329" i="3"/>
  <c r="K329" i="3"/>
  <c r="M329" i="3"/>
  <c r="S329" i="3"/>
  <c r="V329" i="3"/>
  <c r="W329" i="3"/>
  <c r="I330" i="3"/>
  <c r="K330" i="3"/>
  <c r="M330" i="3"/>
  <c r="S330" i="3"/>
  <c r="V330" i="3"/>
  <c r="W330" i="3"/>
  <c r="I331" i="3"/>
  <c r="K331" i="3"/>
  <c r="M331" i="3"/>
  <c r="S331" i="3"/>
  <c r="V331" i="3"/>
  <c r="W331" i="3"/>
  <c r="I332" i="3"/>
  <c r="K332" i="3"/>
  <c r="M332" i="3"/>
  <c r="S332" i="3"/>
  <c r="V332" i="3"/>
  <c r="W332" i="3"/>
  <c r="I333" i="3"/>
  <c r="K333" i="3"/>
  <c r="M333" i="3"/>
  <c r="S333" i="3"/>
  <c r="V333" i="3"/>
  <c r="W333" i="3"/>
  <c r="I334" i="3"/>
  <c r="K334" i="3"/>
  <c r="M334" i="3"/>
  <c r="S334" i="3"/>
  <c r="V334" i="3"/>
  <c r="W334" i="3"/>
  <c r="I335" i="3"/>
  <c r="K335" i="3"/>
  <c r="M335" i="3"/>
  <c r="S335" i="3"/>
  <c r="V335" i="3"/>
  <c r="W335" i="3"/>
  <c r="I336" i="3"/>
  <c r="K336" i="3"/>
  <c r="M336" i="3"/>
  <c r="S336" i="3"/>
  <c r="V336" i="3"/>
  <c r="W336" i="3"/>
  <c r="I337" i="3"/>
  <c r="K337" i="3"/>
  <c r="M337" i="3"/>
  <c r="S337" i="3"/>
  <c r="V337" i="3"/>
  <c r="W337" i="3"/>
  <c r="I338" i="3"/>
  <c r="K338" i="3"/>
  <c r="M338" i="3"/>
  <c r="S338" i="3"/>
  <c r="V338" i="3"/>
  <c r="W338" i="3"/>
  <c r="I339" i="3"/>
  <c r="K339" i="3"/>
  <c r="M339" i="3"/>
  <c r="S339" i="3"/>
  <c r="V339" i="3"/>
  <c r="W339" i="3"/>
  <c r="I340" i="3"/>
  <c r="K340" i="3"/>
  <c r="M340" i="3"/>
  <c r="S340" i="3"/>
  <c r="V340" i="3"/>
  <c r="W340" i="3"/>
  <c r="I341" i="3"/>
  <c r="K341" i="3"/>
  <c r="M341" i="3"/>
  <c r="S341" i="3"/>
  <c r="V341" i="3"/>
  <c r="W341" i="3"/>
  <c r="I342" i="3"/>
  <c r="K342" i="3"/>
  <c r="M342" i="3"/>
  <c r="S342" i="3"/>
  <c r="V342" i="3"/>
  <c r="W342" i="3"/>
  <c r="I343" i="3"/>
  <c r="K343" i="3"/>
  <c r="M343" i="3"/>
  <c r="S343" i="3"/>
  <c r="V343" i="3"/>
  <c r="W343" i="3"/>
  <c r="I344" i="3"/>
  <c r="K344" i="3"/>
  <c r="M344" i="3"/>
  <c r="S344" i="3"/>
  <c r="V344" i="3"/>
  <c r="W344" i="3"/>
  <c r="I345" i="3"/>
  <c r="K345" i="3"/>
  <c r="M345" i="3"/>
  <c r="S345" i="3"/>
  <c r="V345" i="3"/>
  <c r="W345" i="3"/>
  <c r="I346" i="3"/>
  <c r="K346" i="3"/>
  <c r="M346" i="3"/>
  <c r="S346" i="3"/>
  <c r="V346" i="3"/>
  <c r="W346" i="3"/>
  <c r="I347" i="3"/>
  <c r="K347" i="3"/>
  <c r="M347" i="3"/>
  <c r="S347" i="3"/>
  <c r="V347" i="3"/>
  <c r="W347" i="3"/>
  <c r="I348" i="3"/>
  <c r="K348" i="3"/>
  <c r="M348" i="3"/>
  <c r="S348" i="3"/>
  <c r="V348" i="3"/>
  <c r="W348" i="3"/>
  <c r="I349" i="3"/>
  <c r="K349" i="3"/>
  <c r="M349" i="3"/>
  <c r="S349" i="3"/>
  <c r="V349" i="3"/>
  <c r="W349" i="3"/>
  <c r="I350" i="3"/>
  <c r="K350" i="3"/>
  <c r="M350" i="3"/>
  <c r="S350" i="3"/>
  <c r="V350" i="3"/>
  <c r="W350" i="3"/>
  <c r="I351" i="3"/>
  <c r="K351" i="3"/>
  <c r="M351" i="3"/>
  <c r="S351" i="3"/>
  <c r="V351" i="3"/>
  <c r="W351" i="3"/>
  <c r="I352" i="3"/>
  <c r="K352" i="3"/>
  <c r="M352" i="3"/>
  <c r="S352" i="3"/>
  <c r="V352" i="3"/>
  <c r="W352" i="3"/>
  <c r="I353" i="3"/>
  <c r="K353" i="3"/>
  <c r="M353" i="3"/>
  <c r="S353" i="3"/>
  <c r="V353" i="3"/>
  <c r="W353" i="3"/>
  <c r="I354" i="3"/>
  <c r="K354" i="3"/>
  <c r="M354" i="3"/>
  <c r="S354" i="3"/>
  <c r="V354" i="3"/>
  <c r="W354" i="3"/>
  <c r="I355" i="3"/>
  <c r="K355" i="3"/>
  <c r="M355" i="3"/>
  <c r="S355" i="3"/>
  <c r="V355" i="3"/>
  <c r="W355" i="3"/>
  <c r="I356" i="3"/>
  <c r="K356" i="3"/>
  <c r="M356" i="3"/>
  <c r="S356" i="3"/>
  <c r="V356" i="3"/>
  <c r="W356" i="3"/>
  <c r="I357" i="3"/>
  <c r="K357" i="3"/>
  <c r="M357" i="3"/>
  <c r="S357" i="3"/>
  <c r="V357" i="3"/>
  <c r="W357" i="3"/>
  <c r="I358" i="3"/>
  <c r="K358" i="3"/>
  <c r="M358" i="3"/>
  <c r="S358" i="3"/>
  <c r="V358" i="3"/>
  <c r="W358" i="3"/>
  <c r="I359" i="3"/>
  <c r="K359" i="3"/>
  <c r="M359" i="3"/>
  <c r="S359" i="3"/>
  <c r="V359" i="3"/>
  <c r="W359" i="3"/>
  <c r="I360" i="3"/>
  <c r="K360" i="3"/>
  <c r="M360" i="3"/>
  <c r="S360" i="3"/>
  <c r="V360" i="3"/>
  <c r="W360" i="3"/>
  <c r="I361" i="3"/>
  <c r="K361" i="3"/>
  <c r="M361" i="3"/>
  <c r="S361" i="3"/>
  <c r="V361" i="3"/>
  <c r="W361" i="3"/>
  <c r="I362" i="3"/>
  <c r="K362" i="3"/>
  <c r="M362" i="3"/>
  <c r="S362" i="3"/>
  <c r="V362" i="3"/>
  <c r="W362" i="3"/>
  <c r="I363" i="3"/>
  <c r="K363" i="3"/>
  <c r="M363" i="3"/>
  <c r="S363" i="3"/>
  <c r="V363" i="3"/>
  <c r="W363" i="3"/>
  <c r="I364" i="3"/>
  <c r="K364" i="3"/>
  <c r="M364" i="3"/>
  <c r="S364" i="3"/>
  <c r="V364" i="3"/>
  <c r="W364" i="3"/>
  <c r="I365" i="3"/>
  <c r="K365" i="3"/>
  <c r="M365" i="3"/>
  <c r="S365" i="3"/>
  <c r="V365" i="3"/>
  <c r="W365" i="3"/>
  <c r="I366" i="3"/>
  <c r="K366" i="3"/>
  <c r="M366" i="3"/>
  <c r="S366" i="3"/>
  <c r="V366" i="3"/>
  <c r="W366" i="3"/>
  <c r="I367" i="3"/>
  <c r="K367" i="3"/>
  <c r="M367" i="3"/>
  <c r="S367" i="3"/>
  <c r="V367" i="3"/>
  <c r="W367" i="3"/>
  <c r="I368" i="3"/>
  <c r="K368" i="3"/>
  <c r="M368" i="3"/>
  <c r="S368" i="3"/>
  <c r="V368" i="3"/>
  <c r="W368" i="3"/>
  <c r="I369" i="3"/>
  <c r="K369" i="3"/>
  <c r="M369" i="3"/>
  <c r="S369" i="3"/>
  <c r="V369" i="3"/>
  <c r="W369" i="3"/>
  <c r="I370" i="3"/>
  <c r="K370" i="3"/>
  <c r="M370" i="3"/>
  <c r="S370" i="3"/>
  <c r="V370" i="3"/>
  <c r="W370" i="3"/>
  <c r="I371" i="3"/>
  <c r="K371" i="3"/>
  <c r="M371" i="3"/>
  <c r="S371" i="3"/>
  <c r="V371" i="3"/>
  <c r="W371" i="3"/>
  <c r="I372" i="3"/>
  <c r="K372" i="3"/>
  <c r="M372" i="3"/>
  <c r="S372" i="3"/>
  <c r="V372" i="3"/>
  <c r="W372" i="3"/>
  <c r="I373" i="3"/>
  <c r="K373" i="3"/>
  <c r="M373" i="3"/>
  <c r="S373" i="3"/>
  <c r="V373" i="3"/>
  <c r="W373" i="3"/>
  <c r="I374" i="3"/>
  <c r="K374" i="3"/>
  <c r="M374" i="3"/>
  <c r="S374" i="3"/>
  <c r="V374" i="3"/>
  <c r="W374" i="3"/>
  <c r="I375" i="3"/>
  <c r="K375" i="3"/>
  <c r="M375" i="3"/>
  <c r="S375" i="3"/>
  <c r="V375" i="3"/>
  <c r="W375" i="3"/>
  <c r="I376" i="3"/>
  <c r="K376" i="3"/>
  <c r="M376" i="3"/>
  <c r="S376" i="3"/>
  <c r="V376" i="3"/>
  <c r="W376" i="3"/>
  <c r="I377" i="3"/>
  <c r="K377" i="3"/>
  <c r="M377" i="3"/>
  <c r="S377" i="3"/>
  <c r="V377" i="3"/>
  <c r="W377" i="3"/>
  <c r="I378" i="3"/>
  <c r="K378" i="3"/>
  <c r="M378" i="3"/>
  <c r="S378" i="3"/>
  <c r="V378" i="3"/>
  <c r="W378" i="3"/>
  <c r="I379" i="3"/>
  <c r="K379" i="3"/>
  <c r="M379" i="3"/>
  <c r="S379" i="3"/>
  <c r="V379" i="3"/>
  <c r="W379" i="3"/>
  <c r="I380" i="3"/>
  <c r="K380" i="3"/>
  <c r="M380" i="3"/>
  <c r="S380" i="3"/>
  <c r="V380" i="3"/>
  <c r="W380" i="3"/>
  <c r="I381" i="3"/>
  <c r="K381" i="3"/>
  <c r="M381" i="3"/>
  <c r="S381" i="3"/>
  <c r="V381" i="3"/>
  <c r="W381" i="3"/>
  <c r="I382" i="3"/>
  <c r="K382" i="3"/>
  <c r="M382" i="3"/>
  <c r="S382" i="3"/>
  <c r="V382" i="3"/>
  <c r="W382" i="3"/>
  <c r="I383" i="3"/>
  <c r="K383" i="3"/>
  <c r="M383" i="3"/>
  <c r="S383" i="3"/>
  <c r="V383" i="3"/>
  <c r="W383" i="3"/>
  <c r="I384" i="3"/>
  <c r="K384" i="3"/>
  <c r="M384" i="3"/>
  <c r="S384" i="3"/>
  <c r="V384" i="3"/>
  <c r="W384" i="3"/>
  <c r="I385" i="3"/>
  <c r="K385" i="3"/>
  <c r="M385" i="3"/>
  <c r="S385" i="3"/>
  <c r="V385" i="3"/>
  <c r="W385" i="3"/>
  <c r="I386" i="3"/>
  <c r="K386" i="3"/>
  <c r="M386" i="3"/>
  <c r="S386" i="3"/>
  <c r="V386" i="3"/>
  <c r="W386" i="3"/>
  <c r="I387" i="3"/>
  <c r="K387" i="3"/>
  <c r="M387" i="3"/>
  <c r="S387" i="3"/>
  <c r="V387" i="3"/>
  <c r="W387" i="3"/>
  <c r="I388" i="3"/>
  <c r="K388" i="3"/>
  <c r="M388" i="3"/>
  <c r="S388" i="3"/>
  <c r="V388" i="3"/>
  <c r="W388" i="3"/>
  <c r="I389" i="3"/>
  <c r="K389" i="3"/>
  <c r="M389" i="3"/>
  <c r="S389" i="3"/>
  <c r="V389" i="3"/>
  <c r="W389" i="3"/>
  <c r="I390" i="3"/>
  <c r="K390" i="3"/>
  <c r="M390" i="3"/>
  <c r="S390" i="3"/>
  <c r="V390" i="3"/>
  <c r="W390" i="3"/>
  <c r="I391" i="3"/>
  <c r="K391" i="3"/>
  <c r="M391" i="3"/>
  <c r="S391" i="3"/>
  <c r="V391" i="3"/>
  <c r="W391" i="3"/>
  <c r="I392" i="3"/>
  <c r="K392" i="3"/>
  <c r="M392" i="3"/>
  <c r="S392" i="3"/>
  <c r="V392" i="3"/>
  <c r="W392" i="3"/>
  <c r="I393" i="3"/>
  <c r="K393" i="3"/>
  <c r="M393" i="3"/>
  <c r="S393" i="3"/>
  <c r="V393" i="3"/>
  <c r="W393" i="3"/>
  <c r="I394" i="3"/>
  <c r="K394" i="3"/>
  <c r="M394" i="3"/>
  <c r="S394" i="3"/>
  <c r="V394" i="3"/>
  <c r="W394" i="3"/>
  <c r="I395" i="3"/>
  <c r="K395" i="3"/>
  <c r="M395" i="3"/>
  <c r="S395" i="3"/>
  <c r="V395" i="3"/>
  <c r="W395" i="3"/>
  <c r="I396" i="3"/>
  <c r="K396" i="3"/>
  <c r="M396" i="3"/>
  <c r="S396" i="3"/>
  <c r="V396" i="3"/>
  <c r="W396" i="3"/>
  <c r="I397" i="3"/>
  <c r="K397" i="3"/>
  <c r="M397" i="3"/>
  <c r="S397" i="3"/>
  <c r="V397" i="3"/>
  <c r="W397" i="3"/>
  <c r="I398" i="3"/>
  <c r="K398" i="3"/>
  <c r="M398" i="3"/>
  <c r="S398" i="3"/>
  <c r="V398" i="3"/>
  <c r="W398" i="3"/>
  <c r="I399" i="3"/>
  <c r="K399" i="3"/>
  <c r="M399" i="3"/>
  <c r="S399" i="3"/>
  <c r="V399" i="3"/>
  <c r="W399" i="3"/>
  <c r="I400" i="3"/>
  <c r="K400" i="3"/>
  <c r="M400" i="3"/>
  <c r="S400" i="3"/>
  <c r="V400" i="3"/>
  <c r="W400" i="3"/>
  <c r="I401" i="3"/>
  <c r="K401" i="3"/>
  <c r="M401" i="3"/>
  <c r="S401" i="3"/>
  <c r="V401" i="3"/>
  <c r="W401" i="3"/>
  <c r="I402" i="3"/>
  <c r="K402" i="3"/>
  <c r="M402" i="3"/>
  <c r="S402" i="3"/>
  <c r="V402" i="3"/>
  <c r="W402" i="3"/>
  <c r="I403" i="3"/>
  <c r="K403" i="3"/>
  <c r="M403" i="3"/>
  <c r="S403" i="3"/>
  <c r="V403" i="3"/>
  <c r="W403" i="3"/>
  <c r="I404" i="3"/>
  <c r="K404" i="3"/>
  <c r="M404" i="3"/>
  <c r="S404" i="3"/>
  <c r="V404" i="3"/>
  <c r="W404" i="3"/>
  <c r="I405" i="3"/>
  <c r="K405" i="3"/>
  <c r="M405" i="3"/>
  <c r="S405" i="3"/>
  <c r="V405" i="3"/>
  <c r="W405" i="3"/>
  <c r="I406" i="3"/>
  <c r="K406" i="3"/>
  <c r="M406" i="3"/>
  <c r="S406" i="3"/>
  <c r="V406" i="3"/>
  <c r="W406" i="3"/>
  <c r="I407" i="3"/>
  <c r="K407" i="3"/>
  <c r="M407" i="3"/>
  <c r="S407" i="3"/>
  <c r="V407" i="3"/>
  <c r="W407" i="3"/>
  <c r="I408" i="3"/>
  <c r="K408" i="3"/>
  <c r="M408" i="3"/>
  <c r="S408" i="3"/>
  <c r="V408" i="3"/>
  <c r="W408" i="3"/>
  <c r="I409" i="3"/>
  <c r="K409" i="3"/>
  <c r="M409" i="3"/>
  <c r="S409" i="3"/>
  <c r="V409" i="3"/>
  <c r="W409" i="3"/>
  <c r="I410" i="3"/>
  <c r="K410" i="3"/>
  <c r="M410" i="3"/>
  <c r="S410" i="3"/>
  <c r="V410" i="3"/>
  <c r="W410" i="3"/>
  <c r="I411" i="3"/>
  <c r="K411" i="3"/>
  <c r="M411" i="3"/>
  <c r="S411" i="3"/>
  <c r="V411" i="3"/>
  <c r="W411" i="3"/>
  <c r="I412" i="3"/>
  <c r="K412" i="3"/>
  <c r="M412" i="3"/>
  <c r="S412" i="3"/>
  <c r="V412" i="3"/>
  <c r="W412" i="3"/>
  <c r="I413" i="3"/>
  <c r="K413" i="3"/>
  <c r="M413" i="3"/>
  <c r="S413" i="3"/>
  <c r="V413" i="3"/>
  <c r="W413" i="3"/>
  <c r="I414" i="3"/>
  <c r="K414" i="3"/>
  <c r="M414" i="3"/>
  <c r="S414" i="3"/>
  <c r="V414" i="3"/>
  <c r="W414" i="3"/>
  <c r="I415" i="3"/>
  <c r="K415" i="3"/>
  <c r="M415" i="3"/>
  <c r="S415" i="3"/>
  <c r="V415" i="3"/>
  <c r="W415" i="3"/>
  <c r="I416" i="3"/>
  <c r="K416" i="3"/>
  <c r="M416" i="3"/>
  <c r="S416" i="3"/>
  <c r="V416" i="3"/>
  <c r="W416" i="3"/>
  <c r="I417" i="3"/>
  <c r="K417" i="3"/>
  <c r="M417" i="3"/>
  <c r="S417" i="3"/>
  <c r="V417" i="3"/>
  <c r="W417" i="3"/>
  <c r="I418" i="3"/>
  <c r="K418" i="3"/>
  <c r="M418" i="3"/>
  <c r="S418" i="3"/>
  <c r="V418" i="3"/>
  <c r="W418" i="3"/>
  <c r="I419" i="3"/>
  <c r="K419" i="3"/>
  <c r="M419" i="3"/>
  <c r="S419" i="3"/>
  <c r="V419" i="3"/>
  <c r="W419" i="3"/>
  <c r="I420" i="3"/>
  <c r="K420" i="3"/>
  <c r="M420" i="3"/>
  <c r="S420" i="3"/>
  <c r="V420" i="3"/>
  <c r="W420" i="3"/>
  <c r="I421" i="3"/>
  <c r="K421" i="3"/>
  <c r="M421" i="3"/>
  <c r="S421" i="3"/>
  <c r="V421" i="3"/>
  <c r="W421" i="3"/>
  <c r="I422" i="3"/>
  <c r="K422" i="3"/>
  <c r="M422" i="3"/>
  <c r="S422" i="3"/>
  <c r="V422" i="3"/>
  <c r="W422" i="3"/>
  <c r="I423" i="3"/>
  <c r="K423" i="3"/>
  <c r="M423" i="3"/>
  <c r="S423" i="3"/>
  <c r="V423" i="3"/>
  <c r="W423" i="3"/>
  <c r="I424" i="3"/>
  <c r="K424" i="3"/>
  <c r="M424" i="3"/>
  <c r="S424" i="3"/>
  <c r="V424" i="3"/>
  <c r="W424" i="3"/>
  <c r="I425" i="3"/>
  <c r="K425" i="3"/>
  <c r="M425" i="3"/>
  <c r="S425" i="3"/>
  <c r="V425" i="3"/>
  <c r="W425" i="3"/>
  <c r="I426" i="3"/>
  <c r="K426" i="3"/>
  <c r="M426" i="3"/>
  <c r="S426" i="3"/>
  <c r="V426" i="3"/>
  <c r="W426" i="3"/>
  <c r="I427" i="3"/>
  <c r="K427" i="3"/>
  <c r="M427" i="3"/>
  <c r="S427" i="3"/>
  <c r="V427" i="3"/>
  <c r="W427" i="3"/>
  <c r="I428" i="3"/>
  <c r="K428" i="3"/>
  <c r="M428" i="3"/>
  <c r="S428" i="3"/>
  <c r="V428" i="3"/>
  <c r="W428" i="3"/>
  <c r="I429" i="3"/>
  <c r="K429" i="3"/>
  <c r="M429" i="3"/>
  <c r="S429" i="3"/>
  <c r="V429" i="3"/>
  <c r="W429" i="3"/>
  <c r="I430" i="3"/>
  <c r="K430" i="3"/>
  <c r="M430" i="3"/>
  <c r="S430" i="3"/>
  <c r="V430" i="3"/>
  <c r="W430" i="3"/>
  <c r="I431" i="3"/>
  <c r="K431" i="3"/>
  <c r="M431" i="3"/>
  <c r="S431" i="3"/>
  <c r="V431" i="3"/>
  <c r="W431" i="3"/>
  <c r="I432" i="3"/>
  <c r="K432" i="3"/>
  <c r="M432" i="3"/>
  <c r="S432" i="3"/>
  <c r="V432" i="3"/>
  <c r="W432" i="3"/>
  <c r="I433" i="3"/>
  <c r="K433" i="3"/>
  <c r="M433" i="3"/>
  <c r="S433" i="3"/>
  <c r="V433" i="3"/>
  <c r="W433" i="3"/>
  <c r="I434" i="3"/>
  <c r="K434" i="3"/>
  <c r="M434" i="3"/>
  <c r="S434" i="3"/>
  <c r="V434" i="3"/>
  <c r="W434" i="3"/>
  <c r="I435" i="3"/>
  <c r="K435" i="3"/>
  <c r="M435" i="3"/>
  <c r="S435" i="3"/>
  <c r="V435" i="3"/>
  <c r="W435" i="3"/>
  <c r="I436" i="3"/>
  <c r="K436" i="3"/>
  <c r="M436" i="3"/>
  <c r="S436" i="3"/>
  <c r="V436" i="3"/>
  <c r="W436" i="3"/>
  <c r="I437" i="3"/>
  <c r="K437" i="3"/>
  <c r="M437" i="3"/>
  <c r="S437" i="3"/>
  <c r="V437" i="3"/>
  <c r="W437" i="3"/>
  <c r="I438" i="3"/>
  <c r="K438" i="3"/>
  <c r="M438" i="3"/>
  <c r="S438" i="3"/>
  <c r="V438" i="3"/>
  <c r="W438" i="3"/>
  <c r="I439" i="3"/>
  <c r="K439" i="3"/>
  <c r="M439" i="3"/>
  <c r="S439" i="3"/>
  <c r="V439" i="3"/>
  <c r="W439" i="3"/>
  <c r="I440" i="3"/>
  <c r="K440" i="3"/>
  <c r="M440" i="3"/>
  <c r="S440" i="3"/>
  <c r="V440" i="3"/>
  <c r="W440" i="3"/>
  <c r="I441" i="3"/>
  <c r="K441" i="3"/>
  <c r="M441" i="3"/>
  <c r="S441" i="3"/>
  <c r="V441" i="3"/>
  <c r="W441" i="3"/>
  <c r="I442" i="3"/>
  <c r="K442" i="3"/>
  <c r="M442" i="3"/>
  <c r="S442" i="3"/>
  <c r="V442" i="3"/>
  <c r="W442" i="3"/>
  <c r="I443" i="3"/>
  <c r="K443" i="3"/>
  <c r="M443" i="3"/>
  <c r="S443" i="3"/>
  <c r="V443" i="3"/>
  <c r="W443" i="3"/>
  <c r="I444" i="3"/>
  <c r="K444" i="3"/>
  <c r="M444" i="3"/>
  <c r="S444" i="3"/>
  <c r="V444" i="3"/>
  <c r="W444" i="3"/>
  <c r="I445" i="3"/>
  <c r="K445" i="3"/>
  <c r="M445" i="3"/>
  <c r="S445" i="3"/>
  <c r="V445" i="3"/>
  <c r="W445" i="3"/>
  <c r="I446" i="3"/>
  <c r="K446" i="3"/>
  <c r="M446" i="3"/>
  <c r="S446" i="3"/>
  <c r="V446" i="3"/>
  <c r="W446" i="3"/>
  <c r="I447" i="3"/>
  <c r="K447" i="3"/>
  <c r="M447" i="3"/>
  <c r="S447" i="3"/>
  <c r="V447" i="3"/>
  <c r="W447" i="3"/>
  <c r="I448" i="3"/>
  <c r="K448" i="3"/>
  <c r="M448" i="3"/>
  <c r="S448" i="3"/>
  <c r="V448" i="3"/>
  <c r="W448" i="3"/>
  <c r="I449" i="3"/>
  <c r="K449" i="3"/>
  <c r="M449" i="3"/>
  <c r="S449" i="3"/>
  <c r="V449" i="3"/>
  <c r="W449" i="3"/>
  <c r="I450" i="3"/>
  <c r="K450" i="3"/>
  <c r="M450" i="3"/>
  <c r="S450" i="3"/>
  <c r="V450" i="3"/>
  <c r="W450" i="3"/>
  <c r="I451" i="3"/>
  <c r="K451" i="3"/>
  <c r="M451" i="3"/>
  <c r="S451" i="3"/>
  <c r="V451" i="3"/>
  <c r="W451" i="3"/>
  <c r="I452" i="3"/>
  <c r="K452" i="3"/>
  <c r="M452" i="3"/>
  <c r="S452" i="3"/>
  <c r="V452" i="3"/>
  <c r="W452" i="3"/>
  <c r="I453" i="3"/>
  <c r="K453" i="3"/>
  <c r="M453" i="3"/>
  <c r="S453" i="3"/>
  <c r="V453" i="3"/>
  <c r="W453" i="3"/>
  <c r="I454" i="3"/>
  <c r="K454" i="3"/>
  <c r="M454" i="3"/>
  <c r="S454" i="3"/>
  <c r="V454" i="3"/>
  <c r="W454" i="3"/>
  <c r="I455" i="3"/>
  <c r="K455" i="3"/>
  <c r="M455" i="3"/>
  <c r="S455" i="3"/>
  <c r="V455" i="3"/>
  <c r="W455" i="3"/>
  <c r="I456" i="3"/>
  <c r="K456" i="3"/>
  <c r="M456" i="3"/>
  <c r="S456" i="3"/>
  <c r="V456" i="3"/>
  <c r="W456" i="3"/>
  <c r="I457" i="3"/>
  <c r="K457" i="3"/>
  <c r="M457" i="3"/>
  <c r="S457" i="3"/>
  <c r="V457" i="3"/>
  <c r="W457" i="3"/>
  <c r="I458" i="3"/>
  <c r="K458" i="3"/>
  <c r="M458" i="3"/>
  <c r="S458" i="3"/>
  <c r="V458" i="3"/>
  <c r="W458" i="3"/>
  <c r="I459" i="3"/>
  <c r="K459" i="3"/>
  <c r="M459" i="3"/>
  <c r="S459" i="3"/>
  <c r="V459" i="3"/>
  <c r="W459" i="3"/>
  <c r="I460" i="3"/>
  <c r="K460" i="3"/>
  <c r="M460" i="3"/>
  <c r="S460" i="3"/>
  <c r="V460" i="3"/>
  <c r="W460" i="3"/>
  <c r="I461" i="3"/>
  <c r="K461" i="3"/>
  <c r="M461" i="3"/>
  <c r="S461" i="3"/>
  <c r="V461" i="3"/>
  <c r="W461" i="3"/>
  <c r="I462" i="3"/>
  <c r="K462" i="3"/>
  <c r="M462" i="3"/>
  <c r="S462" i="3"/>
  <c r="V462" i="3"/>
  <c r="W462" i="3"/>
  <c r="I463" i="3"/>
  <c r="K463" i="3"/>
  <c r="M463" i="3"/>
  <c r="S463" i="3"/>
  <c r="V463" i="3"/>
  <c r="W463" i="3"/>
  <c r="I464" i="3"/>
  <c r="K464" i="3"/>
  <c r="M464" i="3"/>
  <c r="S464" i="3"/>
  <c r="V464" i="3"/>
  <c r="W464" i="3"/>
  <c r="I465" i="3"/>
  <c r="K465" i="3"/>
  <c r="M465" i="3"/>
  <c r="S465" i="3"/>
  <c r="V465" i="3"/>
  <c r="W465" i="3"/>
  <c r="I466" i="3"/>
  <c r="K466" i="3"/>
  <c r="M466" i="3"/>
  <c r="S466" i="3"/>
  <c r="V466" i="3"/>
  <c r="W466" i="3"/>
  <c r="I467" i="3"/>
  <c r="K467" i="3"/>
  <c r="M467" i="3"/>
  <c r="S467" i="3"/>
  <c r="V467" i="3"/>
  <c r="W467" i="3"/>
  <c r="I468" i="3"/>
  <c r="K468" i="3"/>
  <c r="M468" i="3"/>
  <c r="S468" i="3"/>
  <c r="V468" i="3"/>
  <c r="W468" i="3"/>
  <c r="I469" i="3"/>
  <c r="K469" i="3"/>
  <c r="M469" i="3"/>
  <c r="S469" i="3"/>
  <c r="V469" i="3"/>
  <c r="W469" i="3"/>
  <c r="I470" i="3"/>
  <c r="K470" i="3"/>
  <c r="M470" i="3"/>
  <c r="S470" i="3"/>
  <c r="V470" i="3"/>
  <c r="W470" i="3"/>
  <c r="I471" i="3"/>
  <c r="K471" i="3"/>
  <c r="M471" i="3"/>
  <c r="S471" i="3"/>
  <c r="V471" i="3"/>
  <c r="W471" i="3"/>
  <c r="I472" i="3"/>
  <c r="K472" i="3"/>
  <c r="M472" i="3"/>
  <c r="S472" i="3"/>
  <c r="V472" i="3"/>
  <c r="W472" i="3"/>
  <c r="I473" i="3"/>
  <c r="K473" i="3"/>
  <c r="M473" i="3"/>
  <c r="S473" i="3"/>
  <c r="V473" i="3"/>
  <c r="W473" i="3"/>
  <c r="I474" i="3"/>
  <c r="K474" i="3"/>
  <c r="M474" i="3"/>
  <c r="S474" i="3"/>
  <c r="V474" i="3"/>
  <c r="W474" i="3"/>
  <c r="I475" i="3"/>
  <c r="K475" i="3"/>
  <c r="M475" i="3"/>
  <c r="S475" i="3"/>
  <c r="V475" i="3"/>
  <c r="W475" i="3"/>
  <c r="I476" i="3"/>
  <c r="K476" i="3"/>
  <c r="M476" i="3"/>
  <c r="S476" i="3"/>
  <c r="V476" i="3"/>
  <c r="W476" i="3"/>
  <c r="I477" i="3"/>
  <c r="K477" i="3"/>
  <c r="M477" i="3"/>
  <c r="S477" i="3"/>
  <c r="V477" i="3"/>
  <c r="W477" i="3"/>
  <c r="I478" i="3"/>
  <c r="K478" i="3"/>
  <c r="M478" i="3"/>
  <c r="S478" i="3"/>
  <c r="V478" i="3"/>
  <c r="W478" i="3"/>
  <c r="I479" i="3"/>
  <c r="K479" i="3"/>
  <c r="M479" i="3"/>
  <c r="S479" i="3"/>
  <c r="V479" i="3"/>
  <c r="W479" i="3"/>
  <c r="I480" i="3"/>
  <c r="K480" i="3"/>
  <c r="M480" i="3"/>
  <c r="S480" i="3"/>
  <c r="V480" i="3"/>
  <c r="W480" i="3"/>
  <c r="E12" i="1"/>
  <c r="E43" i="1" s="1"/>
  <c r="F12" i="1" l="1"/>
  <c r="F43" i="1" s="1"/>
  <c r="O1714" i="5" l="1"/>
  <c r="O1715" i="5"/>
  <c r="O1716" i="5"/>
  <c r="O1717" i="5"/>
  <c r="O1718" i="5"/>
  <c r="O1719" i="5"/>
  <c r="O1720" i="5"/>
  <c r="O1721" i="5"/>
  <c r="O1722" i="5"/>
  <c r="O1723" i="5"/>
  <c r="O1724" i="5"/>
  <c r="O1725" i="5"/>
  <c r="O1726" i="5"/>
  <c r="O1727" i="5"/>
  <c r="O1728" i="5"/>
  <c r="O1729" i="5"/>
  <c r="O1730" i="5"/>
  <c r="O1731" i="5"/>
  <c r="O1732" i="5"/>
  <c r="O1733" i="5"/>
  <c r="O1734" i="5"/>
  <c r="O1735" i="5"/>
  <c r="O1736" i="5"/>
  <c r="O1737" i="5"/>
  <c r="O1738" i="5"/>
  <c r="O1739" i="5"/>
  <c r="O1740" i="5"/>
  <c r="O1741" i="5"/>
  <c r="O1742" i="5"/>
  <c r="O1743" i="5"/>
  <c r="O1744" i="5"/>
  <c r="O1745" i="5"/>
  <c r="O1746" i="5"/>
  <c r="O1747" i="5"/>
  <c r="O1748" i="5"/>
  <c r="O1749" i="5"/>
  <c r="O1750" i="5"/>
  <c r="O1751" i="5"/>
  <c r="O1752" i="5"/>
  <c r="O1753" i="5"/>
  <c r="O1754" i="5"/>
  <c r="O1755" i="5"/>
  <c r="O1756" i="5"/>
  <c r="O1757" i="5"/>
  <c r="O1758" i="5"/>
  <c r="O1759" i="5"/>
  <c r="O1760" i="5"/>
  <c r="O1761" i="5"/>
  <c r="O1762" i="5"/>
  <c r="O1763" i="5"/>
  <c r="O1764" i="5"/>
  <c r="O1765" i="5"/>
  <c r="O1766" i="5"/>
  <c r="O1767" i="5"/>
  <c r="O1768" i="5"/>
  <c r="O1769" i="5"/>
  <c r="O1770" i="5"/>
  <c r="O1771" i="5"/>
  <c r="O1772" i="5"/>
  <c r="O1773" i="5"/>
  <c r="O1774" i="5"/>
  <c r="O1775" i="5"/>
  <c r="O1776" i="5"/>
  <c r="O1777" i="5"/>
  <c r="O1778" i="5"/>
  <c r="O1779" i="5"/>
  <c r="O1780" i="5"/>
  <c r="O1781" i="5"/>
  <c r="O1782" i="5"/>
  <c r="O1783" i="5"/>
  <c r="O1784" i="5"/>
  <c r="O1785" i="5"/>
  <c r="O1786" i="5"/>
  <c r="O1787" i="5"/>
  <c r="O1788" i="5"/>
  <c r="O1789" i="5"/>
  <c r="O1790" i="5"/>
  <c r="O1791" i="5"/>
  <c r="O1792" i="5"/>
  <c r="O1793" i="5"/>
  <c r="O1794" i="5"/>
  <c r="O1795" i="5"/>
  <c r="O1796" i="5"/>
  <c r="O1797" i="5"/>
  <c r="O1798" i="5"/>
  <c r="O1799" i="5"/>
  <c r="O1800" i="5"/>
  <c r="O1801" i="5"/>
  <c r="O1802" i="5"/>
  <c r="O1803" i="5"/>
  <c r="O1804" i="5"/>
  <c r="O1805" i="5"/>
  <c r="O1806" i="5"/>
  <c r="O1807" i="5"/>
  <c r="O1808" i="5"/>
  <c r="O1809" i="5"/>
  <c r="O1810" i="5"/>
  <c r="O1811" i="5"/>
  <c r="O1812" i="5"/>
  <c r="O1813" i="5"/>
  <c r="O1814" i="5"/>
  <c r="O1815" i="5"/>
  <c r="O1816" i="5"/>
  <c r="O1817" i="5"/>
  <c r="O1818" i="5"/>
  <c r="O1819" i="5"/>
  <c r="O1820" i="5"/>
  <c r="O1821" i="5"/>
  <c r="O1822" i="5"/>
  <c r="O1823" i="5"/>
  <c r="O1824" i="5"/>
  <c r="O1825" i="5"/>
  <c r="O1826" i="5"/>
  <c r="O1827" i="5"/>
  <c r="O1828" i="5"/>
  <c r="O1829" i="5"/>
  <c r="O1830" i="5"/>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O1860" i="5"/>
  <c r="O1861" i="5"/>
  <c r="O1862" i="5"/>
  <c r="O1863" i="5"/>
  <c r="O1864" i="5"/>
  <c r="O1865" i="5"/>
  <c r="O1866" i="5"/>
  <c r="O1867" i="5"/>
  <c r="O1868" i="5"/>
  <c r="O1869" i="5"/>
  <c r="O1870" i="5"/>
  <c r="O1871" i="5"/>
  <c r="O1872" i="5"/>
  <c r="O1873" i="5"/>
  <c r="O1874" i="5"/>
  <c r="O1875" i="5"/>
  <c r="O1876" i="5"/>
  <c r="O1877" i="5"/>
  <c r="O1878" i="5"/>
  <c r="O1879" i="5"/>
  <c r="O1880" i="5"/>
  <c r="O1881" i="5"/>
  <c r="O1882" i="5"/>
  <c r="O1883" i="5"/>
  <c r="O1884" i="5"/>
  <c r="O1885" i="5"/>
  <c r="O1886" i="5"/>
  <c r="O1887" i="5"/>
  <c r="O1888" i="5"/>
  <c r="O1889" i="5"/>
  <c r="O1890" i="5"/>
  <c r="O1891" i="5"/>
  <c r="O1892" i="5"/>
  <c r="O1893" i="5"/>
  <c r="O1894" i="5"/>
  <c r="O1895" i="5"/>
  <c r="O1896" i="5"/>
  <c r="O1897" i="5"/>
  <c r="O1898" i="5"/>
  <c r="O1899" i="5"/>
  <c r="O1900" i="5"/>
  <c r="O1901" i="5"/>
  <c r="O1902" i="5"/>
  <c r="O1903" i="5"/>
  <c r="O1904" i="5"/>
  <c r="O1905" i="5"/>
  <c r="O1906" i="5"/>
  <c r="O1907" i="5"/>
  <c r="O1908" i="5"/>
  <c r="O1909" i="5"/>
  <c r="O1910" i="5"/>
  <c r="O1911" i="5"/>
  <c r="O1912" i="5"/>
  <c r="O1913" i="5"/>
  <c r="O1914" i="5"/>
  <c r="O1915" i="5"/>
  <c r="O1916" i="5"/>
  <c r="O1917" i="5"/>
  <c r="O1918" i="5"/>
  <c r="O1919" i="5"/>
  <c r="O1920" i="5"/>
  <c r="O1921" i="5"/>
  <c r="O1922" i="5"/>
  <c r="O1923" i="5"/>
  <c r="O1924" i="5"/>
  <c r="O1925" i="5"/>
  <c r="O1926" i="5"/>
  <c r="O1927" i="5"/>
  <c r="O1928" i="5"/>
  <c r="O1929" i="5"/>
  <c r="O1930" i="5"/>
  <c r="O1931" i="5"/>
  <c r="O1932" i="5"/>
  <c r="O1933" i="5"/>
  <c r="O1934" i="5"/>
  <c r="O1935" i="5"/>
  <c r="O1936" i="5"/>
  <c r="O1937" i="5"/>
  <c r="O1938" i="5"/>
  <c r="O1939" i="5"/>
  <c r="O1940" i="5"/>
  <c r="O1941" i="5"/>
  <c r="O1942" i="5"/>
  <c r="O1943" i="5"/>
  <c r="O1944" i="5"/>
  <c r="O1945" i="5"/>
  <c r="O1946" i="5"/>
  <c r="O1947" i="5"/>
  <c r="O1948" i="5"/>
  <c r="O1949" i="5"/>
  <c r="O1950" i="5"/>
  <c r="O1951" i="5"/>
  <c r="O1952" i="5"/>
  <c r="O1953" i="5"/>
  <c r="O1954" i="5"/>
  <c r="O1955" i="5"/>
  <c r="O1956" i="5"/>
  <c r="O1957" i="5"/>
  <c r="O1958" i="5"/>
  <c r="O1959" i="5"/>
  <c r="O1960" i="5"/>
  <c r="O1961" i="5"/>
  <c r="O1962" i="5"/>
  <c r="O1963" i="5"/>
  <c r="O1964" i="5"/>
  <c r="O1965" i="5"/>
  <c r="O1966" i="5"/>
  <c r="O1967" i="5"/>
  <c r="O1968" i="5"/>
  <c r="O1969" i="5"/>
  <c r="O1970" i="5"/>
  <c r="O1971" i="5"/>
  <c r="O1972" i="5"/>
  <c r="O1973" i="5"/>
  <c r="O1974" i="5"/>
  <c r="O1975" i="5"/>
  <c r="O1976" i="5"/>
  <c r="O1977" i="5"/>
  <c r="O1978" i="5"/>
  <c r="O1979" i="5"/>
  <c r="O1980" i="5"/>
  <c r="O1981" i="5"/>
  <c r="O1982" i="5"/>
  <c r="O1983" i="5"/>
  <c r="O1984" i="5"/>
  <c r="O1985" i="5"/>
  <c r="O1986" i="5"/>
  <c r="O1987" i="5"/>
  <c r="O1988" i="5"/>
  <c r="O1989" i="5"/>
  <c r="O1990" i="5"/>
  <c r="O1991" i="5"/>
  <c r="O1992" i="5"/>
  <c r="O1993" i="5"/>
  <c r="O1994" i="5"/>
  <c r="O1995" i="5"/>
  <c r="O1996" i="5"/>
  <c r="O1997" i="5"/>
  <c r="O1998" i="5"/>
  <c r="O1999" i="5"/>
  <c r="O2000" i="5"/>
  <c r="O2001" i="5"/>
  <c r="O2002" i="5"/>
  <c r="O2003" i="5"/>
  <c r="O2004" i="5"/>
  <c r="O2005" i="5"/>
  <c r="O2006" i="5"/>
  <c r="O2007" i="5"/>
  <c r="O2008" i="5"/>
  <c r="O2009" i="5"/>
  <c r="O2010" i="5"/>
  <c r="O2011" i="5"/>
  <c r="O2012" i="5"/>
  <c r="O2013" i="5"/>
  <c r="O2014" i="5"/>
  <c r="O2015" i="5"/>
  <c r="O2016" i="5"/>
  <c r="O2017" i="5"/>
  <c r="O2018" i="5"/>
  <c r="O2019" i="5"/>
  <c r="O2020" i="5"/>
  <c r="O2021" i="5"/>
  <c r="O2022" i="5"/>
  <c r="O2023" i="5"/>
  <c r="O2024" i="5"/>
  <c r="O2025" i="5"/>
  <c r="O2026" i="5"/>
  <c r="O2027" i="5"/>
  <c r="O2028" i="5"/>
  <c r="O2029" i="5"/>
  <c r="O2030" i="5"/>
  <c r="O2031" i="5"/>
  <c r="O2032" i="5"/>
  <c r="O2033" i="5"/>
  <c r="O2034" i="5"/>
  <c r="O2035" i="5"/>
  <c r="O2036" i="5"/>
  <c r="O2037" i="5"/>
  <c r="O2038" i="5"/>
  <c r="O2039" i="5"/>
  <c r="O2040" i="5"/>
  <c r="O2041" i="5"/>
  <c r="O2042" i="5"/>
  <c r="O2043" i="5"/>
  <c r="O2044" i="5"/>
  <c r="O2045" i="5"/>
  <c r="O2046" i="5"/>
  <c r="O2047" i="5"/>
  <c r="O2048" i="5"/>
  <c r="O2049" i="5"/>
  <c r="O2050" i="5"/>
  <c r="O2051" i="5"/>
  <c r="O2052" i="5"/>
  <c r="O2053" i="5"/>
  <c r="O2054" i="5"/>
  <c r="O2055" i="5"/>
  <c r="O2056" i="5"/>
  <c r="O2057" i="5"/>
  <c r="O2058" i="5"/>
  <c r="O2059" i="5"/>
  <c r="O2060" i="5"/>
  <c r="O2061" i="5"/>
  <c r="O2062" i="5"/>
  <c r="O2063" i="5"/>
  <c r="O2064" i="5"/>
  <c r="O2065" i="5"/>
  <c r="O2066" i="5"/>
  <c r="O2067" i="5"/>
  <c r="O2068" i="5"/>
  <c r="O2069" i="5"/>
  <c r="O2070" i="5"/>
  <c r="O2071" i="5"/>
  <c r="O2072" i="5"/>
  <c r="O2073" i="5"/>
  <c r="O2074" i="5"/>
  <c r="O2075" i="5"/>
  <c r="O2076" i="5"/>
  <c r="O2077" i="5"/>
  <c r="O2078" i="5"/>
  <c r="O2079" i="5"/>
  <c r="O2080" i="5"/>
  <c r="O2081" i="5"/>
  <c r="O2082" i="5"/>
  <c r="O2083" i="5"/>
  <c r="O2084" i="5"/>
  <c r="O2085" i="5"/>
  <c r="O2086" i="5"/>
  <c r="O2087" i="5"/>
  <c r="O2088" i="5"/>
  <c r="O2089" i="5"/>
  <c r="O2090" i="5"/>
  <c r="O2091" i="5"/>
  <c r="O2092" i="5"/>
  <c r="O2093" i="5"/>
  <c r="O2094" i="5"/>
  <c r="O2095" i="5"/>
  <c r="O2096" i="5"/>
  <c r="O2097" i="5"/>
  <c r="O2098" i="5"/>
  <c r="O2099" i="5"/>
  <c r="O2100" i="5"/>
  <c r="O2101" i="5"/>
  <c r="O2102" i="5"/>
  <c r="O2103" i="5"/>
  <c r="O2104" i="5"/>
  <c r="O2105" i="5"/>
  <c r="N1714" i="5"/>
  <c r="N1715" i="5"/>
  <c r="N1716" i="5"/>
  <c r="N1717" i="5"/>
  <c r="N1718" i="5"/>
  <c r="N1719" i="5"/>
  <c r="N1720" i="5"/>
  <c r="N1721" i="5"/>
  <c r="N1722" i="5"/>
  <c r="N1723" i="5"/>
  <c r="N1724" i="5"/>
  <c r="N1725" i="5"/>
  <c r="N1726" i="5"/>
  <c r="N1727" i="5"/>
  <c r="N1728" i="5"/>
  <c r="N1729" i="5"/>
  <c r="N1730" i="5"/>
  <c r="N1731" i="5"/>
  <c r="N1732" i="5"/>
  <c r="N1733" i="5"/>
  <c r="N1734" i="5"/>
  <c r="N1735" i="5"/>
  <c r="N1736" i="5"/>
  <c r="N1737" i="5"/>
  <c r="N1738" i="5"/>
  <c r="N1739" i="5"/>
  <c r="N1740" i="5"/>
  <c r="N1741" i="5"/>
  <c r="N1742" i="5"/>
  <c r="N1743" i="5"/>
  <c r="N1744" i="5"/>
  <c r="N1745" i="5"/>
  <c r="N1746" i="5"/>
  <c r="N1747" i="5"/>
  <c r="N1748" i="5"/>
  <c r="N1749" i="5"/>
  <c r="N1750" i="5"/>
  <c r="N1751" i="5"/>
  <c r="N1752" i="5"/>
  <c r="N1753" i="5"/>
  <c r="N1754" i="5"/>
  <c r="N1755" i="5"/>
  <c r="N1756" i="5"/>
  <c r="N1757" i="5"/>
  <c r="N1758" i="5"/>
  <c r="N1759" i="5"/>
  <c r="N1760" i="5"/>
  <c r="N1761" i="5"/>
  <c r="N1762" i="5"/>
  <c r="N1763" i="5"/>
  <c r="N1764" i="5"/>
  <c r="N1765" i="5"/>
  <c r="N1766" i="5"/>
  <c r="N1767" i="5"/>
  <c r="N1768" i="5"/>
  <c r="N1769" i="5"/>
  <c r="N1770" i="5"/>
  <c r="N1771" i="5"/>
  <c r="N1772" i="5"/>
  <c r="N1773" i="5"/>
  <c r="N1774" i="5"/>
  <c r="N1775" i="5"/>
  <c r="N1776" i="5"/>
  <c r="N1777" i="5"/>
  <c r="N1778" i="5"/>
  <c r="N1779" i="5"/>
  <c r="N1780" i="5"/>
  <c r="N1781" i="5"/>
  <c r="N1782" i="5"/>
  <c r="N1783" i="5"/>
  <c r="N1784" i="5"/>
  <c r="N1785" i="5"/>
  <c r="N1786" i="5"/>
  <c r="N1787" i="5"/>
  <c r="N1788" i="5"/>
  <c r="N1789" i="5"/>
  <c r="N1790" i="5"/>
  <c r="N1791" i="5"/>
  <c r="N1792" i="5"/>
  <c r="N1793" i="5"/>
  <c r="N1794" i="5"/>
  <c r="N1795" i="5"/>
  <c r="N1796" i="5"/>
  <c r="N1797" i="5"/>
  <c r="N1798" i="5"/>
  <c r="N1799" i="5"/>
  <c r="N1800" i="5"/>
  <c r="N1801" i="5"/>
  <c r="N1802" i="5"/>
  <c r="N1803" i="5"/>
  <c r="N1804" i="5"/>
  <c r="N1805" i="5"/>
  <c r="N1806" i="5"/>
  <c r="N1807" i="5"/>
  <c r="N1808" i="5"/>
  <c r="N1809" i="5"/>
  <c r="N1810" i="5"/>
  <c r="N1811" i="5"/>
  <c r="N1812" i="5"/>
  <c r="N1813" i="5"/>
  <c r="N1814" i="5"/>
  <c r="N1815" i="5"/>
  <c r="N1816" i="5"/>
  <c r="N1817" i="5"/>
  <c r="N1818" i="5"/>
  <c r="N1819" i="5"/>
  <c r="N1820" i="5"/>
  <c r="N1821" i="5"/>
  <c r="N1822" i="5"/>
  <c r="N1823" i="5"/>
  <c r="N1824" i="5"/>
  <c r="N1825" i="5"/>
  <c r="N1826" i="5"/>
  <c r="N1827" i="5"/>
  <c r="N1828" i="5"/>
  <c r="N1829" i="5"/>
  <c r="N1830" i="5"/>
  <c r="N1831" i="5"/>
  <c r="N1832" i="5"/>
  <c r="N1833" i="5"/>
  <c r="N1834" i="5"/>
  <c r="N1835" i="5"/>
  <c r="N1836" i="5"/>
  <c r="N1837" i="5"/>
  <c r="N1838" i="5"/>
  <c r="N1839" i="5"/>
  <c r="N1840" i="5"/>
  <c r="N1841" i="5"/>
  <c r="N1842" i="5"/>
  <c r="N1843" i="5"/>
  <c r="N1844" i="5"/>
  <c r="N1845" i="5"/>
  <c r="N1846" i="5"/>
  <c r="N1847" i="5"/>
  <c r="N1848" i="5"/>
  <c r="N1849" i="5"/>
  <c r="N1850" i="5"/>
  <c r="N1851" i="5"/>
  <c r="N1852" i="5"/>
  <c r="N1853" i="5"/>
  <c r="N1854" i="5"/>
  <c r="N1855" i="5"/>
  <c r="N1856" i="5"/>
  <c r="N1857" i="5"/>
  <c r="N1858" i="5"/>
  <c r="N1859" i="5"/>
  <c r="N1860" i="5"/>
  <c r="N1861" i="5"/>
  <c r="N1862" i="5"/>
  <c r="N1863" i="5"/>
  <c r="N1864" i="5"/>
  <c r="N1865" i="5"/>
  <c r="N1866" i="5"/>
  <c r="N1867" i="5"/>
  <c r="N1868" i="5"/>
  <c r="N1869" i="5"/>
  <c r="N1870" i="5"/>
  <c r="N1871" i="5"/>
  <c r="N1872" i="5"/>
  <c r="N1873" i="5"/>
  <c r="N1874" i="5"/>
  <c r="N1875" i="5"/>
  <c r="N1876" i="5"/>
  <c r="N1877" i="5"/>
  <c r="N1878" i="5"/>
  <c r="N1879" i="5"/>
  <c r="N1880" i="5"/>
  <c r="N1881" i="5"/>
  <c r="N1882" i="5"/>
  <c r="N1883" i="5"/>
  <c r="N1884" i="5"/>
  <c r="N1885" i="5"/>
  <c r="N1886" i="5"/>
  <c r="N1887" i="5"/>
  <c r="N1888" i="5"/>
  <c r="N1889" i="5"/>
  <c r="N1890" i="5"/>
  <c r="N1891" i="5"/>
  <c r="N1892" i="5"/>
  <c r="N1893" i="5"/>
  <c r="N1894" i="5"/>
  <c r="N1895" i="5"/>
  <c r="N1896" i="5"/>
  <c r="N1897" i="5"/>
  <c r="N1898" i="5"/>
  <c r="N1899" i="5"/>
  <c r="N1900" i="5"/>
  <c r="N1901" i="5"/>
  <c r="N1902" i="5"/>
  <c r="N1903" i="5"/>
  <c r="N1904" i="5"/>
  <c r="N1905" i="5"/>
  <c r="N1906" i="5"/>
  <c r="N1907" i="5"/>
  <c r="N1908" i="5"/>
  <c r="N1909" i="5"/>
  <c r="N1910" i="5"/>
  <c r="N1911" i="5"/>
  <c r="N1912" i="5"/>
  <c r="N1913" i="5"/>
  <c r="N1914" i="5"/>
  <c r="N1915" i="5"/>
  <c r="N1916" i="5"/>
  <c r="N1917" i="5"/>
  <c r="N1918" i="5"/>
  <c r="N1919" i="5"/>
  <c r="N1920" i="5"/>
  <c r="N1921" i="5"/>
  <c r="N1922" i="5"/>
  <c r="N1923" i="5"/>
  <c r="N1924" i="5"/>
  <c r="N1925" i="5"/>
  <c r="N1926" i="5"/>
  <c r="N1927" i="5"/>
  <c r="N1928" i="5"/>
  <c r="N1929" i="5"/>
  <c r="N1930" i="5"/>
  <c r="N1931" i="5"/>
  <c r="N1932" i="5"/>
  <c r="N1933" i="5"/>
  <c r="N1934" i="5"/>
  <c r="N1935" i="5"/>
  <c r="N1936" i="5"/>
  <c r="N1937" i="5"/>
  <c r="N1938" i="5"/>
  <c r="N1939" i="5"/>
  <c r="N1940" i="5"/>
  <c r="N1941" i="5"/>
  <c r="N1942" i="5"/>
  <c r="N1943" i="5"/>
  <c r="N1944" i="5"/>
  <c r="N1945" i="5"/>
  <c r="N1946" i="5"/>
  <c r="N1947" i="5"/>
  <c r="N1948" i="5"/>
  <c r="N1949" i="5"/>
  <c r="N1950" i="5"/>
  <c r="N1951" i="5"/>
  <c r="N1952" i="5"/>
  <c r="N1953" i="5"/>
  <c r="N1954" i="5"/>
  <c r="N1955" i="5"/>
  <c r="N1956" i="5"/>
  <c r="N1957" i="5"/>
  <c r="N1958" i="5"/>
  <c r="N1959" i="5"/>
  <c r="N1960" i="5"/>
  <c r="N1961" i="5"/>
  <c r="N1962" i="5"/>
  <c r="N1963" i="5"/>
  <c r="N1964" i="5"/>
  <c r="N1965" i="5"/>
  <c r="N1966" i="5"/>
  <c r="N1967" i="5"/>
  <c r="N1968" i="5"/>
  <c r="N1969" i="5"/>
  <c r="N1970" i="5"/>
  <c r="N1971" i="5"/>
  <c r="N1972" i="5"/>
  <c r="N1973" i="5"/>
  <c r="N1974" i="5"/>
  <c r="N1975" i="5"/>
  <c r="N1976" i="5"/>
  <c r="N1977" i="5"/>
  <c r="N1978" i="5"/>
  <c r="N1979" i="5"/>
  <c r="N1980" i="5"/>
  <c r="N1981" i="5"/>
  <c r="N1982" i="5"/>
  <c r="N1983" i="5"/>
  <c r="N1984" i="5"/>
  <c r="N1985" i="5"/>
  <c r="N1986" i="5"/>
  <c r="N1987" i="5"/>
  <c r="N1988" i="5"/>
  <c r="N1989" i="5"/>
  <c r="N1990" i="5"/>
  <c r="N1991" i="5"/>
  <c r="N1992" i="5"/>
  <c r="N1993" i="5"/>
  <c r="N1994" i="5"/>
  <c r="N1995" i="5"/>
  <c r="N1996" i="5"/>
  <c r="N1997" i="5"/>
  <c r="N1998" i="5"/>
  <c r="N1999" i="5"/>
  <c r="N2000" i="5"/>
  <c r="N2001" i="5"/>
  <c r="N2002" i="5"/>
  <c r="N2003" i="5"/>
  <c r="N2004" i="5"/>
  <c r="N2005" i="5"/>
  <c r="N2006" i="5"/>
  <c r="N2007" i="5"/>
  <c r="N2008" i="5"/>
  <c r="N2009" i="5"/>
  <c r="N2010" i="5"/>
  <c r="N2011" i="5"/>
  <c r="N2012" i="5"/>
  <c r="N2013" i="5"/>
  <c r="N2014" i="5"/>
  <c r="N2015" i="5"/>
  <c r="N2016" i="5"/>
  <c r="N2017" i="5"/>
  <c r="N2018" i="5"/>
  <c r="N2019" i="5"/>
  <c r="N2020" i="5"/>
  <c r="N2021" i="5"/>
  <c r="N2022" i="5"/>
  <c r="N2023" i="5"/>
  <c r="N2024" i="5"/>
  <c r="N2025" i="5"/>
  <c r="N2026" i="5"/>
  <c r="N2027" i="5"/>
  <c r="N2028" i="5"/>
  <c r="N2029" i="5"/>
  <c r="N2030" i="5"/>
  <c r="N2031" i="5"/>
  <c r="N2032" i="5"/>
  <c r="N2033" i="5"/>
  <c r="N2034" i="5"/>
  <c r="N2035" i="5"/>
  <c r="N2036" i="5"/>
  <c r="N2037" i="5"/>
  <c r="N2038" i="5"/>
  <c r="N2039" i="5"/>
  <c r="N2040" i="5"/>
  <c r="N2041" i="5"/>
  <c r="N2042" i="5"/>
  <c r="N2043" i="5"/>
  <c r="N2044" i="5"/>
  <c r="N2045" i="5"/>
  <c r="N2046" i="5"/>
  <c r="N2047" i="5"/>
  <c r="N2048" i="5"/>
  <c r="N2049" i="5"/>
  <c r="N2050" i="5"/>
  <c r="N2051" i="5"/>
  <c r="N2052" i="5"/>
  <c r="N2053" i="5"/>
  <c r="N2054" i="5"/>
  <c r="N2055" i="5"/>
  <c r="N2056" i="5"/>
  <c r="N2057" i="5"/>
  <c r="N2058" i="5"/>
  <c r="N2059" i="5"/>
  <c r="N2060" i="5"/>
  <c r="N2061" i="5"/>
  <c r="N2062" i="5"/>
  <c r="N2063" i="5"/>
  <c r="N2064" i="5"/>
  <c r="N2065" i="5"/>
  <c r="N2066" i="5"/>
  <c r="N2067" i="5"/>
  <c r="N2068" i="5"/>
  <c r="N2069" i="5"/>
  <c r="N2070" i="5"/>
  <c r="N2071" i="5"/>
  <c r="N2072" i="5"/>
  <c r="N2073" i="5"/>
  <c r="N2074" i="5"/>
  <c r="N2075" i="5"/>
  <c r="N2076" i="5"/>
  <c r="N2077" i="5"/>
  <c r="N2078" i="5"/>
  <c r="N2079" i="5"/>
  <c r="N2080" i="5"/>
  <c r="N2081" i="5"/>
  <c r="N2082" i="5"/>
  <c r="N2083" i="5"/>
  <c r="N2084" i="5"/>
  <c r="N2085" i="5"/>
  <c r="N2086" i="5"/>
  <c r="N2087" i="5"/>
  <c r="N2088" i="5"/>
  <c r="N2089" i="5"/>
  <c r="N2090" i="5"/>
  <c r="N2091" i="5"/>
  <c r="N2092" i="5"/>
  <c r="N2093" i="5"/>
  <c r="N2094" i="5"/>
  <c r="N2095" i="5"/>
  <c r="N2096" i="5"/>
  <c r="N2097" i="5"/>
  <c r="N2098" i="5"/>
  <c r="N2099" i="5"/>
  <c r="N2100" i="5"/>
  <c r="N2101" i="5"/>
  <c r="N2102" i="5"/>
  <c r="N2103" i="5"/>
  <c r="N2104" i="5"/>
  <c r="N2105" i="5"/>
  <c r="O1713" i="5" l="1"/>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383" i="5" l="1"/>
  <c r="O1384" i="5"/>
  <c r="O1385" i="5"/>
  <c r="O1386" i="5"/>
  <c r="O1387" i="5"/>
  <c r="O1388" i="5"/>
  <c r="O1389" i="5"/>
  <c r="O1390" i="5"/>
  <c r="O1391" i="5"/>
  <c r="O1392" i="5"/>
  <c r="O1393" i="5"/>
  <c r="O1394" i="5"/>
  <c r="O1395" i="5"/>
  <c r="O1396" i="5"/>
  <c r="O1397" i="5"/>
  <c r="O1398" i="5"/>
  <c r="O1399" i="5"/>
  <c r="O1400" i="5"/>
  <c r="O1401" i="5"/>
  <c r="O1402" i="5"/>
  <c r="O1403" i="5"/>
  <c r="O1404" i="5"/>
  <c r="O1405" i="5"/>
  <c r="O1406" i="5"/>
  <c r="O1407" i="5"/>
  <c r="O1408" i="5"/>
  <c r="O1409" i="5"/>
  <c r="O1410" i="5"/>
  <c r="O1411" i="5"/>
  <c r="O1412" i="5"/>
  <c r="O1413" i="5"/>
  <c r="O1414" i="5"/>
  <c r="O1415" i="5"/>
  <c r="O1416" i="5"/>
  <c r="O1417" i="5"/>
  <c r="O1418" i="5"/>
  <c r="O1419" i="5"/>
  <c r="O1420" i="5"/>
  <c r="O1421" i="5"/>
  <c r="O1422" i="5"/>
  <c r="O1423" i="5"/>
  <c r="O1424" i="5"/>
  <c r="O1425" i="5"/>
  <c r="O1426" i="5"/>
  <c r="O1427" i="5"/>
  <c r="O1428" i="5"/>
  <c r="O1429" i="5"/>
  <c r="O1430" i="5"/>
  <c r="O1431" i="5"/>
  <c r="O1432" i="5"/>
  <c r="O1433" i="5"/>
  <c r="O1434" i="5"/>
  <c r="O1435" i="5"/>
  <c r="O1436" i="5"/>
  <c r="O1437" i="5"/>
  <c r="O1438" i="5"/>
  <c r="O1439" i="5"/>
  <c r="O1440" i="5"/>
  <c r="O1441" i="5"/>
  <c r="O1442" i="5"/>
  <c r="O1443" i="5"/>
  <c r="O1444" i="5"/>
  <c r="O1445" i="5"/>
  <c r="O1446" i="5"/>
  <c r="O1447" i="5"/>
  <c r="O1448" i="5"/>
  <c r="O1449" i="5"/>
  <c r="O1450" i="5"/>
  <c r="O1451" i="5"/>
  <c r="O1452" i="5"/>
  <c r="O1453" i="5"/>
  <c r="O1454" i="5"/>
  <c r="O1455" i="5"/>
  <c r="O1456" i="5"/>
  <c r="O1457" i="5"/>
  <c r="O1458" i="5"/>
  <c r="O1459" i="5"/>
  <c r="O1460" i="5"/>
  <c r="O1461" i="5"/>
  <c r="O1462" i="5"/>
  <c r="O1463" i="5"/>
  <c r="O1464" i="5"/>
  <c r="O1465" i="5"/>
  <c r="O1466" i="5"/>
  <c r="O1467" i="5"/>
  <c r="O1468" i="5"/>
  <c r="O1469" i="5"/>
  <c r="O1470" i="5"/>
  <c r="O1471" i="5"/>
  <c r="O1472" i="5"/>
  <c r="O1473" i="5"/>
  <c r="O1474" i="5"/>
  <c r="O1475" i="5"/>
  <c r="O1476" i="5"/>
  <c r="O1477" i="5"/>
  <c r="O1478" i="5"/>
  <c r="O1479" i="5"/>
  <c r="O1480" i="5"/>
  <c r="O1481" i="5"/>
  <c r="O1482" i="5"/>
  <c r="O1483" i="5"/>
  <c r="O1484" i="5"/>
  <c r="O1485" i="5"/>
  <c r="O1486" i="5"/>
  <c r="O1487" i="5"/>
  <c r="O1488" i="5"/>
  <c r="O1489" i="5"/>
  <c r="O1490" i="5"/>
  <c r="O1491" i="5"/>
  <c r="O1492" i="5"/>
  <c r="O1493" i="5"/>
  <c r="O1494" i="5"/>
  <c r="O1495" i="5"/>
  <c r="O1496" i="5"/>
  <c r="O1497" i="5"/>
  <c r="O1498" i="5"/>
  <c r="O1499" i="5"/>
  <c r="O1500" i="5"/>
  <c r="O1501" i="5"/>
  <c r="O1502" i="5"/>
  <c r="O1503" i="5"/>
  <c r="O1504" i="5"/>
  <c r="O1505" i="5"/>
  <c r="O1506" i="5"/>
  <c r="O1507" i="5"/>
  <c r="O1508" i="5"/>
  <c r="O1509" i="5"/>
  <c r="O1510" i="5"/>
  <c r="O1511" i="5"/>
  <c r="O1512" i="5"/>
  <c r="O1513" i="5"/>
  <c r="O1514" i="5"/>
  <c r="O1515" i="5"/>
  <c r="O1516" i="5"/>
  <c r="O1517" i="5"/>
  <c r="O1518" i="5"/>
  <c r="O1519" i="5"/>
  <c r="O1520" i="5"/>
  <c r="O1521" i="5"/>
  <c r="O1522" i="5"/>
  <c r="O1523" i="5"/>
  <c r="O1524" i="5"/>
  <c r="O1525" i="5"/>
  <c r="O1526" i="5"/>
  <c r="O1527" i="5"/>
  <c r="O1528" i="5"/>
  <c r="O1529" i="5"/>
  <c r="O1530" i="5"/>
  <c r="O1531" i="5"/>
  <c r="O1532" i="5"/>
  <c r="O1533" i="5"/>
  <c r="O1534" i="5"/>
  <c r="O1535" i="5"/>
  <c r="O1536" i="5"/>
  <c r="O1537" i="5"/>
  <c r="O1538" i="5"/>
  <c r="O1539" i="5"/>
  <c r="O1540" i="5"/>
  <c r="O1541" i="5"/>
  <c r="O1542" i="5"/>
  <c r="O1543" i="5"/>
  <c r="O1544" i="5"/>
  <c r="O1545" i="5"/>
  <c r="O1546" i="5"/>
  <c r="O1547" i="5"/>
  <c r="O1548" i="5"/>
  <c r="O1549" i="5"/>
  <c r="O1550" i="5"/>
  <c r="O1551" i="5"/>
  <c r="O1552" i="5"/>
  <c r="O1553" i="5"/>
  <c r="O1554" i="5"/>
  <c r="O1555" i="5"/>
  <c r="O1556" i="5"/>
  <c r="O1557" i="5"/>
  <c r="O1558" i="5"/>
  <c r="O1559" i="5"/>
  <c r="O1560" i="5"/>
  <c r="O1561" i="5"/>
  <c r="O1562" i="5"/>
  <c r="O1563" i="5"/>
  <c r="O1564" i="5"/>
  <c r="O1565" i="5"/>
  <c r="O1566" i="5"/>
  <c r="O1567" i="5"/>
  <c r="O1568" i="5"/>
  <c r="O1569" i="5"/>
  <c r="O1570" i="5"/>
  <c r="O1571" i="5"/>
  <c r="O1572" i="5"/>
  <c r="O1573" i="5"/>
  <c r="O1574" i="5"/>
  <c r="O1575" i="5"/>
  <c r="O1576" i="5"/>
  <c r="O1577" i="5"/>
  <c r="O1578" i="5"/>
  <c r="O1579" i="5"/>
  <c r="O1580" i="5"/>
  <c r="O1581" i="5"/>
  <c r="O1582" i="5"/>
  <c r="O1583" i="5"/>
  <c r="O1584" i="5"/>
  <c r="O1585" i="5"/>
  <c r="O1586" i="5"/>
  <c r="O1587" i="5"/>
  <c r="O1588" i="5"/>
  <c r="O1589" i="5"/>
  <c r="O1590" i="5"/>
  <c r="O1591" i="5"/>
  <c r="O1592" i="5"/>
  <c r="O1593" i="5"/>
  <c r="O1594" i="5"/>
  <c r="O1595" i="5"/>
  <c r="O1596" i="5"/>
  <c r="O1597" i="5"/>
  <c r="O1598" i="5"/>
  <c r="O1599" i="5"/>
  <c r="O1600" i="5"/>
  <c r="O1601" i="5"/>
  <c r="O1602" i="5"/>
  <c r="O1603" i="5"/>
  <c r="O1604" i="5"/>
  <c r="O1605" i="5"/>
  <c r="O1606" i="5"/>
  <c r="O1607" i="5"/>
  <c r="O1608" i="5"/>
  <c r="O1609" i="5"/>
  <c r="O1610" i="5"/>
  <c r="O1611" i="5"/>
  <c r="O1612" i="5"/>
  <c r="O1613" i="5"/>
  <c r="O1614" i="5"/>
  <c r="O1615" i="5"/>
  <c r="O1616" i="5"/>
  <c r="O1617" i="5"/>
  <c r="O1618" i="5"/>
  <c r="O1619" i="5"/>
  <c r="O1620" i="5"/>
  <c r="O1621" i="5"/>
  <c r="O1622" i="5"/>
  <c r="O1623" i="5"/>
  <c r="O1624" i="5"/>
  <c r="O1625" i="5"/>
  <c r="O1626" i="5"/>
  <c r="O1627" i="5"/>
  <c r="O1628" i="5"/>
  <c r="O1629" i="5"/>
  <c r="O1630" i="5"/>
  <c r="O1631" i="5"/>
  <c r="O1632" i="5"/>
  <c r="O1633" i="5"/>
  <c r="O1634" i="5"/>
  <c r="O1635" i="5"/>
  <c r="O1636" i="5"/>
  <c r="N1383" i="5"/>
  <c r="N1384" i="5"/>
  <c r="N1385" i="5"/>
  <c r="N1386" i="5"/>
  <c r="N1387" i="5"/>
  <c r="N1388" i="5"/>
  <c r="N1389" i="5"/>
  <c r="N1390" i="5"/>
  <c r="N1391" i="5"/>
  <c r="N1392" i="5"/>
  <c r="N1393" i="5"/>
  <c r="N1394" i="5"/>
  <c r="N1395" i="5"/>
  <c r="N1396" i="5"/>
  <c r="N1397" i="5"/>
  <c r="N1398" i="5"/>
  <c r="N1399" i="5"/>
  <c r="N1400" i="5"/>
  <c r="N1401" i="5"/>
  <c r="N1402" i="5"/>
  <c r="N1403" i="5"/>
  <c r="N1404" i="5"/>
  <c r="N1405" i="5"/>
  <c r="N1406" i="5"/>
  <c r="N1407" i="5"/>
  <c r="N1408" i="5"/>
  <c r="N1409" i="5"/>
  <c r="N1410" i="5"/>
  <c r="N1411" i="5"/>
  <c r="N1412" i="5"/>
  <c r="N1413" i="5"/>
  <c r="N1414" i="5"/>
  <c r="N1415" i="5"/>
  <c r="N1416" i="5"/>
  <c r="N1417" i="5"/>
  <c r="N1418" i="5"/>
  <c r="N1419" i="5"/>
  <c r="N1420" i="5"/>
  <c r="N1421" i="5"/>
  <c r="N1422" i="5"/>
  <c r="N1423" i="5"/>
  <c r="N1424" i="5"/>
  <c r="N1425" i="5"/>
  <c r="N1426" i="5"/>
  <c r="N1427" i="5"/>
  <c r="N1428" i="5"/>
  <c r="N1429" i="5"/>
  <c r="N1430" i="5"/>
  <c r="N1431" i="5"/>
  <c r="N1432" i="5"/>
  <c r="N1433" i="5"/>
  <c r="N1434" i="5"/>
  <c r="N1435" i="5"/>
  <c r="N1436" i="5"/>
  <c r="N1437" i="5"/>
  <c r="N1438" i="5"/>
  <c r="N1439" i="5"/>
  <c r="N1440" i="5"/>
  <c r="N1441" i="5"/>
  <c r="N1442" i="5"/>
  <c r="N1443" i="5"/>
  <c r="N1444" i="5"/>
  <c r="N1445" i="5"/>
  <c r="N1446" i="5"/>
  <c r="N1447" i="5"/>
  <c r="N1448" i="5"/>
  <c r="N1449" i="5"/>
  <c r="N1450" i="5"/>
  <c r="N1451" i="5"/>
  <c r="N1452" i="5"/>
  <c r="N1453" i="5"/>
  <c r="N1454" i="5"/>
  <c r="N1455" i="5"/>
  <c r="N1456" i="5"/>
  <c r="N1457" i="5"/>
  <c r="N1458" i="5"/>
  <c r="N1459" i="5"/>
  <c r="N1460" i="5"/>
  <c r="N1461" i="5"/>
  <c r="N1462" i="5"/>
  <c r="N1463" i="5"/>
  <c r="N1464" i="5"/>
  <c r="N1465" i="5"/>
  <c r="N1466" i="5"/>
  <c r="N1467" i="5"/>
  <c r="N1468" i="5"/>
  <c r="N1469" i="5"/>
  <c r="N1470" i="5"/>
  <c r="N1471" i="5"/>
  <c r="N1472" i="5"/>
  <c r="N1473" i="5"/>
  <c r="N1474" i="5"/>
  <c r="N1475" i="5"/>
  <c r="N1476" i="5"/>
  <c r="N1477" i="5"/>
  <c r="N1478" i="5"/>
  <c r="N1479" i="5"/>
  <c r="N1480" i="5"/>
  <c r="N1481" i="5"/>
  <c r="N1482" i="5"/>
  <c r="N1483" i="5"/>
  <c r="N1484" i="5"/>
  <c r="N1485" i="5"/>
  <c r="N1486" i="5"/>
  <c r="N1487" i="5"/>
  <c r="N1488" i="5"/>
  <c r="N1489" i="5"/>
  <c r="N1490" i="5"/>
  <c r="N1491" i="5"/>
  <c r="N1492" i="5"/>
  <c r="N1493" i="5"/>
  <c r="N1494" i="5"/>
  <c r="N1495" i="5"/>
  <c r="N1496" i="5"/>
  <c r="N1497" i="5"/>
  <c r="N1498" i="5"/>
  <c r="N1499" i="5"/>
  <c r="N1500" i="5"/>
  <c r="N1501" i="5"/>
  <c r="N1502" i="5"/>
  <c r="N1503" i="5"/>
  <c r="N1504" i="5"/>
  <c r="N1505" i="5"/>
  <c r="N1506" i="5"/>
  <c r="N1507" i="5"/>
  <c r="N1508" i="5"/>
  <c r="N1509" i="5"/>
  <c r="N1510" i="5"/>
  <c r="N1511" i="5"/>
  <c r="N1512" i="5"/>
  <c r="N1513" i="5"/>
  <c r="N1514" i="5"/>
  <c r="N1515" i="5"/>
  <c r="N1516" i="5"/>
  <c r="N1517" i="5"/>
  <c r="N1518" i="5"/>
  <c r="N1519" i="5"/>
  <c r="N1520" i="5"/>
  <c r="N1521" i="5"/>
  <c r="N1522" i="5"/>
  <c r="N1523" i="5"/>
  <c r="N1524" i="5"/>
  <c r="N1525" i="5"/>
  <c r="N1526" i="5"/>
  <c r="N1527" i="5"/>
  <c r="N1528" i="5"/>
  <c r="N1529" i="5"/>
  <c r="N1530" i="5"/>
  <c r="N1531" i="5"/>
  <c r="N1532" i="5"/>
  <c r="N1533" i="5"/>
  <c r="N1534" i="5"/>
  <c r="N1535" i="5"/>
  <c r="N1536" i="5"/>
  <c r="N1537" i="5"/>
  <c r="N1538" i="5"/>
  <c r="N1539" i="5"/>
  <c r="N1540" i="5"/>
  <c r="N1541" i="5"/>
  <c r="N1542" i="5"/>
  <c r="N1543" i="5"/>
  <c r="N1544" i="5"/>
  <c r="N1545" i="5"/>
  <c r="N1546" i="5"/>
  <c r="N1547" i="5"/>
  <c r="N1548" i="5"/>
  <c r="N1549" i="5"/>
  <c r="N1550" i="5"/>
  <c r="N1551" i="5"/>
  <c r="N1552" i="5"/>
  <c r="N1553" i="5"/>
  <c r="N1554" i="5"/>
  <c r="N1555" i="5"/>
  <c r="N1556" i="5"/>
  <c r="N1557" i="5"/>
  <c r="N1558" i="5"/>
  <c r="N1559" i="5"/>
  <c r="N1560" i="5"/>
  <c r="N1561" i="5"/>
  <c r="N1562" i="5"/>
  <c r="N1563" i="5"/>
  <c r="N1564" i="5"/>
  <c r="N1565" i="5"/>
  <c r="N1566" i="5"/>
  <c r="N1567" i="5"/>
  <c r="N1568" i="5"/>
  <c r="N1569" i="5"/>
  <c r="N1570" i="5"/>
  <c r="N1571" i="5"/>
  <c r="N1572" i="5"/>
  <c r="N1573" i="5"/>
  <c r="N1574" i="5"/>
  <c r="N1575" i="5"/>
  <c r="N1576" i="5"/>
  <c r="N1577" i="5"/>
  <c r="N1578" i="5"/>
  <c r="N1579" i="5"/>
  <c r="N1580" i="5"/>
  <c r="N1581" i="5"/>
  <c r="N1582" i="5"/>
  <c r="N1583" i="5"/>
  <c r="N1584" i="5"/>
  <c r="N1585" i="5"/>
  <c r="N1586" i="5"/>
  <c r="N1587" i="5"/>
  <c r="N1588" i="5"/>
  <c r="N1589" i="5"/>
  <c r="N1590" i="5"/>
  <c r="N1591" i="5"/>
  <c r="N1592" i="5"/>
  <c r="N1593" i="5"/>
  <c r="N1594" i="5"/>
  <c r="N1595" i="5"/>
  <c r="N1596" i="5"/>
  <c r="N1597" i="5"/>
  <c r="N1598" i="5"/>
  <c r="N1599" i="5"/>
  <c r="N1600" i="5"/>
  <c r="N1601" i="5"/>
  <c r="N1602" i="5"/>
  <c r="N1603" i="5"/>
  <c r="N1604" i="5"/>
  <c r="N1605" i="5"/>
  <c r="N1606" i="5"/>
  <c r="N1607" i="5"/>
  <c r="N1608" i="5"/>
  <c r="N1609" i="5"/>
  <c r="N1610" i="5"/>
  <c r="N1611" i="5"/>
  <c r="N1612" i="5"/>
  <c r="N1613" i="5"/>
  <c r="N1614" i="5"/>
  <c r="N1615" i="5"/>
  <c r="N1616" i="5"/>
  <c r="N1617" i="5"/>
  <c r="N1618" i="5"/>
  <c r="N1619" i="5"/>
  <c r="N1620" i="5"/>
  <c r="N1621" i="5"/>
  <c r="N1622" i="5"/>
  <c r="N1623" i="5"/>
  <c r="N1624" i="5"/>
  <c r="N1625" i="5"/>
  <c r="N1626" i="5"/>
  <c r="N1627" i="5"/>
  <c r="N1628" i="5"/>
  <c r="N1629" i="5"/>
  <c r="N1630" i="5"/>
  <c r="N1631" i="5"/>
  <c r="N1632" i="5"/>
  <c r="N1633" i="5"/>
  <c r="N1634" i="5"/>
  <c r="N1635" i="5"/>
  <c r="N1636" i="5"/>
  <c r="O1075" i="5" l="1"/>
  <c r="O1076" i="5"/>
  <c r="O1077" i="5"/>
  <c r="O1078" i="5"/>
  <c r="O1079" i="5"/>
  <c r="O1080" i="5"/>
  <c r="O1081" i="5"/>
  <c r="O1082" i="5"/>
  <c r="O1083" i="5"/>
  <c r="O1084" i="5"/>
  <c r="O1085" i="5"/>
  <c r="O1086" i="5"/>
  <c r="O1087" i="5"/>
  <c r="O1088" i="5"/>
  <c r="O1089" i="5"/>
  <c r="O1090" i="5"/>
  <c r="O1091" i="5"/>
  <c r="O1092" i="5"/>
  <c r="O1093" i="5"/>
  <c r="O1094" i="5"/>
  <c r="O1095" i="5"/>
  <c r="O1096" i="5"/>
  <c r="O1097" i="5"/>
  <c r="O1098" i="5"/>
  <c r="O1099" i="5"/>
  <c r="O1100" i="5"/>
  <c r="O1101" i="5"/>
  <c r="O1102" i="5"/>
  <c r="O1103" i="5"/>
  <c r="O1104" i="5"/>
  <c r="O1105" i="5"/>
  <c r="O1106" i="5"/>
  <c r="O1107" i="5"/>
  <c r="O1108" i="5"/>
  <c r="O1109" i="5"/>
  <c r="O1110" i="5"/>
  <c r="O1111" i="5"/>
  <c r="O1112" i="5"/>
  <c r="O1113" i="5"/>
  <c r="O1114" i="5"/>
  <c r="O1115" i="5"/>
  <c r="O1116" i="5"/>
  <c r="O1117" i="5"/>
  <c r="O1118" i="5"/>
  <c r="O1119" i="5"/>
  <c r="O1120" i="5"/>
  <c r="O1121" i="5"/>
  <c r="O1122" i="5"/>
  <c r="O1123" i="5"/>
  <c r="O1124" i="5"/>
  <c r="O1125" i="5"/>
  <c r="O1126" i="5"/>
  <c r="O1127" i="5"/>
  <c r="O1128" i="5"/>
  <c r="O1129" i="5"/>
  <c r="O1130" i="5"/>
  <c r="O1131" i="5"/>
  <c r="O1132" i="5"/>
  <c r="O1133" i="5"/>
  <c r="O1134" i="5"/>
  <c r="O1135" i="5"/>
  <c r="O1136" i="5"/>
  <c r="O1137" i="5"/>
  <c r="O1138" i="5"/>
  <c r="O1139" i="5"/>
  <c r="O1140" i="5"/>
  <c r="O1141" i="5"/>
  <c r="O1142" i="5"/>
  <c r="O1143" i="5"/>
  <c r="O1144" i="5"/>
  <c r="O1145" i="5"/>
  <c r="O1146" i="5"/>
  <c r="O1147" i="5"/>
  <c r="O1148" i="5"/>
  <c r="O1149" i="5"/>
  <c r="O1150" i="5"/>
  <c r="O1151" i="5"/>
  <c r="O1152" i="5"/>
  <c r="O1153" i="5"/>
  <c r="O1154" i="5"/>
  <c r="O1155" i="5"/>
  <c r="O1156" i="5"/>
  <c r="O1157" i="5"/>
  <c r="O1158" i="5"/>
  <c r="O1159" i="5"/>
  <c r="O1160" i="5"/>
  <c r="O1161" i="5"/>
  <c r="O1162" i="5"/>
  <c r="O1163" i="5"/>
  <c r="O1164" i="5"/>
  <c r="O1165" i="5"/>
  <c r="O1166" i="5"/>
  <c r="O1167" i="5"/>
  <c r="O1168" i="5"/>
  <c r="O1169" i="5"/>
  <c r="O1170" i="5"/>
  <c r="O1171" i="5"/>
  <c r="O1172" i="5"/>
  <c r="O1173" i="5"/>
  <c r="O1174" i="5"/>
  <c r="O1175" i="5"/>
  <c r="O1176" i="5"/>
  <c r="O1177" i="5"/>
  <c r="O1178" i="5"/>
  <c r="O1179" i="5"/>
  <c r="O1180" i="5"/>
  <c r="O1181" i="5"/>
  <c r="O1182" i="5"/>
  <c r="O1183" i="5"/>
  <c r="O1184" i="5"/>
  <c r="O1185" i="5"/>
  <c r="O1186" i="5"/>
  <c r="O1187" i="5"/>
  <c r="O1188" i="5"/>
  <c r="O1189" i="5"/>
  <c r="O1190" i="5"/>
  <c r="O1191" i="5"/>
  <c r="O1192" i="5"/>
  <c r="O1193" i="5"/>
  <c r="O1194" i="5"/>
  <c r="O1195" i="5"/>
  <c r="O1196" i="5"/>
  <c r="O1197" i="5"/>
  <c r="O1198" i="5"/>
  <c r="O1199" i="5"/>
  <c r="O1200" i="5"/>
  <c r="O1201" i="5"/>
  <c r="O1202" i="5"/>
  <c r="O1203" i="5"/>
  <c r="O1204" i="5"/>
  <c r="O1205" i="5"/>
  <c r="O1206" i="5"/>
  <c r="O1207" i="5"/>
  <c r="O1208" i="5"/>
  <c r="O1209" i="5"/>
  <c r="O1210" i="5"/>
  <c r="O1211" i="5"/>
  <c r="O1212" i="5"/>
  <c r="O1213" i="5"/>
  <c r="O1214" i="5"/>
  <c r="O1215" i="5"/>
  <c r="O1216" i="5"/>
  <c r="O1217" i="5"/>
  <c r="O1218" i="5"/>
  <c r="O1219" i="5"/>
  <c r="O1220" i="5"/>
  <c r="O1221" i="5"/>
  <c r="O1222" i="5"/>
  <c r="O1223" i="5"/>
  <c r="O1224" i="5"/>
  <c r="O1225" i="5"/>
  <c r="O1226" i="5"/>
  <c r="O1227" i="5"/>
  <c r="O1228" i="5"/>
  <c r="O1229" i="5"/>
  <c r="O1230" i="5"/>
  <c r="O1231" i="5"/>
  <c r="O1232" i="5"/>
  <c r="O1233" i="5"/>
  <c r="O1234" i="5"/>
  <c r="O1235" i="5"/>
  <c r="O1236" i="5"/>
  <c r="O1237" i="5"/>
  <c r="O1238" i="5"/>
  <c r="O1239" i="5"/>
  <c r="O1240" i="5"/>
  <c r="O1241" i="5"/>
  <c r="O1242" i="5"/>
  <c r="O1243" i="5"/>
  <c r="O1244" i="5"/>
  <c r="O1245" i="5"/>
  <c r="O1246" i="5"/>
  <c r="O1247" i="5"/>
  <c r="O1248" i="5"/>
  <c r="O1249" i="5"/>
  <c r="O1250" i="5"/>
  <c r="O1251" i="5"/>
  <c r="O1252" i="5"/>
  <c r="O1253" i="5"/>
  <c r="O1254" i="5"/>
  <c r="O1255" i="5"/>
  <c r="O1256" i="5"/>
  <c r="O1257" i="5"/>
  <c r="O1258" i="5"/>
  <c r="O1259" i="5"/>
  <c r="O1260" i="5"/>
  <c r="O1261" i="5"/>
  <c r="O1262" i="5"/>
  <c r="O1263" i="5"/>
  <c r="O1264" i="5"/>
  <c r="O1265" i="5"/>
  <c r="O1266" i="5"/>
  <c r="O1267" i="5"/>
  <c r="O1268" i="5"/>
  <c r="O1269" i="5"/>
  <c r="O1270" i="5"/>
  <c r="O1271" i="5"/>
  <c r="O1272" i="5"/>
  <c r="O1273" i="5"/>
  <c r="O1274" i="5"/>
  <c r="O1275" i="5"/>
  <c r="O1276" i="5"/>
  <c r="O1277" i="5"/>
  <c r="O1278" i="5"/>
  <c r="O1279" i="5"/>
  <c r="O1280" i="5"/>
  <c r="O1281" i="5"/>
  <c r="O1282" i="5"/>
  <c r="O1283" i="5"/>
  <c r="O1284" i="5"/>
  <c r="O1285" i="5"/>
  <c r="O1286" i="5"/>
  <c r="O1287" i="5"/>
  <c r="O1288" i="5"/>
  <c r="O1289" i="5"/>
  <c r="O1290" i="5"/>
  <c r="O1291" i="5"/>
  <c r="O1292" i="5"/>
  <c r="O1293" i="5"/>
  <c r="O1294" i="5"/>
  <c r="O1295" i="5"/>
  <c r="O1296" i="5"/>
  <c r="O1297" i="5"/>
  <c r="O1298" i="5"/>
  <c r="O1299" i="5"/>
  <c r="O1300" i="5"/>
  <c r="O1301" i="5"/>
  <c r="O1302" i="5"/>
  <c r="O1303" i="5"/>
  <c r="O1304" i="5"/>
  <c r="O1305" i="5"/>
  <c r="O1306" i="5"/>
  <c r="O1307" i="5"/>
  <c r="O1308" i="5"/>
  <c r="O1309" i="5"/>
  <c r="O1310" i="5"/>
  <c r="O1311" i="5"/>
  <c r="O1312" i="5"/>
  <c r="O1313" i="5"/>
  <c r="O1314" i="5"/>
  <c r="O1315" i="5"/>
  <c r="O1316" i="5"/>
  <c r="O1317" i="5"/>
  <c r="O1318" i="5"/>
  <c r="O1319" i="5"/>
  <c r="O1320" i="5"/>
  <c r="O1321" i="5"/>
  <c r="O1322" i="5"/>
  <c r="O1323" i="5"/>
  <c r="O1324" i="5"/>
  <c r="O1325" i="5"/>
  <c r="O1326" i="5"/>
  <c r="O1327" i="5"/>
  <c r="O1328" i="5"/>
  <c r="O1329" i="5"/>
  <c r="O1330" i="5"/>
  <c r="O1331" i="5"/>
  <c r="O1332" i="5"/>
  <c r="O1333" i="5"/>
  <c r="O1334" i="5"/>
  <c r="O1335" i="5"/>
  <c r="O1336" i="5"/>
  <c r="O1337" i="5"/>
  <c r="O1338" i="5"/>
  <c r="O1339" i="5"/>
  <c r="O1340" i="5"/>
  <c r="O1341" i="5"/>
  <c r="O1342" i="5"/>
  <c r="O1343" i="5"/>
  <c r="O1344" i="5"/>
  <c r="O1345" i="5"/>
  <c r="O1346" i="5"/>
  <c r="O1347" i="5"/>
  <c r="O1348" i="5"/>
  <c r="O1349" i="5"/>
  <c r="O1350" i="5"/>
  <c r="O1351" i="5"/>
  <c r="O1352" i="5"/>
  <c r="O1353" i="5"/>
  <c r="O1354" i="5"/>
  <c r="O1355" i="5"/>
  <c r="O1356" i="5"/>
  <c r="O1357" i="5"/>
  <c r="O1358" i="5"/>
  <c r="O1359" i="5"/>
  <c r="O1360" i="5"/>
  <c r="O1361" i="5"/>
  <c r="O1362" i="5"/>
  <c r="O1363" i="5"/>
  <c r="O1364" i="5"/>
  <c r="O1365" i="5"/>
  <c r="O1366" i="5"/>
  <c r="O1367" i="5"/>
  <c r="O1368" i="5"/>
  <c r="O1369" i="5"/>
  <c r="O1370" i="5"/>
  <c r="O1371" i="5"/>
  <c r="O1372" i="5"/>
  <c r="O1373" i="5"/>
  <c r="O1374" i="5"/>
  <c r="O1375" i="5"/>
  <c r="O1376" i="5"/>
  <c r="O1377" i="5"/>
  <c r="O1378" i="5"/>
  <c r="O1379" i="5"/>
  <c r="O1380" i="5"/>
  <c r="O1381" i="5"/>
  <c r="O1382" i="5"/>
  <c r="N1075" i="5"/>
  <c r="N1076" i="5"/>
  <c r="N1077" i="5"/>
  <c r="N1078" i="5"/>
  <c r="N1079" i="5"/>
  <c r="N1080" i="5"/>
  <c r="N1081" i="5"/>
  <c r="N1082" i="5"/>
  <c r="N1083" i="5"/>
  <c r="N1084" i="5"/>
  <c r="N1085" i="5"/>
  <c r="N1086" i="5"/>
  <c r="N1087" i="5"/>
  <c r="N1088" i="5"/>
  <c r="N1089" i="5"/>
  <c r="N1090" i="5"/>
  <c r="N1091" i="5"/>
  <c r="N1092" i="5"/>
  <c r="N1093" i="5"/>
  <c r="N1094" i="5"/>
  <c r="N1095" i="5"/>
  <c r="N1096" i="5"/>
  <c r="N1097" i="5"/>
  <c r="N1098" i="5"/>
  <c r="N1099" i="5"/>
  <c r="N1100" i="5"/>
  <c r="N1101" i="5"/>
  <c r="N1102" i="5"/>
  <c r="N1103" i="5"/>
  <c r="N1104" i="5"/>
  <c r="N1105" i="5"/>
  <c r="N1106" i="5"/>
  <c r="N1107" i="5"/>
  <c r="N1108" i="5"/>
  <c r="N1109" i="5"/>
  <c r="N1110" i="5"/>
  <c r="N1111" i="5"/>
  <c r="N1112" i="5"/>
  <c r="N1113" i="5"/>
  <c r="N1114" i="5"/>
  <c r="N1115" i="5"/>
  <c r="N1116" i="5"/>
  <c r="N1117" i="5"/>
  <c r="N1118" i="5"/>
  <c r="N1119" i="5"/>
  <c r="N1120" i="5"/>
  <c r="N1121" i="5"/>
  <c r="N1122" i="5"/>
  <c r="N1123" i="5"/>
  <c r="N1124" i="5"/>
  <c r="N1125" i="5"/>
  <c r="N1126" i="5"/>
  <c r="N1127" i="5"/>
  <c r="N1128" i="5"/>
  <c r="N1129" i="5"/>
  <c r="N1130" i="5"/>
  <c r="N1131" i="5"/>
  <c r="N1132" i="5"/>
  <c r="N1133" i="5"/>
  <c r="N1134" i="5"/>
  <c r="N1135" i="5"/>
  <c r="N1136" i="5"/>
  <c r="N1137" i="5"/>
  <c r="N1138" i="5"/>
  <c r="N1139" i="5"/>
  <c r="N1140" i="5"/>
  <c r="N1141" i="5"/>
  <c r="N1142" i="5"/>
  <c r="N1143" i="5"/>
  <c r="N1144" i="5"/>
  <c r="N1145" i="5"/>
  <c r="N1146" i="5"/>
  <c r="N1147" i="5"/>
  <c r="N1148" i="5"/>
  <c r="N1149" i="5"/>
  <c r="N1150" i="5"/>
  <c r="N1151" i="5"/>
  <c r="N1152" i="5"/>
  <c r="N1153" i="5"/>
  <c r="N1154" i="5"/>
  <c r="N1155" i="5"/>
  <c r="N1156" i="5"/>
  <c r="N1157" i="5"/>
  <c r="N1158" i="5"/>
  <c r="N1159" i="5"/>
  <c r="N1160" i="5"/>
  <c r="N1161" i="5"/>
  <c r="N1162" i="5"/>
  <c r="N1163" i="5"/>
  <c r="N1164" i="5"/>
  <c r="N1165" i="5"/>
  <c r="N1166" i="5"/>
  <c r="N1167" i="5"/>
  <c r="N1168" i="5"/>
  <c r="N1169" i="5"/>
  <c r="N1170" i="5"/>
  <c r="N1171" i="5"/>
  <c r="N1172" i="5"/>
  <c r="N1173" i="5"/>
  <c r="N1174" i="5"/>
  <c r="N1175" i="5"/>
  <c r="N1176" i="5"/>
  <c r="N1177" i="5"/>
  <c r="N1178" i="5"/>
  <c r="N1179" i="5"/>
  <c r="N1180" i="5"/>
  <c r="N1181" i="5"/>
  <c r="N1182" i="5"/>
  <c r="N1183" i="5"/>
  <c r="N1184" i="5"/>
  <c r="N1185" i="5"/>
  <c r="N1186" i="5"/>
  <c r="N1187" i="5"/>
  <c r="N1188" i="5"/>
  <c r="N1189" i="5"/>
  <c r="N1190" i="5"/>
  <c r="N1191" i="5"/>
  <c r="N1192" i="5"/>
  <c r="N1193" i="5"/>
  <c r="N1194" i="5"/>
  <c r="N1195" i="5"/>
  <c r="N1196" i="5"/>
  <c r="N1197" i="5"/>
  <c r="N1198" i="5"/>
  <c r="N1199" i="5"/>
  <c r="N1200" i="5"/>
  <c r="N1201" i="5"/>
  <c r="N1202" i="5"/>
  <c r="N1203" i="5"/>
  <c r="N1204" i="5"/>
  <c r="N1205" i="5"/>
  <c r="N1206" i="5"/>
  <c r="N1207" i="5"/>
  <c r="N1208" i="5"/>
  <c r="N1209" i="5"/>
  <c r="N1210" i="5"/>
  <c r="N1211" i="5"/>
  <c r="N1212" i="5"/>
  <c r="N1213" i="5"/>
  <c r="N1214" i="5"/>
  <c r="N1215" i="5"/>
  <c r="N1216" i="5"/>
  <c r="N1217" i="5"/>
  <c r="N1218" i="5"/>
  <c r="N1219" i="5"/>
  <c r="N1220" i="5"/>
  <c r="N1221" i="5"/>
  <c r="N1222" i="5"/>
  <c r="N1223" i="5"/>
  <c r="N1224" i="5"/>
  <c r="N1225" i="5"/>
  <c r="N1226" i="5"/>
  <c r="N1227" i="5"/>
  <c r="N1228" i="5"/>
  <c r="N1229" i="5"/>
  <c r="N1230" i="5"/>
  <c r="N1231" i="5"/>
  <c r="N1232" i="5"/>
  <c r="N1233" i="5"/>
  <c r="N1234" i="5"/>
  <c r="N1235" i="5"/>
  <c r="N1236" i="5"/>
  <c r="N1237" i="5"/>
  <c r="N1238" i="5"/>
  <c r="N1239" i="5"/>
  <c r="N1240" i="5"/>
  <c r="N1241" i="5"/>
  <c r="N1242" i="5"/>
  <c r="N1243" i="5"/>
  <c r="N1244" i="5"/>
  <c r="N1245" i="5"/>
  <c r="N1246" i="5"/>
  <c r="N1247" i="5"/>
  <c r="N1248" i="5"/>
  <c r="N1249" i="5"/>
  <c r="N1250" i="5"/>
  <c r="N1251" i="5"/>
  <c r="N1252" i="5"/>
  <c r="N1253" i="5"/>
  <c r="N1254" i="5"/>
  <c r="N1255" i="5"/>
  <c r="N1256" i="5"/>
  <c r="N1257" i="5"/>
  <c r="N1258" i="5"/>
  <c r="N1259" i="5"/>
  <c r="N1260" i="5"/>
  <c r="N1261" i="5"/>
  <c r="N1262" i="5"/>
  <c r="N1263" i="5"/>
  <c r="N1264" i="5"/>
  <c r="N1265" i="5"/>
  <c r="N1266" i="5"/>
  <c r="N1267" i="5"/>
  <c r="N1268" i="5"/>
  <c r="N1269" i="5"/>
  <c r="N1270" i="5"/>
  <c r="N1271" i="5"/>
  <c r="N1272" i="5"/>
  <c r="N1273" i="5"/>
  <c r="N1274" i="5"/>
  <c r="N1275" i="5"/>
  <c r="N1276" i="5"/>
  <c r="N1277" i="5"/>
  <c r="N1278" i="5"/>
  <c r="N1279" i="5"/>
  <c r="N1280" i="5"/>
  <c r="N1281" i="5"/>
  <c r="N1282" i="5"/>
  <c r="N1283" i="5"/>
  <c r="N1284" i="5"/>
  <c r="N1285" i="5"/>
  <c r="N1286" i="5"/>
  <c r="N1287" i="5"/>
  <c r="N1288" i="5"/>
  <c r="N1289" i="5"/>
  <c r="N1290" i="5"/>
  <c r="N1291" i="5"/>
  <c r="N1292" i="5"/>
  <c r="N1293" i="5"/>
  <c r="N1294" i="5"/>
  <c r="N1295" i="5"/>
  <c r="N1296" i="5"/>
  <c r="N1297" i="5"/>
  <c r="N1298" i="5"/>
  <c r="N1299" i="5"/>
  <c r="N1300" i="5"/>
  <c r="N1301" i="5"/>
  <c r="N1302" i="5"/>
  <c r="N1303" i="5"/>
  <c r="N1304" i="5"/>
  <c r="N1305" i="5"/>
  <c r="N1306" i="5"/>
  <c r="N1307" i="5"/>
  <c r="N1308" i="5"/>
  <c r="N1309" i="5"/>
  <c r="N1310" i="5"/>
  <c r="N1311" i="5"/>
  <c r="N1312" i="5"/>
  <c r="N1313" i="5"/>
  <c r="N1314" i="5"/>
  <c r="N1315" i="5"/>
  <c r="N1316" i="5"/>
  <c r="N1317" i="5"/>
  <c r="N1318" i="5"/>
  <c r="N1319" i="5"/>
  <c r="N1320" i="5"/>
  <c r="N1321" i="5"/>
  <c r="N1322" i="5"/>
  <c r="N1323" i="5"/>
  <c r="N1324" i="5"/>
  <c r="N1325" i="5"/>
  <c r="N1326" i="5"/>
  <c r="N1327" i="5"/>
  <c r="N1328" i="5"/>
  <c r="N1329" i="5"/>
  <c r="N1330" i="5"/>
  <c r="N1331" i="5"/>
  <c r="N1332" i="5"/>
  <c r="N1333" i="5"/>
  <c r="N1334" i="5"/>
  <c r="N1335" i="5"/>
  <c r="N1336" i="5"/>
  <c r="N1337" i="5"/>
  <c r="N1338" i="5"/>
  <c r="N1339" i="5"/>
  <c r="N1340" i="5"/>
  <c r="N1341" i="5"/>
  <c r="N1342" i="5"/>
  <c r="N1343" i="5"/>
  <c r="N1344" i="5"/>
  <c r="N1345" i="5"/>
  <c r="N1346" i="5"/>
  <c r="N1347" i="5"/>
  <c r="N1348" i="5"/>
  <c r="N1349" i="5"/>
  <c r="N1350" i="5"/>
  <c r="N1351" i="5"/>
  <c r="N1352" i="5"/>
  <c r="N1353" i="5"/>
  <c r="N1354" i="5"/>
  <c r="N1355" i="5"/>
  <c r="N1356" i="5"/>
  <c r="N1357" i="5"/>
  <c r="N1358" i="5"/>
  <c r="N1359" i="5"/>
  <c r="N1360" i="5"/>
  <c r="N1361" i="5"/>
  <c r="N1362" i="5"/>
  <c r="N1363" i="5"/>
  <c r="N1364" i="5"/>
  <c r="N1365" i="5"/>
  <c r="N1366" i="5"/>
  <c r="N1367" i="5"/>
  <c r="N1368" i="5"/>
  <c r="N1369" i="5"/>
  <c r="N1370" i="5"/>
  <c r="N1371" i="5"/>
  <c r="N1372" i="5"/>
  <c r="N1373" i="5"/>
  <c r="N1374" i="5"/>
  <c r="N1375" i="5"/>
  <c r="N1376" i="5"/>
  <c r="N1377" i="5"/>
  <c r="N1378" i="5"/>
  <c r="N1379" i="5"/>
  <c r="N1380" i="5"/>
  <c r="N1381" i="5"/>
  <c r="N1382" i="5"/>
  <c r="N900" i="5" l="1"/>
  <c r="O900" i="5"/>
  <c r="N901" i="5"/>
  <c r="O901" i="5"/>
  <c r="N902" i="5"/>
  <c r="O902" i="5"/>
  <c r="N903" i="5"/>
  <c r="O903" i="5"/>
  <c r="N904" i="5"/>
  <c r="O904" i="5"/>
  <c r="N905" i="5"/>
  <c r="O905" i="5"/>
  <c r="N906" i="5"/>
  <c r="O906" i="5"/>
  <c r="N907" i="5"/>
  <c r="O907" i="5"/>
  <c r="N908" i="5"/>
  <c r="O908" i="5"/>
  <c r="N909" i="5"/>
  <c r="O909" i="5"/>
  <c r="N910" i="5"/>
  <c r="O910" i="5"/>
  <c r="N911" i="5"/>
  <c r="O911" i="5"/>
  <c r="N912" i="5"/>
  <c r="O912" i="5"/>
  <c r="N913" i="5"/>
  <c r="O913" i="5"/>
  <c r="N914" i="5"/>
  <c r="O914" i="5"/>
  <c r="N915" i="5"/>
  <c r="O915" i="5"/>
  <c r="N916" i="5"/>
  <c r="O916" i="5"/>
  <c r="N917" i="5"/>
  <c r="O917" i="5"/>
  <c r="N918" i="5"/>
  <c r="O918" i="5"/>
  <c r="N919" i="5"/>
  <c r="O919" i="5"/>
  <c r="N920" i="5"/>
  <c r="O920" i="5"/>
  <c r="N921" i="5"/>
  <c r="O921" i="5"/>
  <c r="N922" i="5"/>
  <c r="O922" i="5"/>
  <c r="N923" i="5"/>
  <c r="O923" i="5"/>
  <c r="N924" i="5"/>
  <c r="O924" i="5"/>
  <c r="N925" i="5"/>
  <c r="O925" i="5"/>
  <c r="N926" i="5"/>
  <c r="O926" i="5"/>
  <c r="N927" i="5"/>
  <c r="O927" i="5"/>
  <c r="N928" i="5"/>
  <c r="O928" i="5"/>
  <c r="N929" i="5"/>
  <c r="O929" i="5"/>
  <c r="N930" i="5"/>
  <c r="O930" i="5"/>
  <c r="N931" i="5"/>
  <c r="O931" i="5"/>
  <c r="N932" i="5"/>
  <c r="O932" i="5"/>
  <c r="N933" i="5"/>
  <c r="O933" i="5"/>
  <c r="N934" i="5"/>
  <c r="O934" i="5"/>
  <c r="N935" i="5"/>
  <c r="O935" i="5"/>
  <c r="N936" i="5"/>
  <c r="O936" i="5"/>
  <c r="N937" i="5"/>
  <c r="O937" i="5"/>
  <c r="N938" i="5"/>
  <c r="O938" i="5"/>
  <c r="N939" i="5"/>
  <c r="O939" i="5"/>
  <c r="N940" i="5"/>
  <c r="O940" i="5"/>
  <c r="N941" i="5"/>
  <c r="O941" i="5"/>
  <c r="N942" i="5"/>
  <c r="O942" i="5"/>
  <c r="N943" i="5"/>
  <c r="O943" i="5"/>
  <c r="N944" i="5"/>
  <c r="O944" i="5"/>
  <c r="N945" i="5"/>
  <c r="O945" i="5"/>
  <c r="N946" i="5"/>
  <c r="O946" i="5"/>
  <c r="N947" i="5"/>
  <c r="O947" i="5"/>
  <c r="N948" i="5"/>
  <c r="O948" i="5"/>
  <c r="N949" i="5"/>
  <c r="O949" i="5"/>
  <c r="N950" i="5"/>
  <c r="O950" i="5"/>
  <c r="N951" i="5"/>
  <c r="O951" i="5"/>
  <c r="N952" i="5"/>
  <c r="O952" i="5"/>
  <c r="N953" i="5"/>
  <c r="O953" i="5"/>
  <c r="N954" i="5"/>
  <c r="O954" i="5"/>
  <c r="N955" i="5"/>
  <c r="O955" i="5"/>
  <c r="N956" i="5"/>
  <c r="O956" i="5"/>
  <c r="N957" i="5"/>
  <c r="O957" i="5"/>
  <c r="N958" i="5"/>
  <c r="O958" i="5"/>
  <c r="N959" i="5"/>
  <c r="O959" i="5"/>
  <c r="N960" i="5"/>
  <c r="O960" i="5"/>
  <c r="N961" i="5"/>
  <c r="O961" i="5"/>
  <c r="N962" i="5"/>
  <c r="O962" i="5"/>
  <c r="N963" i="5"/>
  <c r="O963" i="5"/>
  <c r="N964" i="5"/>
  <c r="O964" i="5"/>
  <c r="N965" i="5"/>
  <c r="O965" i="5"/>
  <c r="N966" i="5"/>
  <c r="O966" i="5"/>
  <c r="N967" i="5"/>
  <c r="O967" i="5"/>
  <c r="N968" i="5"/>
  <c r="O968" i="5"/>
  <c r="N969" i="5"/>
  <c r="O969" i="5"/>
  <c r="N970" i="5"/>
  <c r="O970" i="5"/>
  <c r="N971" i="5"/>
  <c r="O971" i="5"/>
  <c r="N972" i="5"/>
  <c r="O972" i="5"/>
  <c r="N973" i="5"/>
  <c r="O973" i="5"/>
  <c r="N974" i="5"/>
  <c r="O974" i="5"/>
  <c r="N975" i="5"/>
  <c r="O975" i="5"/>
  <c r="N976" i="5"/>
  <c r="O976" i="5"/>
  <c r="N977" i="5"/>
  <c r="O977" i="5"/>
  <c r="N978" i="5"/>
  <c r="O978" i="5"/>
  <c r="N979" i="5"/>
  <c r="O979" i="5"/>
  <c r="N980" i="5"/>
  <c r="O980" i="5"/>
  <c r="N981" i="5"/>
  <c r="O981" i="5"/>
  <c r="N982" i="5"/>
  <c r="O982" i="5"/>
  <c r="N983" i="5"/>
  <c r="O983" i="5"/>
  <c r="N984" i="5"/>
  <c r="O984" i="5"/>
  <c r="N985" i="5"/>
  <c r="O985" i="5"/>
  <c r="N986" i="5"/>
  <c r="O986" i="5"/>
  <c r="N987" i="5"/>
  <c r="O987" i="5"/>
  <c r="N988" i="5"/>
  <c r="O988" i="5"/>
  <c r="N989" i="5"/>
  <c r="O989" i="5"/>
  <c r="N990" i="5"/>
  <c r="O990" i="5"/>
  <c r="N991" i="5"/>
  <c r="O991" i="5"/>
  <c r="N992" i="5"/>
  <c r="O992" i="5"/>
  <c r="N993" i="5"/>
  <c r="O993" i="5"/>
  <c r="N994" i="5"/>
  <c r="O994" i="5"/>
  <c r="N995" i="5"/>
  <c r="O995" i="5"/>
  <c r="N996" i="5"/>
  <c r="O996" i="5"/>
  <c r="N997" i="5"/>
  <c r="O997" i="5"/>
  <c r="N998" i="5"/>
  <c r="O998" i="5"/>
  <c r="N999" i="5"/>
  <c r="O999" i="5"/>
  <c r="N1000" i="5"/>
  <c r="O1000" i="5"/>
  <c r="N1001" i="5"/>
  <c r="O1001" i="5"/>
  <c r="N1002" i="5"/>
  <c r="O1002" i="5"/>
  <c r="N1003" i="5"/>
  <c r="O1003" i="5"/>
  <c r="N1004" i="5"/>
  <c r="O1004" i="5"/>
  <c r="N1005" i="5"/>
  <c r="O1005" i="5"/>
  <c r="N1006" i="5"/>
  <c r="O1006" i="5"/>
  <c r="N1007" i="5"/>
  <c r="O1007" i="5"/>
  <c r="N1008" i="5"/>
  <c r="O1008" i="5"/>
  <c r="N1009" i="5"/>
  <c r="O1009" i="5"/>
  <c r="N1010" i="5"/>
  <c r="O1010" i="5"/>
  <c r="N1011" i="5"/>
  <c r="O1011" i="5"/>
  <c r="N1012" i="5"/>
  <c r="O1012" i="5"/>
  <c r="N1013" i="5"/>
  <c r="O1013" i="5"/>
  <c r="N1014" i="5"/>
  <c r="O1014" i="5"/>
  <c r="N1015" i="5"/>
  <c r="O1015" i="5"/>
  <c r="N1016" i="5"/>
  <c r="O1016" i="5"/>
  <c r="N1017" i="5"/>
  <c r="O1017" i="5"/>
  <c r="N1018" i="5"/>
  <c r="O1018" i="5"/>
  <c r="N1019" i="5"/>
  <c r="O1019" i="5"/>
  <c r="N1020" i="5"/>
  <c r="O1020" i="5"/>
  <c r="N1021" i="5"/>
  <c r="O1021" i="5"/>
  <c r="N1022" i="5"/>
  <c r="O1022" i="5"/>
  <c r="N1023" i="5"/>
  <c r="O1023" i="5"/>
  <c r="N1024" i="5"/>
  <c r="O1024" i="5"/>
  <c r="N1025" i="5"/>
  <c r="O1025" i="5"/>
  <c r="N1026" i="5"/>
  <c r="O1026" i="5"/>
  <c r="N1027" i="5"/>
  <c r="O1027" i="5"/>
  <c r="N1028" i="5"/>
  <c r="O1028" i="5"/>
  <c r="N1029" i="5"/>
  <c r="O1029" i="5"/>
  <c r="N1030" i="5"/>
  <c r="O1030" i="5"/>
  <c r="N1031" i="5"/>
  <c r="O1031" i="5"/>
  <c r="N1032" i="5"/>
  <c r="O1032" i="5"/>
  <c r="N1033" i="5"/>
  <c r="O1033" i="5"/>
  <c r="N1034" i="5"/>
  <c r="O1034" i="5"/>
  <c r="N1035" i="5"/>
  <c r="O1035" i="5"/>
  <c r="N1036" i="5"/>
  <c r="O1036" i="5"/>
  <c r="N1037" i="5"/>
  <c r="O1037" i="5"/>
  <c r="N1038" i="5"/>
  <c r="O1038" i="5"/>
  <c r="N1039" i="5"/>
  <c r="O1039" i="5"/>
  <c r="N1040" i="5"/>
  <c r="O1040" i="5"/>
  <c r="N1041" i="5"/>
  <c r="O1041" i="5"/>
  <c r="N1042" i="5"/>
  <c r="O1042" i="5"/>
  <c r="N1043" i="5"/>
  <c r="O1043" i="5"/>
  <c r="N1044" i="5"/>
  <c r="O1044" i="5"/>
  <c r="N1045" i="5"/>
  <c r="O1045" i="5"/>
  <c r="N1046" i="5"/>
  <c r="O1046" i="5"/>
  <c r="N1047" i="5"/>
  <c r="O1047" i="5"/>
  <c r="N1048" i="5"/>
  <c r="O1048" i="5"/>
  <c r="N1049" i="5"/>
  <c r="O1049" i="5"/>
  <c r="N1050" i="5"/>
  <c r="O1050" i="5"/>
  <c r="N1051" i="5"/>
  <c r="O1051" i="5"/>
  <c r="N1052" i="5"/>
  <c r="O1052" i="5"/>
  <c r="N1053" i="5"/>
  <c r="O1053" i="5"/>
  <c r="N1054" i="5"/>
  <c r="O1054" i="5"/>
  <c r="N1055" i="5"/>
  <c r="O1055" i="5"/>
  <c r="N1056" i="5"/>
  <c r="O1056" i="5"/>
  <c r="N1057" i="5"/>
  <c r="O1057" i="5"/>
  <c r="N1058" i="5"/>
  <c r="O1058" i="5"/>
  <c r="N1059" i="5"/>
  <c r="O1059" i="5"/>
  <c r="N1060" i="5"/>
  <c r="O1060" i="5"/>
  <c r="N1061" i="5"/>
  <c r="O1061" i="5"/>
  <c r="N1062" i="5"/>
  <c r="O1062" i="5"/>
  <c r="N1063" i="5"/>
  <c r="O1063" i="5"/>
  <c r="N1064" i="5"/>
  <c r="O1064" i="5"/>
  <c r="N1065" i="5"/>
  <c r="O1065" i="5"/>
  <c r="N1066" i="5"/>
  <c r="O1066" i="5"/>
  <c r="N1067" i="5"/>
  <c r="O1067" i="5"/>
  <c r="N1068" i="5"/>
  <c r="O1068" i="5"/>
  <c r="N1069" i="5"/>
  <c r="O1069" i="5"/>
  <c r="N1070" i="5"/>
  <c r="O1070" i="5"/>
  <c r="N1071" i="5"/>
  <c r="O1071" i="5"/>
  <c r="N1072" i="5"/>
  <c r="O1072" i="5"/>
  <c r="N1073" i="5"/>
  <c r="O1073" i="5"/>
  <c r="N1074" i="5"/>
  <c r="O1074" i="5"/>
  <c r="N724" i="5" l="1"/>
  <c r="O724" i="5"/>
  <c r="N725" i="5"/>
  <c r="O725" i="5"/>
  <c r="N726" i="5"/>
  <c r="O726" i="5"/>
  <c r="N727" i="5"/>
  <c r="O727" i="5"/>
  <c r="N728" i="5"/>
  <c r="O728" i="5"/>
  <c r="N729" i="5"/>
  <c r="O729" i="5"/>
  <c r="N730" i="5"/>
  <c r="O730" i="5"/>
  <c r="N731" i="5"/>
  <c r="O731" i="5"/>
  <c r="N732" i="5"/>
  <c r="O732" i="5"/>
  <c r="N733" i="5"/>
  <c r="O733" i="5"/>
  <c r="N734" i="5"/>
  <c r="O734" i="5"/>
  <c r="N735" i="5"/>
  <c r="O735" i="5"/>
  <c r="N736" i="5"/>
  <c r="O736" i="5"/>
  <c r="N737" i="5"/>
  <c r="O737" i="5"/>
  <c r="N738" i="5"/>
  <c r="O738" i="5"/>
  <c r="N739" i="5"/>
  <c r="O739" i="5"/>
  <c r="N740" i="5"/>
  <c r="O740" i="5"/>
  <c r="N741" i="5"/>
  <c r="O741" i="5"/>
  <c r="N742" i="5"/>
  <c r="O742" i="5"/>
  <c r="N743" i="5"/>
  <c r="O743" i="5"/>
  <c r="N744" i="5"/>
  <c r="O744" i="5"/>
  <c r="N745" i="5"/>
  <c r="O745" i="5"/>
  <c r="N746" i="5"/>
  <c r="O746" i="5"/>
  <c r="N747" i="5"/>
  <c r="O747" i="5"/>
  <c r="N748" i="5"/>
  <c r="O748" i="5"/>
  <c r="N749" i="5"/>
  <c r="O749" i="5"/>
  <c r="N750" i="5"/>
  <c r="O750" i="5"/>
  <c r="N751" i="5"/>
  <c r="O751" i="5"/>
  <c r="N752" i="5"/>
  <c r="O752" i="5"/>
  <c r="N753" i="5"/>
  <c r="O753" i="5"/>
  <c r="N754" i="5"/>
  <c r="O754" i="5"/>
  <c r="N755" i="5"/>
  <c r="O755" i="5"/>
  <c r="N756" i="5"/>
  <c r="O756" i="5"/>
  <c r="N757" i="5"/>
  <c r="O757" i="5"/>
  <c r="N758" i="5"/>
  <c r="O758" i="5"/>
  <c r="N759" i="5"/>
  <c r="O759" i="5"/>
  <c r="N760" i="5"/>
  <c r="O760" i="5"/>
  <c r="N761" i="5"/>
  <c r="O761" i="5"/>
  <c r="N762" i="5"/>
  <c r="O762" i="5"/>
  <c r="N763" i="5"/>
  <c r="O763" i="5"/>
  <c r="N764" i="5"/>
  <c r="O764" i="5"/>
  <c r="N765" i="5"/>
  <c r="O765" i="5"/>
  <c r="N766" i="5"/>
  <c r="O766" i="5"/>
  <c r="N767" i="5"/>
  <c r="O767" i="5"/>
  <c r="N768" i="5"/>
  <c r="O768" i="5"/>
  <c r="N769" i="5"/>
  <c r="O769" i="5"/>
  <c r="N770" i="5"/>
  <c r="O770" i="5"/>
  <c r="N771" i="5"/>
  <c r="O771" i="5"/>
  <c r="N772" i="5"/>
  <c r="O772" i="5"/>
  <c r="N773" i="5"/>
  <c r="O773" i="5"/>
  <c r="N774" i="5"/>
  <c r="O774" i="5"/>
  <c r="N775" i="5"/>
  <c r="O775" i="5"/>
  <c r="N776" i="5"/>
  <c r="O776" i="5"/>
  <c r="N777" i="5"/>
  <c r="O777" i="5"/>
  <c r="N778" i="5"/>
  <c r="O778" i="5"/>
  <c r="N779" i="5"/>
  <c r="O779" i="5"/>
  <c r="N780" i="5"/>
  <c r="O780" i="5"/>
  <c r="N781" i="5"/>
  <c r="O781" i="5"/>
  <c r="N782" i="5"/>
  <c r="O782" i="5"/>
  <c r="N783" i="5"/>
  <c r="O783" i="5"/>
  <c r="N784" i="5"/>
  <c r="O784" i="5"/>
  <c r="N785" i="5"/>
  <c r="O785" i="5"/>
  <c r="N786" i="5"/>
  <c r="O786" i="5"/>
  <c r="N787" i="5"/>
  <c r="O787" i="5"/>
  <c r="N788" i="5"/>
  <c r="O788" i="5"/>
  <c r="N789" i="5"/>
  <c r="O789" i="5"/>
  <c r="N790" i="5"/>
  <c r="O790" i="5"/>
  <c r="N791" i="5"/>
  <c r="O791" i="5"/>
  <c r="N792" i="5"/>
  <c r="O792" i="5"/>
  <c r="N793" i="5"/>
  <c r="O793" i="5"/>
  <c r="N794" i="5"/>
  <c r="O794" i="5"/>
  <c r="N795" i="5"/>
  <c r="O795" i="5"/>
  <c r="N796" i="5"/>
  <c r="O796" i="5"/>
  <c r="N797" i="5"/>
  <c r="O797" i="5"/>
  <c r="N798" i="5"/>
  <c r="O798" i="5"/>
  <c r="N799" i="5"/>
  <c r="O799" i="5"/>
  <c r="N800" i="5"/>
  <c r="O800" i="5"/>
  <c r="N801" i="5"/>
  <c r="O801" i="5"/>
  <c r="N802" i="5"/>
  <c r="O802" i="5"/>
  <c r="N803" i="5"/>
  <c r="O803" i="5"/>
  <c r="N804" i="5"/>
  <c r="O804" i="5"/>
  <c r="N805" i="5"/>
  <c r="O805" i="5"/>
  <c r="N806" i="5"/>
  <c r="O806" i="5"/>
  <c r="N807" i="5"/>
  <c r="O807" i="5"/>
  <c r="N808" i="5"/>
  <c r="O808" i="5"/>
  <c r="N809" i="5"/>
  <c r="O809" i="5"/>
  <c r="N810" i="5"/>
  <c r="O810" i="5"/>
  <c r="N811" i="5"/>
  <c r="O811" i="5"/>
  <c r="N812" i="5"/>
  <c r="O812" i="5"/>
  <c r="N813" i="5"/>
  <c r="O813" i="5"/>
  <c r="N814" i="5"/>
  <c r="O814" i="5"/>
  <c r="N815" i="5"/>
  <c r="O815" i="5"/>
  <c r="N816" i="5"/>
  <c r="O816" i="5"/>
  <c r="N817" i="5"/>
  <c r="O817" i="5"/>
  <c r="N818" i="5"/>
  <c r="O818" i="5"/>
  <c r="N819" i="5"/>
  <c r="O819" i="5"/>
  <c r="N820" i="5"/>
  <c r="O820" i="5"/>
  <c r="N821" i="5"/>
  <c r="O821" i="5"/>
  <c r="N822" i="5"/>
  <c r="O822" i="5"/>
  <c r="N823" i="5"/>
  <c r="O823" i="5"/>
  <c r="N824" i="5"/>
  <c r="O824" i="5"/>
  <c r="N825" i="5"/>
  <c r="O825" i="5"/>
  <c r="N826" i="5"/>
  <c r="O826" i="5"/>
  <c r="N827" i="5"/>
  <c r="O827" i="5"/>
  <c r="N828" i="5"/>
  <c r="O828" i="5"/>
  <c r="N829" i="5"/>
  <c r="O829" i="5"/>
  <c r="N830" i="5"/>
  <c r="O830" i="5"/>
  <c r="N831" i="5"/>
  <c r="O831" i="5"/>
  <c r="N832" i="5"/>
  <c r="O832" i="5"/>
  <c r="N833" i="5"/>
  <c r="O833" i="5"/>
  <c r="N834" i="5"/>
  <c r="O834" i="5"/>
  <c r="N835" i="5"/>
  <c r="O835" i="5"/>
  <c r="N836" i="5"/>
  <c r="O836" i="5"/>
  <c r="N837" i="5"/>
  <c r="O837" i="5"/>
  <c r="N838" i="5"/>
  <c r="O838" i="5"/>
  <c r="N839" i="5"/>
  <c r="O839" i="5"/>
  <c r="N840" i="5"/>
  <c r="O840" i="5"/>
  <c r="N841" i="5"/>
  <c r="O841" i="5"/>
  <c r="N842" i="5"/>
  <c r="O842" i="5"/>
  <c r="N843" i="5"/>
  <c r="O843" i="5"/>
  <c r="N844" i="5"/>
  <c r="O844" i="5"/>
  <c r="N845" i="5"/>
  <c r="O845" i="5"/>
  <c r="N846" i="5"/>
  <c r="O846" i="5"/>
  <c r="N847" i="5"/>
  <c r="O847" i="5"/>
  <c r="N848" i="5"/>
  <c r="O848" i="5"/>
  <c r="N849" i="5"/>
  <c r="O849" i="5"/>
  <c r="N850" i="5"/>
  <c r="O850" i="5"/>
  <c r="N851" i="5"/>
  <c r="O851" i="5"/>
  <c r="N852" i="5"/>
  <c r="O852" i="5"/>
  <c r="N853" i="5"/>
  <c r="O853" i="5"/>
  <c r="N854" i="5"/>
  <c r="O854" i="5"/>
  <c r="N855" i="5"/>
  <c r="O855" i="5"/>
  <c r="N856" i="5"/>
  <c r="O856" i="5"/>
  <c r="N857" i="5"/>
  <c r="O857" i="5"/>
  <c r="N858" i="5"/>
  <c r="O858" i="5"/>
  <c r="N859" i="5"/>
  <c r="O859" i="5"/>
  <c r="N860" i="5"/>
  <c r="O860" i="5"/>
  <c r="N861" i="5"/>
  <c r="O861" i="5"/>
  <c r="N862" i="5"/>
  <c r="O862" i="5"/>
  <c r="N863" i="5"/>
  <c r="O863" i="5"/>
  <c r="N864" i="5"/>
  <c r="O864" i="5"/>
  <c r="N865" i="5"/>
  <c r="O865" i="5"/>
  <c r="N866" i="5"/>
  <c r="O866" i="5"/>
  <c r="N867" i="5"/>
  <c r="O867" i="5"/>
  <c r="N868" i="5"/>
  <c r="O868" i="5"/>
  <c r="N869" i="5"/>
  <c r="O869" i="5"/>
  <c r="N870" i="5"/>
  <c r="O870" i="5"/>
  <c r="N871" i="5"/>
  <c r="O871" i="5"/>
  <c r="N872" i="5"/>
  <c r="O872" i="5"/>
  <c r="N873" i="5"/>
  <c r="O873" i="5"/>
  <c r="N874" i="5"/>
  <c r="O874" i="5"/>
  <c r="N875" i="5"/>
  <c r="O875" i="5"/>
  <c r="N876" i="5"/>
  <c r="O876" i="5"/>
  <c r="N877" i="5"/>
  <c r="O877" i="5"/>
  <c r="N878" i="5"/>
  <c r="O878" i="5"/>
  <c r="N879" i="5"/>
  <c r="O879" i="5"/>
  <c r="N880" i="5"/>
  <c r="O880" i="5"/>
  <c r="N881" i="5"/>
  <c r="O881" i="5"/>
  <c r="N882" i="5"/>
  <c r="O882" i="5"/>
  <c r="N883" i="5"/>
  <c r="O883" i="5"/>
  <c r="N884" i="5"/>
  <c r="O884" i="5"/>
  <c r="N885" i="5"/>
  <c r="O885" i="5"/>
  <c r="N886" i="5"/>
  <c r="O886" i="5"/>
  <c r="N887" i="5"/>
  <c r="O887" i="5"/>
  <c r="N888" i="5"/>
  <c r="O888" i="5"/>
  <c r="N889" i="5"/>
  <c r="O889" i="5"/>
  <c r="N890" i="5"/>
  <c r="O890" i="5"/>
  <c r="N891" i="5"/>
  <c r="O891" i="5"/>
  <c r="N892" i="5"/>
  <c r="O892" i="5"/>
  <c r="N893" i="5"/>
  <c r="O893" i="5"/>
  <c r="N894" i="5"/>
  <c r="O894" i="5"/>
  <c r="N895" i="5"/>
  <c r="O895" i="5"/>
  <c r="N896" i="5"/>
  <c r="O896" i="5"/>
  <c r="N897" i="5"/>
  <c r="O897" i="5"/>
  <c r="N898" i="5"/>
  <c r="O898" i="5"/>
  <c r="N899" i="5"/>
  <c r="O899" i="5"/>
  <c r="P7" i="6" l="1"/>
  <c r="O7" i="6"/>
  <c r="Q7" i="6"/>
  <c r="Q3" i="6"/>
  <c r="Q4" i="6"/>
  <c r="Q5" i="6"/>
  <c r="Q6" i="6"/>
  <c r="Q8" i="6"/>
  <c r="Q9" i="6"/>
  <c r="Q2" i="6"/>
  <c r="H8" i="1" l="1"/>
  <c r="G8" i="1"/>
  <c r="F8" i="1"/>
  <c r="E8" i="1"/>
  <c r="D8" i="1"/>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M5" i="4" l="1"/>
  <c r="L5" i="4"/>
  <c r="E14" i="1" l="1"/>
  <c r="E45" i="1" s="1"/>
  <c r="F14" i="1"/>
  <c r="F45" i="1" s="1"/>
  <c r="G14" i="1"/>
  <c r="G45" i="1" s="1"/>
  <c r="H14" i="1"/>
  <c r="H45" i="1" s="1"/>
  <c r="D14" i="1"/>
  <c r="D45" i="1" s="1"/>
  <c r="N723" i="5"/>
  <c r="N722" i="5"/>
  <c r="N721" i="5"/>
  <c r="N720" i="5"/>
  <c r="N719" i="5"/>
  <c r="N718" i="5"/>
  <c r="N717" i="5"/>
  <c r="N716" i="5"/>
  <c r="N715" i="5"/>
  <c r="N714" i="5"/>
  <c r="N713" i="5"/>
  <c r="N712" i="5"/>
  <c r="N711" i="5"/>
  <c r="N710" i="5"/>
  <c r="N709" i="5"/>
  <c r="N708" i="5"/>
  <c r="N707" i="5"/>
  <c r="N706" i="5"/>
  <c r="N705" i="5"/>
  <c r="N704" i="5"/>
  <c r="N703" i="5"/>
  <c r="N702" i="5"/>
  <c r="N701" i="5"/>
  <c r="N700" i="5"/>
  <c r="N699" i="5"/>
  <c r="N698" i="5"/>
  <c r="N697" i="5"/>
  <c r="N696" i="5"/>
  <c r="N695" i="5"/>
  <c r="N694" i="5"/>
  <c r="N693" i="5"/>
  <c r="N692" i="5"/>
  <c r="N691" i="5"/>
  <c r="N690" i="5"/>
  <c r="N689" i="5"/>
  <c r="N688" i="5"/>
  <c r="N687" i="5"/>
  <c r="N686" i="5"/>
  <c r="N685" i="5"/>
  <c r="N684" i="5"/>
  <c r="N683" i="5"/>
  <c r="N682" i="5"/>
  <c r="N681" i="5"/>
  <c r="N680" i="5"/>
  <c r="N679" i="5"/>
  <c r="N678" i="5"/>
  <c r="N677" i="5"/>
  <c r="N676" i="5"/>
  <c r="N675" i="5"/>
  <c r="N674" i="5"/>
  <c r="N673" i="5"/>
  <c r="N672" i="5"/>
  <c r="N671" i="5"/>
  <c r="N670" i="5"/>
  <c r="N669" i="5"/>
  <c r="N668" i="5"/>
  <c r="N667" i="5"/>
  <c r="N666" i="5"/>
  <c r="N665" i="5"/>
  <c r="N664" i="5"/>
  <c r="N663" i="5"/>
  <c r="N662" i="5"/>
  <c r="N661" i="5"/>
  <c r="N660" i="5"/>
  <c r="N659" i="5"/>
  <c r="N658" i="5"/>
  <c r="N657" i="5"/>
  <c r="N656" i="5"/>
  <c r="N655" i="5"/>
  <c r="N654" i="5"/>
  <c r="N653" i="5"/>
  <c r="N652" i="5"/>
  <c r="N651" i="5"/>
  <c r="N650" i="5"/>
  <c r="N649" i="5"/>
  <c r="N648" i="5"/>
  <c r="N647" i="5"/>
  <c r="N646" i="5"/>
  <c r="N645" i="5"/>
  <c r="N644" i="5"/>
  <c r="N643" i="5"/>
  <c r="N642" i="5"/>
  <c r="N641" i="5"/>
  <c r="N640" i="5"/>
  <c r="N639" i="5"/>
  <c r="N638" i="5"/>
  <c r="N637" i="5"/>
  <c r="N636" i="5"/>
  <c r="N635" i="5"/>
  <c r="N634" i="5"/>
  <c r="N633" i="5"/>
  <c r="N632" i="5"/>
  <c r="N631" i="5"/>
  <c r="N630" i="5"/>
  <c r="N629" i="5"/>
  <c r="N628" i="5"/>
  <c r="N627" i="5"/>
  <c r="N626" i="5"/>
  <c r="N625" i="5"/>
  <c r="N624" i="5"/>
  <c r="N623" i="5"/>
  <c r="N622" i="5"/>
  <c r="N621" i="5"/>
  <c r="N620" i="5"/>
  <c r="N619" i="5"/>
  <c r="N618" i="5"/>
  <c r="N617" i="5"/>
  <c r="N616" i="5"/>
  <c r="N615" i="5"/>
  <c r="N614" i="5"/>
  <c r="N613" i="5"/>
  <c r="N612" i="5"/>
  <c r="N611" i="5"/>
  <c r="N610" i="5"/>
  <c r="N609" i="5"/>
  <c r="N608" i="5"/>
  <c r="N607" i="5"/>
  <c r="N606" i="5"/>
  <c r="N605" i="5"/>
  <c r="N604" i="5"/>
  <c r="N603" i="5"/>
  <c r="N602" i="5"/>
  <c r="N601" i="5"/>
  <c r="N600" i="5"/>
  <c r="N599" i="5"/>
  <c r="N598" i="5"/>
  <c r="N597" i="5"/>
  <c r="N596" i="5"/>
  <c r="N595" i="5"/>
  <c r="N594" i="5"/>
  <c r="N593" i="5"/>
  <c r="N592" i="5"/>
  <c r="N591" i="5"/>
  <c r="N590" i="5"/>
  <c r="N589" i="5"/>
  <c r="N588" i="5"/>
  <c r="N587" i="5"/>
  <c r="N586" i="5"/>
  <c r="N585" i="5"/>
  <c r="N584" i="5"/>
  <c r="N583" i="5"/>
  <c r="N582" i="5"/>
  <c r="N581" i="5"/>
  <c r="N580" i="5"/>
  <c r="N579" i="5"/>
  <c r="N578" i="5"/>
  <c r="N577" i="5"/>
  <c r="N576" i="5"/>
  <c r="N575" i="5"/>
  <c r="N574" i="5"/>
  <c r="N573" i="5"/>
  <c r="N572" i="5"/>
  <c r="N571" i="5"/>
  <c r="N570" i="5"/>
  <c r="N569" i="5"/>
  <c r="N568" i="5"/>
  <c r="N567" i="5"/>
  <c r="N566" i="5"/>
  <c r="N565" i="5"/>
  <c r="N564" i="5"/>
  <c r="N563" i="5"/>
  <c r="N562" i="5"/>
  <c r="N561" i="5"/>
  <c r="N560" i="5"/>
  <c r="N559" i="5"/>
  <c r="N558" i="5"/>
  <c r="N557" i="5"/>
  <c r="N556" i="5"/>
  <c r="N555" i="5"/>
  <c r="N554" i="5"/>
  <c r="N553" i="5"/>
  <c r="N552" i="5"/>
  <c r="N551" i="5"/>
  <c r="N550" i="5"/>
  <c r="N549" i="5"/>
  <c r="N548" i="5"/>
  <c r="N547" i="5"/>
  <c r="N546" i="5"/>
  <c r="N545" i="5"/>
  <c r="N544" i="5"/>
  <c r="N543" i="5"/>
  <c r="N542" i="5"/>
  <c r="N541" i="5"/>
  <c r="N540" i="5"/>
  <c r="N539" i="5"/>
  <c r="N538" i="5"/>
  <c r="N537" i="5"/>
  <c r="N536" i="5"/>
  <c r="N535" i="5"/>
  <c r="N534" i="5"/>
  <c r="N533" i="5"/>
  <c r="N532" i="5"/>
  <c r="N531" i="5"/>
  <c r="N530" i="5"/>
  <c r="N529" i="5"/>
  <c r="N528" i="5"/>
  <c r="N527" i="5"/>
  <c r="N526" i="5"/>
  <c r="N525" i="5"/>
  <c r="N524" i="5"/>
  <c r="N523" i="5"/>
  <c r="N522" i="5"/>
  <c r="N521" i="5"/>
  <c r="N520" i="5"/>
  <c r="N519" i="5"/>
  <c r="N518" i="5"/>
  <c r="N517" i="5"/>
  <c r="N516" i="5"/>
  <c r="N515" i="5"/>
  <c r="N514" i="5"/>
  <c r="N513" i="5"/>
  <c r="N512" i="5"/>
  <c r="N511" i="5"/>
  <c r="N510" i="5"/>
  <c r="N509" i="5"/>
  <c r="N508" i="5"/>
  <c r="N507" i="5"/>
  <c r="N506" i="5"/>
  <c r="N505" i="5"/>
  <c r="N504" i="5"/>
  <c r="N503" i="5"/>
  <c r="N502" i="5"/>
  <c r="N501" i="5"/>
  <c r="N500" i="5"/>
  <c r="N499" i="5"/>
  <c r="N498" i="5"/>
  <c r="N497" i="5"/>
  <c r="N496" i="5"/>
  <c r="N495" i="5"/>
  <c r="N494" i="5"/>
  <c r="N493" i="5"/>
  <c r="N492" i="5"/>
  <c r="N491" i="5"/>
  <c r="N490" i="5"/>
  <c r="N489" i="5"/>
  <c r="N488" i="5"/>
  <c r="N487" i="5"/>
  <c r="N486" i="5"/>
  <c r="N485" i="5"/>
  <c r="N484" i="5"/>
  <c r="N483" i="5"/>
  <c r="N482" i="5"/>
  <c r="N481" i="5"/>
  <c r="N480" i="5"/>
  <c r="N479" i="5"/>
  <c r="N478" i="5"/>
  <c r="N477" i="5"/>
  <c r="N476" i="5"/>
  <c r="N475" i="5"/>
  <c r="N474" i="5"/>
  <c r="N473" i="5"/>
  <c r="N472" i="5"/>
  <c r="N471" i="5"/>
  <c r="N470" i="5"/>
  <c r="N469" i="5"/>
  <c r="N468" i="5"/>
  <c r="N467" i="5"/>
  <c r="N466" i="5"/>
  <c r="N465" i="5"/>
  <c r="N464" i="5"/>
  <c r="N463" i="5"/>
  <c r="N462" i="5"/>
  <c r="N461" i="5"/>
  <c r="N460" i="5"/>
  <c r="N459" i="5"/>
  <c r="N458" i="5"/>
  <c r="N457" i="5"/>
  <c r="N456" i="5"/>
  <c r="N455" i="5"/>
  <c r="N454" i="5"/>
  <c r="N453" i="5"/>
  <c r="N452" i="5"/>
  <c r="N451" i="5"/>
  <c r="N450" i="5"/>
  <c r="N449" i="5"/>
  <c r="N448" i="5"/>
  <c r="N447" i="5"/>
  <c r="N446" i="5"/>
  <c r="N445" i="5"/>
  <c r="N444" i="5"/>
  <c r="N443" i="5"/>
  <c r="N442" i="5"/>
  <c r="N441" i="5"/>
  <c r="N440" i="5"/>
  <c r="N439" i="5"/>
  <c r="N438" i="5"/>
  <c r="N437" i="5"/>
  <c r="N436" i="5"/>
  <c r="N435" i="5"/>
  <c r="N434" i="5"/>
  <c r="N433" i="5"/>
  <c r="N432" i="5"/>
  <c r="N431" i="5"/>
  <c r="N430" i="5"/>
  <c r="N429" i="5"/>
  <c r="N428" i="5"/>
  <c r="N427" i="5"/>
  <c r="N426" i="5"/>
  <c r="N425" i="5"/>
  <c r="N424" i="5"/>
  <c r="N423" i="5"/>
  <c r="N422" i="5"/>
  <c r="N421" i="5"/>
  <c r="N420" i="5"/>
  <c r="N419" i="5"/>
  <c r="N418" i="5"/>
  <c r="N417" i="5"/>
  <c r="N416" i="5"/>
  <c r="N415" i="5"/>
  <c r="N414" i="5"/>
  <c r="N413" i="5"/>
  <c r="N412" i="5"/>
  <c r="N411" i="5"/>
  <c r="N410" i="5"/>
  <c r="N409" i="5"/>
  <c r="N408" i="5"/>
  <c r="N407" i="5"/>
  <c r="N406" i="5"/>
  <c r="N405" i="5"/>
  <c r="N404" i="5"/>
  <c r="N403" i="5"/>
  <c r="N402" i="5"/>
  <c r="N401" i="5"/>
  <c r="N400" i="5"/>
  <c r="N399" i="5"/>
  <c r="N398" i="5"/>
  <c r="N397" i="5"/>
  <c r="N396" i="5"/>
  <c r="N395" i="5"/>
  <c r="N394" i="5"/>
  <c r="N393" i="5"/>
  <c r="N392" i="5"/>
  <c r="N391" i="5"/>
  <c r="N390" i="5"/>
  <c r="N389" i="5"/>
  <c r="N388" i="5"/>
  <c r="N387" i="5"/>
  <c r="N386" i="5"/>
  <c r="N385" i="5"/>
  <c r="N384" i="5"/>
  <c r="N383" i="5"/>
  <c r="N382" i="5"/>
  <c r="N381" i="5"/>
  <c r="N380" i="5"/>
  <c r="N379" i="5"/>
  <c r="N378" i="5"/>
  <c r="N377" i="5"/>
  <c r="N376" i="5"/>
  <c r="N375" i="5"/>
  <c r="N374" i="5"/>
  <c r="N373" i="5"/>
  <c r="N372" i="5"/>
  <c r="N371" i="5"/>
  <c r="N370" i="5"/>
  <c r="N369" i="5"/>
  <c r="N368" i="5"/>
  <c r="N367" i="5"/>
  <c r="N366" i="5"/>
  <c r="N365" i="5"/>
  <c r="N364" i="5"/>
  <c r="N363" i="5"/>
  <c r="N362" i="5"/>
  <c r="N361" i="5"/>
  <c r="N360" i="5"/>
  <c r="N359" i="5"/>
  <c r="N358" i="5"/>
  <c r="N357" i="5"/>
  <c r="N356" i="5"/>
  <c r="N355" i="5"/>
  <c r="N354" i="5"/>
  <c r="N353" i="5"/>
  <c r="N352" i="5"/>
  <c r="N351" i="5"/>
  <c r="N350" i="5"/>
  <c r="N349" i="5"/>
  <c r="N348" i="5"/>
  <c r="N347" i="5"/>
  <c r="N346" i="5"/>
  <c r="N345" i="5"/>
  <c r="N344" i="5"/>
  <c r="N343" i="5"/>
  <c r="N342" i="5"/>
  <c r="N341" i="5"/>
  <c r="N340" i="5"/>
  <c r="N339" i="5"/>
  <c r="N338" i="5"/>
  <c r="N337" i="5"/>
  <c r="N336" i="5"/>
  <c r="N335" i="5"/>
  <c r="N334" i="5"/>
  <c r="N333" i="5"/>
  <c r="N332" i="5"/>
  <c r="N331" i="5"/>
  <c r="N330" i="5"/>
  <c r="N329" i="5"/>
  <c r="N328" i="5"/>
  <c r="N327" i="5"/>
  <c r="N326" i="5"/>
  <c r="N325" i="5"/>
  <c r="N324" i="5"/>
  <c r="N323" i="5"/>
  <c r="N322" i="5"/>
  <c r="N321" i="5"/>
  <c r="N320" i="5"/>
  <c r="N319" i="5"/>
  <c r="N318" i="5"/>
  <c r="N317" i="5"/>
  <c r="N316" i="5"/>
  <c r="N315" i="5"/>
  <c r="N314" i="5"/>
  <c r="N313" i="5"/>
  <c r="N312" i="5"/>
  <c r="N311" i="5"/>
  <c r="N310" i="5"/>
  <c r="N309" i="5"/>
  <c r="N308" i="5"/>
  <c r="N307" i="5"/>
  <c r="N306" i="5"/>
  <c r="N305" i="5"/>
  <c r="N304" i="5"/>
  <c r="N303" i="5"/>
  <c r="N302" i="5"/>
  <c r="N301" i="5"/>
  <c r="N300" i="5"/>
  <c r="N299" i="5"/>
  <c r="N298" i="5"/>
  <c r="N297" i="5"/>
  <c r="N296" i="5"/>
  <c r="N295" i="5"/>
  <c r="N294" i="5"/>
  <c r="N293" i="5"/>
  <c r="N292" i="5"/>
  <c r="N291" i="5"/>
  <c r="N290" i="5"/>
  <c r="N289" i="5"/>
  <c r="N288" i="5"/>
  <c r="N287" i="5"/>
  <c r="N286" i="5"/>
  <c r="N285" i="5"/>
  <c r="N284" i="5"/>
  <c r="N283" i="5"/>
  <c r="N282" i="5"/>
  <c r="N281" i="5"/>
  <c r="N280" i="5"/>
  <c r="N279" i="5"/>
  <c r="N278" i="5"/>
  <c r="N277" i="5"/>
  <c r="N276" i="5"/>
  <c r="N275" i="5"/>
  <c r="N274" i="5"/>
  <c r="N273" i="5"/>
  <c r="N272" i="5"/>
  <c r="N271" i="5"/>
  <c r="N270" i="5"/>
  <c r="N269" i="5"/>
  <c r="N268" i="5"/>
  <c r="N267" i="5"/>
  <c r="N266" i="5"/>
  <c r="N265" i="5"/>
  <c r="N264" i="5"/>
  <c r="N263" i="5"/>
  <c r="N262" i="5"/>
  <c r="N261" i="5"/>
  <c r="N260" i="5"/>
  <c r="N259" i="5"/>
  <c r="N258" i="5"/>
  <c r="N257" i="5"/>
  <c r="N256" i="5"/>
  <c r="N255" i="5"/>
  <c r="N254" i="5"/>
  <c r="N253" i="5"/>
  <c r="N252" i="5"/>
  <c r="N251" i="5"/>
  <c r="N250" i="5"/>
  <c r="N249" i="5"/>
  <c r="N248" i="5"/>
  <c r="N247" i="5"/>
  <c r="N246" i="5"/>
  <c r="N245" i="5"/>
  <c r="N244" i="5"/>
  <c r="N243" i="5"/>
  <c r="N242" i="5"/>
  <c r="N241" i="5"/>
  <c r="N240" i="5"/>
  <c r="N239" i="5"/>
  <c r="N238" i="5"/>
  <c r="N237" i="5"/>
  <c r="N236" i="5"/>
  <c r="N235" i="5"/>
  <c r="N234" i="5"/>
  <c r="N233" i="5"/>
  <c r="N232" i="5"/>
  <c r="N231" i="5"/>
  <c r="N230" i="5"/>
  <c r="N229" i="5"/>
  <c r="N228" i="5"/>
  <c r="N227" i="5"/>
  <c r="N226" i="5"/>
  <c r="N225" i="5"/>
  <c r="N224" i="5"/>
  <c r="N223" i="5"/>
  <c r="N222" i="5"/>
  <c r="N221" i="5"/>
  <c r="N220" i="5"/>
  <c r="N219" i="5"/>
  <c r="N218" i="5"/>
  <c r="N217" i="5"/>
  <c r="N216" i="5"/>
  <c r="N215" i="5"/>
  <c r="N214" i="5"/>
  <c r="N213" i="5"/>
  <c r="N212" i="5"/>
  <c r="N211" i="5"/>
  <c r="N210" i="5"/>
  <c r="N209" i="5"/>
  <c r="N208" i="5"/>
  <c r="N207" i="5"/>
  <c r="N206" i="5"/>
  <c r="N205" i="5"/>
  <c r="N204" i="5"/>
  <c r="N203" i="5"/>
  <c r="N202" i="5"/>
  <c r="N201" i="5"/>
  <c r="N200" i="5"/>
  <c r="N199" i="5"/>
  <c r="N198" i="5"/>
  <c r="N197" i="5"/>
  <c r="N196" i="5"/>
  <c r="N195" i="5"/>
  <c r="N194" i="5"/>
  <c r="N193" i="5"/>
  <c r="N192" i="5"/>
  <c r="N191" i="5"/>
  <c r="N190" i="5"/>
  <c r="N189" i="5"/>
  <c r="N188" i="5"/>
  <c r="N187" i="5"/>
  <c r="N186" i="5"/>
  <c r="N185" i="5"/>
  <c r="N184" i="5"/>
  <c r="N183" i="5"/>
  <c r="N182" i="5"/>
  <c r="N181" i="5"/>
  <c r="N180" i="5"/>
  <c r="N179" i="5"/>
  <c r="N178" i="5"/>
  <c r="N177" i="5"/>
  <c r="N176" i="5"/>
  <c r="N175" i="5"/>
  <c r="N174" i="5"/>
  <c r="N173" i="5"/>
  <c r="N172" i="5"/>
  <c r="N171" i="5"/>
  <c r="N170" i="5"/>
  <c r="N169" i="5"/>
  <c r="N168" i="5"/>
  <c r="N167" i="5"/>
  <c r="N166" i="5"/>
  <c r="N165" i="5"/>
  <c r="N164" i="5"/>
  <c r="N163" i="5"/>
  <c r="N162" i="5"/>
  <c r="N161" i="5"/>
  <c r="N160" i="5"/>
  <c r="N159" i="5"/>
  <c r="N158" i="5"/>
  <c r="N157" i="5"/>
  <c r="N156" i="5"/>
  <c r="N155" i="5"/>
  <c r="N154" i="5"/>
  <c r="N153" i="5"/>
  <c r="N152" i="5"/>
  <c r="N151" i="5"/>
  <c r="N150" i="5"/>
  <c r="N149" i="5"/>
  <c r="N148" i="5"/>
  <c r="N147" i="5"/>
  <c r="N146" i="5"/>
  <c r="N145" i="5"/>
  <c r="N144" i="5"/>
  <c r="N143" i="5"/>
  <c r="N142" i="5"/>
  <c r="N141" i="5"/>
  <c r="N140" i="5"/>
  <c r="N139" i="5"/>
  <c r="N138" i="5"/>
  <c r="N137" i="5"/>
  <c r="N136" i="5"/>
  <c r="N135" i="5"/>
  <c r="N134" i="5"/>
  <c r="N133" i="5"/>
  <c r="N132" i="5"/>
  <c r="N131" i="5"/>
  <c r="N130" i="5"/>
  <c r="N129" i="5"/>
  <c r="N128" i="5"/>
  <c r="N127" i="5"/>
  <c r="N126" i="5"/>
  <c r="N125" i="5"/>
  <c r="N124" i="5"/>
  <c r="N123" i="5"/>
  <c r="N122" i="5"/>
  <c r="N121" i="5"/>
  <c r="N120" i="5"/>
  <c r="N119" i="5"/>
  <c r="N118" i="5"/>
  <c r="N117" i="5"/>
  <c r="N116" i="5"/>
  <c r="N115" i="5"/>
  <c r="N114" i="5"/>
  <c r="N113" i="5"/>
  <c r="N112" i="5"/>
  <c r="N111" i="5"/>
  <c r="N110" i="5"/>
  <c r="N109" i="5"/>
  <c r="N108" i="5"/>
  <c r="N107" i="5"/>
  <c r="N106" i="5"/>
  <c r="N105" i="5"/>
  <c r="N104" i="5"/>
  <c r="N103" i="5"/>
  <c r="N102" i="5"/>
  <c r="N101" i="5"/>
  <c r="N100" i="5"/>
  <c r="N99" i="5"/>
  <c r="N98" i="5"/>
  <c r="N97" i="5"/>
  <c r="N96" i="5"/>
  <c r="N95" i="5"/>
  <c r="N94" i="5"/>
  <c r="N93" i="5"/>
  <c r="N92" i="5"/>
  <c r="N91" i="5"/>
  <c r="N90" i="5"/>
  <c r="N89" i="5"/>
  <c r="N88" i="5"/>
  <c r="N87" i="5"/>
  <c r="N86" i="5"/>
  <c r="N85" i="5"/>
  <c r="N84" i="5"/>
  <c r="N83" i="5"/>
  <c r="N82" i="5"/>
  <c r="N81" i="5"/>
  <c r="N80" i="5"/>
  <c r="N79" i="5"/>
  <c r="N78" i="5"/>
  <c r="N77" i="5"/>
  <c r="N76" i="5"/>
  <c r="N75" i="5"/>
  <c r="N74" i="5"/>
  <c r="N73" i="5"/>
  <c r="N72" i="5"/>
  <c r="N71" i="5"/>
  <c r="N70" i="5"/>
  <c r="N69" i="5"/>
  <c r="N68" i="5"/>
  <c r="N67" i="5"/>
  <c r="N66" i="5"/>
  <c r="N65" i="5"/>
  <c r="N64" i="5"/>
  <c r="N63" i="5"/>
  <c r="N62" i="5"/>
  <c r="N61" i="5"/>
  <c r="N60" i="5"/>
  <c r="N59" i="5"/>
  <c r="N58" i="5"/>
  <c r="N57" i="5"/>
  <c r="N56" i="5"/>
  <c r="N55" i="5"/>
  <c r="N54" i="5"/>
  <c r="N53" i="5"/>
  <c r="N52" i="5"/>
  <c r="N51" i="5"/>
  <c r="N50" i="5"/>
  <c r="N49" i="5"/>
  <c r="N48" i="5"/>
  <c r="N47" i="5"/>
  <c r="N46" i="5"/>
  <c r="N45" i="5"/>
  <c r="N44" i="5"/>
  <c r="N43" i="5"/>
  <c r="N42" i="5"/>
  <c r="N41" i="5"/>
  <c r="N40" i="5"/>
  <c r="N39" i="5"/>
  <c r="N38" i="5"/>
  <c r="N37" i="5"/>
  <c r="N36" i="5"/>
  <c r="N35" i="5"/>
  <c r="N34" i="5"/>
  <c r="N33" i="5"/>
  <c r="N32" i="5"/>
  <c r="N31" i="5"/>
  <c r="N30" i="5"/>
  <c r="N29" i="5"/>
  <c r="N28" i="5"/>
  <c r="N27" i="5"/>
  <c r="N26" i="5"/>
  <c r="N25" i="5"/>
  <c r="N24" i="5"/>
  <c r="N23" i="5"/>
  <c r="N22" i="5"/>
  <c r="N21" i="5"/>
  <c r="N20" i="5"/>
  <c r="N19" i="5"/>
  <c r="N18" i="5"/>
  <c r="N17" i="5"/>
  <c r="N16" i="5"/>
  <c r="N15" i="5"/>
  <c r="N14" i="5"/>
  <c r="N13" i="5"/>
  <c r="N12" i="5"/>
  <c r="N11" i="5"/>
  <c r="N10" i="5"/>
  <c r="N9" i="5"/>
  <c r="N8" i="5"/>
  <c r="N7" i="5"/>
  <c r="N6" i="5"/>
  <c r="N5" i="5"/>
  <c r="M703" i="4"/>
  <c r="L703" i="4"/>
  <c r="M702" i="4"/>
  <c r="L702" i="4"/>
  <c r="M701" i="4"/>
  <c r="L701" i="4"/>
  <c r="M700" i="4"/>
  <c r="L700" i="4"/>
  <c r="M699" i="4"/>
  <c r="L699" i="4"/>
  <c r="M698" i="4"/>
  <c r="L698" i="4"/>
  <c r="M697" i="4"/>
  <c r="L697" i="4"/>
  <c r="M696" i="4"/>
  <c r="L696" i="4"/>
  <c r="M695" i="4"/>
  <c r="L695" i="4"/>
  <c r="M694" i="4"/>
  <c r="L694" i="4"/>
  <c r="M693" i="4"/>
  <c r="L693" i="4"/>
  <c r="M692" i="4"/>
  <c r="L692" i="4"/>
  <c r="M691" i="4"/>
  <c r="L691" i="4"/>
  <c r="M690" i="4"/>
  <c r="L690" i="4"/>
  <c r="M689" i="4"/>
  <c r="L689" i="4"/>
  <c r="M688" i="4"/>
  <c r="L688" i="4"/>
  <c r="M687" i="4"/>
  <c r="L687" i="4"/>
  <c r="M686" i="4"/>
  <c r="L686" i="4"/>
  <c r="M685" i="4"/>
  <c r="L685" i="4"/>
  <c r="M684" i="4"/>
  <c r="L684" i="4"/>
  <c r="M683" i="4"/>
  <c r="L683" i="4"/>
  <c r="M682" i="4"/>
  <c r="L682" i="4"/>
  <c r="M681" i="4"/>
  <c r="L681" i="4"/>
  <c r="M680" i="4"/>
  <c r="L680" i="4"/>
  <c r="M679" i="4"/>
  <c r="L679" i="4"/>
  <c r="M678" i="4"/>
  <c r="L678" i="4"/>
  <c r="M677" i="4"/>
  <c r="L677" i="4"/>
  <c r="M676" i="4"/>
  <c r="L676" i="4"/>
  <c r="M675" i="4"/>
  <c r="L675" i="4"/>
  <c r="M674" i="4"/>
  <c r="L674" i="4"/>
  <c r="M673" i="4"/>
  <c r="L673" i="4"/>
  <c r="M672" i="4"/>
  <c r="L672" i="4"/>
  <c r="M671" i="4"/>
  <c r="L671" i="4"/>
  <c r="M670" i="4"/>
  <c r="L670" i="4"/>
  <c r="M669" i="4"/>
  <c r="L669" i="4"/>
  <c r="M668" i="4"/>
  <c r="L668" i="4"/>
  <c r="M667" i="4"/>
  <c r="L667" i="4"/>
  <c r="M666" i="4"/>
  <c r="L666" i="4"/>
  <c r="M665" i="4"/>
  <c r="L665" i="4"/>
  <c r="M664" i="4"/>
  <c r="L664" i="4"/>
  <c r="M663" i="4"/>
  <c r="L663" i="4"/>
  <c r="M662" i="4"/>
  <c r="L662" i="4"/>
  <c r="M661" i="4"/>
  <c r="L661" i="4"/>
  <c r="M660" i="4"/>
  <c r="L660" i="4"/>
  <c r="M659" i="4"/>
  <c r="L659" i="4"/>
  <c r="M658" i="4"/>
  <c r="L658" i="4"/>
  <c r="M657" i="4"/>
  <c r="L657" i="4"/>
  <c r="M656" i="4"/>
  <c r="L656" i="4"/>
  <c r="M655" i="4"/>
  <c r="L655" i="4"/>
  <c r="M654" i="4"/>
  <c r="L654" i="4"/>
  <c r="M653" i="4"/>
  <c r="L653" i="4"/>
  <c r="M652" i="4"/>
  <c r="L652" i="4"/>
  <c r="M651" i="4"/>
  <c r="L651" i="4"/>
  <c r="M650" i="4"/>
  <c r="L650" i="4"/>
  <c r="M649" i="4"/>
  <c r="L649" i="4"/>
  <c r="M648" i="4"/>
  <c r="L648" i="4"/>
  <c r="M647" i="4"/>
  <c r="L647" i="4"/>
  <c r="M646" i="4"/>
  <c r="L646" i="4"/>
  <c r="M645" i="4"/>
  <c r="L645" i="4"/>
  <c r="M644" i="4"/>
  <c r="L644" i="4"/>
  <c r="M643" i="4"/>
  <c r="L643" i="4"/>
  <c r="M642" i="4"/>
  <c r="L642" i="4"/>
  <c r="M641" i="4"/>
  <c r="L641" i="4"/>
  <c r="M640" i="4"/>
  <c r="L640" i="4"/>
  <c r="M639" i="4"/>
  <c r="L639" i="4"/>
  <c r="M638" i="4"/>
  <c r="L638" i="4"/>
  <c r="M637" i="4"/>
  <c r="L637" i="4"/>
  <c r="M636" i="4"/>
  <c r="L636" i="4"/>
  <c r="M635" i="4"/>
  <c r="L635" i="4"/>
  <c r="M634" i="4"/>
  <c r="L634" i="4"/>
  <c r="M633" i="4"/>
  <c r="L633" i="4"/>
  <c r="M632" i="4"/>
  <c r="L632" i="4"/>
  <c r="M631" i="4"/>
  <c r="L631" i="4"/>
  <c r="M630" i="4"/>
  <c r="L630" i="4"/>
  <c r="M629" i="4"/>
  <c r="L629" i="4"/>
  <c r="M628" i="4"/>
  <c r="L628" i="4"/>
  <c r="M627" i="4"/>
  <c r="L627" i="4"/>
  <c r="M626" i="4"/>
  <c r="L626" i="4"/>
  <c r="M625" i="4"/>
  <c r="L625" i="4"/>
  <c r="M624" i="4"/>
  <c r="L624" i="4"/>
  <c r="M623" i="4"/>
  <c r="L623" i="4"/>
  <c r="M622" i="4"/>
  <c r="L622" i="4"/>
  <c r="M621" i="4"/>
  <c r="L621" i="4"/>
  <c r="M620" i="4"/>
  <c r="L620" i="4"/>
  <c r="M619" i="4"/>
  <c r="L619" i="4"/>
  <c r="M618" i="4"/>
  <c r="L618" i="4"/>
  <c r="M617" i="4"/>
  <c r="L617" i="4"/>
  <c r="M616" i="4"/>
  <c r="L616" i="4"/>
  <c r="M615" i="4"/>
  <c r="L615" i="4"/>
  <c r="M614" i="4"/>
  <c r="L614" i="4"/>
  <c r="M613" i="4"/>
  <c r="L613" i="4"/>
  <c r="M612" i="4"/>
  <c r="L612" i="4"/>
  <c r="M611" i="4"/>
  <c r="L611" i="4"/>
  <c r="M610" i="4"/>
  <c r="L610" i="4"/>
  <c r="M609" i="4"/>
  <c r="L609" i="4"/>
  <c r="M608" i="4"/>
  <c r="L608" i="4"/>
  <c r="M607" i="4"/>
  <c r="L607" i="4"/>
  <c r="M606" i="4"/>
  <c r="L606" i="4"/>
  <c r="M605" i="4"/>
  <c r="L605" i="4"/>
  <c r="M604" i="4"/>
  <c r="L604" i="4"/>
  <c r="M603" i="4"/>
  <c r="L603" i="4"/>
  <c r="M602" i="4"/>
  <c r="L602" i="4"/>
  <c r="M601" i="4"/>
  <c r="L601" i="4"/>
  <c r="M600" i="4"/>
  <c r="L600" i="4"/>
  <c r="M599" i="4"/>
  <c r="L599" i="4"/>
  <c r="M598" i="4"/>
  <c r="L598" i="4"/>
  <c r="M597" i="4"/>
  <c r="L597" i="4"/>
  <c r="M596" i="4"/>
  <c r="L596" i="4"/>
  <c r="M595" i="4"/>
  <c r="L595" i="4"/>
  <c r="M594" i="4"/>
  <c r="L594" i="4"/>
  <c r="M593" i="4"/>
  <c r="L593" i="4"/>
  <c r="M592" i="4"/>
  <c r="L592" i="4"/>
  <c r="M591" i="4"/>
  <c r="L591" i="4"/>
  <c r="M590" i="4"/>
  <c r="L590" i="4"/>
  <c r="M589" i="4"/>
  <c r="L589" i="4"/>
  <c r="M588" i="4"/>
  <c r="L588" i="4"/>
  <c r="M587" i="4"/>
  <c r="L587" i="4"/>
  <c r="M586" i="4"/>
  <c r="L586" i="4"/>
  <c r="M585" i="4"/>
  <c r="L585" i="4"/>
  <c r="M584" i="4"/>
  <c r="L584" i="4"/>
  <c r="M583" i="4"/>
  <c r="L583" i="4"/>
  <c r="M582" i="4"/>
  <c r="L582" i="4"/>
  <c r="M581" i="4"/>
  <c r="L581" i="4"/>
  <c r="M580" i="4"/>
  <c r="L580" i="4"/>
  <c r="M579" i="4"/>
  <c r="L579" i="4"/>
  <c r="M578" i="4"/>
  <c r="L578" i="4"/>
  <c r="M577" i="4"/>
  <c r="L577" i="4"/>
  <c r="M576" i="4"/>
  <c r="L576" i="4"/>
  <c r="M575" i="4"/>
  <c r="L575" i="4"/>
  <c r="M574" i="4"/>
  <c r="L574" i="4"/>
  <c r="M573" i="4"/>
  <c r="L573" i="4"/>
  <c r="M572" i="4"/>
  <c r="L572" i="4"/>
  <c r="M571" i="4"/>
  <c r="L571" i="4"/>
  <c r="M570" i="4"/>
  <c r="L570" i="4"/>
  <c r="M569" i="4"/>
  <c r="L569" i="4"/>
  <c r="M568" i="4"/>
  <c r="L568" i="4"/>
  <c r="M567" i="4"/>
  <c r="L567" i="4"/>
  <c r="M566" i="4"/>
  <c r="L566" i="4"/>
  <c r="M565" i="4"/>
  <c r="L565" i="4"/>
  <c r="M564" i="4"/>
  <c r="L564" i="4"/>
  <c r="M563" i="4"/>
  <c r="L563" i="4"/>
  <c r="M562" i="4"/>
  <c r="L562" i="4"/>
  <c r="M561" i="4"/>
  <c r="L561" i="4"/>
  <c r="M560" i="4"/>
  <c r="L560" i="4"/>
  <c r="M559" i="4"/>
  <c r="L559" i="4"/>
  <c r="M558" i="4"/>
  <c r="L558" i="4"/>
  <c r="M557" i="4"/>
  <c r="L557" i="4"/>
  <c r="M556" i="4"/>
  <c r="L556" i="4"/>
  <c r="M555" i="4"/>
  <c r="L555" i="4"/>
  <c r="M554" i="4"/>
  <c r="L554" i="4"/>
  <c r="M553" i="4"/>
  <c r="L553" i="4"/>
  <c r="M552" i="4"/>
  <c r="L552" i="4"/>
  <c r="M551" i="4"/>
  <c r="L551" i="4"/>
  <c r="M550" i="4"/>
  <c r="L550" i="4"/>
  <c r="M549" i="4"/>
  <c r="L549" i="4"/>
  <c r="M548" i="4"/>
  <c r="L548" i="4"/>
  <c r="M547" i="4"/>
  <c r="L547" i="4"/>
  <c r="M546" i="4"/>
  <c r="L546" i="4"/>
  <c r="M545" i="4"/>
  <c r="L545" i="4"/>
  <c r="M544" i="4"/>
  <c r="L544" i="4"/>
  <c r="M543" i="4"/>
  <c r="L543" i="4"/>
  <c r="M542" i="4"/>
  <c r="L542" i="4"/>
  <c r="M541" i="4"/>
  <c r="L541" i="4"/>
  <c r="M540" i="4"/>
  <c r="L540" i="4"/>
  <c r="M539" i="4"/>
  <c r="L539" i="4"/>
  <c r="M538" i="4"/>
  <c r="L538" i="4"/>
  <c r="M537" i="4"/>
  <c r="L537" i="4"/>
  <c r="M536" i="4"/>
  <c r="L536" i="4"/>
  <c r="M535" i="4"/>
  <c r="L535" i="4"/>
  <c r="M534" i="4"/>
  <c r="L534" i="4"/>
  <c r="M533" i="4"/>
  <c r="L533" i="4"/>
  <c r="M532" i="4"/>
  <c r="L532" i="4"/>
  <c r="M531" i="4"/>
  <c r="L531" i="4"/>
  <c r="M530" i="4"/>
  <c r="L530" i="4"/>
  <c r="M529" i="4"/>
  <c r="L529" i="4"/>
  <c r="M528" i="4"/>
  <c r="L528" i="4"/>
  <c r="M527" i="4"/>
  <c r="L527" i="4"/>
  <c r="M526" i="4"/>
  <c r="L526" i="4"/>
  <c r="M525" i="4"/>
  <c r="L525" i="4"/>
  <c r="M524" i="4"/>
  <c r="L524" i="4"/>
  <c r="M523" i="4"/>
  <c r="L523" i="4"/>
  <c r="M522" i="4"/>
  <c r="L522" i="4"/>
  <c r="M521" i="4"/>
  <c r="L521" i="4"/>
  <c r="M520" i="4"/>
  <c r="L520" i="4"/>
  <c r="M519" i="4"/>
  <c r="L519" i="4"/>
  <c r="M518" i="4"/>
  <c r="L518" i="4"/>
  <c r="M517" i="4"/>
  <c r="L517" i="4"/>
  <c r="M516" i="4"/>
  <c r="L516" i="4"/>
  <c r="M515" i="4"/>
  <c r="L515" i="4"/>
  <c r="M514" i="4"/>
  <c r="L514" i="4"/>
  <c r="M513" i="4"/>
  <c r="L513" i="4"/>
  <c r="M512" i="4"/>
  <c r="L512" i="4"/>
  <c r="M511" i="4"/>
  <c r="L511" i="4"/>
  <c r="M510" i="4"/>
  <c r="L510" i="4"/>
  <c r="M509" i="4"/>
  <c r="L509" i="4"/>
  <c r="M508" i="4"/>
  <c r="L508" i="4"/>
  <c r="M507" i="4"/>
  <c r="L507" i="4"/>
  <c r="M506" i="4"/>
  <c r="L506" i="4"/>
  <c r="M505" i="4"/>
  <c r="L505" i="4"/>
  <c r="M504" i="4"/>
  <c r="L504" i="4"/>
  <c r="M503" i="4"/>
  <c r="L503" i="4"/>
  <c r="M502" i="4"/>
  <c r="L502" i="4"/>
  <c r="M501" i="4"/>
  <c r="L501" i="4"/>
  <c r="M500" i="4"/>
  <c r="L500" i="4"/>
  <c r="M499" i="4"/>
  <c r="L499" i="4"/>
  <c r="M498" i="4"/>
  <c r="L498" i="4"/>
  <c r="M497" i="4"/>
  <c r="L497" i="4"/>
  <c r="M496" i="4"/>
  <c r="L496" i="4"/>
  <c r="M495" i="4"/>
  <c r="L495" i="4"/>
  <c r="M494" i="4"/>
  <c r="L494" i="4"/>
  <c r="M493" i="4"/>
  <c r="L493" i="4"/>
  <c r="M492" i="4"/>
  <c r="L492" i="4"/>
  <c r="M491" i="4"/>
  <c r="L491" i="4"/>
  <c r="M490" i="4"/>
  <c r="L490" i="4"/>
  <c r="M489" i="4"/>
  <c r="L489" i="4"/>
  <c r="M488" i="4"/>
  <c r="L488" i="4"/>
  <c r="M487" i="4"/>
  <c r="L487" i="4"/>
  <c r="M486" i="4"/>
  <c r="L486" i="4"/>
  <c r="M485" i="4"/>
  <c r="L485" i="4"/>
  <c r="M484" i="4"/>
  <c r="L484" i="4"/>
  <c r="M483" i="4"/>
  <c r="L483" i="4"/>
  <c r="M482" i="4"/>
  <c r="L482" i="4"/>
  <c r="M481" i="4"/>
  <c r="L481" i="4"/>
  <c r="M480" i="4"/>
  <c r="L480" i="4"/>
  <c r="M479" i="4"/>
  <c r="L479" i="4"/>
  <c r="M478" i="4"/>
  <c r="L478" i="4"/>
  <c r="M477" i="4"/>
  <c r="L477" i="4"/>
  <c r="M476" i="4"/>
  <c r="L476" i="4"/>
  <c r="M475" i="4"/>
  <c r="L475" i="4"/>
  <c r="M474" i="4"/>
  <c r="L474" i="4"/>
  <c r="M473" i="4"/>
  <c r="L473" i="4"/>
  <c r="M472" i="4"/>
  <c r="L472" i="4"/>
  <c r="M471" i="4"/>
  <c r="L471" i="4"/>
  <c r="M470" i="4"/>
  <c r="L470" i="4"/>
  <c r="M469" i="4"/>
  <c r="L469" i="4"/>
  <c r="M468" i="4"/>
  <c r="L468" i="4"/>
  <c r="M467" i="4"/>
  <c r="L467" i="4"/>
  <c r="M466" i="4"/>
  <c r="L466" i="4"/>
  <c r="M465" i="4"/>
  <c r="L465" i="4"/>
  <c r="M464" i="4"/>
  <c r="L464" i="4"/>
  <c r="M463" i="4"/>
  <c r="L463" i="4"/>
  <c r="M462" i="4"/>
  <c r="L462" i="4"/>
  <c r="M461" i="4"/>
  <c r="L461" i="4"/>
  <c r="M460" i="4"/>
  <c r="L460" i="4"/>
  <c r="M459" i="4"/>
  <c r="L459" i="4"/>
  <c r="M458" i="4"/>
  <c r="L458" i="4"/>
  <c r="M457" i="4"/>
  <c r="L457" i="4"/>
  <c r="M456" i="4"/>
  <c r="L456" i="4"/>
  <c r="M455" i="4"/>
  <c r="L455" i="4"/>
  <c r="M454" i="4"/>
  <c r="L454" i="4"/>
  <c r="M453" i="4"/>
  <c r="L453" i="4"/>
  <c r="M452" i="4"/>
  <c r="L452" i="4"/>
  <c r="M451" i="4"/>
  <c r="L451" i="4"/>
  <c r="M450" i="4"/>
  <c r="L450" i="4"/>
  <c r="M449" i="4"/>
  <c r="L449" i="4"/>
  <c r="M448" i="4"/>
  <c r="L448" i="4"/>
  <c r="M447" i="4"/>
  <c r="L447" i="4"/>
  <c r="M446" i="4"/>
  <c r="L446" i="4"/>
  <c r="M445" i="4"/>
  <c r="L445" i="4"/>
  <c r="M444" i="4"/>
  <c r="L444" i="4"/>
  <c r="M443" i="4"/>
  <c r="L443" i="4"/>
  <c r="M442" i="4"/>
  <c r="L442" i="4"/>
  <c r="M441" i="4"/>
  <c r="L441" i="4"/>
  <c r="M440" i="4"/>
  <c r="L440" i="4"/>
  <c r="M439" i="4"/>
  <c r="L439" i="4"/>
  <c r="M438" i="4"/>
  <c r="L438" i="4"/>
  <c r="M437" i="4"/>
  <c r="L437" i="4"/>
  <c r="M436" i="4"/>
  <c r="L436" i="4"/>
  <c r="M435" i="4"/>
  <c r="L435" i="4"/>
  <c r="M434" i="4"/>
  <c r="L434" i="4"/>
  <c r="M433" i="4"/>
  <c r="L433" i="4"/>
  <c r="M432" i="4"/>
  <c r="L432" i="4"/>
  <c r="M431" i="4"/>
  <c r="L431" i="4"/>
  <c r="M430" i="4"/>
  <c r="L430" i="4"/>
  <c r="M429" i="4"/>
  <c r="L429" i="4"/>
  <c r="M428" i="4"/>
  <c r="L428" i="4"/>
  <c r="M427" i="4"/>
  <c r="L427" i="4"/>
  <c r="M426" i="4"/>
  <c r="L426" i="4"/>
  <c r="M425" i="4"/>
  <c r="L425" i="4"/>
  <c r="M424" i="4"/>
  <c r="L424" i="4"/>
  <c r="M423" i="4"/>
  <c r="L423" i="4"/>
  <c r="M422" i="4"/>
  <c r="L422" i="4"/>
  <c r="M421" i="4"/>
  <c r="L421" i="4"/>
  <c r="M420" i="4"/>
  <c r="L420" i="4"/>
  <c r="M419" i="4"/>
  <c r="L419" i="4"/>
  <c r="M418" i="4"/>
  <c r="L418" i="4"/>
  <c r="M417" i="4"/>
  <c r="L417" i="4"/>
  <c r="M416" i="4"/>
  <c r="L416" i="4"/>
  <c r="M415" i="4"/>
  <c r="L415" i="4"/>
  <c r="M414" i="4"/>
  <c r="L414" i="4"/>
  <c r="M413" i="4"/>
  <c r="L413" i="4"/>
  <c r="M412" i="4"/>
  <c r="L412" i="4"/>
  <c r="M411" i="4"/>
  <c r="L411" i="4"/>
  <c r="M410" i="4"/>
  <c r="L410" i="4"/>
  <c r="M409" i="4"/>
  <c r="L409" i="4"/>
  <c r="M408" i="4"/>
  <c r="L408" i="4"/>
  <c r="M407" i="4"/>
  <c r="L407" i="4"/>
  <c r="M406" i="4"/>
  <c r="L406" i="4"/>
  <c r="M405" i="4"/>
  <c r="L405" i="4"/>
  <c r="M404" i="4"/>
  <c r="L404" i="4"/>
  <c r="M403" i="4"/>
  <c r="L403" i="4"/>
  <c r="M402" i="4"/>
  <c r="L402" i="4"/>
  <c r="M401" i="4"/>
  <c r="L401" i="4"/>
  <c r="M400" i="4"/>
  <c r="L400" i="4"/>
  <c r="M399" i="4"/>
  <c r="L399" i="4"/>
  <c r="M398" i="4"/>
  <c r="L398" i="4"/>
  <c r="M397" i="4"/>
  <c r="L397" i="4"/>
  <c r="M396" i="4"/>
  <c r="L396" i="4"/>
  <c r="M395" i="4"/>
  <c r="L395" i="4"/>
  <c r="M394" i="4"/>
  <c r="L394" i="4"/>
  <c r="M393" i="4"/>
  <c r="L393" i="4"/>
  <c r="M392" i="4"/>
  <c r="L392" i="4"/>
  <c r="M391" i="4"/>
  <c r="L391" i="4"/>
  <c r="M390" i="4"/>
  <c r="L390" i="4"/>
  <c r="M389" i="4"/>
  <c r="L389" i="4"/>
  <c r="M388" i="4"/>
  <c r="L388" i="4"/>
  <c r="M387" i="4"/>
  <c r="L387" i="4"/>
  <c r="M386" i="4"/>
  <c r="L386" i="4"/>
  <c r="M385" i="4"/>
  <c r="L385" i="4"/>
  <c r="M384" i="4"/>
  <c r="L384" i="4"/>
  <c r="M383" i="4"/>
  <c r="L383" i="4"/>
  <c r="M382" i="4"/>
  <c r="L382" i="4"/>
  <c r="M381" i="4"/>
  <c r="L381" i="4"/>
  <c r="M380" i="4"/>
  <c r="L380" i="4"/>
  <c r="M379" i="4"/>
  <c r="L379" i="4"/>
  <c r="M378" i="4"/>
  <c r="L378" i="4"/>
  <c r="M377" i="4"/>
  <c r="L377" i="4"/>
  <c r="M376" i="4"/>
  <c r="L376" i="4"/>
  <c r="M375" i="4"/>
  <c r="L375" i="4"/>
  <c r="M374" i="4"/>
  <c r="L374" i="4"/>
  <c r="M373" i="4"/>
  <c r="L373" i="4"/>
  <c r="M372" i="4"/>
  <c r="L372" i="4"/>
  <c r="M371" i="4"/>
  <c r="L371" i="4"/>
  <c r="M370" i="4"/>
  <c r="L370" i="4"/>
  <c r="M369" i="4"/>
  <c r="L369" i="4"/>
  <c r="M368" i="4"/>
  <c r="L368" i="4"/>
  <c r="M367" i="4"/>
  <c r="L367" i="4"/>
  <c r="M366" i="4"/>
  <c r="L366" i="4"/>
  <c r="M365" i="4"/>
  <c r="L365" i="4"/>
  <c r="M364" i="4"/>
  <c r="L364" i="4"/>
  <c r="M363" i="4"/>
  <c r="L363" i="4"/>
  <c r="M362" i="4"/>
  <c r="L362" i="4"/>
  <c r="M361" i="4"/>
  <c r="L361" i="4"/>
  <c r="M360" i="4"/>
  <c r="L360" i="4"/>
  <c r="M359" i="4"/>
  <c r="L359" i="4"/>
  <c r="M358" i="4"/>
  <c r="L358" i="4"/>
  <c r="M357" i="4"/>
  <c r="L357" i="4"/>
  <c r="M356" i="4"/>
  <c r="L356" i="4"/>
  <c r="M355" i="4"/>
  <c r="L355" i="4"/>
  <c r="M354" i="4"/>
  <c r="L354" i="4"/>
  <c r="M353" i="4"/>
  <c r="L353" i="4"/>
  <c r="M352" i="4"/>
  <c r="L352" i="4"/>
  <c r="M351" i="4"/>
  <c r="L351" i="4"/>
  <c r="M350" i="4"/>
  <c r="L350" i="4"/>
  <c r="M349" i="4"/>
  <c r="L349" i="4"/>
  <c r="M348" i="4"/>
  <c r="L348" i="4"/>
  <c r="M347" i="4"/>
  <c r="L347" i="4"/>
  <c r="M346" i="4"/>
  <c r="L346" i="4"/>
  <c r="M345" i="4"/>
  <c r="L345" i="4"/>
  <c r="M344" i="4"/>
  <c r="L344" i="4"/>
  <c r="M343" i="4"/>
  <c r="L343" i="4"/>
  <c r="M342" i="4"/>
  <c r="L342" i="4"/>
  <c r="M341" i="4"/>
  <c r="L341" i="4"/>
  <c r="M340" i="4"/>
  <c r="L340" i="4"/>
  <c r="M339" i="4"/>
  <c r="L339" i="4"/>
  <c r="M338" i="4"/>
  <c r="L338" i="4"/>
  <c r="M337" i="4"/>
  <c r="L337" i="4"/>
  <c r="M336" i="4"/>
  <c r="L336" i="4"/>
  <c r="M335" i="4"/>
  <c r="L335" i="4"/>
  <c r="M334" i="4"/>
  <c r="L334" i="4"/>
  <c r="M333" i="4"/>
  <c r="L333" i="4"/>
  <c r="M332" i="4"/>
  <c r="L332" i="4"/>
  <c r="M331" i="4"/>
  <c r="L331" i="4"/>
  <c r="M330" i="4"/>
  <c r="L330" i="4"/>
  <c r="M329" i="4"/>
  <c r="L329" i="4"/>
  <c r="M328" i="4"/>
  <c r="L328" i="4"/>
  <c r="M327" i="4"/>
  <c r="L327" i="4"/>
  <c r="M326" i="4"/>
  <c r="L326" i="4"/>
  <c r="M325" i="4"/>
  <c r="L325" i="4"/>
  <c r="M324" i="4"/>
  <c r="L324" i="4"/>
  <c r="M323" i="4"/>
  <c r="L323" i="4"/>
  <c r="M322" i="4"/>
  <c r="L322" i="4"/>
  <c r="M321" i="4"/>
  <c r="L321" i="4"/>
  <c r="M320" i="4"/>
  <c r="L320" i="4"/>
  <c r="M319" i="4"/>
  <c r="L319" i="4"/>
  <c r="M318" i="4"/>
  <c r="L318" i="4"/>
  <c r="M317" i="4"/>
  <c r="L317" i="4"/>
  <c r="M316" i="4"/>
  <c r="L316" i="4"/>
  <c r="M315" i="4"/>
  <c r="L315" i="4"/>
  <c r="M314" i="4"/>
  <c r="L314" i="4"/>
  <c r="M313" i="4"/>
  <c r="L313" i="4"/>
  <c r="M312" i="4"/>
  <c r="L312" i="4"/>
  <c r="M311" i="4"/>
  <c r="L311" i="4"/>
  <c r="M310" i="4"/>
  <c r="L310" i="4"/>
  <c r="M309" i="4"/>
  <c r="L309" i="4"/>
  <c r="M308" i="4"/>
  <c r="L308" i="4"/>
  <c r="M307" i="4"/>
  <c r="L307" i="4"/>
  <c r="M306" i="4"/>
  <c r="L306" i="4"/>
  <c r="M305" i="4"/>
  <c r="L305" i="4"/>
  <c r="M304" i="4"/>
  <c r="L304" i="4"/>
  <c r="M303" i="4"/>
  <c r="L303" i="4"/>
  <c r="M302" i="4"/>
  <c r="L302" i="4"/>
  <c r="M301" i="4"/>
  <c r="L301" i="4"/>
  <c r="M300" i="4"/>
  <c r="L300" i="4"/>
  <c r="M299" i="4"/>
  <c r="L299" i="4"/>
  <c r="M298" i="4"/>
  <c r="L298" i="4"/>
  <c r="M297" i="4"/>
  <c r="L297" i="4"/>
  <c r="M296" i="4"/>
  <c r="L296" i="4"/>
  <c r="M295" i="4"/>
  <c r="L295" i="4"/>
  <c r="M294" i="4"/>
  <c r="L294" i="4"/>
  <c r="M293" i="4"/>
  <c r="L293" i="4"/>
  <c r="M292" i="4"/>
  <c r="L292" i="4"/>
  <c r="M291" i="4"/>
  <c r="L291" i="4"/>
  <c r="M290" i="4"/>
  <c r="L290" i="4"/>
  <c r="M289" i="4"/>
  <c r="L289" i="4"/>
  <c r="M288" i="4"/>
  <c r="L288" i="4"/>
  <c r="M287" i="4"/>
  <c r="L287" i="4"/>
  <c r="M286" i="4"/>
  <c r="L286" i="4"/>
  <c r="M285" i="4"/>
  <c r="L285" i="4"/>
  <c r="M284" i="4"/>
  <c r="L284" i="4"/>
  <c r="M283" i="4"/>
  <c r="L283" i="4"/>
  <c r="M282" i="4"/>
  <c r="L282" i="4"/>
  <c r="M281" i="4"/>
  <c r="L281" i="4"/>
  <c r="M280" i="4"/>
  <c r="L280" i="4"/>
  <c r="M279" i="4"/>
  <c r="L279" i="4"/>
  <c r="M278" i="4"/>
  <c r="L278" i="4"/>
  <c r="M277" i="4"/>
  <c r="L277" i="4"/>
  <c r="M276" i="4"/>
  <c r="L276" i="4"/>
  <c r="M275" i="4"/>
  <c r="L275" i="4"/>
  <c r="M274" i="4"/>
  <c r="L274" i="4"/>
  <c r="M273" i="4"/>
  <c r="L273" i="4"/>
  <c r="M272" i="4"/>
  <c r="L272" i="4"/>
  <c r="M271" i="4"/>
  <c r="L271" i="4"/>
  <c r="M270" i="4"/>
  <c r="L270" i="4"/>
  <c r="M269" i="4"/>
  <c r="L269" i="4"/>
  <c r="M268" i="4"/>
  <c r="L268" i="4"/>
  <c r="M267" i="4"/>
  <c r="L267" i="4"/>
  <c r="M266" i="4"/>
  <c r="L266" i="4"/>
  <c r="M265" i="4"/>
  <c r="L265" i="4"/>
  <c r="M264" i="4"/>
  <c r="L264" i="4"/>
  <c r="M263" i="4"/>
  <c r="L263" i="4"/>
  <c r="M262" i="4"/>
  <c r="L262" i="4"/>
  <c r="M261" i="4"/>
  <c r="L261" i="4"/>
  <c r="M260" i="4"/>
  <c r="L260" i="4"/>
  <c r="M259" i="4"/>
  <c r="L259" i="4"/>
  <c r="M258" i="4"/>
  <c r="L258" i="4"/>
  <c r="M257" i="4"/>
  <c r="L257" i="4"/>
  <c r="M256" i="4"/>
  <c r="L256" i="4"/>
  <c r="M255" i="4"/>
  <c r="L255" i="4"/>
  <c r="M254" i="4"/>
  <c r="L254" i="4"/>
  <c r="M253" i="4"/>
  <c r="L253" i="4"/>
  <c r="M252" i="4"/>
  <c r="L252" i="4"/>
  <c r="M251" i="4"/>
  <c r="L251" i="4"/>
  <c r="M250" i="4"/>
  <c r="L250" i="4"/>
  <c r="M249" i="4"/>
  <c r="L249" i="4"/>
  <c r="M248" i="4"/>
  <c r="L248" i="4"/>
  <c r="M247" i="4"/>
  <c r="L247" i="4"/>
  <c r="M246" i="4"/>
  <c r="L246" i="4"/>
  <c r="M245" i="4"/>
  <c r="L245" i="4"/>
  <c r="M244" i="4"/>
  <c r="L244" i="4"/>
  <c r="M243" i="4"/>
  <c r="L243" i="4"/>
  <c r="M242" i="4"/>
  <c r="L242" i="4"/>
  <c r="M241" i="4"/>
  <c r="L241" i="4"/>
  <c r="M240" i="4"/>
  <c r="L240" i="4"/>
  <c r="M239" i="4"/>
  <c r="L239" i="4"/>
  <c r="M238" i="4"/>
  <c r="L238" i="4"/>
  <c r="M237" i="4"/>
  <c r="L237" i="4"/>
  <c r="M236" i="4"/>
  <c r="L236" i="4"/>
  <c r="M235" i="4"/>
  <c r="L235" i="4"/>
  <c r="M234" i="4"/>
  <c r="L234" i="4"/>
  <c r="M233" i="4"/>
  <c r="L233" i="4"/>
  <c r="M232" i="4"/>
  <c r="L232" i="4"/>
  <c r="M231" i="4"/>
  <c r="L231" i="4"/>
  <c r="M230" i="4"/>
  <c r="L230" i="4"/>
  <c r="M229" i="4"/>
  <c r="L229" i="4"/>
  <c r="M228" i="4"/>
  <c r="L228" i="4"/>
  <c r="M227" i="4"/>
  <c r="L227" i="4"/>
  <c r="M226" i="4"/>
  <c r="L226" i="4"/>
  <c r="M225" i="4"/>
  <c r="L225" i="4"/>
  <c r="M224" i="4"/>
  <c r="L224" i="4"/>
  <c r="M223" i="4"/>
  <c r="L223" i="4"/>
  <c r="M222" i="4"/>
  <c r="L222" i="4"/>
  <c r="M221" i="4"/>
  <c r="L221" i="4"/>
  <c r="M220" i="4"/>
  <c r="L220" i="4"/>
  <c r="M219" i="4"/>
  <c r="L219" i="4"/>
  <c r="M218" i="4"/>
  <c r="L218" i="4"/>
  <c r="M217" i="4"/>
  <c r="L217" i="4"/>
  <c r="M216" i="4"/>
  <c r="L216" i="4"/>
  <c r="M215" i="4"/>
  <c r="L215" i="4"/>
  <c r="M214" i="4"/>
  <c r="L214" i="4"/>
  <c r="M213" i="4"/>
  <c r="L213" i="4"/>
  <c r="M212" i="4"/>
  <c r="L212" i="4"/>
  <c r="M211" i="4"/>
  <c r="L211" i="4"/>
  <c r="M210" i="4"/>
  <c r="L210" i="4"/>
  <c r="M209" i="4"/>
  <c r="L209" i="4"/>
  <c r="M208" i="4"/>
  <c r="L208" i="4"/>
  <c r="M207" i="4"/>
  <c r="L207" i="4"/>
  <c r="M206" i="4"/>
  <c r="L206" i="4"/>
  <c r="M205" i="4"/>
  <c r="L205" i="4"/>
  <c r="M204" i="4"/>
  <c r="L204" i="4"/>
  <c r="M203" i="4"/>
  <c r="L203" i="4"/>
  <c r="M202" i="4"/>
  <c r="L202" i="4"/>
  <c r="M201" i="4"/>
  <c r="L201" i="4"/>
  <c r="M200" i="4"/>
  <c r="L200" i="4"/>
  <c r="M199" i="4"/>
  <c r="L199" i="4"/>
  <c r="M198" i="4"/>
  <c r="L198" i="4"/>
  <c r="M197" i="4"/>
  <c r="L197" i="4"/>
  <c r="M196" i="4"/>
  <c r="L196" i="4"/>
  <c r="M195" i="4"/>
  <c r="L195" i="4"/>
  <c r="M194" i="4"/>
  <c r="L194" i="4"/>
  <c r="M193" i="4"/>
  <c r="L193" i="4"/>
  <c r="M192" i="4"/>
  <c r="L192" i="4"/>
  <c r="M191" i="4"/>
  <c r="L191" i="4"/>
  <c r="M190" i="4"/>
  <c r="L190" i="4"/>
  <c r="M189" i="4"/>
  <c r="L189" i="4"/>
  <c r="M188" i="4"/>
  <c r="L188" i="4"/>
  <c r="M187" i="4"/>
  <c r="L187" i="4"/>
  <c r="M186" i="4"/>
  <c r="L186" i="4"/>
  <c r="M185" i="4"/>
  <c r="L185" i="4"/>
  <c r="M184" i="4"/>
  <c r="L184" i="4"/>
  <c r="M183" i="4"/>
  <c r="L183" i="4"/>
  <c r="M182" i="4"/>
  <c r="L182" i="4"/>
  <c r="M181" i="4"/>
  <c r="L181" i="4"/>
  <c r="M180" i="4"/>
  <c r="L180" i="4"/>
  <c r="M179" i="4"/>
  <c r="L179" i="4"/>
  <c r="M178" i="4"/>
  <c r="L178" i="4"/>
  <c r="M177" i="4"/>
  <c r="L177" i="4"/>
  <c r="M176" i="4"/>
  <c r="L176" i="4"/>
  <c r="M175" i="4"/>
  <c r="L175" i="4"/>
  <c r="M174" i="4"/>
  <c r="L174" i="4"/>
  <c r="M173" i="4"/>
  <c r="L173" i="4"/>
  <c r="M172" i="4"/>
  <c r="L172" i="4"/>
  <c r="M171" i="4"/>
  <c r="L171" i="4"/>
  <c r="M170" i="4"/>
  <c r="L170" i="4"/>
  <c r="M169" i="4"/>
  <c r="L169" i="4"/>
  <c r="M168" i="4"/>
  <c r="L168" i="4"/>
  <c r="M167" i="4"/>
  <c r="L167" i="4"/>
  <c r="M166" i="4"/>
  <c r="L166" i="4"/>
  <c r="M165" i="4"/>
  <c r="L165" i="4"/>
  <c r="M164" i="4"/>
  <c r="L164" i="4"/>
  <c r="M163" i="4"/>
  <c r="L163" i="4"/>
  <c r="M162" i="4"/>
  <c r="L162" i="4"/>
  <c r="M161" i="4"/>
  <c r="L161" i="4"/>
  <c r="M160" i="4"/>
  <c r="L160" i="4"/>
  <c r="M159" i="4"/>
  <c r="L159" i="4"/>
  <c r="M158" i="4"/>
  <c r="L158" i="4"/>
  <c r="M157" i="4"/>
  <c r="L157" i="4"/>
  <c r="M156" i="4"/>
  <c r="L156" i="4"/>
  <c r="M155" i="4"/>
  <c r="L155" i="4"/>
  <c r="M154" i="4"/>
  <c r="L154" i="4"/>
  <c r="M153" i="4"/>
  <c r="L153" i="4"/>
  <c r="M152" i="4"/>
  <c r="L152" i="4"/>
  <c r="M151" i="4"/>
  <c r="L151" i="4"/>
  <c r="M150" i="4"/>
  <c r="L150" i="4"/>
  <c r="M149" i="4"/>
  <c r="L149" i="4"/>
  <c r="M148" i="4"/>
  <c r="L148" i="4"/>
  <c r="M147" i="4"/>
  <c r="L147" i="4"/>
  <c r="M146" i="4"/>
  <c r="L146" i="4"/>
  <c r="M145" i="4"/>
  <c r="L145" i="4"/>
  <c r="M144" i="4"/>
  <c r="L144" i="4"/>
  <c r="M143" i="4"/>
  <c r="L143" i="4"/>
  <c r="M142" i="4"/>
  <c r="L142" i="4"/>
  <c r="M141" i="4"/>
  <c r="L141" i="4"/>
  <c r="M140" i="4"/>
  <c r="L140" i="4"/>
  <c r="M139" i="4"/>
  <c r="L139" i="4"/>
  <c r="M138" i="4"/>
  <c r="L138" i="4"/>
  <c r="M137" i="4"/>
  <c r="L137" i="4"/>
  <c r="M136" i="4"/>
  <c r="L136" i="4"/>
  <c r="M135" i="4"/>
  <c r="L135" i="4"/>
  <c r="M134" i="4"/>
  <c r="L134" i="4"/>
  <c r="M133" i="4"/>
  <c r="L133" i="4"/>
  <c r="M132" i="4"/>
  <c r="L132" i="4"/>
  <c r="M131" i="4"/>
  <c r="L131" i="4"/>
  <c r="M130" i="4"/>
  <c r="L130" i="4"/>
  <c r="M129" i="4"/>
  <c r="L129" i="4"/>
  <c r="M128" i="4"/>
  <c r="L128" i="4"/>
  <c r="M127" i="4"/>
  <c r="L127" i="4"/>
  <c r="M126" i="4"/>
  <c r="L126" i="4"/>
  <c r="M125" i="4"/>
  <c r="L125" i="4"/>
  <c r="M124" i="4"/>
  <c r="L124" i="4"/>
  <c r="M123" i="4"/>
  <c r="L123" i="4"/>
  <c r="M122" i="4"/>
  <c r="L122" i="4"/>
  <c r="M121" i="4"/>
  <c r="L121" i="4"/>
  <c r="M120" i="4"/>
  <c r="L120" i="4"/>
  <c r="M119" i="4"/>
  <c r="L119" i="4"/>
  <c r="M118" i="4"/>
  <c r="L118" i="4"/>
  <c r="M117" i="4"/>
  <c r="L117" i="4"/>
  <c r="M116" i="4"/>
  <c r="L116" i="4"/>
  <c r="M115" i="4"/>
  <c r="L115" i="4"/>
  <c r="M114" i="4"/>
  <c r="L114" i="4"/>
  <c r="M113" i="4"/>
  <c r="L113" i="4"/>
  <c r="M112" i="4"/>
  <c r="L112" i="4"/>
  <c r="M111" i="4"/>
  <c r="L111" i="4"/>
  <c r="M110" i="4"/>
  <c r="L110" i="4"/>
  <c r="M109" i="4"/>
  <c r="L109" i="4"/>
  <c r="M108" i="4"/>
  <c r="L108" i="4"/>
  <c r="M107" i="4"/>
  <c r="L107" i="4"/>
  <c r="M106" i="4"/>
  <c r="L106" i="4"/>
  <c r="M105" i="4"/>
  <c r="L105" i="4"/>
  <c r="M104" i="4"/>
  <c r="L104" i="4"/>
  <c r="M103" i="4"/>
  <c r="L103" i="4"/>
  <c r="M102" i="4"/>
  <c r="L102" i="4"/>
  <c r="M101" i="4"/>
  <c r="L101" i="4"/>
  <c r="M100" i="4"/>
  <c r="L100" i="4"/>
  <c r="M99" i="4"/>
  <c r="L99" i="4"/>
  <c r="M98" i="4"/>
  <c r="L98" i="4"/>
  <c r="M97" i="4"/>
  <c r="L97" i="4"/>
  <c r="M96" i="4"/>
  <c r="L96" i="4"/>
  <c r="M95" i="4"/>
  <c r="L95" i="4"/>
  <c r="M94" i="4"/>
  <c r="L94" i="4"/>
  <c r="M93" i="4"/>
  <c r="L93" i="4"/>
  <c r="M92" i="4"/>
  <c r="L92" i="4"/>
  <c r="M91" i="4"/>
  <c r="L91" i="4"/>
  <c r="M90" i="4"/>
  <c r="L90" i="4"/>
  <c r="M89" i="4"/>
  <c r="L89" i="4"/>
  <c r="M88" i="4"/>
  <c r="L88" i="4"/>
  <c r="M87" i="4"/>
  <c r="L87" i="4"/>
  <c r="M86" i="4"/>
  <c r="L86" i="4"/>
  <c r="M85" i="4"/>
  <c r="L85" i="4"/>
  <c r="M84" i="4"/>
  <c r="L84" i="4"/>
  <c r="M83" i="4"/>
  <c r="L83" i="4"/>
  <c r="M82" i="4"/>
  <c r="L82" i="4"/>
  <c r="M81" i="4"/>
  <c r="L81" i="4"/>
  <c r="M80" i="4"/>
  <c r="L80" i="4"/>
  <c r="M79" i="4"/>
  <c r="L79" i="4"/>
  <c r="M78" i="4"/>
  <c r="L78" i="4"/>
  <c r="M77" i="4"/>
  <c r="L77" i="4"/>
  <c r="M76" i="4"/>
  <c r="L76" i="4"/>
  <c r="M75" i="4"/>
  <c r="L75" i="4"/>
  <c r="M74" i="4"/>
  <c r="L74" i="4"/>
  <c r="M73" i="4"/>
  <c r="L73" i="4"/>
  <c r="M72" i="4"/>
  <c r="L72" i="4"/>
  <c r="M71" i="4"/>
  <c r="L71" i="4"/>
  <c r="M70" i="4"/>
  <c r="L70" i="4"/>
  <c r="M69" i="4"/>
  <c r="L69" i="4"/>
  <c r="M68" i="4"/>
  <c r="L68" i="4"/>
  <c r="M67" i="4"/>
  <c r="L67" i="4"/>
  <c r="M66" i="4"/>
  <c r="L66" i="4"/>
  <c r="M65" i="4"/>
  <c r="L65" i="4"/>
  <c r="M64" i="4"/>
  <c r="L64" i="4"/>
  <c r="M63" i="4"/>
  <c r="L63" i="4"/>
  <c r="M62" i="4"/>
  <c r="L62" i="4"/>
  <c r="M61" i="4"/>
  <c r="L61" i="4"/>
  <c r="M60" i="4"/>
  <c r="L60" i="4"/>
  <c r="M59" i="4"/>
  <c r="L59" i="4"/>
  <c r="M58" i="4"/>
  <c r="L58" i="4"/>
  <c r="M57" i="4"/>
  <c r="L57" i="4"/>
  <c r="M56" i="4"/>
  <c r="L56" i="4"/>
  <c r="M55" i="4"/>
  <c r="L55" i="4"/>
  <c r="M54" i="4"/>
  <c r="L54" i="4"/>
  <c r="M53" i="4"/>
  <c r="L53" i="4"/>
  <c r="M52" i="4"/>
  <c r="L52" i="4"/>
  <c r="M51" i="4"/>
  <c r="L51" i="4"/>
  <c r="M50" i="4"/>
  <c r="L50" i="4"/>
  <c r="M49" i="4"/>
  <c r="L49" i="4"/>
  <c r="M48" i="4"/>
  <c r="L48" i="4"/>
  <c r="M47" i="4"/>
  <c r="L47" i="4"/>
  <c r="M46" i="4"/>
  <c r="L46" i="4"/>
  <c r="M45" i="4"/>
  <c r="L45" i="4"/>
  <c r="M44" i="4"/>
  <c r="L44" i="4"/>
  <c r="M43" i="4"/>
  <c r="L43" i="4"/>
  <c r="M42" i="4"/>
  <c r="L42" i="4"/>
  <c r="M41" i="4"/>
  <c r="L41" i="4"/>
  <c r="M40" i="4"/>
  <c r="L40" i="4"/>
  <c r="M39" i="4"/>
  <c r="L39" i="4"/>
  <c r="M38" i="4"/>
  <c r="L38" i="4"/>
  <c r="M37" i="4"/>
  <c r="L37" i="4"/>
  <c r="M36" i="4"/>
  <c r="L36" i="4"/>
  <c r="M35" i="4"/>
  <c r="L35" i="4"/>
  <c r="M34" i="4"/>
  <c r="L34" i="4"/>
  <c r="M33" i="4"/>
  <c r="L33" i="4"/>
  <c r="M32" i="4"/>
  <c r="L32" i="4"/>
  <c r="M31" i="4"/>
  <c r="L31" i="4"/>
  <c r="M30" i="4"/>
  <c r="L30" i="4"/>
  <c r="M29" i="4"/>
  <c r="L29" i="4"/>
  <c r="M28" i="4"/>
  <c r="L28" i="4"/>
  <c r="M27" i="4"/>
  <c r="L27" i="4"/>
  <c r="M26" i="4"/>
  <c r="L26" i="4"/>
  <c r="M25" i="4"/>
  <c r="L25" i="4"/>
  <c r="M24" i="4"/>
  <c r="L24" i="4"/>
  <c r="M23" i="4"/>
  <c r="L23" i="4"/>
  <c r="M22" i="4"/>
  <c r="L22" i="4"/>
  <c r="M21" i="4"/>
  <c r="L21" i="4"/>
  <c r="M20" i="4"/>
  <c r="L20" i="4"/>
  <c r="M19" i="4"/>
  <c r="L19" i="4"/>
  <c r="M18" i="4"/>
  <c r="L18" i="4"/>
  <c r="M17" i="4"/>
  <c r="L17" i="4"/>
  <c r="M16" i="4"/>
  <c r="L16" i="4"/>
  <c r="M15" i="4"/>
  <c r="L15" i="4"/>
  <c r="M14" i="4"/>
  <c r="L14" i="4"/>
  <c r="M13" i="4"/>
  <c r="L13" i="4"/>
  <c r="M12" i="4"/>
  <c r="L12" i="4"/>
  <c r="M11" i="4"/>
  <c r="L11" i="4"/>
  <c r="M10" i="4"/>
  <c r="L10" i="4"/>
  <c r="M9" i="4"/>
  <c r="L9" i="4"/>
  <c r="M8" i="4"/>
  <c r="L8" i="4"/>
  <c r="M7" i="4"/>
  <c r="L7" i="4"/>
  <c r="M6" i="4"/>
  <c r="L6" i="4"/>
  <c r="D9" i="1"/>
  <c r="G9" i="1"/>
  <c r="E6" i="1"/>
  <c r="E37" i="1" s="1"/>
  <c r="E9" i="1"/>
  <c r="F9" i="1"/>
  <c r="H7" i="1"/>
  <c r="H10" i="1"/>
  <c r="G10" i="1"/>
  <c r="H9" i="1"/>
  <c r="B30" i="1"/>
  <c r="B29" i="1"/>
  <c r="B28" i="1"/>
  <c r="B27" i="1"/>
  <c r="B25" i="1"/>
  <c r="B24" i="1"/>
  <c r="B23" i="1"/>
  <c r="B22" i="1"/>
  <c r="B21" i="1"/>
  <c r="F15" i="1"/>
  <c r="F46" i="1" s="1"/>
  <c r="H13" i="1"/>
  <c r="H44" i="1" s="1"/>
  <c r="G13" i="1"/>
  <c r="G44" i="1" s="1"/>
  <c r="F13" i="1"/>
  <c r="F44" i="1" s="1"/>
  <c r="E13" i="1"/>
  <c r="D13" i="1"/>
  <c r="D44" i="1" s="1"/>
  <c r="E11" i="1"/>
  <c r="G7" i="1"/>
  <c r="G38" i="1" s="1"/>
  <c r="D7" i="1"/>
  <c r="D38" i="1" s="1"/>
  <c r="H12" i="1" l="1"/>
  <c r="H43" i="1" s="1"/>
  <c r="G11" i="1"/>
  <c r="G42" i="1" s="1"/>
  <c r="G12" i="1"/>
  <c r="G43" i="1" s="1"/>
  <c r="H11" i="1"/>
  <c r="H42" i="1" s="1"/>
  <c r="F11" i="1"/>
  <c r="F42" i="1" s="1"/>
  <c r="D12" i="1"/>
  <c r="D43" i="1" s="1"/>
  <c r="G5" i="1"/>
  <c r="G36" i="1" s="1"/>
  <c r="G6" i="1"/>
  <c r="F6" i="1"/>
  <c r="F37" i="1" s="1"/>
  <c r="F5" i="1"/>
  <c r="F36" i="1" s="1"/>
  <c r="H6" i="1"/>
  <c r="H5" i="1"/>
  <c r="D6" i="1"/>
  <c r="D37" i="1" s="1"/>
  <c r="D11" i="1"/>
  <c r="H15" i="1"/>
  <c r="H46" i="1" s="1"/>
  <c r="H29" i="1"/>
  <c r="F29" i="1"/>
  <c r="E29" i="1"/>
  <c r="E44" i="1"/>
  <c r="D29" i="1"/>
  <c r="F39" i="1"/>
  <c r="F24" i="1"/>
  <c r="H24" i="1"/>
  <c r="H39" i="1"/>
  <c r="H38" i="1"/>
  <c r="E39" i="1"/>
  <c r="E24" i="1"/>
  <c r="G25" i="1"/>
  <c r="G40" i="1"/>
  <c r="F25" i="1"/>
  <c r="F40" i="1"/>
  <c r="H25" i="1"/>
  <c r="H40" i="1"/>
  <c r="G41" i="1"/>
  <c r="E25" i="1"/>
  <c r="E40" i="1"/>
  <c r="D25" i="1"/>
  <c r="D40" i="1"/>
  <c r="G24" i="1"/>
  <c r="G39" i="1"/>
  <c r="H41" i="1"/>
  <c r="D24" i="1"/>
  <c r="E7" i="1"/>
  <c r="F7" i="1"/>
  <c r="G29" i="1"/>
  <c r="E42" i="1"/>
  <c r="E15" i="1"/>
  <c r="D5" i="1"/>
  <c r="D15" i="1"/>
  <c r="D10" i="1"/>
  <c r="E10" i="1"/>
  <c r="G15" i="1"/>
  <c r="E5" i="1"/>
  <c r="F10" i="1"/>
  <c r="D39" i="1"/>
  <c r="H36" i="1" l="1"/>
  <c r="G37" i="1"/>
  <c r="H37" i="1"/>
  <c r="F28" i="1"/>
  <c r="D28" i="1"/>
  <c r="D27" i="1"/>
  <c r="E28" i="1"/>
  <c r="H28" i="1"/>
  <c r="G28" i="1"/>
  <c r="D22" i="1"/>
  <c r="H27" i="1"/>
  <c r="F22" i="1"/>
  <c r="E22" i="1"/>
  <c r="G22" i="1"/>
  <c r="H22" i="1"/>
  <c r="G27" i="1"/>
  <c r="F27" i="1"/>
  <c r="E27" i="1"/>
  <c r="D42" i="1"/>
  <c r="G21" i="1"/>
  <c r="E30" i="1"/>
  <c r="E46" i="1"/>
  <c r="D41" i="1"/>
  <c r="D26" i="1"/>
  <c r="F21" i="1"/>
  <c r="E38" i="1"/>
  <c r="E23" i="1"/>
  <c r="E41" i="1"/>
  <c r="E26" i="1"/>
  <c r="H21" i="1"/>
  <c r="F38" i="1"/>
  <c r="F23" i="1"/>
  <c r="G26" i="1"/>
  <c r="H23" i="1"/>
  <c r="H30" i="1"/>
  <c r="D30" i="1"/>
  <c r="F30" i="1"/>
  <c r="D46" i="1"/>
  <c r="F41" i="1"/>
  <c r="F26" i="1"/>
  <c r="G30" i="1"/>
  <c r="G46" i="1"/>
  <c r="D36" i="1"/>
  <c r="D21" i="1"/>
  <c r="D23" i="1"/>
  <c r="E21" i="1"/>
  <c r="E36" i="1"/>
  <c r="H26" i="1"/>
  <c r="G23" i="1"/>
  <c r="G31" i="1" l="1"/>
  <c r="F31" i="1"/>
  <c r="E31" i="1"/>
  <c r="H31" i="1"/>
  <c r="D31" i="1"/>
  <c r="D16" i="1" l="1"/>
  <c r="H16" i="1"/>
  <c r="E16" i="1"/>
  <c r="F16" i="1"/>
  <c r="G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tc={8EA13ADC-085D-46AE-950D-3A5B95A5D4D7}</author>
    <author>tc={DC9C2DFB-79BD-4B56-93E1-86190E616D12}</author>
    <author>Bachir Houmadi Soumaila</author>
  </authors>
  <commentList>
    <comment ref="B1" authorId="0" shapeId="0" xr:uid="{8EA13ADC-085D-46AE-950D-3A5B95A5D4D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If OpCo, specify which one</t>
      </text>
    </comment>
    <comment ref="H1" authorId="1" shapeId="0" xr:uid="{DC9C2DFB-79BD-4B56-93E1-86190E616D1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Add list of supplier at the end</t>
      </text>
    </comment>
    <comment ref="F4" authorId="2" shapeId="0" xr:uid="{97E18C03-C30A-409F-84C8-10AA7B6AA8CB}">
      <text>
        <r>
          <rPr>
            <b/>
            <sz val="9"/>
            <color indexed="81"/>
            <rFont val="Tahoma"/>
            <family val="2"/>
          </rPr>
          <t>Bachir Houmadi Soumaila:</t>
        </r>
        <r>
          <rPr>
            <sz val="9"/>
            <color indexed="81"/>
            <rFont val="Tahoma"/>
            <family val="2"/>
          </rPr>
          <t xml:space="preserve">
Consultation directe des fournisseurs afin d’accélérer le processus.
</t>
        </r>
      </text>
    </comment>
    <comment ref="N7" authorId="2" shapeId="0" xr:uid="{5CDCF8FF-8C2A-48AC-B91C-8407AF4C7106}">
      <text>
        <r>
          <rPr>
            <b/>
            <sz val="9"/>
            <color indexed="81"/>
            <rFont val="Tahoma"/>
            <family val="2"/>
          </rPr>
          <t>Bachir Houmadi Soumaila:</t>
        </r>
        <r>
          <rPr>
            <sz val="9"/>
            <color indexed="81"/>
            <rFont val="Tahoma"/>
            <family val="2"/>
          </rPr>
          <t xml:space="preserve">
nous avons réparti la quantité entre différents fournisseurs afin de bénéficier à la fois du meilleur prix et d’une livraison rapide.</t>
        </r>
      </text>
    </comment>
    <comment ref="H9" authorId="2" shapeId="0" xr:uid="{00E7B3F9-D5F4-40D9-AEEA-277087AAEFB0}">
      <text>
        <r>
          <rPr>
            <b/>
            <sz val="9"/>
            <color indexed="81"/>
            <rFont val="Tahoma"/>
            <family val="2"/>
          </rPr>
          <t>Bachir Houmadi Soumaila:</t>
        </r>
        <r>
          <rPr>
            <sz val="9"/>
            <color indexed="81"/>
            <rFont val="Tahoma"/>
            <family val="2"/>
          </rPr>
          <t xml:space="preserve">
 Single source: Seule fournisseur capable de repondre au besoin technique et operationnel</t>
        </r>
      </text>
    </comment>
  </commentList>
</comments>
</file>

<file path=xl/sharedStrings.xml><?xml version="1.0" encoding="utf-8"?>
<sst xmlns="http://schemas.openxmlformats.org/spreadsheetml/2006/main" count="3195" uniqueCount="847">
  <si>
    <t>OPCOs</t>
  </si>
  <si>
    <t>MADAGASCAR</t>
  </si>
  <si>
    <t>COMOROS</t>
  </si>
  <si>
    <t>SENEGAL</t>
  </si>
  <si>
    <t>TANZANIA</t>
  </si>
  <si>
    <t>TOGO</t>
  </si>
  <si>
    <t>Target YTD</t>
  </si>
  <si>
    <t>Section</t>
  </si>
  <si>
    <t>KPI</t>
  </si>
  <si>
    <t>Savings</t>
  </si>
  <si>
    <t>% of Saving after Negotiations</t>
  </si>
  <si>
    <t>Purchase Request - Purchase Order</t>
  </si>
  <si>
    <t>TAT for PR Approval (Days)</t>
  </si>
  <si>
    <t>TAT for PR Approval vs. SLA Compliance (%)</t>
  </si>
  <si>
    <t>TAT for PR to PO SLA Conversion (Days)</t>
  </si>
  <si>
    <t>TAT for PO Approval vs. SLA Compliance (%)</t>
  </si>
  <si>
    <t>Custom Clearance</t>
  </si>
  <si>
    <t>TAT for custom clearance (AIR): SLA compliance (Days)</t>
  </si>
  <si>
    <t>TAT for custom clearance (SEA): SLA compliance (Days)</t>
  </si>
  <si>
    <t>Contracts Compliance (% Purchase on Contracts)</t>
  </si>
  <si>
    <t>Payment</t>
  </si>
  <si>
    <t>PPOT (% Due invoices paid)</t>
  </si>
  <si>
    <t xml:space="preserve">Ranking </t>
  </si>
  <si>
    <t>The section below is to aid in normalizing scores, weighting them for ranking purposes.</t>
  </si>
  <si>
    <t>Weighting</t>
  </si>
  <si>
    <t>Normalized TAT for PO Approval vs. SLA Compliance (%)</t>
  </si>
  <si>
    <t>Global Weighted Score</t>
  </si>
  <si>
    <t>Month Over Month Progress</t>
  </si>
  <si>
    <t>% of Saving after Negotiations (bps)</t>
  </si>
  <si>
    <t>Savings: % of Saving after Negotiations</t>
  </si>
  <si>
    <t>Savings: Absolute Value ($)</t>
  </si>
  <si>
    <t>TAT for PO:PO SLA Conversion (Days)</t>
  </si>
  <si>
    <t>OPCOS MONTHLY DETAILS TRACKER</t>
  </si>
  <si>
    <t>N°</t>
  </si>
  <si>
    <t>OPCO</t>
  </si>
  <si>
    <t>PO reference</t>
  </si>
  <si>
    <t>Under contract
(Yes or No)</t>
  </si>
  <si>
    <t>PR Number</t>
  </si>
  <si>
    <t>PR Created Date</t>
  </si>
  <si>
    <t>PR Approved Date</t>
  </si>
  <si>
    <t>PR Approval TAT</t>
  </si>
  <si>
    <t>PO Created Date</t>
  </si>
  <si>
    <t>Approved PR - PO TAT</t>
  </si>
  <si>
    <t>PO Approved Date</t>
  </si>
  <si>
    <t>PO Approval TAT</t>
  </si>
  <si>
    <t xml:space="preserve">Designation </t>
  </si>
  <si>
    <t>Partner</t>
  </si>
  <si>
    <t>Currency usd</t>
  </si>
  <si>
    <t>Amount before Negotiation</t>
  </si>
  <si>
    <t>Amount after Negotiation</t>
  </si>
  <si>
    <t>Saving</t>
  </si>
  <si>
    <t>Target Savings</t>
  </si>
  <si>
    <t>% Savings</t>
  </si>
  <si>
    <t>USD</t>
  </si>
  <si>
    <t>OPCOS MONTHLY CUSTOMS CLEARANCE TRACKER</t>
  </si>
  <si>
    <t>SEA/AIR</t>
  </si>
  <si>
    <t>Date of Arrival in Country</t>
  </si>
  <si>
    <t>Date of Warehouse Delivery</t>
  </si>
  <si>
    <t>GRN
(TAT)</t>
  </si>
  <si>
    <t>Agreed SLA days</t>
  </si>
  <si>
    <t>OPCOS MONTHLY PPOT TRACKER</t>
  </si>
  <si>
    <t>Invoice Ref</t>
  </si>
  <si>
    <t>PO Ref</t>
  </si>
  <si>
    <t>Invoice Amount</t>
  </si>
  <si>
    <t>Invoice Receipt Date</t>
  </si>
  <si>
    <t>Agreed Payment Days/Jours (Terms)</t>
  </si>
  <si>
    <t>Invoice
Payment Date</t>
  </si>
  <si>
    <t>Invoice Payment
(TAT)</t>
  </si>
  <si>
    <t>PPOT (Yes/No)</t>
  </si>
  <si>
    <t>Contracts Compliance</t>
  </si>
  <si>
    <t>contracts conpliance in value</t>
  </si>
  <si>
    <t>same OpCo spelling as in the Dashboard</t>
  </si>
  <si>
    <t>Date in MM/DD/YYYY format</t>
  </si>
  <si>
    <t>SEA/AIR fromat only</t>
  </si>
  <si>
    <t>use same OpCo spelling as in the Dashboard</t>
  </si>
  <si>
    <t>agreed paypment term with Supplier</t>
  </si>
  <si>
    <t>Automatic Formula</t>
  </si>
  <si>
    <t>exchange to USD</t>
  </si>
  <si>
    <t>Entity Initiator</t>
  </si>
  <si>
    <t>Category</t>
  </si>
  <si>
    <t>Global Status</t>
  </si>
  <si>
    <t>Project description</t>
  </si>
  <si>
    <t>Business Owner</t>
  </si>
  <si>
    <t>Number of suppliers contacted</t>
  </si>
  <si>
    <t>RFP Received</t>
  </si>
  <si>
    <t>RFP Issuance</t>
  </si>
  <si>
    <t>RFP Offer date</t>
  </si>
  <si>
    <t>Status</t>
  </si>
  <si>
    <t>Action Owner</t>
  </si>
  <si>
    <t>Selected supplier</t>
  </si>
  <si>
    <t>Initial price</t>
  </si>
  <si>
    <t>Final price</t>
  </si>
  <si>
    <t>SAVING</t>
  </si>
  <si>
    <t>Contract start date</t>
  </si>
  <si>
    <t>Contract signature target date</t>
  </si>
  <si>
    <t>Actual Contract signature date</t>
  </si>
  <si>
    <t xml:space="preserve">Tender target closing date </t>
  </si>
  <si>
    <t>Buyer</t>
  </si>
  <si>
    <t>Supplier 1</t>
  </si>
  <si>
    <t>Supplier 2</t>
  </si>
  <si>
    <t>Supplier 3</t>
  </si>
  <si>
    <t>Supplier 4</t>
  </si>
  <si>
    <t>Supplier 5</t>
  </si>
  <si>
    <t>Supplier 6</t>
  </si>
  <si>
    <t>Supplier 7</t>
  </si>
  <si>
    <t>Supplier 8</t>
  </si>
  <si>
    <t>Supplier 9</t>
  </si>
  <si>
    <t>Supplier 10</t>
  </si>
  <si>
    <t>Supplier 11</t>
  </si>
  <si>
    <t>OpCo</t>
  </si>
  <si>
    <t>Commercial D&amp;S</t>
  </si>
  <si>
    <t>CANCELLED</t>
  </si>
  <si>
    <t>Communication</t>
  </si>
  <si>
    <t>CLOSED</t>
  </si>
  <si>
    <t>CONSULTING</t>
  </si>
  <si>
    <t>COMINVEST</t>
  </si>
  <si>
    <t>DEVICE</t>
  </si>
  <si>
    <t>CONTRACT</t>
  </si>
  <si>
    <t>GROUP</t>
  </si>
  <si>
    <t>EVALUATION</t>
  </si>
  <si>
    <t>HR</t>
  </si>
  <si>
    <t>NEEDS</t>
  </si>
  <si>
    <t>IT</t>
  </si>
  <si>
    <t>NEGO</t>
  </si>
  <si>
    <t>OFFER</t>
  </si>
  <si>
    <t>OTHERS</t>
  </si>
  <si>
    <t>RFI</t>
  </si>
  <si>
    <t>OTHERS / SERVICES CONSULTANCY</t>
  </si>
  <si>
    <t>RFP</t>
  </si>
  <si>
    <t>SIM</t>
  </si>
  <si>
    <t>STAND BY</t>
  </si>
  <si>
    <t>TELECOM</t>
  </si>
  <si>
    <t>(vide)</t>
  </si>
  <si>
    <t>VEHICLE</t>
  </si>
  <si>
    <t>Project</t>
  </si>
  <si>
    <t>Submission Status</t>
  </si>
  <si>
    <t>Absolute YTD Savings ($)</t>
  </si>
  <si>
    <t>TAT for PR Approval vs. SLA Compliance (bps)</t>
  </si>
  <si>
    <t>TAT for PO Approval vs. SLA Compliance (bps)</t>
  </si>
  <si>
    <t>% Purchase on Contracts (Count)</t>
  </si>
  <si>
    <t>% Purchase on Contracts (Value)</t>
  </si>
  <si>
    <t>% Purchase on Contracts (Count - bps)</t>
  </si>
  <si>
    <t>% Purchase on Contracts (Value-bps)</t>
  </si>
  <si>
    <t>PPOT -% Due invoices paid (bps)</t>
  </si>
  <si>
    <t>STC</t>
  </si>
  <si>
    <t>Yas Comores</t>
  </si>
  <si>
    <t xml:space="preserve">Ando </t>
  </si>
  <si>
    <t>Chimba Nghemning Henri</t>
  </si>
  <si>
    <t>Entreprise OBT</t>
  </si>
  <si>
    <t>Issoufi Djamal-Edine</t>
  </si>
  <si>
    <t>ELM construction</t>
  </si>
  <si>
    <t>Societé Nahouza</t>
  </si>
  <si>
    <t xml:space="preserve">STE Beta </t>
  </si>
  <si>
    <t>Bundo construct</t>
  </si>
  <si>
    <t xml:space="preserve">Sec Daniel </t>
  </si>
  <si>
    <t>Sidi Aman Ahmed</t>
  </si>
  <si>
    <t>No contrat</t>
  </si>
  <si>
    <t xml:space="preserve">No contrat </t>
  </si>
  <si>
    <t xml:space="preserve">ELM construction </t>
  </si>
  <si>
    <t>Raymane Ali Matoir</t>
  </si>
  <si>
    <t>Ocopharma</t>
  </si>
  <si>
    <t>Ligapharma</t>
  </si>
  <si>
    <t>Ahmed Mohamed</t>
  </si>
  <si>
    <t>Nazlye/ Olivier</t>
  </si>
  <si>
    <t>Fan pro services</t>
  </si>
  <si>
    <t>Hakimi multimedia</t>
  </si>
  <si>
    <t>Pateterie des Comores</t>
  </si>
  <si>
    <t>Mak technoligie</t>
  </si>
  <si>
    <t>Karim Attoumani Mohamed</t>
  </si>
  <si>
    <t>Irchad Radjabou</t>
  </si>
  <si>
    <t>Comores multiservices</t>
  </si>
  <si>
    <t>Magasin said Hassane Fils</t>
  </si>
  <si>
    <t>Rehamani SARL</t>
  </si>
  <si>
    <t>Photo soleil</t>
  </si>
  <si>
    <t>Chenaz Abdallah</t>
  </si>
  <si>
    <t>Bachir Houamadi</t>
  </si>
  <si>
    <t>NLN</t>
  </si>
  <si>
    <t>Electro foid</t>
  </si>
  <si>
    <t>Electro froid</t>
  </si>
  <si>
    <t>Civil engineering works and installation of 5GE on sites.</t>
  </si>
  <si>
    <t>Fiber-optic connection works for El Maarouf Hospital.</t>
  </si>
  <si>
    <t>Hydroalcoholic gels for Mpox prevention.</t>
  </si>
  <si>
    <t>The project consists of assigning laptops based on actual needs: standard models are intended for roles with simple tasks, while high-end laptops are reserved for employees using tools or software requiring higher performance.</t>
  </si>
  <si>
    <t>Equipment for FTTX installations.</t>
  </si>
  <si>
    <t>Ubiquiti stock order</t>
  </si>
  <si>
    <t>This project concerns concrete floor refurbishment works around the Djivani Store.</t>
  </si>
  <si>
    <t>12 KVA generator for the Mitsamihouli shop due to frequent power outages, which risk slowing down or interrupting commercial activities.</t>
  </si>
  <si>
    <t>Purchase request submitted today, 19/02/2026.</t>
  </si>
  <si>
    <t>Closed.</t>
  </si>
  <si>
    <t>Waiting for validation of the 2026 Facilities IT budget to confirm, together with Olivier (financial controller), the extent to which purchases can be committed. This validation is essential to determine the exact acquisition volume based on supplier prices.</t>
  </si>
  <si>
    <t>A supplier consultation was launched locally for the acquisition of this equipment. However, since it is not available in the country, it must be ordered from abroad, with a delivery lead time of 15–20 days. We are currently awaiting technical offers; once received and a supplier is selected, we will issue the purchase order.</t>
  </si>
  <si>
    <t>The purchase order has been sent to the supplier. Part of the goods has been received, and we are awaiting the remaining items.</t>
  </si>
  <si>
    <t>Work in Progress</t>
  </si>
  <si>
    <t>Supplier</t>
  </si>
  <si>
    <t>PO under processing by Procurement</t>
  </si>
  <si>
    <t>Civil engineering works and installation of 5GE on sites</t>
  </si>
  <si>
    <t>Fiber-optic connection works for El Maarouf Hospital</t>
  </si>
  <si>
    <t>MPox prevention (hydroalcoholic gels)</t>
  </si>
  <si>
    <t>Laptop acquisition</t>
  </si>
  <si>
    <t>FTTX equipment acquisition</t>
  </si>
  <si>
    <t>Ubiquiti equipment purchase</t>
  </si>
  <si>
    <t>Purchase of 12 KVA generator</t>
  </si>
  <si>
    <t xml:space="preserve"> store Djivani concrete floor renovation works </t>
  </si>
  <si>
    <t>Fan pro services/ Hakimi multimedia/ Comores multiservices</t>
  </si>
  <si>
    <t>No contrat for supplier 1&amp;3. in Progress for 2</t>
  </si>
  <si>
    <t>Row Labels</t>
  </si>
  <si>
    <t>Grand Total</t>
  </si>
  <si>
    <t>Column Labels</t>
  </si>
  <si>
    <t>(All)</t>
  </si>
  <si>
    <t>Overall Status</t>
  </si>
  <si>
    <t>Count of Project</t>
  </si>
  <si>
    <t>(Multiple Items)</t>
  </si>
  <si>
    <t>Sum of SAVING</t>
  </si>
  <si>
    <t>Timelines</t>
  </si>
  <si>
    <t>Week 1</t>
  </si>
  <si>
    <t>Process kick-off</t>
  </si>
  <si>
    <t>Week 2</t>
  </si>
  <si>
    <t>Week 3</t>
  </si>
  <si>
    <t>Week 4</t>
  </si>
  <si>
    <t>OpCos reports submission</t>
  </si>
  <si>
    <t>Analysis &amp; insights collection</t>
  </si>
  <si>
    <t>Dashboard circulation</t>
  </si>
  <si>
    <t>Completed</t>
  </si>
  <si>
    <t>In Progress</t>
  </si>
  <si>
    <t>Key Highlights and Drivers</t>
  </si>
  <si>
    <t>YTD Performance</t>
  </si>
  <si>
    <t>Current month cut off dates</t>
  </si>
  <si>
    <t>Custom Clearance Partner</t>
  </si>
  <si>
    <t>Vendor</t>
  </si>
  <si>
    <t>Sep 3rd</t>
  </si>
  <si>
    <t>Sep 14th</t>
  </si>
  <si>
    <t>Sep 28th</t>
  </si>
  <si>
    <t>Sep 21st</t>
  </si>
  <si>
    <t>Activity</t>
  </si>
  <si>
    <t>Incoterm</t>
  </si>
  <si>
    <t>Group saving</t>
  </si>
  <si>
    <t>OpCo saving</t>
  </si>
  <si>
    <t>indicate the saving from OpCo  nego effort (USD)</t>
  </si>
  <si>
    <t>indicate the saving from Group  nego effort (USD)</t>
  </si>
  <si>
    <t>2026-07-13</t>
  </si>
  <si>
    <t>2026-07-31</t>
  </si>
  <si>
    <t>2026-08-05</t>
  </si>
  <si>
    <t>2026-07-20</t>
  </si>
  <si>
    <t>2026-08-13</t>
  </si>
  <si>
    <t>2026-07-30</t>
  </si>
  <si>
    <t>2026-07-21</t>
  </si>
  <si>
    <t>2026-07-23</t>
  </si>
  <si>
    <t>2026-07-28</t>
  </si>
  <si>
    <t>2026-08-17</t>
  </si>
  <si>
    <t>2026-07-27</t>
  </si>
  <si>
    <t>2026-08-03</t>
  </si>
  <si>
    <t>2026-08-04</t>
  </si>
  <si>
    <t>2026-08-12</t>
  </si>
  <si>
    <t>2026-08-18</t>
  </si>
  <si>
    <t>2026-08-11</t>
  </si>
  <si>
    <t>2026-08-07</t>
  </si>
  <si>
    <t>2026-08-06</t>
  </si>
  <si>
    <t>2026-08-24</t>
  </si>
  <si>
    <t>2026-08-10</t>
  </si>
  <si>
    <t>2026-08-14</t>
  </si>
  <si>
    <t>2026-08-25</t>
  </si>
  <si>
    <t>2026-08-19</t>
  </si>
  <si>
    <t>2026-08-21</t>
  </si>
  <si>
    <t>2026-08-20</t>
  </si>
  <si>
    <t>2026-08-26</t>
  </si>
  <si>
    <t>2026-08-27</t>
  </si>
  <si>
    <t>2026-08-28</t>
  </si>
  <si>
    <t>2026-08-31</t>
  </si>
  <si>
    <t>2026-09-09</t>
  </si>
  <si>
    <t>2026-09-02</t>
  </si>
  <si>
    <t>Badge sans puce</t>
  </si>
  <si>
    <t>RSE - Page RSE Yas dans le magazine EcoAustral</t>
  </si>
  <si>
    <t>DAET 13748</t>
  </si>
  <si>
    <t>DAET 13731/13730/13746/13751/13802/13747/13752/13803</t>
  </si>
  <si>
    <t>DAET 13732</t>
  </si>
  <si>
    <t>DAET 13749/13750/13754</t>
  </si>
  <si>
    <t>DAET 13735/13756/13807/13736/13737/13739/13808</t>
  </si>
  <si>
    <t>DAET 13801/13805/13734/13755/13806</t>
  </si>
  <si>
    <t>DAET 13738/13757</t>
  </si>
  <si>
    <t>Gant de manutention</t>
  </si>
  <si>
    <t>RSE - Vérification technique avant travaux MDN Antsirabe</t>
  </si>
  <si>
    <t>Agents Intérimaires KYC</t>
  </si>
  <si>
    <t>Calibration équipements de mesure HSE</t>
  </si>
  <si>
    <t>Accompagnement 5S des dépôt AGL et ADV</t>
  </si>
  <si>
    <t>REMBOURSEMENT IM AR &amp; FRAIS COLIS &amp; IM ADV</t>
  </si>
  <si>
    <t>COLLATION LE 24/07/2026</t>
  </si>
  <si>
    <t>RSE - Chèque Cadeau - Concours de projet Fokontany Madio</t>
  </si>
  <si>
    <t>Inspection et traitement 347 poteaux-DAET 13809</t>
  </si>
  <si>
    <t>Inspection et traitement 347 poteaux-DAET 13810</t>
  </si>
  <si>
    <t>TX lastmile Fttx Tamatave Axe Centre</t>
  </si>
  <si>
    <t>TX Lastmile FTTX Toliara du 13/07 au 25/07/26</t>
  </si>
  <si>
    <t>INSTALLATION BORNE TICKETING TANA &amp; EST &amp; MAJUNGA</t>
  </si>
  <si>
    <t>CHAMPIONNAT NATIONAL BEACH SOCCER</t>
  </si>
  <si>
    <t>SPONSORING</t>
  </si>
  <si>
    <t>FINALE YAS COUPE DE MADA 2026</t>
  </si>
  <si>
    <t>Inspection et traitement 345 poteaux</t>
  </si>
  <si>
    <t>YS AMBOHIPO</t>
  </si>
  <si>
    <t>YS ITAOSY</t>
  </si>
  <si>
    <t>INFLUENCEUR - FIANTSO</t>
  </si>
  <si>
    <t>CABLE</t>
  </si>
  <si>
    <t>DPDI-Projet DWDM Mod 2026-Achat gaine</t>
  </si>
  <si>
    <t>SPOT - RECORD TV</t>
  </si>
  <si>
    <t>STICKERS MBALIK</t>
  </si>
  <si>
    <t>AFRICA DAY</t>
  </si>
  <si>
    <t>ENTRETIEN MOTO - MORONDAVA</t>
  </si>
  <si>
    <t>ENTRETIEN MOTO - MBALIK</t>
  </si>
  <si>
    <t>ANNULE ET REMPLACE DA 139119</t>
  </si>
  <si>
    <t>SONO</t>
  </si>
  <si>
    <t>Paiement facture Paositra Malagasy 2024</t>
  </si>
  <si>
    <t>Achat de license capacité FH</t>
  </si>
  <si>
    <t>REMBOURSEMENT FRAIS BAC CDZ</t>
  </si>
  <si>
    <t>RAJOUT ARS DANS LA ZONE NORD</t>
  </si>
  <si>
    <t>Salaire VAD AOUT et SEPTEMBRE 2026</t>
  </si>
  <si>
    <t>FESTIVAL DONA BE</t>
  </si>
  <si>
    <t>ACHAT MOTO</t>
  </si>
  <si>
    <t>REGUL LA VERITE</t>
  </si>
  <si>
    <t>ATL &amp; DIGITAL RESSOURCES</t>
  </si>
  <si>
    <t>IM VAD JUILLET 2026</t>
  </si>
  <si>
    <t>Flocage Notyfolio - Validé en IC le 16/07/2026</t>
  </si>
  <si>
    <t>Déplacement Equipement Energie au RDC Analakely</t>
  </si>
  <si>
    <t>Stockage Mail - 1 an</t>
  </si>
  <si>
    <t>GE et Inverseur projet double GE ATS003 et MAT002</t>
  </si>
  <si>
    <t>GE 33KVA et Inverseur AL002 Amparafaravola</t>
  </si>
  <si>
    <t>Prestation installation double GE MAT002 Ambalavao</t>
  </si>
  <si>
    <t>Installation double GE ATS003 Brickaville</t>
  </si>
  <si>
    <t>Installation client à MANDRITSARA SOAFIAVY</t>
  </si>
  <si>
    <t>désinstallation des câbles sur SR03 DTG-208606</t>
  </si>
  <si>
    <t>désinstallation des câbles sur SR04 DTG-208607</t>
  </si>
  <si>
    <t>désinstallation des câbles sur SR02 DTG-208605</t>
  </si>
  <si>
    <t>Transport et Manut 50 Poteaux ANTALAHA vers SAMBAVA</t>
  </si>
  <si>
    <t>BLACK BOX COMPLEMENTAIRE BC135734</t>
  </si>
  <si>
    <t>Location LCD-Mission Tafita à Mahanoro 05 au 12 Août 2026</t>
  </si>
  <si>
    <t>Achat 15000 Enveloppes GM En tête pour facturation</t>
  </si>
  <si>
    <t>HOUSSE CHAPITEAU</t>
  </si>
  <si>
    <t>FESTIVAL SOROGNO 2026</t>
  </si>
  <si>
    <t>COFI 2026 - VOITURE GRS GASI PRO</t>
  </si>
  <si>
    <t>ENTRETIEN MOTO - FORT DAUPHIN</t>
  </si>
  <si>
    <t>ENVOI CHAUFFEURS POUR SOMAROHO</t>
  </si>
  <si>
    <t>Transport et manut 200 poteaux TANA vers MAHAJANGA</t>
  </si>
  <si>
    <t>Transport et manut 200 poteaux TANA vers AMBANJ</t>
  </si>
  <si>
    <t>NETTOYAGE CONDENSEUR MOIS DE JUIN 2026-PROVINCE</t>
  </si>
  <si>
    <t>CATERING TOURNAGE FILM</t>
  </si>
  <si>
    <t>Lancement de Moris Mada Connect - 6 AOUT</t>
  </si>
  <si>
    <t>TRANSPORT TEAM COMPTA TEAM BUILDING 31 JUILLET 2026</t>
  </si>
  <si>
    <t>YS BAOBAB CITY MAHAJANGA</t>
  </si>
  <si>
    <t>ANNULE ET REMPLACE DA 139381</t>
  </si>
  <si>
    <t>YS ANTANINARENINA</t>
  </si>
  <si>
    <t>COFI 2026 - VOITURE GRS MAXICOM</t>
  </si>
  <si>
    <t>REMISE EN ETAT FUITE D'EAU</t>
  </si>
  <si>
    <t>Formation Habilitation électrique H0B0-PRIMA</t>
  </si>
  <si>
    <t>Prestation Gestion de déchets CAMPUS- Trimestre 3</t>
  </si>
  <si>
    <t>Formation H0B0 - Techniciens prestataire 2MI</t>
  </si>
  <si>
    <t>Formation des Techniciens ENC-Habilitation électrique</t>
  </si>
  <si>
    <t>Achat (02)motos HONDA 125 TUFF Taxi</t>
  </si>
  <si>
    <t>Achat 6 motos HONDA XL 125L (Maintirano-Nosy Varika)</t>
  </si>
  <si>
    <t>Réparation moto 18892WWT(nettoyage carburateur...)</t>
  </si>
  <si>
    <t>Réparation moto 38477WWT</t>
  </si>
  <si>
    <t>FESTIVAL DES BALEINES 2026</t>
  </si>
  <si>
    <t>TRANSPORT PLV YAS</t>
  </si>
  <si>
    <t>Maintenance et Consommables MP-LOT3</t>
  </si>
  <si>
    <t>Achat 200 Enveloppe GM blanche pour facturation</t>
  </si>
  <si>
    <t>4G Capacity Expansion Q2-Q4 2026-TANA(Software)</t>
  </si>
  <si>
    <t>SOMAROHO 2026</t>
  </si>
  <si>
    <t>Refacturation Modification et Frais Aerien Ahmad Famille</t>
  </si>
  <si>
    <t>Maintenance et Consommables MP-LOT2</t>
  </si>
  <si>
    <t>POT de Départ-Hary Ramanitra  le 07/08/26</t>
  </si>
  <si>
    <t>Transfert Nom de domaine - 1 an</t>
  </si>
  <si>
    <t>CHAISE VISITEUR</t>
  </si>
  <si>
    <t>BUREAU SAM MANDRITSARA</t>
  </si>
  <si>
    <t>GARDIENNAGE MOTO</t>
  </si>
  <si>
    <t>FLYERS GENESYS</t>
  </si>
  <si>
    <t>Maintenance Préventive LOT6(251 sites)</t>
  </si>
  <si>
    <t>Transport des mobiliers -DOM Brickaville</t>
  </si>
  <si>
    <t>Maintenance et Consommables MP-LOT 05</t>
  </si>
  <si>
    <t>Ambassadeur - MAMAN'I TSOLOLO</t>
  </si>
  <si>
    <t>INFLUENCEUR - JE CROIS PAS</t>
  </si>
  <si>
    <t>COMMANDE DVI 2026</t>
  </si>
  <si>
    <t>Anémomètre portable</t>
  </si>
  <si>
    <t>Régul factures JUIN2026 -équipe DTG</t>
  </si>
  <si>
    <t>TX GC FO sur AAT067 FENOAMBANY</t>
  </si>
  <si>
    <t>TX GC FO sur SOF228 BEKORATSAKA</t>
  </si>
  <si>
    <t>Maintenance et Consommables MP-LOT1(197 sites)</t>
  </si>
  <si>
    <t>4G Capacity Expansion Q2-Q42026-TANA(Service)</t>
  </si>
  <si>
    <t>AR TANA/NAIROBI Séminaire Next 2030 - modif billet</t>
  </si>
  <si>
    <t>Appro DG - Transfo</t>
  </si>
  <si>
    <t>Facture d'honoraires 3eme trimestre 2026</t>
  </si>
  <si>
    <t>CLIENT AMBONDROMAMY Tojonirina JEAN PIERRE</t>
  </si>
  <si>
    <t>TX GC FO sur ANJ099 MANAMBATO</t>
  </si>
  <si>
    <t>FESTIVAL VOLAMENA 2026</t>
  </si>
  <si>
    <t>SEMAINE GENIE ELECTRIQUE 2026</t>
  </si>
  <si>
    <t>BILLET GAZO &amp; LA FOUINE</t>
  </si>
  <si>
    <t>FLYERS</t>
  </si>
  <si>
    <t>CALENDRIER 2027</t>
  </si>
  <si>
    <t>YAS COUPE MADAGASCAR 2026</t>
  </si>
  <si>
    <t>RSE - Formation numérique régionale vague 2_région 2</t>
  </si>
  <si>
    <t>Consommables MP-LOT4 et LOT6</t>
  </si>
  <si>
    <t>4G Capacity Expansion Q2-Q4 2026-TANA(Hardware)</t>
  </si>
  <si>
    <t>HABILLAGE VOITURE</t>
  </si>
  <si>
    <t>DEPANNAGE CAMION</t>
  </si>
  <si>
    <t>SALAIRE CDV &amp; AR &amp; ARM</t>
  </si>
  <si>
    <t>Abonnement Team standard annuel sur Claude Pro</t>
  </si>
  <si>
    <t>Achat stylos de nettoyage pour fibre</t>
  </si>
  <si>
    <t>SALAIRE AR MBALIK 2026</t>
  </si>
  <si>
    <t>REGUL RECORD TV</t>
  </si>
  <si>
    <t>REGUL REAL TV</t>
  </si>
  <si>
    <t>COLLATION DBEF</t>
  </si>
  <si>
    <t>Trousse de secours PM</t>
  </si>
  <si>
    <t>Achat chaussures de sécurité motards TANA(P40-41-42)</t>
  </si>
  <si>
    <t>CAFE DAF &amp; STAFF &amp; VISITEURS</t>
  </si>
  <si>
    <t>Bouilloire 1.8 L - Transfo</t>
  </si>
  <si>
    <t>BILLET D'AVION - RAZAFINDRAFARA NANCY</t>
  </si>
  <si>
    <t>Confection tuyau flexible Chariot élevateur</t>
  </si>
  <si>
    <t>YS MANDRITSARA</t>
  </si>
  <si>
    <t>ANNULE ET REMPLACE DA 139476</t>
  </si>
  <si>
    <t>Nom de domaine - 1 an</t>
  </si>
  <si>
    <t>FABRICATION ETAGERE MAGASIN DVIR TDDY</t>
  </si>
  <si>
    <t>Achat 30 Stickers collant pour clavier AZERTY Tablette</t>
  </si>
  <si>
    <t>Paiement facture Société ANDRY - Juin 2026 TANA et PROV</t>
  </si>
  <si>
    <t>Yas APP Tool Project</t>
  </si>
  <si>
    <t>Renouvellement Support et Licence Solution SIMU.IQ</t>
  </si>
  <si>
    <t>FILM JACQUIA</t>
  </si>
  <si>
    <t>SAMSUNG A26</t>
  </si>
  <si>
    <t>COMMANDE MBALIK 2026</t>
  </si>
  <si>
    <t>INFLUENCEUR - BLAST'IN DANSE</t>
  </si>
  <si>
    <t>Transport et manut 50 Poteaux TOAMASINA vers SAINTE MARIE</t>
  </si>
  <si>
    <t>BILLET D'AVION - SANDRA ANDRIAMPARANY</t>
  </si>
  <si>
    <t>Analytics &amp; Data Specialist (Telco / CVM) Africa</t>
  </si>
  <si>
    <t>RSE - Annule et remplace DA 138741 peinture et plaque MDN</t>
  </si>
  <si>
    <t>QVT - Analyse de l'eau potable</t>
  </si>
  <si>
    <t>PULSE - Prestation de service 1 et 3 - Avril2026</t>
  </si>
  <si>
    <t>Achat 05 adaptateurs RJ45 femelle-femelle pour DG</t>
  </si>
  <si>
    <t>Frais pénalité changement date-billet d'avion G.Liwag</t>
  </si>
  <si>
    <t>Réparation moto CITI31(Brake pade)</t>
  </si>
  <si>
    <t>Réparation moto 23693WWT -TANA</t>
  </si>
  <si>
    <t>COFI 2026 - TRANSPORT MOTOS</t>
  </si>
  <si>
    <t>COFI 2026 - EXPEDITION MOTOS</t>
  </si>
  <si>
    <t>INSTALLATION FILM OPAQUE ET REMPLACEMENT VITRE</t>
  </si>
  <si>
    <t>COFI 2026 - MOTO GRS ARC EN CIEL</t>
  </si>
  <si>
    <t>PERDIEM COORDINATEUR</t>
  </si>
  <si>
    <t>ANNULE ET REMPLACE BC 134883</t>
  </si>
  <si>
    <t>IM VAD</t>
  </si>
  <si>
    <t>SECURITE PENDANT SOMAROHO 2026</t>
  </si>
  <si>
    <t>PEINTURE MOBILIER YS</t>
  </si>
  <si>
    <t>COUVERTURE PHOTO</t>
  </si>
  <si>
    <t>Néttoyage de la salle d'archive à Behoririka</t>
  </si>
  <si>
    <t>Déchargement de 02 conteneurs de poteaux à Ambohimangakely</t>
  </si>
  <si>
    <t>Achat de 3 Licences supplémentaires DevOpsArk</t>
  </si>
  <si>
    <t>BC de couverture:Consommation RICOH-Juillet à Déc2026</t>
  </si>
  <si>
    <t>Billet SVA_TNR A&amp;R_RAMAROSON LEONG Tong Michel</t>
  </si>
  <si>
    <t>RALLONGE VEHICULE - 3894TBR</t>
  </si>
  <si>
    <t>ENTRETIEN CAMION - TOAMASINA</t>
  </si>
  <si>
    <t>BILLET D'AVION - TAHINARISATA HASINA FABRICE</t>
  </si>
  <si>
    <t>YS VANGAINDRANO</t>
  </si>
  <si>
    <t>YS TOAMASINA AVENUE</t>
  </si>
  <si>
    <t>IM VAD du 12/08 au 17/08/2026</t>
  </si>
  <si>
    <t>Rallonge location voiture 22680WWT-4009TBU</t>
  </si>
  <si>
    <t>Validation DG PI le 10/08/2026</t>
  </si>
  <si>
    <t>REGUL EXPRESS DE MADAGASCAR</t>
  </si>
  <si>
    <t>INSERTION Communiqué de presse</t>
  </si>
  <si>
    <t>SECURITE EQUIPE</t>
  </si>
  <si>
    <t>REGUL IBC</t>
  </si>
  <si>
    <t>Don q3 2026 ALTERRA</t>
  </si>
  <si>
    <t>Devis Manutentionaire Ilafy PO4 MGS</t>
  </si>
  <si>
    <t>REPARATION CAMION - TANA</t>
  </si>
  <si>
    <t>TRANSPORT</t>
  </si>
  <si>
    <t>Prestation IM et Frais Colis AR MBALIK</t>
  </si>
  <si>
    <t>Prestation d'Installation PRAMIAN</t>
  </si>
  <si>
    <t>Location de Sucettes</t>
  </si>
  <si>
    <t>Renouvellement Licences DUO (05/08/2026 au 04/08/2027)</t>
  </si>
  <si>
    <t>Remplacement 05 pneus-véhicule 8540TBV</t>
  </si>
  <si>
    <t>Implantation de 30 poteaux à Majunga 91ème vague</t>
  </si>
  <si>
    <t>Implantation de 30 poteaux Fianarantsoa 26eme vague</t>
  </si>
  <si>
    <t>Implantation de 30 poteaux à Majunga 92ème vague</t>
  </si>
  <si>
    <t>Rehausse 2 chambres L3T et curage 1 chambre à sainte Marie</t>
  </si>
  <si>
    <t>DAET Travaux PRIMA Lot N°78</t>
  </si>
  <si>
    <t>DAET Travaux PRIMA Lot N°77 Toamasina</t>
  </si>
  <si>
    <t>Implantation de 30 poteaux à Majunga 93ème vague</t>
  </si>
  <si>
    <t>Lalatiana William 2254135765 Fénérive Est</t>
  </si>
  <si>
    <t>Pub Aéroport - AEROPUB</t>
  </si>
  <si>
    <t>Changement Visuel Mur</t>
  </si>
  <si>
    <t>Confection et Installation Arche</t>
  </si>
  <si>
    <t>Rajout Support Abribus 67HA</t>
  </si>
  <si>
    <t>Rajout Support Abribus</t>
  </si>
  <si>
    <t>MADA BUSINESS CONNECT 2026</t>
  </si>
  <si>
    <t>Location Fourgon - Transport des matériels</t>
  </si>
  <si>
    <t>Location Plantes Vertes</t>
  </si>
  <si>
    <t>Frais Divers - LightBox</t>
  </si>
  <si>
    <t>TS-TX GC FO sur ATS205 ZEBU TOA STAR</t>
  </si>
  <si>
    <t>Création cloison salle CDMA au RDC Analakely</t>
  </si>
  <si>
    <t>Réhabilitation bâtiment MEN010 Morondava</t>
  </si>
  <si>
    <t>Constrution nouveau bâtiment Admin DIA032 Ambanja</t>
  </si>
  <si>
    <t>Réhablitation total Infra -BET012 Maevatanana</t>
  </si>
  <si>
    <t>Réhabilitation ATS001 Toamasina suite dégât cyclonique</t>
  </si>
  <si>
    <t>Réappro H2 - WOWsolar60</t>
  </si>
  <si>
    <t>Réappro H2 - WOW TV 32''</t>
  </si>
  <si>
    <t>Ambassadrice Somaroho 2026 - Maman'i Tsololo</t>
  </si>
  <si>
    <t>Bc de couverture 2026 &amp; 2027 - RADIO NOSY MAGNITRY</t>
  </si>
  <si>
    <t>Certification SSL de klaod.telma.net</t>
  </si>
  <si>
    <t>Travaux Energie réhabilitation MEN010 Morondava Admin</t>
  </si>
  <si>
    <t>Travaux Energie réhabilitation AAN001 Farafangana</t>
  </si>
  <si>
    <t>Travaux Energie réhabilitation VAT001 Manajary</t>
  </si>
  <si>
    <t>Réhabilitation Data Center Morondava</t>
  </si>
  <si>
    <t>Bc de Couverture 2026 - RNA</t>
  </si>
  <si>
    <t>Da de couverture 2026 &amp; 2027 - VIVA</t>
  </si>
  <si>
    <t>Régie Vidéo DONA BE ANTSOHIHY</t>
  </si>
  <si>
    <t>Bc de couverture 2026 &amp; 2027 - RADIO AMBILOBE RLA</t>
  </si>
  <si>
    <t>Ambassadeur SOMAROHO 2026 - Basta Lion</t>
  </si>
  <si>
    <t>Ambassadrice Somaroho 2026 - Tence Mena</t>
  </si>
  <si>
    <t>Ambassadrice Somaroho 2026 - Rijade</t>
  </si>
  <si>
    <t>Régularisation de prestation d'escorte de fonds</t>
  </si>
  <si>
    <t>Survey-Réhabilitation infra 2026-SAV003</t>
  </si>
  <si>
    <t>Survey-Réhabilitation infra 2026-SAV018</t>
  </si>
  <si>
    <t>Survey-réhabilitation infra 2026-SOF001</t>
  </si>
  <si>
    <t>LLD 48 MOIS - TOYOTA HILUX</t>
  </si>
  <si>
    <t>LLD 48 MOIS - LAND CRUISER</t>
  </si>
  <si>
    <t>LLD 48 MOIS - ISUZU D-MAX</t>
  </si>
  <si>
    <t>Collecte et traitement des déchets issue de refueling</t>
  </si>
  <si>
    <t>Travaux Energie réhabilitation VAT002 Manakara</t>
  </si>
  <si>
    <t>Travaux Energie réhabilitation BA DIA032 Ambanja</t>
  </si>
  <si>
    <t>Travaux Energie Réhabilitation BOE018 Ambondromamy</t>
  </si>
  <si>
    <t>Travaux Energie réhabilitation MEN001 Morondava</t>
  </si>
  <si>
    <t>Travaux Energie Rehabilitation ANM062 Ankazobe</t>
  </si>
  <si>
    <t>Travaux Energie réhabilitation BA Maeavatanana BET012</t>
  </si>
  <si>
    <t>Travaux Energie projet réhabilitation ATS010 Mahanoro</t>
  </si>
  <si>
    <t>DOM REGION _Transport PEHD TANA  vers Mananara</t>
  </si>
  <si>
    <t>DOUDOUNE ET HOODIE</t>
  </si>
  <si>
    <t>Partenariat Commune Antsohihy</t>
  </si>
  <si>
    <t>Travaux déviation câble FO-compte QMM FortDauphin</t>
  </si>
  <si>
    <t>DOM REGION_E-314_TS Repose de câble BKB  Tanandava Toamasina</t>
  </si>
  <si>
    <t>MENABE CONNEXION 2026</t>
  </si>
  <si>
    <t>Réappro H2 - Mbalik</t>
  </si>
  <si>
    <t>Foire Internationale de l'Agriculture, de l'Elevage</t>
  </si>
  <si>
    <t>RAJOUT RESTAURATION TEAM COMPTA</t>
  </si>
  <si>
    <t>Achat 01 Clavier et 01 Souris pour les TV SOC IT</t>
  </si>
  <si>
    <t>Renouvellement Support USSD et SMSC ADAPT IT 2027</t>
  </si>
  <si>
    <t>Moto Honda - Cofi 2026 - GRS KASSAMALY RICHAD</t>
  </si>
  <si>
    <t>LANCEMENT NEW STORE</t>
  </si>
  <si>
    <t>Flight Cage 60x70x50</t>
  </si>
  <si>
    <t>RAJOUT ARS</t>
  </si>
  <si>
    <t>Refresh Panneau - Salon de l'Auto</t>
  </si>
  <si>
    <t>DPDI-MRFI Du site MSC02 Galaxy-Porjet DWDM Mod</t>
  </si>
  <si>
    <t>Renouvellement du Support &amp; Maintenance Huawei 2026</t>
  </si>
  <si>
    <t>Residence des filles Akamasoa - AK_TS_01_3007</t>
  </si>
  <si>
    <t>Frais émis_N° pièce F-68 0049062</t>
  </si>
  <si>
    <t>Renouvellement Licences BURP 26/11/2026 au 26/11/2027</t>
  </si>
  <si>
    <t>SALON AERO EXPO 2026</t>
  </si>
  <si>
    <t>YS STORE MAJUNGA</t>
  </si>
  <si>
    <t>Lancement new concept Store Tana</t>
  </si>
  <si>
    <t>RSE - Réhabilitation Sekoly Amika Tuléar MDN</t>
  </si>
  <si>
    <t>Transport Mobilier vers VANGAINDRANO</t>
  </si>
  <si>
    <t>IM VAD FIANARANTSOA -MANANJARY -FIANARANTSOA</t>
  </si>
  <si>
    <t>Diffusion Radio SOA FY - Bc de Couverture</t>
  </si>
  <si>
    <t>Trav. Maint. FTTx FENERIVE-EST (DTG-202105)</t>
  </si>
  <si>
    <t>Trav. GC Murielle RAKOTOMANANTSOA - MNJ</t>
  </si>
  <si>
    <t>TRANSPORT PLV</t>
  </si>
  <si>
    <t>Prestations IT WE DO</t>
  </si>
  <si>
    <t>IMPRESSION STICKERS</t>
  </si>
  <si>
    <t>Diffusion Concept New Store -  Real TV</t>
  </si>
  <si>
    <t>Campagne Salon de l'Auto - Refresh Panneau</t>
  </si>
  <si>
    <t>Diffusion Concept New Store -  TV PLUS</t>
  </si>
  <si>
    <t>Diffusion Concept New Store -  CANAL 7 EVENT</t>
  </si>
  <si>
    <t>Diffusion Concept New Store -  Malagasy TV</t>
  </si>
  <si>
    <t>Diffusion Concept New Store -  Pixelse TVM</t>
  </si>
  <si>
    <t>Travaux Energie projet MSAN HUAWEI</t>
  </si>
  <si>
    <t>Diffusion Concept New Store -  DREAM ON</t>
  </si>
  <si>
    <t>Diffusion Concept New Store -  Record TV</t>
  </si>
  <si>
    <t>Diffusion Concept New Store -  Midi</t>
  </si>
  <si>
    <t>Diffusion Concept New Store -  Ultima Média</t>
  </si>
  <si>
    <t>Diffusion Concept New Store -  Express</t>
  </si>
  <si>
    <t>Couverture Photos le 18 juillet et le 5 au 09 aout 2026</t>
  </si>
  <si>
    <t>Pose Stickers</t>
  </si>
  <si>
    <t>KIT SONO</t>
  </si>
  <si>
    <t>Habillage - New Stores Transformation</t>
  </si>
  <si>
    <t>Prestaion MC Event - Lancement new concept Store Tana</t>
  </si>
  <si>
    <t>DTG/DOM : TVX GC VSAT-C - Capex 2026-DT-061007</t>
  </si>
  <si>
    <t>COFI 2026 - MOTO GRS R.RADO</t>
  </si>
  <si>
    <t>BILLET D'AVION - COM</t>
  </si>
  <si>
    <t>ENTRETIEN MOTO - TANA</t>
  </si>
  <si>
    <t>INFLUENCEUR - ODILON</t>
  </si>
  <si>
    <t>Diffusion Spot TV - Kolo Tv - New Store</t>
  </si>
  <si>
    <t>REGUL SALAIRE AR MBALIK</t>
  </si>
  <si>
    <t>2è BC de couverture Maître BAHOLY CLARA</t>
  </si>
  <si>
    <t>RSE- réhabilitation de la toiture EPP Garbit Antsirabe</t>
  </si>
  <si>
    <t>APF Q2 2026_FONDATION AXIAN</t>
  </si>
  <si>
    <t>Décommissionnement équipements obsolètes sur TNR01-TNR02</t>
  </si>
  <si>
    <t>libération  salle OCB R+1 et supervision ANM002</t>
  </si>
  <si>
    <t>AR TANA MAJUNGA 11-14/09</t>
  </si>
  <si>
    <t>RIGTHCOM QMS</t>
  </si>
  <si>
    <t>réparation moto Tanà 12855WWT</t>
  </si>
  <si>
    <t>Lumineuses YAS Campus (TS)</t>
  </si>
  <si>
    <t>Réparation moto Tanà 18879WWT</t>
  </si>
  <si>
    <t>LOCATION DE VEHICULE LLD PENDANT 48 MOIS AVEC CHAUFFEUR</t>
  </si>
  <si>
    <t>Couverture photos - Fita Production</t>
  </si>
  <si>
    <t>Régie Comm interne CAMPUS</t>
  </si>
  <si>
    <t>NEXTHOPE_Offre_ACI Upgrade &amp; APIC swap (M2 ? M4)</t>
  </si>
  <si>
    <t>CHAMPIONNAT NATIONAU U16</t>
  </si>
  <si>
    <t>Achat 2800 PTO</t>
  </si>
  <si>
    <t>BILLET D'AVION</t>
  </si>
  <si>
    <t>CARTON D'EXPEDITIONS  ADN</t>
  </si>
  <si>
    <t>Renouvellement support ICB-Roaming PRM Dec26 - Nov27</t>
  </si>
  <si>
    <t>Billet d'Avion - RABEONY HAINGONIRINA</t>
  </si>
  <si>
    <t>Ruban New Concept Store</t>
  </si>
  <si>
    <t>Fournitures de déménagement équipes ADN</t>
  </si>
  <si>
    <t>HABILLAGE VITRE PORTE-annule et remplace BC136040</t>
  </si>
  <si>
    <t>TECHNOALARME</t>
  </si>
  <si>
    <t>LCS CONSULTING</t>
  </si>
  <si>
    <t>RAHANTAMALALA FANJANIRINA SYLVIENE</t>
  </si>
  <si>
    <t>EDITIONS AUSTRALES INTERNATIONALES LTD</t>
  </si>
  <si>
    <t>EASY NETCOM</t>
  </si>
  <si>
    <t>PRIMA CE SARLU</t>
  </si>
  <si>
    <t>ALL TRADE SARLU</t>
  </si>
  <si>
    <t>SOCOTEC MADAGASCAR</t>
  </si>
  <si>
    <t>MADAJOB</t>
  </si>
  <si>
    <t>BCL (BUREAU DE CONTROLE LABOTECH)</t>
  </si>
  <si>
    <t>SUSTAINABLE MANAGEMENT SYSTEMS CONSULTING</t>
  </si>
  <si>
    <t>SOCIETE DE GESTION ET EXPLOITATION DE M/CAR</t>
  </si>
  <si>
    <t>INJET</t>
  </si>
  <si>
    <t>MANAJ SARL</t>
  </si>
  <si>
    <t>ANDRIANOMENJANAHARY Brice Marie Jocelyn</t>
  </si>
  <si>
    <t>FEDERATION MALAGASY DE FOOT BALL</t>
  </si>
  <si>
    <t>ZANAKIHARANA TONGASAINA</t>
  </si>
  <si>
    <t>TSOTRA JESCARD DESTIN( MOUJANGAYA PROD)</t>
  </si>
  <si>
    <t>LUCKKY COMPANY</t>
  </si>
  <si>
    <t>AVRA BTP</t>
  </si>
  <si>
    <t>ALLIANCE FRANCAISE ANTSAHABE</t>
  </si>
  <si>
    <t>MONDE PARALLELE AGENCY</t>
  </si>
  <si>
    <t>PRICE</t>
  </si>
  <si>
    <t>SMTP</t>
  </si>
  <si>
    <t>RTV RECORD</t>
  </si>
  <si>
    <t>SIGN</t>
  </si>
  <si>
    <t>ROOTS CONSEILS</t>
  </si>
  <si>
    <t>RAMANAMBONONA LALANIRIANA HANITRINIAINA</t>
  </si>
  <si>
    <t>MADAGASCAR AUTOMOBILE</t>
  </si>
  <si>
    <t>MIDI PUBLICITE</t>
  </si>
  <si>
    <t>UNITE DE DISTRIBUTION TECHNOLOGIQUE - UDITEC</t>
  </si>
  <si>
    <t>PAOSITRA MALAGASY</t>
  </si>
  <si>
    <t>ERICSSON AB SWEDEN</t>
  </si>
  <si>
    <t>JUMELLES PRODUCTION</t>
  </si>
  <si>
    <t>STE MALGACHE DE COMMUNICATION ET DE PRESSE</t>
  </si>
  <si>
    <t>EATIFA HOLDING SRL U</t>
  </si>
  <si>
    <t>Ogilvy South Africa - Johannesburg</t>
  </si>
  <si>
    <t>GRANDE DISTRIBUTION SERVICE</t>
  </si>
  <si>
    <t>SMART Elec</t>
  </si>
  <si>
    <t>STELLAR - IX SA</t>
  </si>
  <si>
    <t>HENRI FRAISE FILS ET CIE</t>
  </si>
  <si>
    <t>NEA MADAGASCAR SA</t>
  </si>
  <si>
    <t>BESSADARA ORLANDO</t>
  </si>
  <si>
    <t>RAZAFIMAHATRATRA ANDRIATSITOHAINA</t>
  </si>
  <si>
    <t>BLACK BOX</t>
  </si>
  <si>
    <t>LOXEA MADAGASCAR</t>
  </si>
  <si>
    <t>MEGAPRINT</t>
  </si>
  <si>
    <t>MORA MARKET</t>
  </si>
  <si>
    <t>ONG SOROGNO</t>
  </si>
  <si>
    <t>CFAO MOBILITY MADAGASCAR</t>
  </si>
  <si>
    <t>RANDRIAMBAO Vola(MADA SCOOT RACING</t>
  </si>
  <si>
    <t>OCEAN TRADE CO</t>
  </si>
  <si>
    <t>MADAGASCAR LOGISTICS ET SERVICES</t>
  </si>
  <si>
    <t>TECHNI-FROID MADAGASCAR</t>
  </si>
  <si>
    <t>MI SAKAFO</t>
  </si>
  <si>
    <t>RAMPARISON ANDRIAMIHAJA HANITRI (TOP LINK)</t>
  </si>
  <si>
    <t>RANDRIANASOLO HANTA BEBY</t>
  </si>
  <si>
    <t>SOCIETE ML STONE</t>
  </si>
  <si>
    <t>STRUCTURES SARL</t>
  </si>
  <si>
    <t>AXIAN UNIVERSITY</t>
  </si>
  <si>
    <t>Funbike Sarl</t>
  </si>
  <si>
    <t>FESTIV</t>
  </si>
  <si>
    <t>ROTARY</t>
  </si>
  <si>
    <t>FLORA BEAUTY</t>
  </si>
  <si>
    <t>RANDRIAMANARIVO NICOLAS</t>
  </si>
  <si>
    <t>SMART TECHNOLOGIES ET ENGINEERING</t>
  </si>
  <si>
    <t>HUAWEI TECHNOLOGIES CO., LTD</t>
  </si>
  <si>
    <t>TSGV</t>
  </si>
  <si>
    <t>VOYAGEXPERT</t>
  </si>
  <si>
    <t>NEXTHOPE</t>
  </si>
  <si>
    <t>SAEM</t>
  </si>
  <si>
    <t>KAZE TRADING CO</t>
  </si>
  <si>
    <t>HASSANALY CHAHICK (LUXOR)</t>
  </si>
  <si>
    <t>MADISCO</t>
  </si>
  <si>
    <t>AUTO TRACTOR TULEAR</t>
  </si>
  <si>
    <t>NETWORK GENERAL SERVICE</t>
  </si>
  <si>
    <t>H-TELI DRC SUCCURSALE MADAGASCAR</t>
  </si>
  <si>
    <t>MAMAN'I TSÔLÔLÔ</t>
  </si>
  <si>
    <t>IMPERIAL BEAUTE (Je crois pas)</t>
  </si>
  <si>
    <t>ALLIANCE FRANCAISE D ANTANANARIVO</t>
  </si>
  <si>
    <t>GEKA TELECOM</t>
  </si>
  <si>
    <t>COLIS EXPRESS</t>
  </si>
  <si>
    <t>AFRO EGYPT</t>
  </si>
  <si>
    <t>HUAWEI TECHNOLOGIES (MADAGASCAR) S.A.R.L.U</t>
  </si>
  <si>
    <t>LEXEL</t>
  </si>
  <si>
    <t>NUIT DES AILES</t>
  </si>
  <si>
    <t>REGION VAKINANKARATRA</t>
  </si>
  <si>
    <t>AMBININTSOA SAFIDY ZO</t>
  </si>
  <si>
    <t>DAMA Andrianarisedo Marius</t>
  </si>
  <si>
    <t>JAOTOMBO Philibert</t>
  </si>
  <si>
    <t>ELECTRICAL ENGINEERING STUDENT UNITY</t>
  </si>
  <si>
    <t>GRAPH EXPRESS IMPRIMERIE</t>
  </si>
  <si>
    <t>RANDRIAMAMPIANINA HERIHARISOA</t>
  </si>
  <si>
    <t>ONG IDEA ACADEMY</t>
  </si>
  <si>
    <t>HUAWEI INTERNATIONAL CO. LIMITED</t>
  </si>
  <si>
    <t>MAGENTA</t>
  </si>
  <si>
    <t>SOCIETE MUNICIPALE DE GESTION DIGITALE</t>
  </si>
  <si>
    <t>ECO FUSION</t>
  </si>
  <si>
    <t>Anthropic, PBC</t>
  </si>
  <si>
    <t>ANDRIAMIFIDISOA SYLVAIN(SOCIETE ANDRY)</t>
  </si>
  <si>
    <t>SHENZHEN SOPTO TECHNOLOGY CO LTD</t>
  </si>
  <si>
    <t>REAL TV 94 FM</t>
  </si>
  <si>
    <t>BATIMAX</t>
  </si>
  <si>
    <t>CENTRALE ALIMENTAIRE SARL</t>
  </si>
  <si>
    <t>SIDEF</t>
  </si>
  <si>
    <t>VOYAGES BOURDON</t>
  </si>
  <si>
    <t>TRIUMPH INTERNATIONAL MADAGASCAR SARL</t>
  </si>
  <si>
    <t>CHRONO COLIS</t>
  </si>
  <si>
    <t>JOCKER GRAPHICS</t>
  </si>
  <si>
    <t>ANDRIANJAFY Nampoina</t>
  </si>
  <si>
    <t>SERVICE ELECTRONIQUE(SET SARLU)</t>
  </si>
  <si>
    <t>PULSE</t>
  </si>
  <si>
    <t>SIMU.IQ LLC</t>
  </si>
  <si>
    <t>ABDOUL KAID MELISA MARINA(HOTEL DE LA POSTE)</t>
  </si>
  <si>
    <t>GDS LTD</t>
  </si>
  <si>
    <t>BLAST'IN DANSE</t>
  </si>
  <si>
    <t>ARCHIDIOCESE D'ANTSIRANANA</t>
  </si>
  <si>
    <t>ASSOCIATION DES MANANTANY</t>
  </si>
  <si>
    <t>MALT COMMUNITY</t>
  </si>
  <si>
    <t>RANDRIAMBOLOLONA HARINAVALONA (RAITRA)</t>
  </si>
  <si>
    <t>INSTITUT PASTEUR DE M/SCAR</t>
  </si>
  <si>
    <t>SOCIETE DE DIFFUSION AUTOMOBILE DE MADAGASCAR</t>
  </si>
  <si>
    <t>EUROP ALU</t>
  </si>
  <si>
    <t>CT MOTORS</t>
  </si>
  <si>
    <t>ETABLISSEMENT AMBIANCE ECLAIRAGE SARL</t>
  </si>
  <si>
    <t>ANTOKA SECURITE</t>
  </si>
  <si>
    <t>MAITRE RAKOTO RAHANTAPAHENDRENA VIRGINIE</t>
  </si>
  <si>
    <t>ANDRIAMITAHA DIMBINIAINA HENRI PAUL</t>
  </si>
  <si>
    <t>ME ANDRIANASOLO ANDRY FIANKINANA</t>
  </si>
  <si>
    <t>AUGIAS MADAGASCAR</t>
  </si>
  <si>
    <t>HK SERVICES</t>
  </si>
  <si>
    <t>SIMPLIFY3X SOFTWARE PRIVATE LIMITED</t>
  </si>
  <si>
    <t>SOCIETE DE DISTRIBUTION DE MAD (SODIM SARLU)</t>
  </si>
  <si>
    <t>RATSIMIROKAMANANA Andriaherivelo</t>
  </si>
  <si>
    <t>KIBO SARLU</t>
  </si>
  <si>
    <t>L EXPRESS DE MADAGASCAR</t>
  </si>
  <si>
    <t>IBC</t>
  </si>
  <si>
    <t>ASSOCIATION PEEC</t>
  </si>
  <si>
    <t>JS AGENCY</t>
  </si>
  <si>
    <t>LOHASAHA MADAGASCO (ALTERRA)</t>
  </si>
  <si>
    <t>MALAGASY GENERAL SERVICES</t>
  </si>
  <si>
    <t>REVISION 5000KM SARLU</t>
  </si>
  <si>
    <t>PRAMIAN</t>
  </si>
  <si>
    <t>ETS ARINJAKA</t>
  </si>
  <si>
    <t>RAMAMPIANDRA JOSVAH JEAN FIDELE</t>
  </si>
  <si>
    <t>ENTREPRISE RAFIA</t>
  </si>
  <si>
    <t>UNITED MALAGASY</t>
  </si>
  <si>
    <t>AEROPUB</t>
  </si>
  <si>
    <t>JR PRINT</t>
  </si>
  <si>
    <t>ZOOM PUBLICITE</t>
  </si>
  <si>
    <t>HOTEL RESTAURANT CHEZ KARON SARL</t>
  </si>
  <si>
    <t>FMVB</t>
  </si>
  <si>
    <t>Comité d'organisation des Jeux de Melaky</t>
  </si>
  <si>
    <t>SECUR PRO</t>
  </si>
  <si>
    <t>RAVELOMANANTSOA JULIETTE</t>
  </si>
  <si>
    <t>LIGHTBOX SARL</t>
  </si>
  <si>
    <t>AMPED INNOVATION</t>
  </si>
  <si>
    <t>RADIO NOSY MAGNITRY</t>
  </si>
  <si>
    <t>ONIX ENGINEERING GROUP</t>
  </si>
  <si>
    <t>TARATRA RR</t>
  </si>
  <si>
    <t>VIVA</t>
  </si>
  <si>
    <t>MG (MALAGASY GRAPHIC)</t>
  </si>
  <si>
    <t>RLA</t>
  </si>
  <si>
    <t>MADAJAM</t>
  </si>
  <si>
    <t>MAROANJARA HORTENCIA</t>
  </si>
  <si>
    <t>RAHERINJATOVO TARATRA NY AINA</t>
  </si>
  <si>
    <t>GLOBAL CONSTRUCTION MADAGASCAR</t>
  </si>
  <si>
    <t>CONTINENTAL AUTO</t>
  </si>
  <si>
    <t>ADONIS ENVIRONNEMENT</t>
  </si>
  <si>
    <t>CU ANTSOHIHY</t>
  </si>
  <si>
    <t>HERTS MADAGASCAR SARLU</t>
  </si>
  <si>
    <t>MENABE CONNEXION</t>
  </si>
  <si>
    <t>GREENLIGHT PLANET</t>
  </si>
  <si>
    <t>AVIAVY</t>
  </si>
  <si>
    <t>DIRECTION DES GRANDES ENTREPRISES</t>
  </si>
  <si>
    <t>COMPUTEK TECHNOLOGY SARL</t>
  </si>
  <si>
    <t>ADAPT IT</t>
  </si>
  <si>
    <t>RASOLOJAONA TAHIANA HARIFETRA (JAYAUDIO/RDJ)</t>
  </si>
  <si>
    <t>RANAIVOSOA ANDRIAMAHERY LANTO</t>
  </si>
  <si>
    <t>RAVELOARIMANANA VONY</t>
  </si>
  <si>
    <t>SEQUOIA JR</t>
  </si>
  <si>
    <t>ETAT MAJOR DE L'ARMEE DE L'AIR</t>
  </si>
  <si>
    <t>NOMENJANAHARY FY-AINA SANDYH FORD</t>
  </si>
  <si>
    <t>RABEMANANJARA TAHIANA ROBERTO LANDRY</t>
  </si>
  <si>
    <t>RADIO SOAFY</t>
  </si>
  <si>
    <t>SOCIETE HOTELIERE SAKALAVA SARL</t>
  </si>
  <si>
    <t>RANDRIANANTENAINA PATRICIA (ENTREPRISE MANDA)</t>
  </si>
  <si>
    <t>IT WE DO SARL</t>
  </si>
  <si>
    <t>DOMAPUB (DOMA)</t>
  </si>
  <si>
    <t>TV PLUS MADAGASCAR</t>
  </si>
  <si>
    <t>CANAL 7 VIDEO ET EVENTS</t>
  </si>
  <si>
    <t>MALAGASY TV</t>
  </si>
  <si>
    <t>PIXELSE</t>
  </si>
  <si>
    <t>DREAM ON RADIO SARL</t>
  </si>
  <si>
    <t>ULTIMA MEDIA</t>
  </si>
  <si>
    <t>FITAHIA FANOMEZANTSOA NIRINA BIEN AIME</t>
  </si>
  <si>
    <t>MAMPIRAY MAMIHERY JUSTINOT JOSEPH</t>
  </si>
  <si>
    <t>LI CHO HSIEN MATHIEU</t>
  </si>
  <si>
    <t>RAMAKAVELO HANTANIRINA NOROMALALA</t>
  </si>
  <si>
    <t>ANDRIANTIANA JACQUES ULRICH</t>
  </si>
  <si>
    <t>KOLO TV</t>
  </si>
  <si>
    <t>MALAGASY PRO TOUR</t>
  </si>
  <si>
    <t>Maître RAKOTONOMBANA Baholy Clara</t>
  </si>
  <si>
    <t>RAVAOHARISOLO Mirana Nirina</t>
  </si>
  <si>
    <t>FONDATION AXIAN</t>
  </si>
  <si>
    <t>RIGHTCOM</t>
  </si>
  <si>
    <t>FRANCE PUB</t>
  </si>
  <si>
    <t>SOKA AFRICA</t>
  </si>
  <si>
    <t>SOKA HOLDING OU S H</t>
  </si>
  <si>
    <t>ASSOCIATION INVIKTUS CORP</t>
  </si>
  <si>
    <t>ARNO TRIGALLEZ EI</t>
  </si>
  <si>
    <t>RASOAMAMONJY MARIE ESTHER</t>
  </si>
  <si>
    <t>ANDRINIRINA ERICK</t>
  </si>
  <si>
    <t>IDRENTAL</t>
  </si>
  <si>
    <t>NETIS HOLDING LTD</t>
  </si>
  <si>
    <t>INDUSTRIAL PAPER CONVERTING SARLU</t>
  </si>
  <si>
    <t>6D TECHNOLOGIES</t>
  </si>
  <si>
    <t>RALALA ANDRIAMANALINA TANTELY NY HASINA</t>
  </si>
  <si>
    <t>Madagascar</t>
  </si>
  <si>
    <t>128 K LTE SIM</t>
  </si>
  <si>
    <t>FIRE EMERGENCY LIGHT</t>
  </si>
  <si>
    <t>DIRECTIONAL ANTENNA</t>
  </si>
  <si>
    <t xml:space="preserve">POINT ACCES ROCKET </t>
  </si>
  <si>
    <t>OPTICAL TRANSCEIVER</t>
  </si>
  <si>
    <t>KIT DROP CABLE</t>
  </si>
  <si>
    <t>DECLENCHEUR GODOX</t>
  </si>
  <si>
    <t>ETIQUETEUSE</t>
  </si>
  <si>
    <t>LASER TRANCEIVER</t>
  </si>
  <si>
    <t>PEHD 27/32 + 34/40</t>
  </si>
  <si>
    <t>PBO T2 PRECO</t>
  </si>
  <si>
    <t>VEVOR ANEMOMETRE</t>
  </si>
  <si>
    <t>1*SC/APC ADAPTER + PIGTAIL</t>
  </si>
  <si>
    <t>VALID</t>
  </si>
  <si>
    <t>TRIDENT</t>
  </si>
  <si>
    <t>PROJET PHOENIX HUAWEI</t>
  </si>
  <si>
    <t>NF TECH</t>
  </si>
  <si>
    <t>HUAWEI</t>
  </si>
  <si>
    <t>GEKA</t>
  </si>
  <si>
    <t>OBJECTIF BASTILLE</t>
  </si>
  <si>
    <t>SAGEMCOM</t>
  </si>
  <si>
    <t>NETIS</t>
  </si>
  <si>
    <t>AIR</t>
  </si>
  <si>
    <t>SEA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</si>
</sst>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1" formatCode="_-* #,##0_-;\-* #,##0_-;_-* &quot;-&quot;_-;_-@_-"/>
    <numFmt numFmtId="43" formatCode="_-* #,##0.00_-;\-* #,##0.00_-;_-* &quot;-&quot;??_-;_-@_-"/>
    <numFmt numFmtId="164" formatCode="_(* #,##0_);_(* \(#,##0\);_(* &quot;-&quot;_);_(@_)"/>
    <numFmt numFmtId="165" formatCode="_(&quot;$&quot;* #,##0.00_);_(&quot;$&quot;* \(#,##0.00\);_(&quot;$&quot;* &quot;-&quot;??_);_(@_)"/>
    <numFmt numFmtId="166" formatCode="_(* #,##0.00_);_(* \(#,##0.00\);_(* &quot;-&quot;??_);_(@_)"/>
    <numFmt numFmtId="167" formatCode="[$$-409]#,##0"/>
    <numFmt numFmtId="168" formatCode="0\ &quot;day(s)&quot;"/>
    <numFmt numFmtId="169" formatCode="_-* #,##0_-;\-* #,##0_-;_-* &quot;-&quot;??_-;_-@_-"/>
    <numFmt numFmtId="170" formatCode="mm/dd/yyyy"/>
    <numFmt numFmtId="171" formatCode="dd/mm/yyyy;@"/>
    <numFmt numFmtId="172" formatCode="_(* #,##0_);_(* \(#,##0\);_(* &quot;-&quot;??_);_(@_)"/>
    <numFmt numFmtId="173" formatCode="_(&quot;$&quot;* #,##0_);_(&quot;$&quot;* \(#,##0\);_(&quot;$&quot;* &quot;-&quot;??_);_(@_)"/>
  </numFmts>
  <fonts count="35"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b/>
      <sz val="16"/>
      <color theme="0"/>
      <name val="Aptos Narrow"/>
      <family val="2"/>
      <scheme val="minor"/>
    </font>
    <font>
      <b/>
      <sz val="16"/>
      <color theme="1"/>
      <name val="Aptos Narrow"/>
      <family val="2"/>
      <scheme val="minor"/>
    </font>
    <font>
      <sz val="11"/>
      <color rgb="FF000000"/>
      <name val="Aptos Narrow"/>
      <family val="2"/>
    </font>
    <font>
      <sz val="10"/>
      <color rgb="FF000000"/>
      <name val="Aptos Narrow"/>
      <family val="2"/>
    </font>
    <font>
      <sz val="10"/>
      <color rgb="FF000000"/>
      <name val="Calibri"/>
      <family val="2"/>
    </font>
    <font>
      <sz val="8"/>
      <color rgb="FF000000"/>
      <name val="Raleway"/>
    </font>
    <font>
      <b/>
      <sz val="8"/>
      <color rgb="FF000000"/>
      <name val="Raleway"/>
    </font>
    <font>
      <sz val="11"/>
      <color rgb="FFFFFFFF"/>
      <name val="Aptos Narrow"/>
      <family val="2"/>
      <scheme val="minor"/>
    </font>
    <font>
      <sz val="11"/>
      <color theme="1"/>
      <name val="Arial Narrow"/>
      <family val="2"/>
    </font>
    <font>
      <sz val="9"/>
      <color rgb="FF000000"/>
      <name val="Aptos Narrow"/>
      <family val="2"/>
    </font>
    <font>
      <sz val="12"/>
      <name val="Aptos Narrow"/>
      <family val="2"/>
      <scheme val="minor"/>
    </font>
    <font>
      <sz val="9"/>
      <name val="Book Antiqua"/>
      <family val="1"/>
    </font>
    <font>
      <sz val="11"/>
      <name val="Aptos Narrow"/>
      <family val="2"/>
      <scheme val="minor"/>
    </font>
    <font>
      <sz val="12"/>
      <name val="Calibri"/>
      <family val="2"/>
    </font>
    <font>
      <sz val="11"/>
      <color rgb="FF000000"/>
      <name val="Calibri"/>
      <family val="2"/>
    </font>
    <font>
      <sz val="11"/>
      <color rgb="FFFF0000"/>
      <name val="Aptos Narrow"/>
      <family val="2"/>
      <scheme val="minor"/>
    </font>
    <font>
      <b/>
      <sz val="11"/>
      <name val="Aptos Narrow"/>
      <family val="2"/>
      <scheme val="minor"/>
    </font>
    <font>
      <b/>
      <sz val="14"/>
      <color theme="1"/>
      <name val="Aptos Narrow"/>
      <family val="2"/>
      <scheme val="minor"/>
    </font>
    <font>
      <sz val="11"/>
      <color theme="3"/>
      <name val="Aptos Narrow"/>
      <family val="2"/>
      <scheme val="minor"/>
    </font>
    <font>
      <sz val="11"/>
      <color rgb="FF00B050"/>
      <name val="Aptos Narrow"/>
      <family val="2"/>
      <scheme val="minor"/>
    </font>
    <font>
      <sz val="12"/>
      <name val="Arial Narrow"/>
      <family val="2"/>
    </font>
    <font>
      <b/>
      <sz val="9"/>
      <color indexed="81"/>
      <name val="Tahoma"/>
      <family val="2"/>
    </font>
    <font>
      <sz val="9"/>
      <color indexed="81"/>
      <name val="Tahoma"/>
      <family val="2"/>
    </font>
    <font>
      <b/>
      <u/>
      <sz val="11"/>
      <color theme="0"/>
      <name val="Aptos Narrow"/>
      <family val="2"/>
      <scheme val="minor"/>
    </font>
    <font>
      <sz val="8"/>
      <name val="Aptos Narrow"/>
      <family val="2"/>
      <scheme val="minor"/>
    </font>
    <font>
      <sz val="10"/>
      <color theme="1"/>
      <name val="Aptos Narrow"/>
      <family val="2"/>
      <scheme val="minor"/>
    </font>
    <font>
      <b/>
      <sz val="10"/>
      <color theme="1"/>
      <name val="Aptos Narrow"/>
      <family val="2"/>
      <scheme val="minor"/>
    </font>
    <font>
      <b/>
      <sz val="10"/>
      <color theme="1"/>
      <name val="Calibri"/>
      <family val="2"/>
    </font>
  </fonts>
  <fills count="27">
    <fill>
      <patternFill patternType="none"/>
    </fill>
    <fill>
      <patternFill patternType="gray125"/>
    </fill>
    <fill>
      <patternFill patternType="solid">
        <fgColor rgb="FFFCFBFB"/>
        <bgColor indexed="64"/>
      </patternFill>
    </fill>
    <fill>
      <patternFill patternType="solid">
        <fgColor theme="3"/>
        <bgColor indexed="64"/>
      </patternFill>
    </fill>
    <fill>
      <patternFill patternType="solid">
        <fgColor theme="0" tint="-0.499984740745262"/>
        <bgColor indexed="64"/>
      </patternFill>
    </fill>
    <fill>
      <patternFill patternType="solid">
        <fgColor theme="0" tint="-0.34998626667073579"/>
        <bgColor indexed="64"/>
      </patternFill>
    </fill>
    <fill>
      <patternFill patternType="solid">
        <fgColor rgb="FFD30E3F"/>
        <bgColor indexed="64"/>
      </patternFill>
    </fill>
    <fill>
      <patternFill patternType="solid">
        <fgColor rgb="FFF78DA7"/>
        <bgColor indexed="64"/>
      </patternFill>
    </fill>
    <fill>
      <patternFill patternType="solid">
        <fgColor rgb="FF003459"/>
        <bgColor indexed="64"/>
      </patternFill>
    </fill>
    <fill>
      <patternFill patternType="solid">
        <fgColor rgb="FF007EA7"/>
        <bgColor indexed="64"/>
      </patternFill>
    </fill>
    <fill>
      <patternFill patternType="solid">
        <fgColor rgb="FF00A8E8"/>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rgb="FF00B050"/>
        <bgColor indexed="64"/>
      </patternFill>
    </fill>
    <fill>
      <patternFill patternType="solid">
        <fgColor theme="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FCFBFB"/>
        <bgColor rgb="FF000000"/>
      </patternFill>
    </fill>
    <fill>
      <patternFill patternType="solid">
        <fgColor rgb="FFFFFFFF"/>
        <bgColor rgb="FFFFFFFF"/>
      </patternFill>
    </fill>
    <fill>
      <patternFill patternType="solid">
        <fgColor theme="0"/>
        <bgColor indexed="64"/>
      </patternFill>
    </fill>
    <fill>
      <patternFill patternType="solid">
        <fgColor theme="0"/>
        <bgColor rgb="FF000000"/>
      </patternFill>
    </fill>
    <fill>
      <patternFill patternType="solid">
        <fgColor theme="3" tint="0.499984740745262"/>
        <bgColor indexed="64"/>
      </patternFill>
    </fill>
    <fill>
      <patternFill patternType="solid">
        <fgColor rgb="FF7030A0"/>
        <bgColor indexed="64"/>
      </patternFill>
    </fill>
    <fill>
      <patternFill patternType="solid">
        <fgColor rgb="FF7030A0"/>
        <bgColor rgb="FF000000"/>
      </patternFill>
    </fill>
    <fill>
      <patternFill patternType="solid">
        <fgColor theme="8"/>
        <bgColor indexed="64"/>
      </patternFill>
    </fill>
    <fill>
      <patternFill patternType="solid">
        <fgColor theme="8"/>
        <bgColor rgb="FF000000"/>
      </patternFill>
    </fill>
  </fills>
  <borders count="4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right style="thin">
        <color indexed="64"/>
      </right>
      <top/>
      <bottom style="thin">
        <color rgb="FF000000"/>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indexed="64"/>
      </right>
      <top/>
      <bottom/>
      <diagonal/>
    </border>
    <border>
      <left style="medium">
        <color theme="0" tint="-4.9989318521683403E-2"/>
      </left>
      <right style="medium">
        <color theme="0" tint="-4.9989318521683403E-2"/>
      </right>
      <top style="medium">
        <color theme="0" tint="-4.9989318521683403E-2"/>
      </top>
      <bottom style="medium">
        <color theme="0" tint="-4.9989318521683403E-2"/>
      </bottom>
      <diagonal/>
    </border>
    <border>
      <left style="thin">
        <color indexed="64"/>
      </left>
      <right/>
      <top style="thin">
        <color indexed="64"/>
      </top>
      <bottom style="thin">
        <color indexed="64"/>
      </bottom>
      <diagonal/>
    </border>
    <border>
      <left/>
      <right/>
      <top/>
      <bottom style="thin">
        <color indexed="64"/>
      </bottom>
      <diagonal/>
    </border>
    <border>
      <left/>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top style="thin">
        <color indexed="64"/>
      </top>
      <bottom style="thin">
        <color indexed="64"/>
      </bottom>
      <diagonal/>
    </border>
    <border>
      <left/>
      <right/>
      <top/>
      <bottom style="thin">
        <color rgb="FF000000"/>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5">
    <xf numFmtId="0" fontId="0" fillId="0" borderId="0"/>
    <xf numFmtId="9" fontId="1" fillId="0" borderId="0"/>
    <xf numFmtId="43" fontId="1" fillId="0" borderId="0"/>
    <xf numFmtId="43" fontId="1" fillId="0" borderId="0"/>
    <xf numFmtId="41" fontId="1" fillId="0" borderId="0"/>
  </cellStyleXfs>
  <cellXfs count="287">
    <xf numFmtId="0" fontId="0" fillId="0" borderId="0" xfId="0"/>
    <xf numFmtId="9" fontId="3" fillId="7" borderId="0" xfId="0" applyNumberFormat="1" applyFont="1" applyFill="1" applyAlignment="1">
      <alignment horizontal="center"/>
    </xf>
    <xf numFmtId="167" fontId="3" fillId="7" borderId="0" xfId="0" applyNumberFormat="1" applyFont="1" applyFill="1" applyAlignment="1">
      <alignment horizontal="center"/>
    </xf>
    <xf numFmtId="0" fontId="4" fillId="8" borderId="0" xfId="0" applyFont="1" applyFill="1"/>
    <xf numFmtId="0" fontId="2" fillId="8" borderId="0" xfId="0" applyFont="1" applyFill="1"/>
    <xf numFmtId="0" fontId="2" fillId="4" borderId="1" xfId="0" applyFont="1" applyFill="1" applyBorder="1" applyAlignment="1">
      <alignment horizontal="center" vertical="center" wrapText="1"/>
    </xf>
    <xf numFmtId="9" fontId="0" fillId="0" borderId="0" xfId="1" applyFont="1"/>
    <xf numFmtId="0" fontId="2" fillId="8" borderId="0" xfId="0" applyFont="1" applyFill="1" applyAlignment="1">
      <alignment horizontal="center"/>
    </xf>
    <xf numFmtId="168" fontId="3" fillId="7" borderId="0" xfId="0" applyNumberFormat="1" applyFont="1" applyFill="1" applyAlignment="1">
      <alignment horizontal="center"/>
    </xf>
    <xf numFmtId="0" fontId="5" fillId="5" borderId="1" xfId="0" applyFont="1" applyFill="1" applyBorder="1" applyAlignment="1">
      <alignment horizontal="left" vertical="center" wrapText="1" indent="1"/>
    </xf>
    <xf numFmtId="0" fontId="6" fillId="2" borderId="1" xfId="0" applyFont="1" applyFill="1" applyBorder="1" applyAlignment="1">
      <alignment horizontal="left" vertical="center" wrapText="1" indent="1"/>
    </xf>
    <xf numFmtId="1" fontId="3" fillId="7" borderId="1" xfId="0" applyNumberFormat="1" applyFont="1" applyFill="1" applyBorder="1" applyAlignment="1">
      <alignment horizontal="center"/>
    </xf>
    <xf numFmtId="0" fontId="0" fillId="0" borderId="1" xfId="0" applyBorder="1"/>
    <xf numFmtId="0" fontId="0" fillId="10" borderId="1" xfId="0" applyFill="1" applyBorder="1" applyAlignment="1">
      <alignment horizontal="center"/>
    </xf>
    <xf numFmtId="0" fontId="0" fillId="0" borderId="0" xfId="0" applyAlignment="1">
      <alignment horizontal="center"/>
    </xf>
    <xf numFmtId="0" fontId="0" fillId="13" borderId="0" xfId="0" applyFill="1" applyAlignment="1">
      <alignment horizontal="center" vertical="center" wrapText="1"/>
    </xf>
    <xf numFmtId="9" fontId="0" fillId="0" borderId="1" xfId="1" applyFont="1" applyBorder="1" applyAlignment="1">
      <alignment horizontal="center"/>
    </xf>
    <xf numFmtId="0" fontId="8" fillId="6" borderId="0" xfId="0" applyFont="1" applyFill="1" applyAlignment="1">
      <alignment horizontal="center" vertical="center"/>
    </xf>
    <xf numFmtId="0" fontId="7" fillId="8" borderId="0" xfId="0" applyFont="1" applyFill="1" applyAlignment="1">
      <alignment horizontal="center" vertical="center"/>
    </xf>
    <xf numFmtId="0" fontId="3" fillId="0" borderId="1" xfId="0" applyFont="1" applyBorder="1" applyAlignment="1">
      <alignment horizontal="center"/>
    </xf>
    <xf numFmtId="0" fontId="0" fillId="14" borderId="1" xfId="0" applyFill="1" applyBorder="1"/>
    <xf numFmtId="9" fontId="3" fillId="14" borderId="1" xfId="0" applyNumberFormat="1" applyFont="1" applyFill="1" applyBorder="1" applyAlignment="1">
      <alignment horizontal="center"/>
    </xf>
    <xf numFmtId="0" fontId="0" fillId="16" borderId="1" xfId="0" applyFill="1" applyBorder="1"/>
    <xf numFmtId="9" fontId="3" fillId="16" borderId="1" xfId="0" applyNumberFormat="1" applyFont="1" applyFill="1" applyBorder="1" applyAlignment="1">
      <alignment horizontal="center"/>
    </xf>
    <xf numFmtId="0" fontId="0" fillId="11" borderId="1" xfId="0" applyFill="1" applyBorder="1"/>
    <xf numFmtId="9" fontId="3" fillId="11" borderId="1" xfId="0" applyNumberFormat="1" applyFont="1" applyFill="1" applyBorder="1" applyAlignment="1">
      <alignment horizontal="center"/>
    </xf>
    <xf numFmtId="0" fontId="0" fillId="17" borderId="1" xfId="0" applyFill="1" applyBorder="1"/>
    <xf numFmtId="9" fontId="3" fillId="17" borderId="1" xfId="0" applyNumberFormat="1" applyFont="1" applyFill="1" applyBorder="1" applyAlignment="1">
      <alignment horizontal="center"/>
    </xf>
    <xf numFmtId="0" fontId="0" fillId="12" borderId="1" xfId="0" applyFill="1" applyBorder="1"/>
    <xf numFmtId="9" fontId="3" fillId="12" borderId="1" xfId="0" applyNumberFormat="1" applyFont="1" applyFill="1" applyBorder="1" applyAlignment="1">
      <alignment horizontal="center"/>
    </xf>
    <xf numFmtId="0" fontId="2" fillId="0" borderId="0" xfId="0" applyFont="1" applyAlignment="1">
      <alignment horizontal="center"/>
    </xf>
    <xf numFmtId="9" fontId="8" fillId="6" borderId="1" xfId="1" applyFont="1" applyFill="1" applyBorder="1" applyAlignment="1">
      <alignment horizontal="center" vertical="center"/>
    </xf>
    <xf numFmtId="0" fontId="0" fillId="7" borderId="1" xfId="0" applyFill="1" applyBorder="1" applyAlignment="1">
      <alignment horizontal="center"/>
    </xf>
    <xf numFmtId="169" fontId="6" fillId="10" borderId="1" xfId="2" applyNumberFormat="1" applyFont="1" applyFill="1" applyBorder="1" applyAlignment="1">
      <alignment horizontal="center" vertical="center" wrapText="1"/>
    </xf>
    <xf numFmtId="0" fontId="9" fillId="18" borderId="1" xfId="0" applyFont="1" applyFill="1" applyBorder="1" applyAlignment="1">
      <alignment wrapText="1"/>
    </xf>
    <xf numFmtId="0" fontId="9" fillId="18" borderId="3" xfId="0" applyFont="1" applyFill="1" applyBorder="1" applyAlignment="1">
      <alignment wrapText="1"/>
    </xf>
    <xf numFmtId="0" fontId="9" fillId="0" borderId="4" xfId="0" applyFont="1" applyBorder="1"/>
    <xf numFmtId="14" fontId="0" fillId="0" borderId="0" xfId="0" applyNumberFormat="1"/>
    <xf numFmtId="0" fontId="12" fillId="19" borderId="6" xfId="0" applyFont="1" applyFill="1" applyBorder="1" applyAlignment="1">
      <alignment wrapText="1"/>
    </xf>
    <xf numFmtId="0" fontId="13" fillId="19" borderId="6" xfId="0" applyFont="1" applyFill="1" applyBorder="1" applyAlignment="1">
      <alignment wrapText="1"/>
    </xf>
    <xf numFmtId="0" fontId="14" fillId="8" borderId="0" xfId="0" applyFont="1" applyFill="1"/>
    <xf numFmtId="0" fontId="10" fillId="0" borderId="4" xfId="0" applyFont="1" applyBorder="1"/>
    <xf numFmtId="0" fontId="10" fillId="0" borderId="4" xfId="0" applyFont="1" applyBorder="1" applyAlignment="1">
      <alignment wrapText="1"/>
    </xf>
    <xf numFmtId="0" fontId="9" fillId="0" borderId="1" xfId="0" applyFont="1" applyBorder="1"/>
    <xf numFmtId="2" fontId="0" fillId="0" borderId="0" xfId="0" applyNumberFormat="1"/>
    <xf numFmtId="0" fontId="6" fillId="2" borderId="1" xfId="0" applyFont="1" applyFill="1" applyBorder="1" applyAlignment="1">
      <alignment horizontal="center" vertical="center" wrapText="1" indent="1"/>
    </xf>
    <xf numFmtId="0" fontId="0" fillId="10" borderId="1" xfId="0" applyFill="1" applyBorder="1" applyAlignment="1">
      <alignment horizontal="center" vertical="center"/>
    </xf>
    <xf numFmtId="0" fontId="0" fillId="0" borderId="0" xfId="0" applyAlignment="1">
      <alignment horizontal="center" vertical="center"/>
    </xf>
    <xf numFmtId="0" fontId="16" fillId="18" borderId="4" xfId="0" applyFont="1" applyFill="1" applyBorder="1" applyAlignment="1">
      <alignment horizontal="left" vertical="center" wrapText="1"/>
    </xf>
    <xf numFmtId="0" fontId="0" fillId="0" borderId="0" xfId="0" applyAlignment="1">
      <alignment vertical="center"/>
    </xf>
    <xf numFmtId="0" fontId="9" fillId="0" borderId="5" xfId="0" applyFont="1" applyBorder="1"/>
    <xf numFmtId="0" fontId="2" fillId="4" borderId="5" xfId="0" applyFont="1" applyFill="1" applyBorder="1" applyAlignment="1">
      <alignment horizontal="center" vertical="center" wrapText="1"/>
    </xf>
    <xf numFmtId="0" fontId="2" fillId="4" borderId="5" xfId="0" applyFont="1" applyFill="1" applyBorder="1" applyAlignment="1">
      <alignment vertical="center" wrapText="1"/>
    </xf>
    <xf numFmtId="14" fontId="2" fillId="4" borderId="5" xfId="0" applyNumberFormat="1" applyFont="1" applyFill="1" applyBorder="1" applyAlignment="1">
      <alignment horizontal="center" vertical="center" wrapText="1"/>
    </xf>
    <xf numFmtId="0" fontId="2" fillId="4" borderId="5" xfId="0" applyFont="1" applyFill="1" applyBorder="1" applyAlignment="1">
      <alignment horizontal="left" vertical="center" wrapText="1"/>
    </xf>
    <xf numFmtId="0" fontId="6" fillId="2" borderId="5" xfId="0" applyFont="1" applyFill="1" applyBorder="1" applyAlignment="1">
      <alignment horizontal="left" vertical="center" wrapText="1" indent="1"/>
    </xf>
    <xf numFmtId="1" fontId="3" fillId="7" borderId="5" xfId="0" applyNumberFormat="1" applyFont="1" applyFill="1" applyBorder="1" applyAlignment="1">
      <alignment horizontal="center"/>
    </xf>
    <xf numFmtId="0" fontId="0" fillId="0" borderId="5" xfId="0" applyBorder="1" applyAlignment="1">
      <alignment horizontal="center"/>
    </xf>
    <xf numFmtId="169" fontId="6" fillId="2" borderId="5" xfId="2" applyNumberFormat="1" applyFont="1" applyFill="1" applyBorder="1" applyAlignment="1">
      <alignment horizontal="left" vertical="center" wrapText="1" indent="1"/>
    </xf>
    <xf numFmtId="3" fontId="0" fillId="10" borderId="5" xfId="0" applyNumberFormat="1" applyFill="1" applyBorder="1"/>
    <xf numFmtId="9" fontId="3" fillId="7" borderId="5" xfId="0" applyNumberFormat="1" applyFont="1" applyFill="1" applyBorder="1" applyAlignment="1">
      <alignment horizontal="center"/>
    </xf>
    <xf numFmtId="0" fontId="0" fillId="0" borderId="5" xfId="0" applyBorder="1"/>
    <xf numFmtId="14" fontId="0" fillId="0" borderId="0" xfId="0" applyNumberFormat="1" applyAlignment="1">
      <alignment horizontal="right"/>
    </xf>
    <xf numFmtId="0" fontId="0" fillId="0" borderId="0" xfId="0" quotePrefix="1"/>
    <xf numFmtId="14" fontId="0" fillId="0" borderId="0" xfId="0" applyNumberFormat="1" applyAlignment="1">
      <alignment horizontal="right" indent="1"/>
    </xf>
    <xf numFmtId="14" fontId="2" fillId="4" borderId="5" xfId="0" applyNumberFormat="1" applyFont="1" applyFill="1" applyBorder="1" applyAlignment="1">
      <alignment horizontal="right" wrapText="1" indent="1"/>
    </xf>
    <xf numFmtId="14" fontId="2" fillId="4" borderId="5" xfId="0" applyNumberFormat="1" applyFont="1" applyFill="1" applyBorder="1" applyAlignment="1">
      <alignment horizontal="right" vertical="center" wrapText="1"/>
    </xf>
    <xf numFmtId="4" fontId="9" fillId="0" borderId="4" xfId="0" applyNumberFormat="1" applyFont="1" applyBorder="1" applyAlignment="1">
      <alignment horizontal="left"/>
    </xf>
    <xf numFmtId="0" fontId="9" fillId="0" borderId="4" xfId="0" applyFont="1" applyBorder="1" applyAlignment="1">
      <alignment horizontal="left"/>
    </xf>
    <xf numFmtId="0" fontId="5" fillId="4" borderId="1" xfId="0" applyFont="1" applyFill="1" applyBorder="1" applyAlignment="1">
      <alignment horizontal="center" vertical="center" wrapText="1"/>
    </xf>
    <xf numFmtId="0" fontId="9" fillId="18" borderId="5" xfId="0" applyFont="1" applyFill="1" applyBorder="1" applyAlignment="1">
      <alignment vertical="center" wrapText="1"/>
    </xf>
    <xf numFmtId="14" fontId="9" fillId="0" borderId="5" xfId="0" applyNumberFormat="1" applyFont="1" applyBorder="1"/>
    <xf numFmtId="0" fontId="9" fillId="0" borderId="5" xfId="0" applyFont="1" applyBorder="1" applyAlignment="1">
      <alignment wrapText="1"/>
    </xf>
    <xf numFmtId="14" fontId="2" fillId="4" borderId="5" xfId="0" applyNumberFormat="1" applyFont="1" applyFill="1" applyBorder="1" applyAlignment="1">
      <alignment vertical="center" wrapText="1"/>
    </xf>
    <xf numFmtId="2" fontId="9" fillId="0" borderId="5" xfId="0" applyNumberFormat="1" applyFont="1" applyBorder="1"/>
    <xf numFmtId="166" fontId="9" fillId="0" borderId="5" xfId="0" applyNumberFormat="1" applyFont="1" applyBorder="1"/>
    <xf numFmtId="0" fontId="9" fillId="0" borderId="12" xfId="0" applyFont="1" applyBorder="1" applyAlignment="1">
      <alignment horizontal="left"/>
    </xf>
    <xf numFmtId="0" fontId="6" fillId="2" borderId="5" xfId="0" applyFont="1" applyFill="1" applyBorder="1" applyAlignment="1">
      <alignment horizontal="left" vertical="center" wrapText="1"/>
    </xf>
    <xf numFmtId="0" fontId="9" fillId="0" borderId="12" xfId="0" applyFont="1" applyBorder="1"/>
    <xf numFmtId="0" fontId="10" fillId="0" borderId="12" xfId="0" applyFont="1" applyBorder="1" applyAlignment="1">
      <alignment wrapText="1"/>
    </xf>
    <xf numFmtId="0" fontId="0" fillId="0" borderId="7" xfId="0" applyBorder="1"/>
    <xf numFmtId="0" fontId="0" fillId="0" borderId="0" xfId="0" applyAlignment="1">
      <alignment horizontal="left"/>
    </xf>
    <xf numFmtId="0" fontId="5" fillId="5" borderId="1" xfId="0" applyFont="1" applyFill="1" applyBorder="1" applyAlignment="1">
      <alignment horizontal="left" vertical="center" wrapText="1"/>
    </xf>
    <xf numFmtId="1" fontId="6" fillId="2" borderId="5" xfId="0" applyNumberFormat="1" applyFont="1" applyFill="1" applyBorder="1" applyAlignment="1">
      <alignment horizontal="left" vertical="center" wrapText="1"/>
    </xf>
    <xf numFmtId="0" fontId="2" fillId="4" borderId="1" xfId="0" applyFont="1" applyFill="1" applyBorder="1" applyAlignment="1">
      <alignment horizontal="left" vertical="center" wrapText="1"/>
    </xf>
    <xf numFmtId="165" fontId="0" fillId="0" borderId="0" xfId="0" applyNumberFormat="1"/>
    <xf numFmtId="165" fontId="0" fillId="0" borderId="0" xfId="2" applyNumberFormat="1" applyFont="1"/>
    <xf numFmtId="165" fontId="2" fillId="4" borderId="7" xfId="0" applyNumberFormat="1" applyFont="1" applyFill="1" applyBorder="1" applyAlignment="1">
      <alignment horizontal="center" vertical="center" wrapText="1"/>
    </xf>
    <xf numFmtId="165" fontId="5" fillId="5" borderId="7" xfId="2" applyNumberFormat="1" applyFont="1" applyFill="1" applyBorder="1" applyAlignment="1">
      <alignment horizontal="left" vertical="center" wrapText="1" indent="1"/>
    </xf>
    <xf numFmtId="166" fontId="6" fillId="2" borderId="5" xfId="0" applyNumberFormat="1" applyFont="1" applyFill="1" applyBorder="1" applyAlignment="1">
      <alignment horizontal="left" vertical="center" wrapText="1"/>
    </xf>
    <xf numFmtId="0" fontId="4" fillId="2" borderId="5" xfId="0" applyFont="1" applyFill="1" applyBorder="1" applyAlignment="1">
      <alignment horizontal="left" vertical="center" wrapText="1"/>
    </xf>
    <xf numFmtId="4" fontId="17" fillId="20" borderId="5" xfId="0" applyNumberFormat="1" applyFont="1" applyFill="1" applyBorder="1" applyAlignment="1">
      <alignment horizontal="right"/>
    </xf>
    <xf numFmtId="166" fontId="18" fillId="20" borderId="13" xfId="4" applyNumberFormat="1" applyFont="1" applyFill="1" applyBorder="1" applyAlignment="1">
      <alignment horizontal="right" vertical="center"/>
    </xf>
    <xf numFmtId="164" fontId="19" fillId="20" borderId="5" xfId="0" applyNumberFormat="1" applyFont="1" applyFill="1" applyBorder="1" applyAlignment="1">
      <alignment horizontal="left" vertical="center" wrapText="1" indent="1"/>
    </xf>
    <xf numFmtId="4" fontId="17" fillId="20" borderId="10" xfId="0" applyNumberFormat="1" applyFont="1" applyFill="1" applyBorder="1" applyAlignment="1">
      <alignment horizontal="right"/>
    </xf>
    <xf numFmtId="4" fontId="17" fillId="20" borderId="2" xfId="0" applyNumberFormat="1" applyFont="1" applyFill="1" applyBorder="1" applyAlignment="1">
      <alignment horizontal="right"/>
    </xf>
    <xf numFmtId="0" fontId="17" fillId="20" borderId="6" xfId="0" applyFont="1" applyFill="1" applyBorder="1" applyAlignment="1">
      <alignment horizontal="right"/>
    </xf>
    <xf numFmtId="4" fontId="17" fillId="20" borderId="6" xfId="0" applyNumberFormat="1" applyFont="1" applyFill="1" applyBorder="1" applyAlignment="1">
      <alignment horizontal="right"/>
    </xf>
    <xf numFmtId="4" fontId="17" fillId="21" borderId="6" xfId="0" applyNumberFormat="1" applyFont="1" applyFill="1" applyBorder="1" applyAlignment="1">
      <alignment horizontal="right"/>
    </xf>
    <xf numFmtId="4" fontId="20" fillId="20" borderId="5" xfId="0" applyNumberFormat="1" applyFont="1" applyFill="1" applyBorder="1" applyAlignment="1">
      <alignment horizontal="right"/>
    </xf>
    <xf numFmtId="4" fontId="20" fillId="20" borderId="10" xfId="0" applyNumberFormat="1" applyFont="1" applyFill="1" applyBorder="1" applyAlignment="1">
      <alignment horizontal="right"/>
    </xf>
    <xf numFmtId="0" fontId="17" fillId="20" borderId="5" xfId="0" applyFont="1" applyFill="1" applyBorder="1" applyAlignment="1">
      <alignment horizontal="right"/>
    </xf>
    <xf numFmtId="4" fontId="20" fillId="20" borderId="11" xfId="0" applyNumberFormat="1" applyFont="1" applyFill="1" applyBorder="1" applyAlignment="1">
      <alignment horizontal="right"/>
    </xf>
    <xf numFmtId="4" fontId="19" fillId="20" borderId="5" xfId="0" applyNumberFormat="1" applyFont="1" applyFill="1" applyBorder="1" applyAlignment="1">
      <alignment horizontal="right"/>
    </xf>
    <xf numFmtId="0" fontId="19" fillId="20" borderId="5" xfId="0" applyFont="1" applyFill="1" applyBorder="1" applyAlignment="1">
      <alignment horizontal="right"/>
    </xf>
    <xf numFmtId="4" fontId="17" fillId="21" borderId="5" xfId="0" applyNumberFormat="1" applyFont="1" applyFill="1" applyBorder="1" applyAlignment="1">
      <alignment horizontal="right"/>
    </xf>
    <xf numFmtId="4" fontId="19" fillId="20" borderId="10" xfId="0" applyNumberFormat="1" applyFont="1" applyFill="1" applyBorder="1" applyAlignment="1">
      <alignment horizontal="right"/>
    </xf>
    <xf numFmtId="2" fontId="9" fillId="0" borderId="9" xfId="0" applyNumberFormat="1" applyFont="1" applyBorder="1"/>
    <xf numFmtId="170" fontId="9" fillId="0" borderId="9" xfId="0" applyNumberFormat="1" applyFont="1" applyBorder="1"/>
    <xf numFmtId="170" fontId="9" fillId="0" borderId="9" xfId="0" applyNumberFormat="1" applyFont="1" applyBorder="1" applyAlignment="1">
      <alignment horizontal="right"/>
    </xf>
    <xf numFmtId="14" fontId="9" fillId="0" borderId="9" xfId="0" applyNumberFormat="1" applyFont="1" applyBorder="1" applyAlignment="1">
      <alignment horizontal="center"/>
    </xf>
    <xf numFmtId="14" fontId="9" fillId="0" borderId="9" xfId="0" applyNumberFormat="1" applyFont="1" applyBorder="1" applyAlignment="1">
      <alignment horizontal="center" vertical="center"/>
    </xf>
    <xf numFmtId="171" fontId="0" fillId="0" borderId="0" xfId="0" applyNumberFormat="1" applyAlignment="1">
      <alignment horizontal="center" vertical="center"/>
    </xf>
    <xf numFmtId="2" fontId="5" fillId="5" borderId="5" xfId="0" applyNumberFormat="1" applyFont="1" applyFill="1" applyBorder="1" applyAlignment="1">
      <alignment horizontal="left" vertical="center" wrapText="1" indent="1"/>
    </xf>
    <xf numFmtId="171" fontId="5" fillId="5" borderId="14" xfId="0" applyNumberFormat="1" applyFont="1" applyFill="1" applyBorder="1" applyAlignment="1">
      <alignment horizontal="center" vertical="center" wrapText="1"/>
    </xf>
    <xf numFmtId="14" fontId="5" fillId="5" borderId="2" xfId="0" applyNumberFormat="1" applyFont="1" applyFill="1" applyBorder="1" applyAlignment="1">
      <alignment horizontal="right" vertical="center" wrapText="1" indent="1"/>
    </xf>
    <xf numFmtId="14" fontId="9" fillId="0" borderId="3" xfId="0" applyNumberFormat="1" applyFont="1" applyBorder="1"/>
    <xf numFmtId="14" fontId="9" fillId="0" borderId="4" xfId="0" applyNumberFormat="1" applyFont="1" applyBorder="1"/>
    <xf numFmtId="14" fontId="9" fillId="0" borderId="1" xfId="0" applyNumberFormat="1" applyFont="1" applyBorder="1"/>
    <xf numFmtId="0" fontId="9" fillId="0" borderId="3" xfId="0" applyFont="1" applyBorder="1"/>
    <xf numFmtId="0" fontId="9" fillId="18" borderId="1" xfId="0" applyFont="1" applyFill="1" applyBorder="1" applyAlignment="1">
      <alignment horizontal="left" wrapText="1"/>
    </xf>
    <xf numFmtId="0" fontId="9" fillId="18" borderId="3" xfId="0" applyFont="1" applyFill="1" applyBorder="1" applyAlignment="1">
      <alignment horizontal="left" wrapText="1"/>
    </xf>
    <xf numFmtId="0" fontId="9" fillId="0" borderId="3" xfId="0" applyFont="1" applyBorder="1" applyAlignment="1">
      <alignment horizontal="left"/>
    </xf>
    <xf numFmtId="0" fontId="9" fillId="0" borderId="3" xfId="0" applyFont="1" applyBorder="1" applyAlignment="1">
      <alignment horizontal="left" vertical="center"/>
    </xf>
    <xf numFmtId="0" fontId="10" fillId="0" borderId="4" xfId="0" applyFont="1" applyBorder="1" applyAlignment="1">
      <alignment horizontal="left" vertical="center" wrapText="1"/>
    </xf>
    <xf numFmtId="14" fontId="9" fillId="0" borderId="4" xfId="0" applyNumberFormat="1" applyFont="1" applyBorder="1" applyAlignment="1">
      <alignment horizontal="center" vertical="center"/>
    </xf>
    <xf numFmtId="0" fontId="10" fillId="0" borderId="8" xfId="0" applyFont="1" applyBorder="1"/>
    <xf numFmtId="14" fontId="9" fillId="18" borderId="3" xfId="0" applyNumberFormat="1" applyFont="1" applyFill="1" applyBorder="1" applyAlignment="1">
      <alignment horizontal="left" wrapText="1"/>
    </xf>
    <xf numFmtId="0" fontId="21" fillId="0" borderId="5" xfId="0" applyFont="1" applyBorder="1"/>
    <xf numFmtId="0" fontId="9" fillId="0" borderId="11" xfId="0" applyFont="1" applyBorder="1" applyAlignment="1">
      <alignment vertical="center"/>
    </xf>
    <xf numFmtId="0" fontId="9" fillId="0" borderId="16" xfId="0" applyFont="1" applyBorder="1"/>
    <xf numFmtId="0" fontId="2" fillId="4" borderId="10" xfId="0" applyFont="1" applyFill="1" applyBorder="1" applyAlignment="1">
      <alignment horizontal="center" vertical="center" wrapText="1"/>
    </xf>
    <xf numFmtId="0" fontId="10" fillId="0" borderId="3" xfId="0" applyFont="1" applyBorder="1"/>
    <xf numFmtId="0" fontId="10" fillId="0" borderId="3" xfId="0" applyFont="1" applyBorder="1" applyAlignment="1">
      <alignment wrapText="1"/>
    </xf>
    <xf numFmtId="0" fontId="11" fillId="0" borderId="3" xfId="0" applyFont="1" applyBorder="1" applyAlignment="1">
      <alignment wrapText="1"/>
    </xf>
    <xf numFmtId="0" fontId="0" fillId="0" borderId="0" xfId="0" applyAlignment="1">
      <alignment wrapText="1"/>
    </xf>
    <xf numFmtId="9" fontId="0" fillId="0" borderId="0" xfId="0" applyNumberFormat="1"/>
    <xf numFmtId="0" fontId="22" fillId="2" borderId="5" xfId="0" applyFont="1" applyFill="1" applyBorder="1" applyAlignment="1">
      <alignment horizontal="left" vertical="center" wrapText="1"/>
    </xf>
    <xf numFmtId="9" fontId="0" fillId="9" borderId="23" xfId="1" applyFont="1" applyFill="1" applyBorder="1" applyAlignment="1">
      <alignment horizontal="center"/>
    </xf>
    <xf numFmtId="9" fontId="0" fillId="9" borderId="23" xfId="1" applyFont="1" applyFill="1" applyBorder="1" applyAlignment="1">
      <alignment horizontal="center" wrapText="1"/>
    </xf>
    <xf numFmtId="9" fontId="0" fillId="9" borderId="24" xfId="1" applyFont="1" applyFill="1" applyBorder="1" applyAlignment="1">
      <alignment horizontal="center"/>
    </xf>
    <xf numFmtId="9" fontId="3" fillId="20" borderId="25" xfId="0" applyNumberFormat="1" applyFont="1" applyFill="1" applyBorder="1" applyAlignment="1">
      <alignment horizontal="center"/>
    </xf>
    <xf numFmtId="168" fontId="3" fillId="20" borderId="26" xfId="0" applyNumberFormat="1" applyFont="1" applyFill="1" applyBorder="1" applyAlignment="1">
      <alignment horizontal="center"/>
    </xf>
    <xf numFmtId="9" fontId="3" fillId="20" borderId="26" xfId="0" applyNumberFormat="1" applyFont="1" applyFill="1" applyBorder="1" applyAlignment="1">
      <alignment horizontal="center"/>
    </xf>
    <xf numFmtId="9" fontId="3" fillId="20" borderId="27" xfId="0" applyNumberFormat="1" applyFont="1" applyFill="1" applyBorder="1" applyAlignment="1">
      <alignment horizontal="center"/>
    </xf>
    <xf numFmtId="0" fontId="23" fillId="20" borderId="30" xfId="0" applyFont="1" applyFill="1" applyBorder="1"/>
    <xf numFmtId="0" fontId="19" fillId="20" borderId="21" xfId="0" applyFont="1" applyFill="1" applyBorder="1"/>
    <xf numFmtId="0" fontId="19" fillId="20" borderId="32" xfId="0" applyFont="1" applyFill="1" applyBorder="1"/>
    <xf numFmtId="0" fontId="19" fillId="20" borderId="30" xfId="0" applyFont="1" applyFill="1" applyBorder="1"/>
    <xf numFmtId="0" fontId="19" fillId="20" borderId="24" xfId="0" applyFont="1" applyFill="1" applyBorder="1"/>
    <xf numFmtId="167" fontId="3" fillId="20" borderId="35" xfId="0" applyNumberFormat="1" applyFont="1" applyFill="1" applyBorder="1" applyAlignment="1">
      <alignment horizontal="center"/>
    </xf>
    <xf numFmtId="9" fontId="3" fillId="20" borderId="35" xfId="0" applyNumberFormat="1" applyFont="1" applyFill="1" applyBorder="1" applyAlignment="1">
      <alignment horizontal="center"/>
    </xf>
    <xf numFmtId="3" fontId="0" fillId="20" borderId="15" xfId="0" applyNumberFormat="1" applyFill="1" applyBorder="1" applyAlignment="1">
      <alignment horizontal="center"/>
    </xf>
    <xf numFmtId="3" fontId="0" fillId="20" borderId="32" xfId="0" applyNumberFormat="1" applyFill="1" applyBorder="1" applyAlignment="1">
      <alignment horizontal="center"/>
    </xf>
    <xf numFmtId="0" fontId="0" fillId="20" borderId="0" xfId="0" applyFill="1"/>
    <xf numFmtId="1" fontId="0" fillId="20" borderId="21" xfId="1" applyNumberFormat="1" applyFont="1" applyFill="1" applyBorder="1" applyAlignment="1">
      <alignment horizontal="center"/>
    </xf>
    <xf numFmtId="168" fontId="3" fillId="20" borderId="35" xfId="0" applyNumberFormat="1" applyFont="1" applyFill="1" applyBorder="1" applyAlignment="1">
      <alignment horizontal="center"/>
    </xf>
    <xf numFmtId="1" fontId="0" fillId="20" borderId="28" xfId="1" applyNumberFormat="1" applyFont="1" applyFill="1" applyBorder="1" applyAlignment="1">
      <alignment horizontal="center"/>
    </xf>
    <xf numFmtId="1" fontId="0" fillId="20" borderId="15" xfId="1" applyNumberFormat="1" applyFont="1" applyFill="1" applyBorder="1" applyAlignment="1">
      <alignment horizontal="center"/>
    </xf>
    <xf numFmtId="1" fontId="0" fillId="20" borderId="32" xfId="1" applyNumberFormat="1" applyFont="1" applyFill="1" applyBorder="1" applyAlignment="1">
      <alignment horizontal="center"/>
    </xf>
    <xf numFmtId="0" fontId="25" fillId="20" borderId="1" xfId="0" applyFont="1" applyFill="1" applyBorder="1" applyAlignment="1">
      <alignment horizontal="center"/>
    </xf>
    <xf numFmtId="0" fontId="25" fillId="20" borderId="3" xfId="0" applyFont="1" applyFill="1" applyBorder="1" applyAlignment="1">
      <alignment horizontal="center"/>
    </xf>
    <xf numFmtId="0" fontId="2" fillId="8" borderId="38" xfId="0" applyFont="1" applyFill="1" applyBorder="1" applyAlignment="1">
      <alignment horizontal="center"/>
    </xf>
    <xf numFmtId="0" fontId="2" fillId="22" borderId="17" xfId="0" applyFont="1" applyFill="1" applyBorder="1" applyAlignment="1">
      <alignment horizontal="center"/>
    </xf>
    <xf numFmtId="0" fontId="2" fillId="22" borderId="18" xfId="0" applyFont="1" applyFill="1" applyBorder="1" applyAlignment="1">
      <alignment horizontal="center"/>
    </xf>
    <xf numFmtId="0" fontId="2" fillId="22" borderId="19" xfId="0" applyFont="1" applyFill="1" applyBorder="1" applyAlignment="1">
      <alignment horizontal="center"/>
    </xf>
    <xf numFmtId="0" fontId="2" fillId="22" borderId="0" xfId="0" applyFont="1" applyFill="1"/>
    <xf numFmtId="0" fontId="2" fillId="22" borderId="21" xfId="0" applyFont="1" applyFill="1" applyBorder="1"/>
    <xf numFmtId="0" fontId="4" fillId="22" borderId="33" xfId="0" applyFont="1" applyFill="1" applyBorder="1"/>
    <xf numFmtId="0" fontId="4" fillId="22" borderId="34" xfId="0" applyFont="1" applyFill="1" applyBorder="1"/>
    <xf numFmtId="0" fontId="4" fillId="22" borderId="22" xfId="0" applyFont="1" applyFill="1" applyBorder="1"/>
    <xf numFmtId="9" fontId="0" fillId="20" borderId="21" xfId="1" applyFont="1" applyFill="1" applyBorder="1" applyAlignment="1">
      <alignment horizontal="center"/>
    </xf>
    <xf numFmtId="9" fontId="0" fillId="20" borderId="28" xfId="1" applyFont="1" applyFill="1" applyBorder="1" applyAlignment="1">
      <alignment horizontal="center"/>
    </xf>
    <xf numFmtId="9" fontId="0" fillId="20" borderId="15" xfId="1" applyFont="1" applyFill="1" applyBorder="1" applyAlignment="1">
      <alignment horizontal="center"/>
    </xf>
    <xf numFmtId="9" fontId="0" fillId="20" borderId="32" xfId="1" applyFont="1" applyFill="1" applyBorder="1" applyAlignment="1">
      <alignment horizontal="center"/>
    </xf>
    <xf numFmtId="1" fontId="0" fillId="20" borderId="15" xfId="1" applyNumberFormat="1" applyFont="1" applyFill="1" applyBorder="1" applyAlignment="1">
      <alignment horizontal="center" wrapText="1"/>
    </xf>
    <xf numFmtId="9" fontId="0" fillId="9" borderId="15" xfId="1" applyFont="1" applyFill="1" applyBorder="1" applyAlignment="1">
      <alignment horizontal="center" wrapText="1"/>
    </xf>
    <xf numFmtId="0" fontId="26" fillId="20" borderId="3" xfId="0" applyFont="1" applyFill="1" applyBorder="1"/>
    <xf numFmtId="1" fontId="0" fillId="20" borderId="15" xfId="0" applyNumberFormat="1" applyFill="1" applyBorder="1" applyAlignment="1">
      <alignment horizontal="center"/>
    </xf>
    <xf numFmtId="1" fontId="0" fillId="20" borderId="32" xfId="0" applyNumberFormat="1" applyFill="1" applyBorder="1" applyAlignment="1">
      <alignment horizontal="center"/>
    </xf>
    <xf numFmtId="1" fontId="0" fillId="20" borderId="23" xfId="1" applyNumberFormat="1" applyFont="1" applyFill="1" applyBorder="1" applyAlignment="1">
      <alignment horizontal="center"/>
    </xf>
    <xf numFmtId="0" fontId="2" fillId="8" borderId="39" xfId="0" applyFont="1" applyFill="1" applyBorder="1" applyAlignment="1">
      <alignment horizontal="center"/>
    </xf>
    <xf numFmtId="0" fontId="0" fillId="23" borderId="0" xfId="0" applyFill="1"/>
    <xf numFmtId="0" fontId="6" fillId="23" borderId="1" xfId="0" applyFont="1" applyFill="1" applyBorder="1" applyAlignment="1">
      <alignment horizontal="left" vertical="center" wrapText="1" indent="1"/>
    </xf>
    <xf numFmtId="0" fontId="9" fillId="24" borderId="1" xfId="0" applyFont="1" applyFill="1" applyBorder="1" applyAlignment="1">
      <alignment wrapText="1"/>
    </xf>
    <xf numFmtId="0" fontId="9" fillId="23" borderId="4" xfId="0" applyFont="1" applyFill="1" applyBorder="1" applyAlignment="1">
      <alignment horizontal="left"/>
    </xf>
    <xf numFmtId="14" fontId="9" fillId="20" borderId="5" xfId="0" applyNumberFormat="1" applyFont="1" applyFill="1" applyBorder="1"/>
    <xf numFmtId="0" fontId="15" fillId="0" borderId="0" xfId="0" applyFont="1" applyAlignment="1">
      <alignment horizontal="center" vertical="center"/>
    </xf>
    <xf numFmtId="14" fontId="15" fillId="0" borderId="0" xfId="0" applyNumberFormat="1" applyFont="1" applyAlignment="1">
      <alignment horizontal="center" vertical="center"/>
    </xf>
    <xf numFmtId="169" fontId="15" fillId="0" borderId="0" xfId="2" applyNumberFormat="1" applyFont="1" applyAlignment="1">
      <alignment horizontal="center" vertical="center"/>
    </xf>
    <xf numFmtId="0" fontId="15" fillId="0" borderId="0" xfId="0" applyFont="1"/>
    <xf numFmtId="0" fontId="27" fillId="0" borderId="0" xfId="0" applyFont="1" applyAlignment="1">
      <alignment horizontal="center" vertical="center" wrapText="1"/>
    </xf>
    <xf numFmtId="0" fontId="15" fillId="0" borderId="0" xfId="0" applyFont="1" applyAlignment="1">
      <alignment horizontal="center" vertical="center" wrapText="1"/>
    </xf>
    <xf numFmtId="169" fontId="15" fillId="0" borderId="0" xfId="2" applyNumberFormat="1" applyFont="1" applyAlignment="1">
      <alignment horizontal="center" vertical="center" wrapText="1"/>
    </xf>
    <xf numFmtId="0" fontId="15" fillId="0" borderId="0" xfId="0" applyFont="1" applyAlignment="1">
      <alignment vertical="center"/>
    </xf>
    <xf numFmtId="14" fontId="15" fillId="0" borderId="0" xfId="0" applyNumberFormat="1" applyFont="1" applyAlignment="1">
      <alignment vertical="center"/>
    </xf>
    <xf numFmtId="0" fontId="27" fillId="0" borderId="0" xfId="0" applyFont="1" applyAlignment="1">
      <alignment vertical="center" wrapText="1"/>
    </xf>
    <xf numFmtId="0" fontId="30" fillId="4" borderId="1" xfId="0" applyFont="1" applyFill="1" applyBorder="1" applyAlignment="1">
      <alignment horizontal="center" vertical="center" wrapText="1"/>
    </xf>
    <xf numFmtId="0" fontId="0" fillId="0" borderId="0" xfId="0" pivotButton="1"/>
    <xf numFmtId="168" fontId="3" fillId="20" borderId="25" xfId="0" applyNumberFormat="1" applyFont="1" applyFill="1" applyBorder="1" applyAlignment="1">
      <alignment horizontal="center"/>
    </xf>
    <xf numFmtId="1" fontId="0" fillId="20" borderId="40" xfId="1" applyNumberFormat="1" applyFont="1" applyFill="1" applyBorder="1" applyAlignment="1">
      <alignment horizontal="center"/>
    </xf>
    <xf numFmtId="14" fontId="9" fillId="23" borderId="5" xfId="0" applyNumberFormat="1" applyFont="1" applyFill="1" applyBorder="1"/>
    <xf numFmtId="9" fontId="1" fillId="0" borderId="0" xfId="1"/>
    <xf numFmtId="1" fontId="0" fillId="20" borderId="0" xfId="1" applyNumberFormat="1" applyFont="1" applyFill="1" applyAlignment="1">
      <alignment horizontal="center"/>
    </xf>
    <xf numFmtId="1" fontId="0" fillId="20" borderId="24" xfId="1" applyNumberFormat="1" applyFont="1" applyFill="1" applyBorder="1" applyAlignment="1">
      <alignment horizontal="center"/>
    </xf>
    <xf numFmtId="0" fontId="2" fillId="22" borderId="41" xfId="0" applyFont="1" applyFill="1" applyBorder="1"/>
    <xf numFmtId="0" fontId="32" fillId="0" borderId="45" xfId="0" applyFont="1" applyBorder="1" applyAlignment="1">
      <alignment wrapText="1"/>
    </xf>
    <xf numFmtId="0" fontId="34" fillId="0" borderId="43" xfId="0" applyFont="1" applyBorder="1" applyAlignment="1">
      <alignment wrapText="1"/>
    </xf>
    <xf numFmtId="9" fontId="3" fillId="20" borderId="47" xfId="0" applyNumberFormat="1" applyFont="1" applyFill="1" applyBorder="1" applyAlignment="1">
      <alignment horizontal="center"/>
    </xf>
    <xf numFmtId="9" fontId="0" fillId="20" borderId="18" xfId="1" applyFont="1" applyFill="1" applyBorder="1" applyAlignment="1">
      <alignment horizontal="center"/>
    </xf>
    <xf numFmtId="9" fontId="0" fillId="20" borderId="19" xfId="1" applyFont="1" applyFill="1" applyBorder="1" applyAlignment="1">
      <alignment horizontal="center"/>
    </xf>
    <xf numFmtId="9" fontId="0" fillId="20" borderId="0" xfId="1" applyFont="1" applyFill="1" applyAlignment="1">
      <alignment horizontal="center"/>
    </xf>
    <xf numFmtId="0" fontId="22" fillId="20" borderId="3" xfId="0" applyFont="1" applyFill="1" applyBorder="1"/>
    <xf numFmtId="0" fontId="6" fillId="25" borderId="1" xfId="0" applyFont="1" applyFill="1" applyBorder="1" applyAlignment="1">
      <alignment horizontal="left" vertical="center" wrapText="1" indent="1"/>
    </xf>
    <xf numFmtId="0" fontId="9" fillId="26" borderId="1" xfId="0" applyFont="1" applyFill="1" applyBorder="1" applyAlignment="1">
      <alignment wrapText="1"/>
    </xf>
    <xf numFmtId="0" fontId="6" fillId="25" borderId="5" xfId="0" applyFont="1" applyFill="1" applyBorder="1" applyAlignment="1">
      <alignment horizontal="left" vertical="center" wrapText="1"/>
    </xf>
    <xf numFmtId="4" fontId="17" fillId="25" borderId="5" xfId="0" applyNumberFormat="1" applyFont="1" applyFill="1" applyBorder="1" applyAlignment="1">
      <alignment horizontal="right"/>
    </xf>
    <xf numFmtId="166" fontId="6" fillId="25" borderId="5" xfId="0" applyNumberFormat="1" applyFont="1" applyFill="1" applyBorder="1" applyAlignment="1">
      <alignment horizontal="left" vertical="center" wrapText="1"/>
    </xf>
    <xf numFmtId="14" fontId="9" fillId="25" borderId="9" xfId="0" applyNumberFormat="1" applyFont="1" applyFill="1" applyBorder="1" applyAlignment="1">
      <alignment horizontal="center"/>
    </xf>
    <xf numFmtId="0" fontId="0" fillId="25" borderId="0" xfId="0" applyFill="1" applyAlignment="1">
      <alignment horizontal="left"/>
    </xf>
    <xf numFmtId="0" fontId="0" fillId="25" borderId="0" xfId="0" applyFill="1"/>
    <xf numFmtId="165" fontId="0" fillId="25" borderId="0" xfId="0" applyNumberFormat="1" applyFill="1"/>
    <xf numFmtId="165" fontId="0" fillId="25" borderId="0" xfId="2" applyNumberFormat="1" applyFont="1" applyFill="1"/>
    <xf numFmtId="171" fontId="0" fillId="25" borderId="0" xfId="0" applyNumberFormat="1" applyFill="1" applyAlignment="1">
      <alignment horizontal="center" vertical="center"/>
    </xf>
    <xf numFmtId="1" fontId="9" fillId="0" borderId="5" xfId="0" applyNumberFormat="1" applyFont="1" applyBorder="1"/>
    <xf numFmtId="0" fontId="33" fillId="0" borderId="43" xfId="0" applyFont="1" applyBorder="1"/>
    <xf numFmtId="172" fontId="0" fillId="0" borderId="0" xfId="0" applyNumberFormat="1" applyAlignment="1">
      <alignment horizontal="right"/>
    </xf>
    <xf numFmtId="172" fontId="2" fillId="4" borderId="5" xfId="0" applyNumberFormat="1" applyFont="1" applyFill="1" applyBorder="1" applyAlignment="1">
      <alignment horizontal="right" vertical="center" wrapText="1"/>
    </xf>
    <xf numFmtId="172" fontId="9" fillId="0" borderId="5" xfId="0" applyNumberFormat="1" applyFont="1" applyBorder="1"/>
    <xf numFmtId="173" fontId="9" fillId="0" borderId="5" xfId="0" applyNumberFormat="1" applyFont="1" applyBorder="1"/>
    <xf numFmtId="0" fontId="34" fillId="0" borderId="44" xfId="0" applyFont="1" applyBorder="1" applyAlignment="1">
      <alignment vertical="top" wrapText="1"/>
    </xf>
    <xf numFmtId="0" fontId="32" fillId="0" borderId="46" xfId="0" applyFont="1" applyBorder="1" applyAlignment="1">
      <alignment wrapText="1"/>
    </xf>
    <xf numFmtId="0" fontId="13" fillId="19" borderId="0" xfId="0" applyFont="1" applyFill="1" applyAlignment="1">
      <alignment wrapText="1"/>
    </xf>
    <xf numFmtId="0" fontId="2" fillId="3" borderId="0" xfId="0" applyFont="1" applyFill="1" applyAlignment="1">
      <alignment horizontal="center" vertical="center"/>
    </xf>
    <xf numFmtId="0" fontId="0" fillId="0" borderId="0" xfId="0" applyAlignment="1">
      <alignment vertical="center"/>
    </xf>
    <xf numFmtId="0" fontId="0" fillId="0" borderId="0" xfId="0"/>
    <xf numFmtId="14" fontId="0" fillId="0" borderId="0" xfId="0" applyNumberFormat="1"/>
    <xf numFmtId="14" fontId="0" fillId="0" borderId="0" xfId="0" applyNumberFormat="1" applyAlignment="1">
      <alignment horizontal="right" indent="1"/>
    </xf>
    <xf numFmtId="14" fontId="0" fillId="0" borderId="0" xfId="0" applyNumberFormat="1" applyAlignment="1">
      <alignment horizontal="right"/>
    </xf>
    <xf numFmtId="0" fontId="0" fillId="0" borderId="0" xfId="0" applyAlignment="1">
      <alignment wrapText="1"/>
    </xf>
    <xf numFmtId="172" fontId="0" fillId="0" borderId="0" xfId="0" applyNumberFormat="1" applyAlignment="1">
      <alignment horizontal="right"/>
    </xf>
    <xf numFmtId="0" fontId="22" fillId="0" borderId="0" xfId="0" applyFont="1" applyAlignment="1">
      <alignment horizontal="center" vertical="top" wrapText="1"/>
    </xf>
    <xf numFmtId="0" fontId="22" fillId="0" borderId="37" xfId="0" applyFont="1" applyBorder="1" applyAlignment="1">
      <alignment horizontal="center" vertical="top" wrapText="1"/>
    </xf>
    <xf numFmtId="14" fontId="22" fillId="0" borderId="0" xfId="0" applyNumberFormat="1" applyFont="1" applyAlignment="1">
      <alignment horizontal="center" wrapText="1"/>
    </xf>
    <xf numFmtId="14" fontId="22" fillId="0" borderId="37" xfId="0" applyNumberFormat="1" applyFont="1" applyBorder="1" applyAlignment="1">
      <alignment horizontal="center" wrapText="1"/>
    </xf>
    <xf numFmtId="0" fontId="22" fillId="0" borderId="0" xfId="0" applyFont="1" applyAlignment="1">
      <alignment horizontal="center" vertical="center" wrapText="1"/>
    </xf>
    <xf numFmtId="0" fontId="22" fillId="0" borderId="37" xfId="0" applyFont="1" applyBorder="1" applyAlignment="1">
      <alignment horizontal="center" vertical="center" wrapText="1"/>
    </xf>
    <xf numFmtId="0" fontId="32" fillId="0" borderId="42" xfId="0" applyFont="1" applyBorder="1" applyAlignment="1">
      <alignment horizontal="left" vertical="center"/>
    </xf>
    <xf numFmtId="0" fontId="32" fillId="0" borderId="43" xfId="0" applyFont="1" applyBorder="1" applyAlignment="1">
      <alignment horizontal="left" vertical="center"/>
    </xf>
    <xf numFmtId="0" fontId="34" fillId="0" borderId="44" xfId="0" applyFont="1" applyBorder="1" applyAlignment="1">
      <alignment horizontal="left" vertical="center" wrapText="1"/>
    </xf>
    <xf numFmtId="0" fontId="34" fillId="0" borderId="43" xfId="0" applyFont="1" applyBorder="1" applyAlignment="1">
      <alignment horizontal="left" vertical="center" wrapText="1"/>
    </xf>
    <xf numFmtId="0" fontId="33" fillId="0" borderId="44" xfId="0" applyFont="1" applyBorder="1" applyAlignment="1">
      <alignment horizontal="left" wrapText="1"/>
    </xf>
    <xf numFmtId="0" fontId="32" fillId="0" borderId="43" xfId="0" applyFont="1" applyBorder="1" applyAlignment="1">
      <alignment horizontal="left" wrapText="1"/>
    </xf>
    <xf numFmtId="0" fontId="4" fillId="22" borderId="29" xfId="0" applyFont="1" applyFill="1" applyBorder="1" applyAlignment="1">
      <alignment horizontal="left" vertical="center" wrapText="1"/>
    </xf>
    <xf numFmtId="0" fontId="4" fillId="22" borderId="31" xfId="0" applyFont="1" applyFill="1" applyBorder="1" applyAlignment="1">
      <alignment horizontal="left" vertical="center" wrapText="1"/>
    </xf>
    <xf numFmtId="0" fontId="2" fillId="22" borderId="20" xfId="0" applyFont="1" applyFill="1" applyBorder="1" applyAlignment="1">
      <alignment horizontal="center"/>
    </xf>
    <xf numFmtId="0" fontId="4" fillId="22" borderId="36" xfId="0" applyFont="1" applyFill="1" applyBorder="1" applyAlignment="1">
      <alignment horizontal="left" vertical="center" wrapText="1"/>
    </xf>
    <xf numFmtId="0" fontId="0" fillId="22" borderId="20" xfId="0" applyFill="1" applyBorder="1"/>
    <xf numFmtId="0" fontId="0" fillId="22" borderId="31" xfId="0" applyFill="1" applyBorder="1"/>
    <xf numFmtId="0" fontId="4" fillId="22" borderId="36" xfId="0" applyFont="1" applyFill="1" applyBorder="1" applyAlignment="1">
      <alignment horizontal="left" vertical="center"/>
    </xf>
    <xf numFmtId="0" fontId="24" fillId="0" borderId="0" xfId="0" applyFont="1" applyAlignment="1">
      <alignment horizontal="center" vertical="center"/>
    </xf>
    <xf numFmtId="0" fontId="4" fillId="22" borderId="20" xfId="0" applyFont="1" applyFill="1" applyBorder="1" applyAlignment="1">
      <alignment horizontal="left" vertical="center" wrapText="1"/>
    </xf>
    <xf numFmtId="0" fontId="2" fillId="15" borderId="0" xfId="0" applyFont="1" applyFill="1" applyAlignment="1">
      <alignment horizontal="center"/>
    </xf>
    <xf numFmtId="0" fontId="22" fillId="0" borderId="0" xfId="0" applyFont="1" applyAlignment="1">
      <alignment horizontal="center" wrapText="1"/>
    </xf>
    <xf numFmtId="0" fontId="22" fillId="0" borderId="15" xfId="0" applyFont="1" applyBorder="1" applyAlignment="1">
      <alignment horizontal="center" wrapText="1"/>
    </xf>
    <xf numFmtId="0" fontId="0" fillId="0" borderId="0" xfId="0" applyAlignment="1">
      <alignment horizontal="left"/>
    </xf>
    <xf numFmtId="165" fontId="0" fillId="0" borderId="0" xfId="0" applyNumberFormat="1"/>
    <xf numFmtId="165" fontId="0" fillId="0" borderId="0" xfId="2" applyNumberFormat="1" applyFont="1"/>
    <xf numFmtId="171" fontId="0" fillId="0" borderId="0" xfId="0" applyNumberFormat="1" applyAlignment="1">
      <alignment horizontal="center" vertical="center"/>
    </xf>
    <xf numFmtId="2" fontId="0" fillId="0" borderId="0" xfId="0" applyNumberFormat="1"/>
    <xf numFmtId="2" fontId="22" fillId="0" borderId="0" xfId="0" applyNumberFormat="1" applyFont="1" applyAlignment="1">
      <alignment horizontal="center" wrapText="1"/>
    </xf>
    <xf numFmtId="2" fontId="22" fillId="0" borderId="37" xfId="0" applyNumberFormat="1" applyFont="1" applyBorder="1" applyAlignment="1">
      <alignment horizontal="center" wrapText="1"/>
    </xf>
    <xf numFmtId="0" fontId="2" fillId="6" borderId="0" xfId="0" applyFont="1" applyFill="1" applyAlignment="1">
      <alignment horizontal="center"/>
    </xf>
    <xf numFmtId="1" fontId="1" fillId="0" borderId="0" xfId="2" applyNumberFormat="1"/>
    <xf numFmtId="0" fontId="9" fillId="18" borderId="1" xfId="0" applyFont="1" applyFill="1" applyBorder="1" applyAlignment="1">
      <alignment horizontal="center" wrapText="1"/>
    </xf>
    <xf numFmtId="0" fontId="9" fillId="0" borderId="1" xfId="0" applyFont="1" applyBorder="1" applyAlignment="1">
      <alignment horizontal="left"/>
    </xf>
    <xf numFmtId="0" fontId="10" fillId="0" borderId="1" xfId="0" applyFont="1" applyBorder="1" applyAlignment="1">
      <alignment wrapText="1"/>
    </xf>
    <xf numFmtId="0" fontId="16" fillId="0" borderId="1" xfId="0" applyFont="1" applyBorder="1" applyAlignment="1">
      <alignment wrapText="1"/>
    </xf>
    <xf numFmtId="0" fontId="9" fillId="0" borderId="1" xfId="0" applyFont="1" applyBorder="1" applyAlignment="1">
      <alignment horizontal="left" vertical="center"/>
    </xf>
    <xf numFmtId="0" fontId="10" fillId="0" borderId="1" xfId="0" applyFont="1" applyBorder="1" applyAlignment="1">
      <alignment vertical="center"/>
    </xf>
    <xf numFmtId="0" fontId="16" fillId="0" borderId="1" xfId="0" applyFont="1" applyBorder="1" applyAlignment="1">
      <alignment vertical="center" wrapText="1"/>
    </xf>
    <xf numFmtId="0" fontId="9" fillId="0" borderId="1" xfId="0" applyFont="1" applyBorder="1" applyAlignment="1">
      <alignment vertical="center"/>
    </xf>
    <xf numFmtId="14" fontId="9" fillId="0" borderId="1" xfId="0" applyNumberFormat="1" applyFont="1" applyBorder="1" applyAlignment="1">
      <alignment vertical="center"/>
    </xf>
    <xf numFmtId="0" fontId="10" fillId="0" borderId="1" xfId="0" applyFont="1" applyBorder="1"/>
    <xf numFmtId="0" fontId="11" fillId="0" borderId="1" xfId="0" applyFont="1" applyBorder="1" applyAlignment="1">
      <alignment wrapText="1"/>
    </xf>
    <xf numFmtId="0" fontId="9" fillId="0" borderId="11" xfId="0" applyFont="1" applyBorder="1" applyAlignment="1">
      <alignment horizontal="center" vertical="center"/>
    </xf>
    <xf numFmtId="14" fontId="9" fillId="0" borderId="11" xfId="0" applyNumberFormat="1" applyFont="1" applyBorder="1" applyAlignment="1">
      <alignment horizontal="center" vertical="center"/>
    </xf>
  </cellXfs>
  <cellStyles count="5">
    <cellStyle name="Milliers" xfId="2" builtinId="3"/>
    <cellStyle name="Milliers [0]" xfId="4" builtinId="6"/>
    <cellStyle name="Milliers 2" xfId="3" xr:uid="{00000000-0005-0000-0000-000003000000}"/>
    <cellStyle name="Normal" xfId="0" builtinId="0"/>
    <cellStyle name="Pourcentage" xfId="1" builtinId="5"/>
  </cellStyles>
  <dxfs count="56">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color rgb="FFFF0000"/>
      </font>
    </dxf>
    <dxf>
      <font>
        <color rgb="FF008000"/>
      </font>
    </dxf>
    <dxf>
      <font>
        <color rgb="FFFF0000"/>
      </font>
    </dxf>
    <dxf>
      <font>
        <color rgb="FF008000"/>
      </font>
    </dxf>
    <dxf>
      <font>
        <color rgb="FFFF0000"/>
      </font>
    </dxf>
    <dxf>
      <font>
        <color rgb="FF008000"/>
      </font>
    </dxf>
    <dxf>
      <font>
        <color rgb="FF008000"/>
      </font>
    </dxf>
    <dxf>
      <font>
        <color rgb="FFFF0000"/>
      </font>
    </dxf>
    <dxf>
      <font>
        <color rgb="FFFF0000"/>
      </font>
    </dxf>
    <dxf>
      <font>
        <color rgb="FF008000"/>
      </font>
    </dxf>
    <dxf>
      <font>
        <color rgb="FF008000"/>
      </font>
    </dxf>
    <dxf>
      <font>
        <color rgb="FFFF0000"/>
      </font>
    </dxf>
    <dxf>
      <font>
        <color rgb="FF008000"/>
      </font>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b/>
        <color theme="0"/>
      </font>
      <fill>
        <patternFill>
          <bgColor rgb="FF00B050"/>
        </patternFill>
      </fill>
    </dxf>
    <dxf>
      <font>
        <b/>
        <color theme="0"/>
      </font>
      <fill>
        <patternFill>
          <bgColor rgb="FFFF0000"/>
        </patternFill>
      </fill>
    </dxf>
    <dxf>
      <font>
        <color rgb="FFFF0000"/>
      </font>
    </dxf>
  </dxfs>
  <tableStyles count="1" defaultTableStyle="TableStyleMedium2" defaultPivotStyle="PivotStyleLight16">
    <tableStyle name="Invisible" pivot="0" table="0" count="0" xr9:uid="{00000000-0011-0000-FFFF-FFFF00000000}"/>
  </tableStyles>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pivotSource>
    <c:name>[Opcos Monthly KPIs Dashboard Report 2026-08 V1.xlsx]Open Projects Pivot!PivotTable1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'Open Projects Pivot'!$B$11:$B$12</c:f>
              <c:strCache>
                <c:ptCount val="1"/>
                <c:pt idx="0">
                  <c:v>COMOROS</c:v>
                </c:pt>
              </c:strCache>
            </c:strRef>
          </c:tx>
          <c:spPr>
            <a:solidFill>
              <a:schemeClr val="accent1"/>
            </a:solidFill>
            <a:ln>
              <a:noFill/>
            </a:ln>
            <a:effectLst/>
          </c:spPr>
          <c:invertIfNegative val="0"/>
          <c:cat>
            <c:strRef>
              <c:f>'Open Projects Pivot'!$A$13:$A$17</c:f>
              <c:strCache>
                <c:ptCount val="4"/>
                <c:pt idx="0">
                  <c:v>CLOSED</c:v>
                </c:pt>
                <c:pt idx="1">
                  <c:v>EVALUATION</c:v>
                </c:pt>
                <c:pt idx="2">
                  <c:v>OFFER</c:v>
                </c:pt>
                <c:pt idx="3">
                  <c:v>RFI</c:v>
                </c:pt>
              </c:strCache>
            </c:strRef>
          </c:cat>
          <c:val>
            <c:numRef>
              <c:f>'Open Projects Pivot'!$B$13:$B$17</c:f>
              <c:numCache>
                <c:formatCode>General</c:formatCode>
                <c:ptCount val="4"/>
                <c:pt idx="0">
                  <c:v>2</c:v>
                </c:pt>
                <c:pt idx="1">
                  <c:v>1</c:v>
                </c:pt>
                <c:pt idx="2">
                  <c:v>4</c:v>
                </c:pt>
                <c:pt idx="3">
                  <c:v>1</c:v>
                </c:pt>
              </c:numCache>
            </c:numRef>
          </c:val>
          <c:extLst>
            <c:ext xmlns:c16="http://schemas.microsoft.com/office/drawing/2014/chart" uri="{C3380CC4-5D6E-409C-BE32-E72D297353CC}">
              <c16:uniqueId val="{00000000-290F-47DB-A853-5731E8BDDB66}"/>
            </c:ext>
          </c:extLst>
        </c:ser>
        <c:dLbls>
          <c:showLegendKey val="0"/>
          <c:showVal val="0"/>
          <c:showCatName val="0"/>
          <c:showSerName val="0"/>
          <c:showPercent val="0"/>
          <c:showBubbleSize val="0"/>
        </c:dLbls>
        <c:gapWidth val="219"/>
        <c:overlap val="-27"/>
        <c:axId val="1289668288"/>
        <c:axId val="1289666368"/>
      </c:barChart>
      <c:catAx>
        <c:axId val="128966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66368"/>
        <c:crosses val="autoZero"/>
        <c:auto val="1"/>
        <c:lblAlgn val="ctr"/>
        <c:lblOffset val="100"/>
        <c:noMultiLvlLbl val="0"/>
      </c:catAx>
      <c:valAx>
        <c:axId val="12896663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6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95250</xdr:colOff>
      <xdr:row>1</xdr:row>
      <xdr:rowOff>30162</xdr:rowOff>
    </xdr:from>
    <xdr:to>
      <xdr:col>6</xdr:col>
      <xdr:colOff>808900</xdr:colOff>
      <xdr:row>3</xdr:row>
      <xdr:rowOff>142050</xdr:rowOff>
    </xdr:to>
    <xdr:pic>
      <xdr:nvPicPr>
        <xdr:cNvPr id="3" name="Picture 2" descr="Round icon. Download flag icon of Tanzania at PNG format">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9060656" y="208756"/>
          <a:ext cx="716825" cy="484157"/>
        </a:xfrm>
        <a:prstGeom prst="rect">
          <a:avLst/>
        </a:prstGeom>
        <a:noFill/>
        <a:ln>
          <a:prstDash val="solid"/>
        </a:ln>
      </xdr:spPr>
    </xdr:pic>
    <xdr:clientData/>
  </xdr:twoCellAnchor>
  <xdr:twoCellAnchor editAs="oneCell">
    <xdr:from>
      <xdr:col>3</xdr:col>
      <xdr:colOff>95250</xdr:colOff>
      <xdr:row>1</xdr:row>
      <xdr:rowOff>26987</xdr:rowOff>
    </xdr:from>
    <xdr:to>
      <xdr:col>3</xdr:col>
      <xdr:colOff>812075</xdr:colOff>
      <xdr:row>3</xdr:row>
      <xdr:rowOff>145225</xdr:rowOff>
    </xdr:to>
    <xdr:pic>
      <xdr:nvPicPr>
        <xdr:cNvPr id="4" name="Picture 3" descr="Round icon. Download flag icon of Madagascar at PNG format">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238875" y="205581"/>
          <a:ext cx="716825" cy="487332"/>
        </a:xfrm>
        <a:prstGeom prst="rect">
          <a:avLst/>
        </a:prstGeom>
        <a:noFill/>
        <a:ln>
          <a:prstDash val="solid"/>
        </a:ln>
      </xdr:spPr>
    </xdr:pic>
    <xdr:clientData/>
  </xdr:twoCellAnchor>
  <xdr:twoCellAnchor editAs="oneCell">
    <xdr:from>
      <xdr:col>4</xdr:col>
      <xdr:colOff>95250</xdr:colOff>
      <xdr:row>1</xdr:row>
      <xdr:rowOff>30162</xdr:rowOff>
    </xdr:from>
    <xdr:to>
      <xdr:col>4</xdr:col>
      <xdr:colOff>808900</xdr:colOff>
      <xdr:row>3</xdr:row>
      <xdr:rowOff>142050</xdr:rowOff>
    </xdr:to>
    <xdr:pic>
      <xdr:nvPicPr>
        <xdr:cNvPr id="5" name="Picture 4" descr="Round icon. Download flag icon of Comoros at PNG format">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7179469" y="208756"/>
          <a:ext cx="716825" cy="484157"/>
        </a:xfrm>
        <a:prstGeom prst="rect">
          <a:avLst/>
        </a:prstGeom>
        <a:noFill/>
        <a:ln>
          <a:prstDash val="solid"/>
        </a:ln>
      </xdr:spPr>
    </xdr:pic>
    <xdr:clientData/>
  </xdr:twoCellAnchor>
  <xdr:twoCellAnchor editAs="oneCell">
    <xdr:from>
      <xdr:col>5</xdr:col>
      <xdr:colOff>95250</xdr:colOff>
      <xdr:row>1</xdr:row>
      <xdr:rowOff>30162</xdr:rowOff>
    </xdr:from>
    <xdr:to>
      <xdr:col>5</xdr:col>
      <xdr:colOff>808900</xdr:colOff>
      <xdr:row>3</xdr:row>
      <xdr:rowOff>142050</xdr:rowOff>
    </xdr:to>
    <xdr:pic>
      <xdr:nvPicPr>
        <xdr:cNvPr id="6" name="Picture 5" descr="Round icon. Download flag icon of Senegal at PNG format">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8120063" y="208756"/>
          <a:ext cx="716825" cy="484157"/>
        </a:xfrm>
        <a:prstGeom prst="rect">
          <a:avLst/>
        </a:prstGeom>
        <a:noFill/>
        <a:ln>
          <a:prstDash val="solid"/>
        </a:ln>
      </xdr:spPr>
    </xdr:pic>
    <xdr:clientData/>
  </xdr:twoCellAnchor>
  <xdr:twoCellAnchor editAs="oneCell">
    <xdr:from>
      <xdr:col>7</xdr:col>
      <xdr:colOff>95251</xdr:colOff>
      <xdr:row>1</xdr:row>
      <xdr:rowOff>26987</xdr:rowOff>
    </xdr:from>
    <xdr:to>
      <xdr:col>7</xdr:col>
      <xdr:colOff>812076</xdr:colOff>
      <xdr:row>3</xdr:row>
      <xdr:rowOff>145225</xdr:rowOff>
    </xdr:to>
    <xdr:pic>
      <xdr:nvPicPr>
        <xdr:cNvPr id="7" name="Picture 6" descr="Round icon. Download flag icon of Togo at PNG format">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0001251" y="205581"/>
          <a:ext cx="713650" cy="484157"/>
        </a:xfrm>
        <a:prstGeom prst="rect">
          <a:avLst/>
        </a:prstGeom>
        <a:noFill/>
        <a:ln>
          <a:prstDash val="solid"/>
        </a:ln>
      </xdr:spPr>
    </xdr:pic>
    <xdr:clientData/>
  </xdr:twoCellAnchor>
  <xdr:oneCellAnchor>
    <xdr:from>
      <xdr:col>6</xdr:col>
      <xdr:colOff>95250</xdr:colOff>
      <xdr:row>32</xdr:row>
      <xdr:rowOff>33337</xdr:rowOff>
    </xdr:from>
    <xdr:ext cx="720000" cy="488125"/>
    <xdr:pic>
      <xdr:nvPicPr>
        <xdr:cNvPr id="2" name="Picture 1" descr="Round icon. Download flag icon of Tanzania at PNG format">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9064625" y="215900"/>
          <a:ext cx="720000" cy="488125"/>
        </a:xfrm>
        <a:prstGeom prst="rect">
          <a:avLst/>
        </a:prstGeom>
        <a:noFill/>
        <a:ln>
          <a:prstDash val="solid"/>
        </a:ln>
      </xdr:spPr>
    </xdr:pic>
    <xdr:clientData/>
  </xdr:oneCellAnchor>
  <xdr:oneCellAnchor>
    <xdr:from>
      <xdr:col>3</xdr:col>
      <xdr:colOff>95250</xdr:colOff>
      <xdr:row>32</xdr:row>
      <xdr:rowOff>33337</xdr:rowOff>
    </xdr:from>
    <xdr:ext cx="720000" cy="488125"/>
    <xdr:pic>
      <xdr:nvPicPr>
        <xdr:cNvPr id="8" name="Picture 7" descr="Round icon. Download flag icon of Madagascar at PNG format">
          <a:extLst>
            <a:ext uri="{FF2B5EF4-FFF2-40B4-BE49-F238E27FC236}">
              <a16:creationId xmlns:a16="http://schemas.microsoft.com/office/drawing/2014/main" id="{00000000-0008-0000-0000-000008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230938" y="215900"/>
          <a:ext cx="720000" cy="488125"/>
        </a:xfrm>
        <a:prstGeom prst="rect">
          <a:avLst/>
        </a:prstGeom>
        <a:noFill/>
        <a:ln>
          <a:prstDash val="solid"/>
        </a:ln>
      </xdr:spPr>
    </xdr:pic>
    <xdr:clientData/>
  </xdr:oneCellAnchor>
  <xdr:oneCellAnchor>
    <xdr:from>
      <xdr:col>4</xdr:col>
      <xdr:colOff>95250</xdr:colOff>
      <xdr:row>32</xdr:row>
      <xdr:rowOff>33337</xdr:rowOff>
    </xdr:from>
    <xdr:ext cx="720000" cy="488125"/>
    <xdr:pic>
      <xdr:nvPicPr>
        <xdr:cNvPr id="9" name="Picture 8" descr="Round icon. Download flag icon of Comoros at PNG format">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7175500" y="215900"/>
          <a:ext cx="720000" cy="488125"/>
        </a:xfrm>
        <a:prstGeom prst="rect">
          <a:avLst/>
        </a:prstGeom>
        <a:noFill/>
        <a:ln>
          <a:prstDash val="solid"/>
        </a:ln>
      </xdr:spPr>
    </xdr:pic>
    <xdr:clientData/>
  </xdr:oneCellAnchor>
  <xdr:oneCellAnchor>
    <xdr:from>
      <xdr:col>5</xdr:col>
      <xdr:colOff>95250</xdr:colOff>
      <xdr:row>32</xdr:row>
      <xdr:rowOff>33337</xdr:rowOff>
    </xdr:from>
    <xdr:ext cx="720000" cy="488125"/>
    <xdr:pic>
      <xdr:nvPicPr>
        <xdr:cNvPr id="10" name="Picture 9" descr="Round icon. Download flag icon of Senegal at PNG format">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8120063" y="215900"/>
          <a:ext cx="720000" cy="488125"/>
        </a:xfrm>
        <a:prstGeom prst="rect">
          <a:avLst/>
        </a:prstGeom>
        <a:noFill/>
        <a:ln>
          <a:prstDash val="solid"/>
        </a:ln>
      </xdr:spPr>
    </xdr:pic>
    <xdr:clientData/>
  </xdr:oneCellAnchor>
  <xdr:oneCellAnchor>
    <xdr:from>
      <xdr:col>7</xdr:col>
      <xdr:colOff>95251</xdr:colOff>
      <xdr:row>32</xdr:row>
      <xdr:rowOff>33337</xdr:rowOff>
    </xdr:from>
    <xdr:ext cx="720000" cy="488125"/>
    <xdr:pic>
      <xdr:nvPicPr>
        <xdr:cNvPr id="11" name="Picture 10" descr="Round icon. Download flag icon of Togo at PNG format">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0009189" y="215900"/>
          <a:ext cx="720000" cy="488125"/>
        </a:xfrm>
        <a:prstGeom prst="rect">
          <a:avLst/>
        </a:prstGeom>
        <a:noFill/>
        <a:ln>
          <a:prstDash val="solid"/>
        </a:ln>
      </xdr:spPr>
    </xdr:pic>
    <xdr:clientData/>
  </xdr:oneCellAnchor>
</xdr:wsDr>
</file>

<file path=xl/drawings/drawing2.xml><?xml version="1.0" encoding="utf-8"?>
<xdr:wsDr xmlns:xdr="http://schemas.openxmlformats.org/drawingml/2006/spreadsheetDrawing" xmlns:a="http://schemas.openxmlformats.org/drawingml/2006/main">
  <xdr:twoCellAnchor>
    <xdr:from>
      <xdr:col>5</xdr:col>
      <xdr:colOff>514350</xdr:colOff>
      <xdr:row>5</xdr:row>
      <xdr:rowOff>6350</xdr:rowOff>
    </xdr:from>
    <xdr:to>
      <xdr:col>13</xdr:col>
      <xdr:colOff>209550</xdr:colOff>
      <xdr:row>18</xdr:row>
      <xdr:rowOff>161925</xdr:rowOff>
    </xdr:to>
    <xdr:graphicFrame macro="">
      <xdr:nvGraphicFramePr>
        <xdr:cNvPr id="2" name="Chart 1">
          <a:extLst>
            <a:ext uri="{FF2B5EF4-FFF2-40B4-BE49-F238E27FC236}">
              <a16:creationId xmlns:a16="http://schemas.microsoft.com/office/drawing/2014/main" id="{228398DC-3468-DF80-CEBE-BF0C166D5B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95250</xdr:colOff>
      <xdr:row>1</xdr:row>
      <xdr:rowOff>33337</xdr:rowOff>
    </xdr:from>
    <xdr:to>
      <xdr:col>6</xdr:col>
      <xdr:colOff>812075</xdr:colOff>
      <xdr:row>3</xdr:row>
      <xdr:rowOff>159512</xdr:rowOff>
    </xdr:to>
    <xdr:pic>
      <xdr:nvPicPr>
        <xdr:cNvPr id="7" name="Picture 6" descr="Round icon. Download flag icon of Tanzania at PNG format">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9074150" y="217487"/>
          <a:ext cx="720000" cy="491300"/>
        </a:xfrm>
        <a:prstGeom prst="rect">
          <a:avLst/>
        </a:prstGeom>
        <a:noFill/>
        <a:ln>
          <a:prstDash val="solid"/>
        </a:ln>
      </xdr:spPr>
    </xdr:pic>
    <xdr:clientData/>
  </xdr:twoCellAnchor>
  <xdr:twoCellAnchor editAs="oneCell">
    <xdr:from>
      <xdr:col>3</xdr:col>
      <xdr:colOff>95250</xdr:colOff>
      <xdr:row>1</xdr:row>
      <xdr:rowOff>33337</xdr:rowOff>
    </xdr:from>
    <xdr:to>
      <xdr:col>3</xdr:col>
      <xdr:colOff>812075</xdr:colOff>
      <xdr:row>3</xdr:row>
      <xdr:rowOff>159512</xdr:rowOff>
    </xdr:to>
    <xdr:pic>
      <xdr:nvPicPr>
        <xdr:cNvPr id="8" name="Picture 7" descr="Round icon. Download flag icon of Madagascar at PNG format">
          <a:extLst>
            <a:ext uri="{FF2B5EF4-FFF2-40B4-BE49-F238E27FC236}">
              <a16:creationId xmlns:a16="http://schemas.microsoft.com/office/drawing/2014/main" id="{00000000-0008-0000-0100-000008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235700" y="217487"/>
          <a:ext cx="720000" cy="491300"/>
        </a:xfrm>
        <a:prstGeom prst="rect">
          <a:avLst/>
        </a:prstGeom>
        <a:noFill/>
        <a:ln>
          <a:prstDash val="solid"/>
        </a:ln>
      </xdr:spPr>
    </xdr:pic>
    <xdr:clientData/>
  </xdr:twoCellAnchor>
  <xdr:twoCellAnchor editAs="oneCell">
    <xdr:from>
      <xdr:col>4</xdr:col>
      <xdr:colOff>95250</xdr:colOff>
      <xdr:row>1</xdr:row>
      <xdr:rowOff>33337</xdr:rowOff>
    </xdr:from>
    <xdr:to>
      <xdr:col>4</xdr:col>
      <xdr:colOff>812075</xdr:colOff>
      <xdr:row>3</xdr:row>
      <xdr:rowOff>159512</xdr:rowOff>
    </xdr:to>
    <xdr:pic>
      <xdr:nvPicPr>
        <xdr:cNvPr id="9" name="Picture 8" descr="Round icon. Download flag icon of Comoros at PNG format">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7181850" y="217487"/>
          <a:ext cx="720000" cy="491300"/>
        </a:xfrm>
        <a:prstGeom prst="rect">
          <a:avLst/>
        </a:prstGeom>
        <a:noFill/>
        <a:ln>
          <a:prstDash val="solid"/>
        </a:ln>
      </xdr:spPr>
    </xdr:pic>
    <xdr:clientData/>
  </xdr:twoCellAnchor>
  <xdr:twoCellAnchor editAs="oneCell">
    <xdr:from>
      <xdr:col>5</xdr:col>
      <xdr:colOff>95250</xdr:colOff>
      <xdr:row>1</xdr:row>
      <xdr:rowOff>33337</xdr:rowOff>
    </xdr:from>
    <xdr:to>
      <xdr:col>5</xdr:col>
      <xdr:colOff>812075</xdr:colOff>
      <xdr:row>3</xdr:row>
      <xdr:rowOff>159512</xdr:rowOff>
    </xdr:to>
    <xdr:pic>
      <xdr:nvPicPr>
        <xdr:cNvPr id="10" name="Picture 9" descr="Round icon. Download flag icon of Senegal at PNG format">
          <a:extLst>
            <a:ext uri="{FF2B5EF4-FFF2-40B4-BE49-F238E27FC236}">
              <a16:creationId xmlns:a16="http://schemas.microsoft.com/office/drawing/2014/main" id="{00000000-0008-0000-0100-00000A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8128000" y="217487"/>
          <a:ext cx="720000" cy="491300"/>
        </a:xfrm>
        <a:prstGeom prst="rect">
          <a:avLst/>
        </a:prstGeom>
        <a:noFill/>
        <a:ln>
          <a:prstDash val="solid"/>
        </a:ln>
      </xdr:spPr>
    </xdr:pic>
    <xdr:clientData/>
  </xdr:twoCellAnchor>
  <xdr:twoCellAnchor editAs="oneCell">
    <xdr:from>
      <xdr:col>7</xdr:col>
      <xdr:colOff>95251</xdr:colOff>
      <xdr:row>1</xdr:row>
      <xdr:rowOff>33337</xdr:rowOff>
    </xdr:from>
    <xdr:to>
      <xdr:col>7</xdr:col>
      <xdr:colOff>812076</xdr:colOff>
      <xdr:row>3</xdr:row>
      <xdr:rowOff>159512</xdr:rowOff>
    </xdr:to>
    <xdr:pic>
      <xdr:nvPicPr>
        <xdr:cNvPr id="11" name="Picture 10" descr="Round icon. Download flag icon of Togo at PNG format">
          <a:extLst>
            <a:ext uri="{FF2B5EF4-FFF2-40B4-BE49-F238E27FC236}">
              <a16:creationId xmlns:a16="http://schemas.microsoft.com/office/drawing/2014/main" id="{00000000-0008-0000-0100-00000B0000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0020301" y="217487"/>
          <a:ext cx="720000" cy="491300"/>
        </a:xfrm>
        <a:prstGeom prst="rect">
          <a:avLst/>
        </a:prstGeom>
        <a:noFill/>
        <a:ln>
          <a:prstDash val="solid"/>
        </a:ln>
      </xdr:spPr>
    </xdr:pic>
    <xdr:clientData/>
  </xdr:twoCellAnchor>
  <xdr:oneCellAnchor>
    <xdr:from>
      <xdr:col>6</xdr:col>
      <xdr:colOff>95250</xdr:colOff>
      <xdr:row>1</xdr:row>
      <xdr:rowOff>33337</xdr:rowOff>
    </xdr:from>
    <xdr:ext cx="720000" cy="491300"/>
    <xdr:pic>
      <xdr:nvPicPr>
        <xdr:cNvPr id="12" name="Picture 11" descr="Round icon. Download flag icon of Tanzania at PNG format">
          <a:extLst>
            <a:ext uri="{FF2B5EF4-FFF2-40B4-BE49-F238E27FC236}">
              <a16:creationId xmlns:a16="http://schemas.microsoft.com/office/drawing/2014/main" id="{00000000-0008-0000-0100-00000C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9074150" y="217487"/>
          <a:ext cx="720000" cy="491300"/>
        </a:xfrm>
        <a:prstGeom prst="rect">
          <a:avLst/>
        </a:prstGeom>
        <a:noFill/>
        <a:ln>
          <a:prstDash val="solid"/>
        </a:ln>
      </xdr:spPr>
    </xdr:pic>
    <xdr:clientData/>
  </xdr:oneCellAnchor>
  <xdr:oneCellAnchor>
    <xdr:from>
      <xdr:col>3</xdr:col>
      <xdr:colOff>95250</xdr:colOff>
      <xdr:row>1</xdr:row>
      <xdr:rowOff>33337</xdr:rowOff>
    </xdr:from>
    <xdr:ext cx="720000" cy="491300"/>
    <xdr:pic>
      <xdr:nvPicPr>
        <xdr:cNvPr id="13" name="Picture 12" descr="Round icon. Download flag icon of Madagascar at PNG format">
          <a:extLst>
            <a:ext uri="{FF2B5EF4-FFF2-40B4-BE49-F238E27FC236}">
              <a16:creationId xmlns:a16="http://schemas.microsoft.com/office/drawing/2014/main" id="{00000000-0008-0000-0100-00000D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5905500" y="217487"/>
          <a:ext cx="720000" cy="491300"/>
        </a:xfrm>
        <a:prstGeom prst="rect">
          <a:avLst/>
        </a:prstGeom>
        <a:noFill/>
        <a:ln>
          <a:prstDash val="solid"/>
        </a:ln>
      </xdr:spPr>
    </xdr:pic>
    <xdr:clientData/>
  </xdr:oneCellAnchor>
  <xdr:oneCellAnchor>
    <xdr:from>
      <xdr:col>4</xdr:col>
      <xdr:colOff>95250</xdr:colOff>
      <xdr:row>1</xdr:row>
      <xdr:rowOff>33337</xdr:rowOff>
    </xdr:from>
    <xdr:ext cx="720000" cy="491300"/>
    <xdr:pic>
      <xdr:nvPicPr>
        <xdr:cNvPr id="14" name="Picture 13" descr="Round icon. Download flag icon of Comoros at PNG format">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7181850" y="217487"/>
          <a:ext cx="720000" cy="491300"/>
        </a:xfrm>
        <a:prstGeom prst="rect">
          <a:avLst/>
        </a:prstGeom>
        <a:noFill/>
        <a:ln>
          <a:prstDash val="solid"/>
        </a:ln>
      </xdr:spPr>
    </xdr:pic>
    <xdr:clientData/>
  </xdr:oneCellAnchor>
  <xdr:oneCellAnchor>
    <xdr:from>
      <xdr:col>5</xdr:col>
      <xdr:colOff>95250</xdr:colOff>
      <xdr:row>1</xdr:row>
      <xdr:rowOff>33337</xdr:rowOff>
    </xdr:from>
    <xdr:ext cx="720000" cy="491300"/>
    <xdr:pic>
      <xdr:nvPicPr>
        <xdr:cNvPr id="15" name="Picture 14" descr="Round icon. Download flag icon of Senegal at PNG format">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8128000" y="217487"/>
          <a:ext cx="720000" cy="491300"/>
        </a:xfrm>
        <a:prstGeom prst="rect">
          <a:avLst/>
        </a:prstGeom>
        <a:noFill/>
        <a:ln>
          <a:prstDash val="solid"/>
        </a:ln>
      </xdr:spPr>
    </xdr:pic>
    <xdr:clientData/>
  </xdr:oneCellAnchor>
  <xdr:oneCellAnchor>
    <xdr:from>
      <xdr:col>7</xdr:col>
      <xdr:colOff>95251</xdr:colOff>
      <xdr:row>1</xdr:row>
      <xdr:rowOff>33337</xdr:rowOff>
    </xdr:from>
    <xdr:ext cx="720000" cy="491300"/>
    <xdr:pic>
      <xdr:nvPicPr>
        <xdr:cNvPr id="16" name="Picture 15" descr="Round icon. Download flag icon of Togo at PNG format">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9690101" y="217487"/>
          <a:ext cx="720000" cy="491300"/>
        </a:xfrm>
        <a:prstGeom prst="rect">
          <a:avLst/>
        </a:prstGeom>
        <a:noFill/>
        <a:ln>
          <a:prstDash val="solid"/>
        </a:ln>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oukaina.galzim\AppData\Local\Microsoft\Windows\INetCache\Content.Outlook\O9I1RFYR\Opcos%20Monthly%20KPIs%20Dashboard%20Report%202026-01%20V1.xlsx" TargetMode="External"/><Relationship Id="rId1" Type="http://schemas.openxmlformats.org/officeDocument/2006/relationships/externalLinkPath" Target="file:///C:\Users\soukaina.galzim\AppData\Local\Microsoft\Windows\INetCache\Content.Outlook\O9I1RFYR\Opcos%20Monthly%20KPIs%20Dashboard%20Report%202026-01%20V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PR-PO SLA &amp; Contract%"/>
      <sheetName val="Customs_Clearance"/>
      <sheetName val="PPOT"/>
      <sheetName val="M-1 performance"/>
      <sheetName val="PR-PO SLA &amp; Contract% (2)"/>
    </sheetNames>
    <sheetDataSet>
      <sheetData sheetId="0"/>
      <sheetData sheetId="1">
        <row r="5">
          <cell r="G5" t="str">
            <v>30/01/2026 16:10:11</v>
          </cell>
        </row>
      </sheetData>
      <sheetData sheetId="2"/>
      <sheetData sheetId="3"/>
      <sheetData sheetId="4"/>
      <sheetData sheetId="5"/>
    </sheetDataSet>
  </externalBook>
</externalLink>
</file>

<file path=xl/persons/person.xml><?xml version="1.0" encoding="utf-8"?>
<personList xmlns="http://schemas.microsoft.com/office/spreadsheetml/2018/threadedcomments" xmlns:x="http://schemas.openxmlformats.org/spreadsheetml/2006/main">
  <person displayName="Soukaina Galzim" id="{4274DB2F-5FDE-41B6-AF9D-BC45DCE4F1F1}" userId="S::soukaina.galzim@axian-group.com::418c9cd1-033c-44dd-9c2b-b29073b0369d"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kaina Galzim" refreshedDate="46076.437628356478" createdVersion="8" refreshedVersion="8" minRefreshableVersion="3" recordCount="9" xr:uid="{1A81170F-CBB6-495C-A056-F9AE69A6D04A}">
  <cacheSource type="worksheet">
    <worksheetSource ref="A1:AG1048576" sheet="Open Projects"/>
  </cacheSource>
  <cacheFields count="33">
    <cacheField name="Entity Initiator" numFmtId="0">
      <sharedItems containsBlank="1"/>
    </cacheField>
    <cacheField name="OpCo" numFmtId="0">
      <sharedItems containsBlank="1" count="2">
        <s v="COMOROS"/>
        <m/>
      </sharedItems>
    </cacheField>
    <cacheField name="Category" numFmtId="0">
      <sharedItems containsBlank="1" count="2">
        <s v="TELECOM"/>
        <m/>
      </sharedItems>
    </cacheField>
    <cacheField name="Project" numFmtId="0">
      <sharedItems containsBlank="1"/>
    </cacheField>
    <cacheField name="Overall Status" numFmtId="0">
      <sharedItems containsBlank="1" count="5">
        <s v="OFFER"/>
        <s v="CLOSED"/>
        <s v="EVALUATION"/>
        <s v="RFI"/>
        <m/>
      </sharedItems>
    </cacheField>
    <cacheField name="Project description" numFmtId="0">
      <sharedItems containsBlank="1"/>
    </cacheField>
    <cacheField name="Business Owner" numFmtId="0">
      <sharedItems containsBlank="1"/>
    </cacheField>
    <cacheField name="Number of suppliers contacted" numFmtId="0">
      <sharedItems containsString="0" containsBlank="1" containsNumber="1" containsInteger="1" minValue="1" maxValue="6"/>
    </cacheField>
    <cacheField name="RFP Received" numFmtId="0">
      <sharedItems containsNonDate="0" containsDate="1" containsString="0" containsBlank="1" minDate="2025-11-27T00:00:00" maxDate="2026-02-14T00:00:00"/>
    </cacheField>
    <cacheField name="RFP Issuance" numFmtId="0">
      <sharedItems containsNonDate="0" containsDate="1" containsString="0" containsBlank="1" minDate="2025-11-28T00:00:00" maxDate="2026-02-14T00:00:00"/>
    </cacheField>
    <cacheField name="RFP Offer date" numFmtId="0">
      <sharedItems containsNonDate="0" containsDate="1" containsString="0" containsBlank="1" minDate="2025-12-03T00:00:00" maxDate="2026-02-19T00:00:00"/>
    </cacheField>
    <cacheField name="Status" numFmtId="0">
      <sharedItems containsBlank="1" longText="1"/>
    </cacheField>
    <cacheField name="Action Owner" numFmtId="0">
      <sharedItems containsBlank="1"/>
    </cacheField>
    <cacheField name="Selected supplier" numFmtId="0">
      <sharedItems containsBlank="1"/>
    </cacheField>
    <cacheField name="Initial price" numFmtId="0">
      <sharedItems containsString="0" containsBlank="1" containsNumber="1" minValue="4749" maxValue="190149.57"/>
    </cacheField>
    <cacheField name="Final price" numFmtId="0">
      <sharedItems containsString="0" containsBlank="1" containsNumber="1" minValue="4749" maxValue="175950.36"/>
    </cacheField>
    <cacheField name="SAVING" numFmtId="0">
      <sharedItems containsString="0" containsBlank="1" containsNumber="1" minValue="0" maxValue="16776.739999999991"/>
    </cacheField>
    <cacheField name="Contract start date" numFmtId="0">
      <sharedItems containsNonDate="0" containsDate="1" containsString="0" containsBlank="1" minDate="2026-01-27T00:00:00" maxDate="2026-02-06T00:00:00"/>
    </cacheField>
    <cacheField name="Contract signature target date" numFmtId="0">
      <sharedItems containsBlank="1"/>
    </cacheField>
    <cacheField name="Actual Contract signature date" numFmtId="0">
      <sharedItems containsBlank="1"/>
    </cacheField>
    <cacheField name="Tender target closing date " numFmtId="0">
      <sharedItems containsNonDate="0" containsDate="1" containsString="0" containsBlank="1" minDate="2026-01-05T00:00:00" maxDate="2026-01-31T00:00:00"/>
    </cacheField>
    <cacheField name="Buyer" numFmtId="0">
      <sharedItems containsBlank="1"/>
    </cacheField>
    <cacheField name="Supplier 1" numFmtId="0">
      <sharedItems containsBlank="1"/>
    </cacheField>
    <cacheField name="Supplier 2" numFmtId="0">
      <sharedItems containsBlank="1"/>
    </cacheField>
    <cacheField name="Supplier 3" numFmtId="0">
      <sharedItems containsBlank="1"/>
    </cacheField>
    <cacheField name="Supplier 4" numFmtId="0">
      <sharedItems containsBlank="1"/>
    </cacheField>
    <cacheField name="Supplier 5" numFmtId="0">
      <sharedItems containsBlank="1"/>
    </cacheField>
    <cacheField name="Supplier 6" numFmtId="0">
      <sharedItems containsBlank="1"/>
    </cacheField>
    <cacheField name="Supplier 7" numFmtId="0">
      <sharedItems containsNonDate="0" containsString="0" containsBlank="1"/>
    </cacheField>
    <cacheField name="Supplier 8" numFmtId="0">
      <sharedItems containsNonDate="0" containsString="0" containsBlank="1"/>
    </cacheField>
    <cacheField name="Supplier 9" numFmtId="0">
      <sharedItems containsNonDate="0" containsString="0" containsBlank="1"/>
    </cacheField>
    <cacheField name="Supplier 10" numFmtId="0">
      <sharedItems containsNonDate="0" containsString="0" containsBlank="1"/>
    </cacheField>
    <cacheField name="Supplier 11"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s v="Yas Comores"/>
    <x v="0"/>
    <x v="0"/>
    <s v="Civil engineering works and installation of 5GE on sites"/>
    <x v="0"/>
    <s v="Civil engineering works and installation of 5GE on sites."/>
    <s v="Ando "/>
    <n v="6"/>
    <d v="2025-11-27T00:00:00"/>
    <d v="2025-11-28T00:00:00"/>
    <d v="2025-12-03T00:00:00"/>
    <s v="Purchase request submitted today, 19/02/2026."/>
    <s v="Chimba Nghemning Henri"/>
    <s v="Entreprise OBT"/>
    <n v="119833.84"/>
    <n v="103057.1"/>
    <n v="16776.739999999991"/>
    <m/>
    <m/>
    <m/>
    <m/>
    <s v="Issoufi Djamal-Edine"/>
    <s v="Entreprise OBT"/>
    <s v="ELM construction"/>
    <s v="Societé Nahouza"/>
    <s v="STE Beta "/>
    <s v="Bundo construct"/>
    <s v="Sec Daniel "/>
    <m/>
    <m/>
    <m/>
    <m/>
    <m/>
  </r>
  <r>
    <s v="Yas Comores"/>
    <x v="0"/>
    <x v="0"/>
    <s v="Fiber-optic connection works for El Maarouf Hospital"/>
    <x v="0"/>
    <s v="Fiber-optic connection works for El Maarouf Hospital."/>
    <s v="Sidi Aman Ahmed"/>
    <n v="4"/>
    <d v="2025-12-29T00:00:00"/>
    <d v="2025-12-30T00:00:00"/>
    <d v="2026-01-05T00:00:00"/>
    <s v="Work in Progress"/>
    <s v="Sidi Aman Ahmed"/>
    <s v="ELM construction"/>
    <n v="30516.44"/>
    <n v="28018.52"/>
    <n v="2497.9199999999983"/>
    <d v="2026-01-27T00:00:00"/>
    <s v="No contrat"/>
    <s v="No contrat "/>
    <d v="2026-01-05T00:00:00"/>
    <s v="Issoufi Djamal-Edine"/>
    <s v="ELM construction "/>
    <s v="Entreprise OBT"/>
    <s v="STE Beta "/>
    <s v="Bundo construct"/>
    <m/>
    <m/>
    <m/>
    <m/>
    <m/>
    <m/>
    <m/>
  </r>
  <r>
    <s v="Yas Comores"/>
    <x v="0"/>
    <x v="0"/>
    <s v="MPox prevention (hydroalcoholic gels)"/>
    <x v="1"/>
    <s v="Hydroalcoholic gels for Mpox prevention."/>
    <s v="Raymane Ali Matoir"/>
    <n v="2"/>
    <d v="2026-01-19T00:00:00"/>
    <d v="2026-01-21T00:00:00"/>
    <d v="2026-01-24T00:00:00"/>
    <s v="Closed."/>
    <m/>
    <s v="Ocopharma"/>
    <n v="4749"/>
    <n v="4749"/>
    <n v="0"/>
    <d v="2026-02-05T00:00:00"/>
    <s v="No contrat"/>
    <s v="No contrat "/>
    <d v="2026-01-24T00:00:00"/>
    <s v="Issoufi Djamal-Edine"/>
    <s v="Ocopharma"/>
    <s v="Ligapharma"/>
    <m/>
    <m/>
    <m/>
    <m/>
    <m/>
    <m/>
    <m/>
    <m/>
    <m/>
  </r>
  <r>
    <s v="Yas Comores"/>
    <x v="0"/>
    <x v="0"/>
    <s v="Laptop acquisition"/>
    <x v="2"/>
    <s v="The project consists of assigning laptops based on actual needs: standard models are intended for roles with simple tasks, while high-end laptops are reserved for employees using tools or software requiring higher performance."/>
    <s v="Ahmed Mohamed"/>
    <n v="4"/>
    <d v="2026-01-06T00:00:00"/>
    <d v="2026-01-20T00:00:00"/>
    <d v="2026-01-28T00:00:00"/>
    <s v="Waiting for validation of the 2026 Facilities IT budget to confirm, together with Olivier (financial controller), the extent to which purchases can be committed. This validation is essential to determine the exact acquisition volume based on supplier prices."/>
    <s v="Nazlye/ Olivier"/>
    <m/>
    <m/>
    <m/>
    <n v="0"/>
    <m/>
    <m/>
    <m/>
    <m/>
    <s v="Issoufi Djamal-Edine"/>
    <s v="Fan pro services"/>
    <s v="Hakimi multimedia"/>
    <s v="Pateterie des Comores"/>
    <s v="Mak technoligie"/>
    <m/>
    <m/>
    <m/>
    <m/>
    <m/>
    <m/>
    <m/>
  </r>
  <r>
    <s v="Yas Comores"/>
    <x v="0"/>
    <x v="0"/>
    <s v="FTTX equipment acquisition"/>
    <x v="3"/>
    <s v="Equipment for FTTX installations."/>
    <s v="Karim Attoumani Mohamed"/>
    <n v="6"/>
    <d v="2026-01-13T00:00:00"/>
    <d v="2026-01-14T00:00:00"/>
    <d v="2026-01-26T00:00:00"/>
    <s v="A supplier consultation was launched locally for the acquisition of this equipment. However, since it is not available in the country, it must be ordered from abroad, with a delivery lead time of 15–20 days. We are currently awaiting technical offers; once received and a supplier is selected, we will issue the purchase order."/>
    <s v="Irchad Radjabou"/>
    <m/>
    <m/>
    <m/>
    <n v="0"/>
    <m/>
    <m/>
    <m/>
    <m/>
    <s v="Issoufi Djamal-Edine"/>
    <s v="Comores multiservices"/>
    <s v="Hakimi multimedia"/>
    <s v="Fan pro services"/>
    <s v="Magasin said Hassane Fils"/>
    <s v="Rehamani SARL"/>
    <s v="Photo soleil"/>
    <m/>
    <m/>
    <m/>
    <m/>
    <m/>
  </r>
  <r>
    <s v="Yas Comores"/>
    <x v="0"/>
    <x v="0"/>
    <s v="Ubiquiti equipment purchase"/>
    <x v="0"/>
    <s v="Ubiquiti stock order"/>
    <s v="Karim Attoumani Mohamed"/>
    <n v="4"/>
    <d v="2026-01-13T00:00:00"/>
    <d v="2026-01-15T00:00:00"/>
    <d v="2026-01-20T00:00:00"/>
    <s v="The purchase order has been sent to the supplier. Part of the goods has been received, and we are awaiting the remaining items."/>
    <s v="Supplier"/>
    <s v="Fan pro services/ Hakimi multimedia/ Comores multiservices"/>
    <n v="190149.57"/>
    <n v="175950.36"/>
    <n v="14199.210000000021"/>
    <d v="2026-02-03T00:00:00"/>
    <s v="No contrat for supplier 1&amp;3. in Progress for 2"/>
    <s v="No contrat for supplier 1&amp;3. in Progress for 2"/>
    <m/>
    <s v="Issoufi Djamal-Edine"/>
    <s v="Fan pro services"/>
    <s v="Hakimi multimedia"/>
    <s v="Comores multiservices"/>
    <s v="Pateterie des Comores"/>
    <m/>
    <m/>
    <m/>
    <m/>
    <m/>
    <m/>
    <m/>
  </r>
  <r>
    <s v="Yas Comores"/>
    <x v="0"/>
    <x v="0"/>
    <s v=" store Djivani concrete floor renovation works "/>
    <x v="0"/>
    <s v="This project concerns concrete floor refurbishment works around the Djivani Store."/>
    <s v="Chenaz Abdallah"/>
    <n v="3"/>
    <d v="2026-01-15T00:00:00"/>
    <d v="2026-02-06T00:00:00"/>
    <d v="2026-02-18T00:00:00"/>
    <s v="PO under processing by Procurement"/>
    <s v="Bachir Houamadi"/>
    <s v="NLN"/>
    <n v="14246.7"/>
    <n v="14246.7"/>
    <n v="0"/>
    <m/>
    <m/>
    <m/>
    <m/>
    <s v="Issoufi Djamal-Edine"/>
    <s v="NLN"/>
    <s v="STC"/>
    <m/>
    <m/>
    <m/>
    <m/>
    <m/>
    <m/>
    <m/>
    <m/>
    <m/>
  </r>
  <r>
    <s v="Yas Comores"/>
    <x v="0"/>
    <x v="0"/>
    <s v="Purchase of 12 KVA generator"/>
    <x v="1"/>
    <s v="12 KVA generator for the Mitsamihouli shop due to frequent power outages, which risk slowing down or interrupting commercial activities."/>
    <s v="Chimba Nghemning Henri"/>
    <n v="1"/>
    <d v="2026-02-13T00:00:00"/>
    <d v="2026-02-13T00:00:00"/>
    <d v="2026-02-15T00:00:00"/>
    <s v="Closed."/>
    <m/>
    <s v="Electro foid"/>
    <n v="5876.76"/>
    <n v="5283.15"/>
    <n v="593.61000000000058"/>
    <d v="2026-02-05T00:00:00"/>
    <s v="No contrat"/>
    <s v="No contrat "/>
    <d v="2026-01-30T00:00:00"/>
    <s v="Issoufi Djamal-Edine"/>
    <s v="Electro froid"/>
    <m/>
    <m/>
    <m/>
    <m/>
    <m/>
    <m/>
    <m/>
    <m/>
    <m/>
    <m/>
  </r>
  <r>
    <m/>
    <x v="1"/>
    <x v="1"/>
    <m/>
    <x v="4"/>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F620B1-78F2-4D12-A973-397E9FB54F30}"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0:C23" firstHeaderRow="1" firstDataRow="2" firstDataCol="1" rowPageCount="1" colPageCount="1"/>
  <pivotFields count="33">
    <pivotField showAll="0"/>
    <pivotField axis="axisCol" showAll="0">
      <items count="3">
        <item x="0"/>
        <item x="1"/>
        <item t="default"/>
      </items>
    </pivotField>
    <pivotField axis="axisRow" showAll="0">
      <items count="3">
        <item x="0"/>
        <item x="1"/>
        <item t="default"/>
      </items>
    </pivotField>
    <pivotField showAll="0"/>
    <pivotField axis="axisPage" multipleItemSelectionAllowed="1" showAll="0">
      <items count="6">
        <item h="1" x="1"/>
        <item x="2"/>
        <item x="0"/>
        <item x="3"/>
        <item h="1" x="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i>
    <i t="grand">
      <x/>
    </i>
  </rowItems>
  <colFields count="1">
    <field x="1"/>
  </colFields>
  <colItems count="2">
    <i>
      <x/>
    </i>
    <i t="grand">
      <x/>
    </i>
  </colItems>
  <pageFields count="1">
    <pageField fld="4" hier="-1"/>
  </pageFields>
  <dataFields count="1">
    <dataField name="Sum of SAVING" fld="16" baseField="0" baseItem="0"/>
  </dataFields>
  <chartFormats count="2">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E53E90-3875-46C6-94CC-0A69894F86B2}"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1:C17" firstHeaderRow="1" firstDataRow="2" firstDataCol="1" rowPageCount="1" colPageCount="1"/>
  <pivotFields count="33">
    <pivotField showAll="0"/>
    <pivotField axis="axisCol" showAll="0">
      <items count="3">
        <item x="0"/>
        <item x="1"/>
        <item t="default"/>
      </items>
    </pivotField>
    <pivotField axis="axisPage" showAll="0">
      <items count="3">
        <item x="0"/>
        <item x="1"/>
        <item t="default"/>
      </items>
    </pivotField>
    <pivotField dataField="1" showAll="0"/>
    <pivotField axis="axisRow" multipleItemSelectionAllowed="1" showAll="0">
      <items count="6">
        <item x="1"/>
        <item x="2"/>
        <item x="0"/>
        <item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5">
    <i>
      <x/>
    </i>
    <i>
      <x v="1"/>
    </i>
    <i>
      <x v="2"/>
    </i>
    <i>
      <x v="3"/>
    </i>
    <i t="grand">
      <x/>
    </i>
  </rowItems>
  <colFields count="1">
    <field x="1"/>
  </colFields>
  <colItems count="2">
    <i>
      <x/>
    </i>
    <i t="grand">
      <x/>
    </i>
  </colItems>
  <pageFields count="1">
    <pageField fld="2" hier="-1"/>
  </pageFields>
  <dataFields count="1">
    <dataField name="Count of Project" fld="3" subtotal="count" baseField="0" baseItem="0"/>
  </dataFields>
  <chartFormats count="3">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BA15C7-96C2-43B7-8D0D-71AE902DFD9D}"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C6" firstHeaderRow="1" firstDataRow="2" firstDataCol="1" rowPageCount="1" colPageCount="1"/>
  <pivotFields count="33">
    <pivotField showAll="0"/>
    <pivotField axis="axisCol" showAll="0">
      <items count="3">
        <item x="0"/>
        <item x="1"/>
        <item t="default"/>
      </items>
    </pivotField>
    <pivotField axis="axisRow" showAll="0">
      <items count="3">
        <item x="0"/>
        <item x="1"/>
        <item t="default"/>
      </items>
    </pivotField>
    <pivotField dataField="1" showAll="0"/>
    <pivotField axis="axisPage" multipleItemSelectionAllowed="1" showAll="0">
      <items count="6">
        <item h="1" x="1"/>
        <item x="2"/>
        <item x="0"/>
        <item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i>
    <i t="grand">
      <x/>
    </i>
  </rowItems>
  <colFields count="1">
    <field x="1"/>
  </colFields>
  <colItems count="2">
    <i>
      <x/>
    </i>
    <i t="grand">
      <x/>
    </i>
  </colItems>
  <pageFields count="1">
    <pageField fld="4" hier="-1"/>
  </pageFields>
  <dataFields count="1">
    <dataField name="Count of Project" fld="3" subtotal="count" baseField="0" baseItem="0"/>
  </dataFields>
  <chartFormats count="2">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E2B2B5-7206-4DE0-94D8-6F7D87B388E4}" name="Tableau1" displayName="Tableau1" ref="A1:A14" totalsRowShown="0">
  <autoFilter ref="A1:A14" xr:uid="{39E2B2B5-7206-4DE0-94D8-6F7D87B388E4}"/>
  <tableColumns count="1">
    <tableColumn id="1" xr3:uid="{6C8ECF77-11D6-43F6-B544-86BB150B1C0E}" name="Catego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564A6D-9F05-4678-83FF-DBBDF19A9750}" name="Tableau3" displayName="Tableau3" ref="C1:C13" totalsRowShown="0">
  <autoFilter ref="C1:C13" xr:uid="{A3564A6D-9F05-4678-83FF-DBBDF19A9750}"/>
  <tableColumns count="1">
    <tableColumn id="1" xr3:uid="{B57C7E37-1B5A-4A03-8060-A13EC815AFF1}" name="Global Status"/>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 dT="2026-02-05T05:58:47.00" personId="{4274DB2F-5FDE-41B6-AF9D-BC45DCE4F1F1}" id="{8EA13ADC-085D-46AE-950D-3A5B95A5D4D7}">
    <text>If OpCo, specify which one</text>
  </threadedComment>
  <threadedComment ref="H1" dT="2026-02-09T06:58:55.86" personId="{4274DB2F-5FDE-41B6-AF9D-BC45DCE4F1F1}" id="{DC9C2DFB-79BD-4B56-93E1-86190E616D12}">
    <text>Add list of supplier at the end</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
  <sheetViews>
    <sheetView zoomScale="80" zoomScaleNormal="80" workbookViewId="0">
      <selection activeCell="B62" sqref="B62"/>
    </sheetView>
  </sheetViews>
  <sheetFormatPr baseColWidth="10" defaultColWidth="8.7265625" defaultRowHeight="14.5" x14ac:dyDescent="0.35"/>
  <cols>
    <col min="1" max="1" width="13.453125" customWidth="1"/>
    <col min="2" max="2" width="61.453125" bestFit="1" customWidth="1"/>
    <col min="3" max="3" width="13" customWidth="1"/>
    <col min="4" max="8" width="13.54296875" customWidth="1"/>
    <col min="9" max="9" width="53.54296875" customWidth="1"/>
  </cols>
  <sheetData>
    <row r="1" spans="1:10" x14ac:dyDescent="0.35">
      <c r="A1" s="260" t="s">
        <v>225</v>
      </c>
      <c r="B1" s="235"/>
      <c r="C1" s="163" t="s">
        <v>0</v>
      </c>
      <c r="D1" s="164" t="s">
        <v>1</v>
      </c>
      <c r="E1" s="164" t="s">
        <v>2</v>
      </c>
      <c r="F1" s="164" t="s">
        <v>3</v>
      </c>
      <c r="G1" s="164" t="s">
        <v>4</v>
      </c>
      <c r="H1" s="165" t="s">
        <v>5</v>
      </c>
      <c r="I1" s="154"/>
    </row>
    <row r="2" spans="1:10" x14ac:dyDescent="0.35">
      <c r="A2" s="235"/>
      <c r="B2" s="235"/>
      <c r="C2" s="255" t="s">
        <v>6</v>
      </c>
      <c r="D2" s="166"/>
      <c r="E2" s="166"/>
      <c r="F2" s="166"/>
      <c r="G2" s="166"/>
      <c r="H2" s="167"/>
      <c r="I2" s="154"/>
    </row>
    <row r="3" spans="1:10" ht="15" thickBot="1" x14ac:dyDescent="0.4">
      <c r="A3" s="235"/>
      <c r="B3" s="235"/>
      <c r="C3" s="255"/>
      <c r="D3" s="166"/>
      <c r="E3" s="166"/>
      <c r="F3" s="166"/>
      <c r="G3" s="166"/>
      <c r="H3" s="167"/>
      <c r="I3" s="154"/>
    </row>
    <row r="4" spans="1:10" ht="15" thickBot="1" x14ac:dyDescent="0.4">
      <c r="A4" s="168" t="s">
        <v>7</v>
      </c>
      <c r="B4" s="169" t="s">
        <v>8</v>
      </c>
      <c r="C4" s="255"/>
      <c r="D4" s="166"/>
      <c r="E4" s="166"/>
      <c r="F4" s="166"/>
      <c r="G4" s="166"/>
      <c r="H4" s="167"/>
      <c r="I4" s="205" t="s">
        <v>224</v>
      </c>
    </row>
    <row r="5" spans="1:10" x14ac:dyDescent="0.35">
      <c r="A5" s="259" t="s">
        <v>9</v>
      </c>
      <c r="B5" s="145" t="s">
        <v>10</v>
      </c>
      <c r="C5" s="208">
        <v>0.1</v>
      </c>
      <c r="D5" s="209">
        <f>SUMIF('PR-PO SLA &amp; Contract%'!C4:C39390, "MADAGASCAR", 'PR-PO SLA &amp; Contract%'!S4:S39390)/SUMIF('PR-PO SLA &amp; Contract%'!C4:C39390, "MADAGASCAR", 'PR-PO SLA &amp; Contract%'!Q4:Q39390)</f>
        <v>0.1279619059933732</v>
      </c>
      <c r="E5" s="209" t="e">
        <f>SUMIF('PR-PO SLA &amp; Contract%'!C4:C39390, "COMOROS", 'PR-PO SLA &amp; Contract%'!S4:S39390)/SUMIF('PR-PO SLA &amp; Contract%'!C4:C39390, "COMOROS", 'PR-PO SLA &amp; Contract%'!Q4:Q39390)</f>
        <v>#DIV/0!</v>
      </c>
      <c r="F5" s="209" t="e">
        <f>SUMIF('PR-PO SLA &amp; Contract%'!C4:C39390, "Senegal", 'PR-PO SLA &amp; Contract%'!S4:S39390)/SUMIF('PR-PO SLA &amp; Contract%'!C4:C39390, "Senegal", 'PR-PO SLA &amp; Contract%'!Q4:Q39390)</f>
        <v>#DIV/0!</v>
      </c>
      <c r="G5" s="209" t="e">
        <f>SUMIF('PR-PO SLA &amp; Contract%'!C4:C39390, "Tanzania", 'PR-PO SLA &amp; Contract%'!S4:S39390)/SUMIF('PR-PO SLA &amp; Contract%'!C4:C39390, "Tanzania", 'PR-PO SLA &amp; Contract%'!Q4:Q39390)</f>
        <v>#DIV/0!</v>
      </c>
      <c r="H5" s="210" t="e">
        <f>SUMIF('PR-PO SLA &amp; Contract%'!C4:C39390, "Togo", 'PR-PO SLA &amp; Contract%'!S4:S39390)/SUMIF('PR-PO SLA &amp; Contract%'!C4:C39390, "Togo", 'PR-PO SLA &amp; Contract%'!Q4:Q39390)</f>
        <v>#DIV/0!</v>
      </c>
      <c r="I5" s="247"/>
      <c r="J5" s="63"/>
    </row>
    <row r="6" spans="1:10" x14ac:dyDescent="0.35">
      <c r="A6" s="257"/>
      <c r="B6" s="146" t="s">
        <v>136</v>
      </c>
      <c r="C6" s="150"/>
      <c r="D6" s="152">
        <f>SUMIFS('PR-PO SLA &amp; Contract%'!S4:S39390, 'PR-PO SLA &amp; Contract%'!C4:C39390, "MADAGASCAR",'PR-PO SLA &amp; Contract%'!P4:P39390, "Usd")</f>
        <v>2179415.8126354138</v>
      </c>
      <c r="E6" s="152">
        <f>SUMIFS('PR-PO SLA &amp; Contract%'!S4:S39390, 'PR-PO SLA &amp; Contract%'!C4:C39390, "COMOROS",'PR-PO SLA &amp; Contract%'!P4:P39390, "Usd")</f>
        <v>0</v>
      </c>
      <c r="F6" s="152">
        <f>SUMIFS('PR-PO SLA &amp; Contract%'!S4:S39390, 'PR-PO SLA &amp; Contract%'!C4:C39390, "SENEGAL",'PR-PO SLA &amp; Contract%'!P4:P39390, "Usd")</f>
        <v>0</v>
      </c>
      <c r="G6" s="152">
        <f>SUMIFS('PR-PO SLA &amp; Contract%'!S4:S39390, 'PR-PO SLA &amp; Contract%'!C4:C39390, "Tanzania",'PR-PO SLA &amp; Contract%'!P4:P39390, "Usd")</f>
        <v>0</v>
      </c>
      <c r="H6" s="153">
        <f>SUMIFS('PR-PO SLA &amp; Contract%'!S4:S39390, 'PR-PO SLA &amp; Contract%'!C4:C39390, "Togo",'PR-PO SLA &amp; Contract%'!P4:P39390, "Usd")</f>
        <v>0</v>
      </c>
      <c r="I6" s="248"/>
    </row>
    <row r="7" spans="1:10" ht="14.5" customHeight="1" x14ac:dyDescent="0.35">
      <c r="A7" s="256" t="s">
        <v>11</v>
      </c>
      <c r="B7" s="148" t="s">
        <v>12</v>
      </c>
      <c r="C7" s="142">
        <v>4</v>
      </c>
      <c r="D7" s="203">
        <f>AVERAGEIF('PR-PO SLA &amp; Contract%'!C4:C39390, "MADAGASCAR", 'PR-PO SLA &amp; Contract%'!I4:I39390)</f>
        <v>4.1449579831932777</v>
      </c>
      <c r="E7" s="203" t="e">
        <f>AVERAGEIF('PR-PO SLA &amp; Contract%'!C4:C39390, "COMOROS", 'PR-PO SLA &amp; Contract%'!I4:I39390)</f>
        <v>#DIV/0!</v>
      </c>
      <c r="F7" s="203" t="e">
        <f>AVERAGEIF('PR-PO SLA &amp; Contract%'!C4:C39390, "Senegal", 'PR-PO SLA &amp; Contract%'!I4:I39390)</f>
        <v>#DIV/0!</v>
      </c>
      <c r="G7" s="203" t="e">
        <f>AVERAGEIF('PR-PO SLA &amp; Contract%'!C4:C39390, "Tanzania", 'PR-PO SLA &amp; Contract%'!I4:I39390)</f>
        <v>#DIV/0!</v>
      </c>
      <c r="H7" s="155" t="e">
        <f>AVERAGEIF('PR-PO SLA &amp; Contract%'!C4:C39390, "Togo", 'PR-PO SLA &amp; Contract%'!I4:I39390)</f>
        <v>#DIV/0!</v>
      </c>
      <c r="I7" s="249"/>
    </row>
    <row r="8" spans="1:10" x14ac:dyDescent="0.35">
      <c r="A8" s="257"/>
      <c r="B8" s="146" t="s">
        <v>13</v>
      </c>
      <c r="C8" s="143">
        <v>0.9</v>
      </c>
      <c r="D8" s="211">
        <f>COUNTIFS('PR-PO SLA &amp; Contract%'!I4:I39390, "&lt;=4", 'PR-PO SLA &amp; Contract%'!C4:C39390, "MADAGASCAR")/COUNTIF('PR-PO SLA &amp; Contract%'!C4:C39390, "MADAGASCAR")</f>
        <v>0.7142857142857143</v>
      </c>
      <c r="E8" s="211" t="e">
        <f>COUNTIFS('PR-PO SLA &amp; Contract%'!I4:I39390, "&lt;=4", 'PR-PO SLA &amp; Contract%'!C4:C39390, "COMOROS")/COUNTIF('PR-PO SLA &amp; Contract%'!C4:C39390, "COMOROS")</f>
        <v>#DIV/0!</v>
      </c>
      <c r="F8" s="211" t="e">
        <f>COUNTIFS('PR-PO SLA &amp; Contract%'!I4:I39390, "&lt;=4", 'PR-PO SLA &amp; Contract%'!C4:C39390, "Senegal")/COUNTIF('PR-PO SLA &amp; Contract%'!C4:C39390, "Senegal")</f>
        <v>#DIV/0!</v>
      </c>
      <c r="G8" s="211" t="e">
        <f>COUNTIFS('PR-PO SLA &amp; Contract%'!I4:I39390, "&lt;=4", 'PR-PO SLA &amp; Contract%'!C4:C39390, "Tanzania")/COUNTIF('PR-PO SLA &amp; Contract%'!C4:C39390, "Tanzania")</f>
        <v>#DIV/0!</v>
      </c>
      <c r="H8" s="171" t="e">
        <f>COUNTIFS('PR-PO SLA &amp; Contract%'!I4:I39390, "&lt;=4", 'PR-PO SLA &amp; Contract%'!C4:C39390, "Togo")/COUNTIF('PR-PO SLA &amp; Contract%'!C4:C39390, "Togo")</f>
        <v>#DIV/0!</v>
      </c>
      <c r="I8" s="250"/>
    </row>
    <row r="9" spans="1:10" x14ac:dyDescent="0.35">
      <c r="A9" s="257"/>
      <c r="B9" s="146" t="s">
        <v>14</v>
      </c>
      <c r="C9" s="142">
        <v>4</v>
      </c>
      <c r="D9" s="203">
        <f>AVERAGEIF('PR-PO SLA &amp; Contract%'!C4:C39390, "MADAGASCAR", 'PR-PO SLA &amp; Contract%'!K4:K39390)</f>
        <v>2.5168067226890756</v>
      </c>
      <c r="E9" s="203" t="e">
        <f>AVERAGEIF('PR-PO SLA &amp; Contract%'!C4:C39390, "COMOROS", 'PR-PO SLA &amp; Contract%'!K4:K39390)</f>
        <v>#DIV/0!</v>
      </c>
      <c r="F9" s="203" t="e">
        <f>AVERAGEIF('PR-PO SLA &amp; Contract%'!C4:C39390, "Senegal", 'PR-PO SLA &amp; Contract%'!K4:K39390)</f>
        <v>#DIV/0!</v>
      </c>
      <c r="G9" s="203" t="e">
        <f>AVERAGEIF('PR-PO SLA &amp; Contract%'!C4:C39390, "Tanzania", 'PR-PO SLA &amp; Contract%'!K4:K39390)</f>
        <v>#DIV/0!</v>
      </c>
      <c r="H9" s="155" t="e">
        <f>AVERAGEIF('PR-PO SLA &amp; Contract%'!C4:C39390, "Togo", 'PR-PO SLA &amp; Contract%'!K4:K39390)</f>
        <v>#DIV/0!</v>
      </c>
      <c r="I9" s="230"/>
    </row>
    <row r="10" spans="1:10" x14ac:dyDescent="0.35">
      <c r="A10" s="258"/>
      <c r="B10" s="147" t="s">
        <v>15</v>
      </c>
      <c r="C10" s="151">
        <v>0.9</v>
      </c>
      <c r="D10" s="172">
        <f>COUNTIFS('PR-PO SLA &amp; Contract%'!M4:M39390, "&lt;=4", 'PR-PO SLA &amp; Contract%'!C4:C39390, "Madagascar")/COUNTIF('PR-PO SLA &amp; Contract%'!C4:C39390, "Madagascar")</f>
        <v>0.98109243697478987</v>
      </c>
      <c r="E10" s="173" t="e">
        <f>COUNTIFS('PR-PO SLA &amp; Contract%'!M4:M39390, "&lt;=4", 'PR-PO SLA &amp; Contract%'!C4:C39390, "COMOROS")/COUNTIF('PR-PO SLA &amp; Contract%'!C4:C39390, "COMOROS")</f>
        <v>#DIV/0!</v>
      </c>
      <c r="F10" s="173" t="e">
        <f>COUNTIFS('PR-PO SLA &amp; Contract%'!M4:M39390, "&lt;=4", 'PR-PO SLA &amp; Contract%'!C4:C39390, "Senegal")/COUNTIF('PR-PO SLA &amp; Contract%'!C4:C39390, "Senegal")</f>
        <v>#DIV/0!</v>
      </c>
      <c r="G10" s="173" t="e">
        <f>COUNTIFS('PR-PO SLA &amp; Contract%'!M4:M39390, "&lt;=4", 'PR-PO SLA &amp; Contract%'!C4:C39390, "Tanzania")/COUNTIF('PR-PO SLA &amp; Contract%'!C4:C39390, "Tanzania")</f>
        <v>#DIV/0!</v>
      </c>
      <c r="H10" s="174" t="e">
        <f>COUNTIFS('PR-PO SLA &amp; Contract%'!M4:M39390, "&lt;=4", 'PR-PO SLA &amp; Contract%'!C4:C39390, "Togo")/COUNTIF('PR-PO SLA &amp; Contract%'!C4:C39390, "Togo")</f>
        <v>#DIV/0!</v>
      </c>
      <c r="I10" s="225"/>
      <c r="J10" s="136"/>
    </row>
    <row r="11" spans="1:10" x14ac:dyDescent="0.35">
      <c r="A11" s="253" t="s">
        <v>16</v>
      </c>
      <c r="B11" s="146" t="s">
        <v>17</v>
      </c>
      <c r="C11" s="142">
        <v>5</v>
      </c>
      <c r="D11" s="203">
        <f>IF(
    COUNTIFS(Customs_Clearance!C4:C40042,"MADAGASCAR",Customs_Clearance!I4:I40042,"AIR")=0,
   0,
    AVERAGEIFS(Customs_Clearance!L4:L40042,Customs_Clearance!C4:C40042,"MADAGASCAR",Customs_Clearance!I4:I40042,"AIR")
)</f>
        <v>5.0999999999999996</v>
      </c>
      <c r="E11" s="203">
        <f>IF(
    COUNTIFS(Customs_Clearance!C4:C45,"COMOROS",Customs_Clearance!I4:I45,"AIR")=0,
   0,
    AVERAGEIFS(Customs_Clearance!L4:L45,Customs_Clearance!C4:C45,"COMOROS",Customs_Clearance!I4:I45,"AIR")
)</f>
        <v>0</v>
      </c>
      <c r="F11" s="203">
        <f>IF(
    COUNTIFS(Customs_Clearance!C4:C40042,"SENEGAL",Customs_Clearance!I4:I40042,"AIR")=0,
   0,
    AVERAGEIFS(Customs_Clearance!L4:L40042,Customs_Clearance!C4:C40042,"SENEGAL",Customs_Clearance!I4:I40042,"AIR")
)</f>
        <v>0</v>
      </c>
      <c r="G11" s="203">
        <f>IF(
    COUNTIFS(Customs_Clearance!C4:C40042,"TANZANIA",Customs_Clearance!I4:I40042,"AIR")=0,
   0,
    AVERAGEIFS(Customs_Clearance!L4:L40042,Customs_Clearance!C4:C40042,"TANZANIA",Customs_Clearance!I4:I40042,"AIR")
)</f>
        <v>0</v>
      </c>
      <c r="H11" s="155">
        <f>IF(
    COUNTIFS(Customs_Clearance!C4:C40042,"Togo",Customs_Clearance!I4:I40042,"AIR")=0,
   0,
    AVERAGEIFS(Customs_Clearance!L4:L40042,Customs_Clearance!C4:C40042,"Togo",Customs_Clearance!I4:I40042,"AIR")
)</f>
        <v>0</v>
      </c>
      <c r="I11" s="206"/>
      <c r="J11" s="136"/>
    </row>
    <row r="12" spans="1:10" x14ac:dyDescent="0.35">
      <c r="A12" s="258"/>
      <c r="B12" s="147" t="s">
        <v>18</v>
      </c>
      <c r="C12" s="156">
        <v>10</v>
      </c>
      <c r="D12" s="158">
        <f>IF(
    COUNTIFS(Customs_Clearance!C4:C40042,"MADAGASCAR",Customs_Clearance!I4:I40042,"SEA")=0,
   0,
    AVERAGEIFS(Customs_Clearance!L4:L40042,Customs_Clearance!C4:C40042,"MADAGASCAR",Customs_Clearance!I4:I40042,"SEA")
)</f>
        <v>14.333333333333334</v>
      </c>
      <c r="E12" s="175">
        <f>IF(
    COUNTIFS(Customs_Clearance!C4:C40042,"COMOROS",Customs_Clearance!I4:I40042,"SEA")=0,
    0,
    AVERAGEIFS(Customs_Clearance!L4:L40042,Customs_Clearance!C4:C40042,"COMOROS",Customs_Clearance!I4:I40042,"SEA")
)</f>
        <v>0</v>
      </c>
      <c r="F12" s="175">
        <f>IF(
    COUNTIFS(Customs_Clearance!C4:C40042,"SENEGAL",Customs_Clearance!I4:I40042,"SEA")=0,
    0,
    AVERAGEIFS(Customs_Clearance!L4:L40042,Customs_Clearance!C4:C40042,"SENEGAL",Customs_Clearance!I4:I40042,"SEA")
)</f>
        <v>0</v>
      </c>
      <c r="G12" s="175">
        <f>IF(
    COUNTIFS(Customs_Clearance!C4:C40042,"Tanzania",Customs_Clearance!I4:I40042,"SEA")=0,
    0,
    AVERAGEIFS(Customs_Clearance!L4:L40042,Customs_Clearance!C4:C40042,"Tanzania",Customs_Clearance!I4:I40042,"SEA")
)</f>
        <v>0</v>
      </c>
      <c r="H12" s="159">
        <f>IF(
    COUNTIFS(Customs_Clearance!C4:C40042,"Togo",Customs_Clearance!I4:I40042,"SEA")=0,
   0,
    AVERAGEIFS(Customs_Clearance!L4:L40042,Customs_Clearance!C4:C40042,"Togo",Customs_Clearance!I4:I40042,"SEA")
)</f>
        <v>0</v>
      </c>
      <c r="I12" s="207"/>
    </row>
    <row r="13" spans="1:10" ht="14.5" customHeight="1" x14ac:dyDescent="0.35">
      <c r="A13" s="261" t="s">
        <v>69</v>
      </c>
      <c r="B13" s="146" t="s">
        <v>139</v>
      </c>
      <c r="C13" s="143">
        <v>0.7</v>
      </c>
      <c r="D13" s="211">
        <f>COUNTIFS('PR-PO SLA &amp; Contract%'!E4:E39390, "YES", 'PR-PO SLA &amp; Contract%'!C4:C39390, "Madagascar")/COUNTIF('PR-PO SLA &amp; Contract%'!C4:C39390, "Madagascar")</f>
        <v>0</v>
      </c>
      <c r="E13" s="211" t="e">
        <f>COUNTIFS('PR-PO SLA &amp; Contract%'!E4:E39390, "YES", 'PR-PO SLA &amp; Contract%'!C4:C39390, "COMOROS")/COUNTIF('PR-PO SLA &amp; Contract%'!C4:C39390, "COMOROS")</f>
        <v>#DIV/0!</v>
      </c>
      <c r="F13" s="211" t="e">
        <f>COUNTIFS('PR-PO SLA &amp; Contract%'!E4:E39390, "YES", 'PR-PO SLA &amp; Contract%'!C4:C39390, "Senegal")/COUNTIF('PR-PO SLA &amp; Contract%'!C4:C39390, "Senegal")</f>
        <v>#DIV/0!</v>
      </c>
      <c r="G13" s="211" t="e">
        <f>COUNTIFS('PR-PO SLA &amp; Contract%'!E4:E39390, "YES", 'PR-PO SLA &amp; Contract%'!C4:C39390, "Tanzania")/COUNTIF('PR-PO SLA &amp; Contract%'!C4:C39390, "Tanzania")</f>
        <v>#DIV/0!</v>
      </c>
      <c r="H13" s="171" t="e">
        <f>COUNTIFS('PR-PO SLA &amp; Contract%'!E4:E39390, "YES", 'PR-PO SLA &amp; Contract%'!C4:C39390, "Togo")/COUNTIF('PR-PO SLA &amp; Contract%'!C4:C39390, "Togo")</f>
        <v>#DIV/0!</v>
      </c>
      <c r="I13" s="251"/>
    </row>
    <row r="14" spans="1:10" ht="23.5" customHeight="1" x14ac:dyDescent="0.35">
      <c r="A14" s="254"/>
      <c r="B14" s="147" t="s">
        <v>140</v>
      </c>
      <c r="C14" s="151">
        <v>0.7</v>
      </c>
      <c r="D14" s="176">
        <f>IFERROR(SUMIFS('PR-PO SLA &amp; Contract%'!$R:$R,'PR-PO SLA &amp; Contract%'!$E:$E,"Yes",'PR-PO SLA &amp; Contract%'!$C:$C,DASHBOARD!D$1)/SUMIFS('PR-PO SLA &amp; Contract%'!$R:$R,'PR-PO SLA &amp; Contract%'!$C:$C,DASHBOARD!D$1),0)</f>
        <v>0</v>
      </c>
      <c r="E14" s="176">
        <f>IFERROR(SUMIFS('PR-PO SLA &amp; Contract%'!$R:$R,'PR-PO SLA &amp; Contract%'!$E:$E,"Yes",'PR-PO SLA &amp; Contract%'!$C:$C,DASHBOARD!E$1)/SUMIFS('PR-PO SLA &amp; Contract%'!$R:$R,'PR-PO SLA &amp; Contract%'!$C:$C,DASHBOARD!E$1),0)</f>
        <v>0</v>
      </c>
      <c r="F14" s="176">
        <f>IFERROR(SUMIFS('PR-PO SLA &amp; Contract%'!$R:$R,'PR-PO SLA &amp; Contract%'!$E:$E,"Yes",'PR-PO SLA &amp; Contract%'!$C:$C,DASHBOARD!F$1)/SUMIFS('PR-PO SLA &amp; Contract%'!$R:$R,'PR-PO SLA &amp; Contract%'!$C:$C,DASHBOARD!F$1),0)</f>
        <v>0</v>
      </c>
      <c r="G14" s="176">
        <f>IFERROR(SUMIFS('PR-PO SLA &amp; Contract%'!$R:$R,'PR-PO SLA &amp; Contract%'!$E:$E,"Yes",'PR-PO SLA &amp; Contract%'!$C:$C,DASHBOARD!G$1)/SUMIFS('PR-PO SLA &amp; Contract%'!$R:$R,'PR-PO SLA &amp; Contract%'!$C:$C,DASHBOARD!G$1),0)</f>
        <v>0</v>
      </c>
      <c r="H14" s="174">
        <f>IFERROR(SUMIFS('PR-PO SLA &amp; Contract%'!$R:$R,'PR-PO SLA &amp; Contract%'!$E:$E,"Yes",'PR-PO SLA &amp; Contract%'!$C:$C,DASHBOARD!H$1)/SUMIFS('PR-PO SLA &amp; Contract%'!$R:$R,'PR-PO SLA &amp; Contract%'!$C:$C,DASHBOARD!H$1),0)</f>
        <v>0</v>
      </c>
      <c r="I14" s="252"/>
    </row>
    <row r="15" spans="1:10" ht="15" thickBot="1" x14ac:dyDescent="0.4">
      <c r="A15" s="170" t="s">
        <v>20</v>
      </c>
      <c r="B15" s="149" t="s">
        <v>21</v>
      </c>
      <c r="C15" s="144">
        <v>0.7</v>
      </c>
      <c r="D15" s="138">
        <f>IF(COUNTIF(PPOT!C4:C39717,"Madagascar")=0,
    0,
    COUNTIFS(PPOT!O4:O39717,"YES",PPOT!C4:C39717,"Madagascar") /
    COUNTIF(PPOT!C4:C39717,"Madagascar")
)</f>
        <v>0</v>
      </c>
      <c r="E15" s="138">
        <f>IF(COUNTIF(PPOT!C4:C39717,"COMOROS")=0,
    0,
    COUNTIFS(PPOT!O4:O39717,"YES",PPOT!C4:C39717,"COMOROS") /
    COUNTIF(PPOT!C4:C39717,"COMOROS")
)</f>
        <v>0</v>
      </c>
      <c r="F15" s="139">
        <f>IF(COUNTIF(PPOT!C4:C39717,"Senegal")=0,
    0,
    COUNTIFS(PPOT!O4:O39717,"YES",PPOT!C4:C39717,"Senegal") /
    COUNTIF(PPOT!C4:C39717,"Senegal")
)</f>
        <v>0</v>
      </c>
      <c r="G15" s="138">
        <f>IF(COUNTIF(PPOT!C4:C39717,"Tanzania")=0,
    0,
    COUNTIFS(PPOT!O4:O39717,"YES",PPOT!C4:C39717,"Tanzania") /
    COUNTIF(PPOT!C4:C39717,"Tanzania")
)</f>
        <v>0</v>
      </c>
      <c r="H15" s="140">
        <f>IF(COUNTIF(PPOT!C4:C39717,"Togo")=0,
    0,
    COUNTIFS(PPOT!O4:O39717,"YES",PPOT!C4:C39717,"Togo") /
    COUNTIF(PPOT!C4:C39717,"Togo")
)</f>
        <v>0</v>
      </c>
      <c r="I15" s="231"/>
    </row>
    <row r="16" spans="1:10" ht="21" hidden="1" customHeight="1" x14ac:dyDescent="0.35">
      <c r="B16" s="18" t="s">
        <v>22</v>
      </c>
      <c r="C16" s="15"/>
      <c r="D16" s="17" t="e">
        <f>RANK(D31,$D$31:$H$31,0)</f>
        <v>#DIV/0!</v>
      </c>
      <c r="E16" s="17" t="e">
        <f>RANK(E31,$D$31:$H$31,0)</f>
        <v>#DIV/0!</v>
      </c>
      <c r="F16" s="17" t="e">
        <f>RANK(F31,$D$31:$H$31,0)</f>
        <v>#DIV/0!</v>
      </c>
      <c r="G16" s="17" t="e">
        <f>RANK(G31,$D$31:$H$31,0)</f>
        <v>#DIV/0!</v>
      </c>
      <c r="H16" s="17" t="e">
        <f>RANK(H31,$D$31:$H$31,0)</f>
        <v>#DIV/0!</v>
      </c>
    </row>
    <row r="17" spans="1:8" s="154" customFormat="1" ht="15" customHeight="1" thickBot="1" x14ac:dyDescent="0.4"/>
    <row r="18" spans="1:8" hidden="1" x14ac:dyDescent="0.35">
      <c r="B18" s="262" t="s">
        <v>23</v>
      </c>
      <c r="C18" s="235"/>
      <c r="D18" s="235"/>
      <c r="E18" s="235"/>
      <c r="F18" s="235"/>
      <c r="G18" s="235"/>
      <c r="H18" s="235"/>
    </row>
    <row r="19" spans="1:8" ht="7" hidden="1" customHeight="1" x14ac:dyDescent="0.35">
      <c r="B19" s="30"/>
      <c r="C19" s="30"/>
      <c r="D19" s="30"/>
      <c r="E19" s="30"/>
      <c r="F19" s="30"/>
      <c r="G19" s="30"/>
      <c r="H19" s="30"/>
    </row>
    <row r="20" spans="1:8" hidden="1" x14ac:dyDescent="0.35">
      <c r="C20" s="14" t="s">
        <v>24</v>
      </c>
      <c r="D20" s="7" t="s">
        <v>1</v>
      </c>
      <c r="E20" s="7" t="s">
        <v>2</v>
      </c>
      <c r="F20" s="7" t="s">
        <v>3</v>
      </c>
      <c r="G20" s="7" t="s">
        <v>4</v>
      </c>
      <c r="H20" s="7" t="s">
        <v>5</v>
      </c>
    </row>
    <row r="21" spans="1:8" hidden="1" x14ac:dyDescent="0.35">
      <c r="B21" s="20" t="str">
        <f>CONCATENATE("Normalized"," ",B5)</f>
        <v>Normalized % of Saving after Negotiations</v>
      </c>
      <c r="C21" s="21">
        <v>0.15</v>
      </c>
      <c r="D21" s="16" t="e">
        <f>(D5-MIN($D$5:$H$5))/(MAX($D$5:$H$5)-MIN($D$5:$H$5))</f>
        <v>#DIV/0!</v>
      </c>
      <c r="E21" s="16" t="e">
        <f>(E5-MIN($D$5:$H$5))/(MAX($D$5:$H$5)-MIN($D$5:$H$5))</f>
        <v>#DIV/0!</v>
      </c>
      <c r="F21" s="16" t="e">
        <f>(F5-MIN($D$5:$H$5))/(MAX($D$5:$H$5)-MIN($D$5:$H$5))</f>
        <v>#DIV/0!</v>
      </c>
      <c r="G21" s="16" t="e">
        <f>(G5-MIN($D$5:$H$5))/(MAX($D$5:$H$5)-MIN($D$5:$H$5))</f>
        <v>#DIV/0!</v>
      </c>
      <c r="H21" s="16" t="e">
        <f>(H5-MIN($D$5:$H$5))/(MAX($D$5:$H$5)-MIN($D$5:$H$5))</f>
        <v>#DIV/0!</v>
      </c>
    </row>
    <row r="22" spans="1:8" hidden="1" x14ac:dyDescent="0.35">
      <c r="B22" s="20" t="str">
        <f>CONCATENATE("Normalized"," ",B6)</f>
        <v>Normalized Absolute YTD Savings ($)</v>
      </c>
      <c r="C22" s="21">
        <v>0.05</v>
      </c>
      <c r="D22" s="16">
        <f>(D6-MIN($D$6:$H$6))/(MAX($D$6:$H$6)-MIN($D$6:$H$6))</f>
        <v>1</v>
      </c>
      <c r="E22" s="16">
        <f>(E6-MIN($D$6:$H$6))/(MAX($D$6:$H$6)-MIN($D$6:$H$6))</f>
        <v>0</v>
      </c>
      <c r="F22" s="16">
        <f>(F6-MIN($D$6:$H$6))/(MAX($D$6:$H$6)-MIN($D$6:$H$6))</f>
        <v>0</v>
      </c>
      <c r="G22" s="16">
        <f>(G6-MIN($D$6:$H$6))/(MAX($D$6:$H$6)-MIN($D$6:$H$6))</f>
        <v>0</v>
      </c>
      <c r="H22" s="16">
        <f>(H6-MIN($D$6:$H$6))/(MAX($D$6:$H$6)-MIN($D$6:$H$6))</f>
        <v>0</v>
      </c>
    </row>
    <row r="23" spans="1:8" hidden="1" x14ac:dyDescent="0.35">
      <c r="B23" s="22" t="str">
        <f>CONCATENATE("Normalized"," ",B7)</f>
        <v>Normalized TAT for PR Approval (Days)</v>
      </c>
      <c r="C23" s="23">
        <v>0.1</v>
      </c>
      <c r="D23" s="16" t="e">
        <f>(MAX($D$7:$H$7)-D7)/(MAX($D$7:$H$7)-MIN($D$7:$H$7))</f>
        <v>#DIV/0!</v>
      </c>
      <c r="E23" s="16" t="e">
        <f>(MAX($D$7:$H$7)-E7)/(MAX($D$7:$H$7)-MIN($D$7:$H$7))</f>
        <v>#DIV/0!</v>
      </c>
      <c r="F23" s="16" t="e">
        <f>(MAX($D$7:$H$7)-F7)/(MAX($D$7:$H$7)-MIN($D$7:$H$7))</f>
        <v>#DIV/0!</v>
      </c>
      <c r="G23" s="16" t="e">
        <f>(MAX($D$7:$H$7)-G7)/(MAX($D$7:$H$7)-MIN($D$7:$H$7))</f>
        <v>#DIV/0!</v>
      </c>
      <c r="H23" s="16" t="e">
        <f>(MAX($D$7:$H$7)-H7)/(MAX($D$7:$H$7)-MIN($D$7:$H$7))</f>
        <v>#DIV/0!</v>
      </c>
    </row>
    <row r="24" spans="1:8" hidden="1" x14ac:dyDescent="0.35">
      <c r="B24" s="22" t="str">
        <f>CONCATENATE("Normalized"," ",B8)</f>
        <v>Normalized TAT for PR Approval vs. SLA Compliance (%)</v>
      </c>
      <c r="C24" s="23">
        <v>0.1</v>
      </c>
      <c r="D24" s="16" t="e">
        <f>(D8-MIN($D$8:$H$8))/(MAX($D$8:$H$8)-MIN($D$8:$H$8))</f>
        <v>#DIV/0!</v>
      </c>
      <c r="E24" s="16" t="e">
        <f>(E8-MIN($D$8:$H$8))/(MAX($D$8:$H$8)-MIN($D$8:$H$8))</f>
        <v>#DIV/0!</v>
      </c>
      <c r="F24" s="16" t="e">
        <f>(F8-MIN($D$8:$H$8))/(MAX($D$8:$H$8)-MIN($D$8:$H$8))</f>
        <v>#DIV/0!</v>
      </c>
      <c r="G24" s="16" t="e">
        <f>(G8-MIN($D$8:$H$8))/(MAX($D$8:$H$8)-MIN($D$8:$H$8))</f>
        <v>#DIV/0!</v>
      </c>
      <c r="H24" s="16" t="e">
        <f>(H8-MIN($D$8:$H$8))/(MAX($D$8:$H$8)-MIN($D$8:$H$8))</f>
        <v>#DIV/0!</v>
      </c>
    </row>
    <row r="25" spans="1:8" hidden="1" x14ac:dyDescent="0.35">
      <c r="B25" s="22" t="str">
        <f>CONCATENATE("Normalized"," ",B9)</f>
        <v>Normalized TAT for PR to PO SLA Conversion (Days)</v>
      </c>
      <c r="C25" s="23">
        <v>0.1</v>
      </c>
      <c r="D25" s="16" t="e">
        <f>(MAX($D$9:$H$9)-D9)/(MAX($D$9:$H$9)-MIN($D$9:$H$9))</f>
        <v>#DIV/0!</v>
      </c>
      <c r="E25" s="16" t="e">
        <f>(MAX($D$9:$H$9)-E9)/(MAX($D$9:$H$9)-MIN($D$9:$H$9))</f>
        <v>#DIV/0!</v>
      </c>
      <c r="F25" s="16" t="e">
        <f>(MAX($D$9:$H$9)-F9)/(MAX($D$9:$H$9)-MIN($D$9:$H$9))</f>
        <v>#DIV/0!</v>
      </c>
      <c r="G25" s="16" t="e">
        <f>(MAX($D$9:$H$9)-G9)/(MAX($D$9:$H$9)-MIN($D$9:$H$9))</f>
        <v>#DIV/0!</v>
      </c>
      <c r="H25" s="16" t="e">
        <f>(MAX($D$9:$H$9)-H9)/(MAX($D$9:$H$9)-MIN($D$9:$H$9))</f>
        <v>#DIV/0!</v>
      </c>
    </row>
    <row r="26" spans="1:8" hidden="1" x14ac:dyDescent="0.35">
      <c r="B26" s="22" t="s">
        <v>25</v>
      </c>
      <c r="C26" s="23">
        <v>0.05</v>
      </c>
      <c r="D26" s="16" t="e">
        <f>(D10-MIN($D$10:$H$10))/(MAX($D$10:$H$10)-MIN($D$10:$H$10))</f>
        <v>#DIV/0!</v>
      </c>
      <c r="E26" s="16" t="e">
        <f>(E10-MIN($D$10:$H$10))/(MAX($D$10:$H$10)-MIN($D$10:$H$10))</f>
        <v>#DIV/0!</v>
      </c>
      <c r="F26" s="16" t="e">
        <f>(F10-MIN($D$10:$H$10))/(MAX($D$10:$H$10)-MIN($D$10:$H$10))</f>
        <v>#DIV/0!</v>
      </c>
      <c r="G26" s="16" t="e">
        <f>(G10-MIN($D$10:$H$10))/(MAX($D$10:$H$10)-MIN($D$10:$H$10))</f>
        <v>#DIV/0!</v>
      </c>
      <c r="H26" s="16" t="e">
        <f>(H10-MIN($D$10:$H$10))/(MAX($D$10:$H$10)-MIN($D$10:$H$10))</f>
        <v>#DIV/0!</v>
      </c>
    </row>
    <row r="27" spans="1:8" hidden="1" x14ac:dyDescent="0.35">
      <c r="B27" s="24" t="str">
        <f>CONCATENATE("Normalized"," ",B11)</f>
        <v>Normalized TAT for custom clearance (AIR): SLA compliance (Days)</v>
      </c>
      <c r="C27" s="25">
        <v>0.05</v>
      </c>
      <c r="D27" s="16">
        <f>(MAX($D$11:$H$11)-D11)/(MAX($D$11:$H$11)-MIN($D$11:$H$11))</f>
        <v>0</v>
      </c>
      <c r="E27" s="16">
        <f>(MAX($D$11:$H$11)-E11)/(MAX($D$11:$H$11)-MIN($D$11:$H$11))</f>
        <v>1</v>
      </c>
      <c r="F27" s="16">
        <f>(MAX($D$11:$H$11)-F11)/(MAX($D$11:$H$11)-MIN($D$11:$H$11))</f>
        <v>1</v>
      </c>
      <c r="G27" s="16">
        <f>(MAX($D$11:$H$11)-G11)/(MAX($D$11:$H$11)-MIN($D$11:$H$11))</f>
        <v>1</v>
      </c>
      <c r="H27" s="16">
        <f>(MAX($D$11:$H$11)-H11)/(MAX($D$11:$H$11)-MIN($D$11:$H$11))</f>
        <v>1</v>
      </c>
    </row>
    <row r="28" spans="1:8" hidden="1" x14ac:dyDescent="0.35">
      <c r="B28" s="24" t="str">
        <f>CONCATENATE("Normalized"," ",B12)</f>
        <v>Normalized TAT for custom clearance (SEA): SLA compliance (Days)</v>
      </c>
      <c r="C28" s="25">
        <v>0.05</v>
      </c>
      <c r="D28" s="16">
        <f>(MAX($D$12:$H$12)-D12)/(MAX($D$12:$H$12)-MIN($D$12:$H$12))</f>
        <v>0</v>
      </c>
      <c r="E28" s="16">
        <f>(MAX($D$12:$H$12)-E12)/(MAX($D$12:$H$12)-MIN($D$12:$H$12))</f>
        <v>1</v>
      </c>
      <c r="F28" s="16">
        <f>(MAX($D$12:$H$12)-F12)/(MAX($D$12:$H$12)-MIN($D$12:$H$12))</f>
        <v>1</v>
      </c>
      <c r="G28" s="16">
        <f>(MAX($D$12:$H$12)-G12)/(MAX($D$12:$H$12)-MIN($D$12:$H$12))</f>
        <v>1</v>
      </c>
      <c r="H28" s="16">
        <f>(MAX($D$12:$H$12)-H12)/(MAX($D$12:$H$12)-MIN($D$12:$H$12))</f>
        <v>1</v>
      </c>
    </row>
    <row r="29" spans="1:8" hidden="1" x14ac:dyDescent="0.35">
      <c r="B29" s="26" t="str">
        <f>CONCATENATE("Normalized"," ",B13)</f>
        <v>Normalized % Purchase on Contracts (Count)</v>
      </c>
      <c r="C29" s="27">
        <v>0.2</v>
      </c>
      <c r="D29" s="16" t="e">
        <f>(D13-MIN($D$13:$H$13))/(MAX($D$13:$H$13)-MIN($D$13:$H$13))</f>
        <v>#DIV/0!</v>
      </c>
      <c r="E29" s="16" t="e">
        <f>(E13-MIN($D$13:$H$13))/(MAX($D$13:$H$13)-MIN($D$13:$H$13))</f>
        <v>#DIV/0!</v>
      </c>
      <c r="F29" s="16" t="e">
        <f>(F13-MIN($D$13:$H$13))/(MAX($D$13:$H$13)-MIN($D$13:$H$13))</f>
        <v>#DIV/0!</v>
      </c>
      <c r="G29" s="16" t="e">
        <f>(G13-MIN($D$13:$H$13))/(MAX($D$13:$H$13)-MIN($D$13:$H$13))</f>
        <v>#DIV/0!</v>
      </c>
      <c r="H29" s="16" t="e">
        <f>(H13-MIN($D$13:$H$13))/(MAX($D$13:$H$13)-MIN($D$13:$H$13))</f>
        <v>#DIV/0!</v>
      </c>
    </row>
    <row r="30" spans="1:8" hidden="1" x14ac:dyDescent="0.35">
      <c r="B30" s="28" t="str">
        <f>CONCATENATE("Normalized"," ",B15)</f>
        <v>Normalized PPOT (% Due invoices paid)</v>
      </c>
      <c r="C30" s="29">
        <v>0.15</v>
      </c>
      <c r="D30" s="16" t="e">
        <f>(D15-MIN($D$15:$H$15))/(MAX($D$15:$H$15)-MIN($D$15:$H$15))</f>
        <v>#DIV/0!</v>
      </c>
      <c r="E30" s="16" t="e">
        <f>(E15-MIN($D$15:$H$15))/(MAX($D$15:$H$15)-MIN($D$15:$H$15))</f>
        <v>#DIV/0!</v>
      </c>
      <c r="F30" s="16" t="e">
        <f>(F15-MIN($D$15:$H$15))/(MAX($D$15:$H$15)-MIN($D$15:$H$15))</f>
        <v>#DIV/0!</v>
      </c>
      <c r="G30" s="16" t="e">
        <f>(G15-MIN($D$15:$H$15))/(MAX($D$15:$H$15)-MIN($D$15:$H$15))</f>
        <v>#DIV/0!</v>
      </c>
      <c r="H30" s="16" t="e">
        <f>(H15-MIN($D$15:$H$15))/(MAX($D$15:$H$15)-MIN($D$15:$H$15))</f>
        <v>#DIV/0!</v>
      </c>
    </row>
    <row r="31" spans="1:8" ht="21" hidden="1" customHeight="1" x14ac:dyDescent="0.35">
      <c r="B31" s="19" t="s">
        <v>26</v>
      </c>
      <c r="C31" s="12"/>
      <c r="D31" s="31" t="e">
        <f>D21*$C$21+D22*$C$22+D23*$C$23+D24*$C$24+D25*$C$25+D26*$C$26+D27*$C$27+D28*$C$28+D29*$C$29+D30*$C$30</f>
        <v>#DIV/0!</v>
      </c>
      <c r="E31" s="31" t="e">
        <f>E21*$C$21+E22*$C$22+E23*$C$23+E24*$C$24+E25*$C$25+E26*$C$26+E27*$C$27+E28*$C$28+E29*$C$29+E30*$C$30</f>
        <v>#DIV/0!</v>
      </c>
      <c r="F31" s="31" t="e">
        <f>F21*$C$21+F22*$C$22+F23*$C$23+F24*$C$24+F25*$C$25+F26*$C$26+F27*$C$27+F28*$C$28+F29*$C$29+F30*$C$30</f>
        <v>#DIV/0!</v>
      </c>
      <c r="G31" s="31" t="e">
        <f>G21*$C$21+G22*$C$22+G23*$C$23+G24*$C$24+G25*$C$25+G26*$C$26+G27*$C$27+G28*$C$28+G29*$C$29+G30*$C$30</f>
        <v>#DIV/0!</v>
      </c>
      <c r="H31" s="31" t="e">
        <f>H21*$C$21+H22*$C$22+H23*$C$23+H24*$C$24+H25*$C$25+H26*$C$26+H27*$C$27+H28*$C$28+H29*$C$29+H30*$C$30</f>
        <v>#DIV/0!</v>
      </c>
    </row>
    <row r="32" spans="1:8" x14ac:dyDescent="0.35">
      <c r="A32" s="260" t="s">
        <v>27</v>
      </c>
      <c r="B32" s="235"/>
      <c r="C32" s="163" t="s">
        <v>0</v>
      </c>
      <c r="D32" s="164" t="s">
        <v>1</v>
      </c>
      <c r="E32" s="164" t="s">
        <v>2</v>
      </c>
      <c r="F32" s="164" t="s">
        <v>3</v>
      </c>
      <c r="G32" s="164" t="s">
        <v>4</v>
      </c>
      <c r="H32" s="165" t="s">
        <v>5</v>
      </c>
    </row>
    <row r="33" spans="1:8" x14ac:dyDescent="0.35">
      <c r="A33" s="235"/>
      <c r="B33" s="235"/>
      <c r="C33" s="255" t="s">
        <v>6</v>
      </c>
      <c r="D33" s="166"/>
      <c r="E33" s="166"/>
      <c r="F33" s="166"/>
      <c r="G33" s="166"/>
      <c r="H33" s="167"/>
    </row>
    <row r="34" spans="1:8" ht="15" customHeight="1" thickBot="1" x14ac:dyDescent="0.4">
      <c r="A34" s="235"/>
      <c r="B34" s="235"/>
      <c r="C34" s="257"/>
      <c r="D34" s="166"/>
      <c r="E34" s="166"/>
      <c r="F34" s="166"/>
      <c r="G34" s="166"/>
      <c r="H34" s="167"/>
    </row>
    <row r="35" spans="1:8" x14ac:dyDescent="0.35">
      <c r="A35" s="168" t="s">
        <v>7</v>
      </c>
      <c r="B35" s="169" t="s">
        <v>8</v>
      </c>
      <c r="C35" s="257"/>
      <c r="D35" s="166"/>
      <c r="E35" s="166"/>
      <c r="F35" s="166"/>
      <c r="G35" s="166"/>
      <c r="H35" s="167"/>
    </row>
    <row r="36" spans="1:8" x14ac:dyDescent="0.35">
      <c r="A36" s="259" t="s">
        <v>9</v>
      </c>
      <c r="B36" s="145" t="s">
        <v>28</v>
      </c>
      <c r="C36" s="141">
        <v>0.1</v>
      </c>
      <c r="D36" s="203">
        <f>(D5-'M-1 YTD performance'!D5)*10000</f>
        <v>797.90611896438929</v>
      </c>
      <c r="E36" s="203" t="e">
        <f>(E5-'M-1 YTD performance'!E5)*10000</f>
        <v>#DIV/0!</v>
      </c>
      <c r="F36" s="203" t="e">
        <f>(F5-'M-1 YTD performance'!F5)*10000</f>
        <v>#DIV/0!</v>
      </c>
      <c r="G36" s="203" t="e">
        <f>(G5-'M-1 YTD performance'!G5)*10000</f>
        <v>#DIV/0!</v>
      </c>
      <c r="H36" s="155" t="e">
        <f>(H5-'M-1 YTD performance'!H5)*10000</f>
        <v>#DIV/0!</v>
      </c>
    </row>
    <row r="37" spans="1:8" x14ac:dyDescent="0.35">
      <c r="A37" s="257"/>
      <c r="B37" s="146" t="s">
        <v>136</v>
      </c>
      <c r="C37" s="150"/>
      <c r="D37" s="178">
        <f>D6-'M-1 YTD performance'!D6</f>
        <v>-134165.16234251158</v>
      </c>
      <c r="E37" s="178">
        <f>E6-'M-1 YTD performance'!E6</f>
        <v>-1405117.3483655159</v>
      </c>
      <c r="F37" s="178">
        <f>F6-'M-1 YTD performance'!F6</f>
        <v>-2944643.0478628334</v>
      </c>
      <c r="G37" s="178">
        <f>G6-'M-1 YTD performance'!G6</f>
        <v>-5911843.2783816447</v>
      </c>
      <c r="H37" s="179">
        <f>H6-'M-1 YTD performance'!H6</f>
        <v>-4057811.9150561714</v>
      </c>
    </row>
    <row r="38" spans="1:8" x14ac:dyDescent="0.35">
      <c r="A38" s="256" t="s">
        <v>11</v>
      </c>
      <c r="B38" s="148" t="s">
        <v>12</v>
      </c>
      <c r="C38" s="199">
        <v>4</v>
      </c>
      <c r="D38" s="200">
        <f>D7-'M-1 YTD performance'!D7</f>
        <v>1.4649934441861854</v>
      </c>
      <c r="E38" s="200" t="e">
        <f>E7-'M-1 YTD performance'!E7</f>
        <v>#DIV/0!</v>
      </c>
      <c r="F38" s="200" t="e">
        <f>F7-'M-1 YTD performance'!F7</f>
        <v>#DIV/0!</v>
      </c>
      <c r="G38" s="200" t="e">
        <f>G7-'M-1 YTD performance'!G7</f>
        <v>#DIV/0!</v>
      </c>
      <c r="H38" s="155" t="e">
        <f>H7-'M-1 YTD performance'!H7</f>
        <v>#DIV/0!</v>
      </c>
    </row>
    <row r="39" spans="1:8" x14ac:dyDescent="0.35">
      <c r="A39" s="257"/>
      <c r="B39" s="146" t="s">
        <v>137</v>
      </c>
      <c r="C39" s="143">
        <v>0.9</v>
      </c>
      <c r="D39" s="203">
        <f>(D8-'M-1 YTD performance'!D8)*10000</f>
        <v>-1063.4076325565688</v>
      </c>
      <c r="E39" s="203" t="e">
        <f>(E8-'M-1 YTD performance'!E8)*10000</f>
        <v>#DIV/0!</v>
      </c>
      <c r="F39" s="203" t="e">
        <f>(F8-'M-1 YTD performance'!F8)*10000</f>
        <v>#DIV/0!</v>
      </c>
      <c r="G39" s="203" t="e">
        <f>(G8-'M-1 YTD performance'!G8)*10000</f>
        <v>#DIV/0!</v>
      </c>
      <c r="H39" s="155" t="e">
        <f>(H8-'M-1 YTD performance'!H8)*10000</f>
        <v>#DIV/0!</v>
      </c>
    </row>
    <row r="40" spans="1:8" x14ac:dyDescent="0.35">
      <c r="A40" s="257"/>
      <c r="B40" s="146" t="s">
        <v>14</v>
      </c>
      <c r="C40" s="142">
        <v>4</v>
      </c>
      <c r="D40" s="203">
        <f>D9-'M-1 YTD performance'!D9</f>
        <v>-1.4619166815662434</v>
      </c>
      <c r="E40" s="203" t="e">
        <f>E9-'M-1 YTD performance'!E9</f>
        <v>#DIV/0!</v>
      </c>
      <c r="F40" s="203" t="e">
        <f>F9-'M-1 YTD performance'!F9</f>
        <v>#DIV/0!</v>
      </c>
      <c r="G40" s="203" t="e">
        <f>G9-'M-1 YTD performance'!G9</f>
        <v>#DIV/0!</v>
      </c>
      <c r="H40" s="155" t="e">
        <f>H9-'M-1 YTD performance'!H9</f>
        <v>#DIV/0!</v>
      </c>
    </row>
    <row r="41" spans="1:8" x14ac:dyDescent="0.35">
      <c r="A41" s="258"/>
      <c r="B41" s="147" t="s">
        <v>138</v>
      </c>
      <c r="C41" s="151">
        <v>0.9</v>
      </c>
      <c r="D41" s="157">
        <f>(D10-'M-1 YTD performance'!D10)*10000</f>
        <v>153.7139678566457</v>
      </c>
      <c r="E41" s="158" t="e">
        <f>(E10-'M-1 YTD performance'!E10)*10000</f>
        <v>#DIV/0!</v>
      </c>
      <c r="F41" s="158" t="e">
        <f>(F10-'M-1 YTD performance'!F10)*10000</f>
        <v>#DIV/0!</v>
      </c>
      <c r="G41" s="158" t="e">
        <f>(G10-'M-1 YTD performance'!G10)*10000</f>
        <v>#DIV/0!</v>
      </c>
      <c r="H41" s="159" t="e">
        <f>(H10-'M-1 YTD performance'!H10)*10000</f>
        <v>#DIV/0!</v>
      </c>
    </row>
    <row r="42" spans="1:8" x14ac:dyDescent="0.35">
      <c r="A42" s="253" t="s">
        <v>16</v>
      </c>
      <c r="B42" s="146" t="s">
        <v>17</v>
      </c>
      <c r="C42" s="142">
        <v>5</v>
      </c>
      <c r="D42" s="203">
        <f>D11-'M-1 YTD performance'!D11</f>
        <v>0.30454545454545379</v>
      </c>
      <c r="E42" s="203">
        <f>E11-'M-1 YTD performance'!E11</f>
        <v>-8.75</v>
      </c>
      <c r="F42" s="203">
        <f>F11-'M-1 YTD performance'!F11</f>
        <v>-5.7115384615384617</v>
      </c>
      <c r="G42" s="203">
        <f>G11-'M-1 YTD performance'!G11</f>
        <v>-5.9318181818181817</v>
      </c>
      <c r="H42" s="155">
        <f>H11-'M-1 YTD performance'!H11</f>
        <v>-8.7857142857142865</v>
      </c>
    </row>
    <row r="43" spans="1:8" x14ac:dyDescent="0.35">
      <c r="A43" s="258"/>
      <c r="B43" s="147" t="s">
        <v>18</v>
      </c>
      <c r="C43" s="156">
        <v>10</v>
      </c>
      <c r="D43" s="157">
        <f>D12-'M-1 YTD performance'!D12</f>
        <v>5.5098039215686274</v>
      </c>
      <c r="E43" s="158">
        <f>E12-'M-1 YTD performance'!E12</f>
        <v>-12</v>
      </c>
      <c r="F43" s="158">
        <f>F12-'M-1 YTD performance'!F12</f>
        <v>-6.9333333333333336</v>
      </c>
      <c r="G43" s="158">
        <f>G12-'M-1 YTD performance'!G12</f>
        <v>-17.166666666666668</v>
      </c>
      <c r="H43" s="159">
        <f>H12-'M-1 YTD performance'!H12</f>
        <v>-11.384615384615385</v>
      </c>
    </row>
    <row r="44" spans="1:8" x14ac:dyDescent="0.35">
      <c r="A44" s="253" t="s">
        <v>69</v>
      </c>
      <c r="B44" s="146" t="s">
        <v>141</v>
      </c>
      <c r="C44" s="143">
        <v>0.7</v>
      </c>
      <c r="D44" s="203">
        <f>(D13-'M-1 YTD performance'!D13)*10000</f>
        <v>-6312.056737588653</v>
      </c>
      <c r="E44" s="203" t="e">
        <f>(E13-'M-1 YTD performance'!E13)*10000</f>
        <v>#DIV/0!</v>
      </c>
      <c r="F44" s="203" t="e">
        <f>(F13-'M-1 YTD performance'!F13)*10000</f>
        <v>#DIV/0!</v>
      </c>
      <c r="G44" s="203" t="e">
        <f>(G13-'M-1 YTD performance'!G13)*10000</f>
        <v>#DIV/0!</v>
      </c>
      <c r="H44" s="155" t="e">
        <f>(H13-'M-1 YTD performance'!H13)*10000</f>
        <v>#DIV/0!</v>
      </c>
    </row>
    <row r="45" spans="1:8" x14ac:dyDescent="0.35">
      <c r="A45" s="254"/>
      <c r="B45" s="147" t="s">
        <v>142</v>
      </c>
      <c r="C45" s="151">
        <v>0.7</v>
      </c>
      <c r="D45" s="157">
        <f>(D14-'M-1 YTD performance'!D14)*10000</f>
        <v>-8674.9214239949342</v>
      </c>
      <c r="E45" s="158">
        <f>(E14-'M-1 YTD performance'!E14)*10000</f>
        <v>-6847.5341676910693</v>
      </c>
      <c r="F45" s="158">
        <f>(F14-'M-1 YTD performance'!F14)*10000</f>
        <v>-3424.4347495100351</v>
      </c>
      <c r="G45" s="158">
        <f>(G14-'M-1 YTD performance'!G14)*10000</f>
        <v>-8653.3851894573545</v>
      </c>
      <c r="H45" s="159">
        <f>(H14-'M-1 YTD performance'!H14)*10000</f>
        <v>-6383.2356103025468</v>
      </c>
    </row>
    <row r="46" spans="1:8" ht="15" customHeight="1" thickBot="1" x14ac:dyDescent="0.4">
      <c r="A46" s="170" t="s">
        <v>20</v>
      </c>
      <c r="B46" s="149" t="s">
        <v>143</v>
      </c>
      <c r="C46" s="144">
        <v>0.7</v>
      </c>
      <c r="D46" s="180">
        <f>(D15-'M-1 YTD performance'!D15)*10000</f>
        <v>-6940.5174713256865</v>
      </c>
      <c r="E46" s="180">
        <f>(E15-'M-1 YTD performance'!E15)*10000</f>
        <v>-8704.414587332054</v>
      </c>
      <c r="F46" s="180">
        <f>(F15-'M-1 YTD performance'!F15)*10000</f>
        <v>0</v>
      </c>
      <c r="G46" s="180">
        <f>(G15-'M-1 YTD performance'!G15)*10000</f>
        <v>-4575.3968253968251</v>
      </c>
      <c r="H46" s="204">
        <f>(H15-'M-1 YTD performance'!H15)*10000</f>
        <v>-7741.9354838709678</v>
      </c>
    </row>
  </sheetData>
  <mergeCells count="16">
    <mergeCell ref="I5:I6"/>
    <mergeCell ref="I7:I8"/>
    <mergeCell ref="I13:I14"/>
    <mergeCell ref="A44:A45"/>
    <mergeCell ref="C2:C4"/>
    <mergeCell ref="A38:A41"/>
    <mergeCell ref="A5:A6"/>
    <mergeCell ref="C33:C35"/>
    <mergeCell ref="A1:B3"/>
    <mergeCell ref="A36:A37"/>
    <mergeCell ref="A13:A14"/>
    <mergeCell ref="A42:A43"/>
    <mergeCell ref="B18:H18"/>
    <mergeCell ref="A32:B34"/>
    <mergeCell ref="A7:A10"/>
    <mergeCell ref="A11:A12"/>
  </mergeCells>
  <conditionalFormatting sqref="D38:G38">
    <cfRule type="cellIs" dxfId="55" priority="66" operator="greaterThan">
      <formula>0</formula>
    </cfRule>
  </conditionalFormatting>
  <conditionalFormatting sqref="D5:H5">
    <cfRule type="cellIs" dxfId="54" priority="56" stopIfTrue="1" operator="lessThan">
      <formula>$C$5</formula>
    </cfRule>
    <cfRule type="cellIs" dxfId="53" priority="57" stopIfTrue="1" operator="greaterThanOrEqual">
      <formula>$C$5</formula>
    </cfRule>
  </conditionalFormatting>
  <conditionalFormatting sqref="D7:H7">
    <cfRule type="cellIs" dxfId="52" priority="64" stopIfTrue="1" operator="greaterThan">
      <formula>$C$7</formula>
    </cfRule>
    <cfRule type="cellIs" dxfId="51" priority="65" stopIfTrue="1" operator="lessThanOrEqual">
      <formula>C7+$C$7</formula>
    </cfRule>
  </conditionalFormatting>
  <conditionalFormatting sqref="D8:H8">
    <cfRule type="cellIs" dxfId="50" priority="62" stopIfTrue="1" operator="lessThan">
      <formula>$C$8</formula>
    </cfRule>
    <cfRule type="cellIs" dxfId="49" priority="63" stopIfTrue="1" operator="greaterThanOrEqual">
      <formula>$C$8</formula>
    </cfRule>
  </conditionalFormatting>
  <conditionalFormatting sqref="D9:H9">
    <cfRule type="cellIs" dxfId="48" priority="60" stopIfTrue="1" operator="greaterThan">
      <formula>$C$9</formula>
    </cfRule>
    <cfRule type="cellIs" dxfId="47" priority="61" stopIfTrue="1" operator="lessThanOrEqual">
      <formula>$C$9</formula>
    </cfRule>
  </conditionalFormatting>
  <conditionalFormatting sqref="D10:H10">
    <cfRule type="cellIs" dxfId="46" priority="41" stopIfTrue="1" operator="lessThan">
      <formula>$C$8</formula>
    </cfRule>
    <cfRule type="cellIs" dxfId="45" priority="42" stopIfTrue="1" operator="greaterThanOrEqual">
      <formula>$C$8</formula>
    </cfRule>
  </conditionalFormatting>
  <conditionalFormatting sqref="D11:H11">
    <cfRule type="cellIs" dxfId="44" priority="54" stopIfTrue="1" operator="greaterThan">
      <formula>$C$11</formula>
    </cfRule>
    <cfRule type="cellIs" dxfId="43" priority="55" stopIfTrue="1" operator="lessThanOrEqual">
      <formula>$C$11</formula>
    </cfRule>
  </conditionalFormatting>
  <conditionalFormatting sqref="D12:H12">
    <cfRule type="cellIs" dxfId="42" priority="52" stopIfTrue="1" operator="greaterThan">
      <formula>$C$12</formula>
    </cfRule>
    <cfRule type="cellIs" dxfId="41" priority="53" stopIfTrue="1" operator="lessThanOrEqual">
      <formula>$C$12</formula>
    </cfRule>
  </conditionalFormatting>
  <conditionalFormatting sqref="D13:H14">
    <cfRule type="cellIs" dxfId="40" priority="58" stopIfTrue="1" operator="lessThan">
      <formula>$C$13</formula>
    </cfRule>
    <cfRule type="cellIs" dxfId="39" priority="59" stopIfTrue="1" operator="greaterThanOrEqual">
      <formula>$C$13</formula>
    </cfRule>
  </conditionalFormatting>
  <conditionalFormatting sqref="D15:H15">
    <cfRule type="cellIs" dxfId="38" priority="50" operator="lessThan">
      <formula>$C$15</formula>
    </cfRule>
    <cfRule type="cellIs" dxfId="37" priority="51" operator="greaterThanOrEqual">
      <formula>$C$15</formula>
    </cfRule>
  </conditionalFormatting>
  <conditionalFormatting sqref="D16:H16">
    <cfRule type="colorScale" priority="49">
      <colorScale>
        <cfvo type="min"/>
        <cfvo type="percentile" val="50"/>
        <cfvo type="max"/>
        <color rgb="FF63BE7B"/>
        <color rgb="FFFFEB84"/>
        <color rgb="FFF8696B"/>
      </colorScale>
    </cfRule>
  </conditionalFormatting>
  <conditionalFormatting sqref="D31:H31">
    <cfRule type="colorScale" priority="47">
      <colorScale>
        <cfvo type="min"/>
        <cfvo type="percentile" val="50"/>
        <cfvo type="max"/>
        <color rgb="FFF8696B"/>
        <color rgb="FFFFEB84"/>
        <color rgb="FF63BE7B"/>
      </colorScale>
    </cfRule>
  </conditionalFormatting>
  <conditionalFormatting sqref="D36:H37">
    <cfRule type="cellIs" dxfId="36" priority="43" operator="greaterThanOrEqual">
      <formula>0</formula>
    </cfRule>
    <cfRule type="cellIs" dxfId="35" priority="44" operator="lessThan">
      <formula>0</formula>
    </cfRule>
  </conditionalFormatting>
  <conditionalFormatting sqref="D38:H38">
    <cfRule type="cellIs" dxfId="34" priority="1" operator="lessThanOrEqual">
      <formula>0</formula>
    </cfRule>
  </conditionalFormatting>
  <conditionalFormatting sqref="D39:H39">
    <cfRule type="cellIs" dxfId="33" priority="67" operator="greaterThanOrEqual">
      <formula>0</formula>
    </cfRule>
    <cfRule type="cellIs" dxfId="32" priority="67" operator="lessThan">
      <formula>0</formula>
    </cfRule>
  </conditionalFormatting>
  <conditionalFormatting sqref="D40:H40">
    <cfRule type="cellIs" dxfId="31" priority="68" operator="greaterThan">
      <formula>0</formula>
    </cfRule>
    <cfRule type="cellIs" dxfId="30" priority="68" operator="lessThanOrEqual">
      <formula>0</formula>
    </cfRule>
  </conditionalFormatting>
  <conditionalFormatting sqref="D41:H41">
    <cfRule type="cellIs" dxfId="29" priority="70" operator="greaterThanOrEqual">
      <formula>0</formula>
    </cfRule>
    <cfRule type="cellIs" dxfId="28" priority="70" operator="lessThan">
      <formula>0</formula>
    </cfRule>
  </conditionalFormatting>
  <conditionalFormatting sqref="D42:H43">
    <cfRule type="cellIs" dxfId="27" priority="73" operator="lessThanOrEqual">
      <formula>0</formula>
    </cfRule>
    <cfRule type="cellIs" dxfId="26" priority="73" operator="greaterThan">
      <formula>0</formula>
    </cfRule>
  </conditionalFormatting>
  <conditionalFormatting sqref="D44:H46">
    <cfRule type="cellIs" dxfId="25" priority="71" operator="greaterThanOrEqual">
      <formula>0</formula>
    </cfRule>
    <cfRule type="cellIs" dxfId="24" priority="71" operator="lessThan">
      <formula>0</formula>
    </cfRule>
  </conditionalFormatting>
  <pageMargins left="0.7" right="0.7" top="0.75" bottom="0.75" header="0.3" footer="0.3"/>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2"/>
  </sheetPr>
  <dimension ref="A1:X1758"/>
  <sheetViews>
    <sheetView tabSelected="1" zoomScale="70" zoomScaleNormal="70" workbookViewId="0">
      <pane ySplit="4" topLeftCell="A5" activePane="bottomLeft" state="frozen"/>
      <selection pane="bottomLeft" activeCell="N25" sqref="N25"/>
    </sheetView>
  </sheetViews>
  <sheetFormatPr baseColWidth="10" defaultColWidth="11.453125" defaultRowHeight="14.5" x14ac:dyDescent="0.35"/>
  <cols>
    <col min="1" max="1" width="1.7265625" customWidth="1"/>
    <col min="2" max="2" width="9.26953125" bestFit="1" customWidth="1"/>
    <col min="3" max="3" width="19" style="49" customWidth="1"/>
    <col min="4" max="4" width="18.54296875" style="49" customWidth="1"/>
    <col min="5" max="5" width="16.54296875" bestFit="1" customWidth="1"/>
    <col min="6" max="6" width="22.7265625" bestFit="1" customWidth="1"/>
    <col min="7" max="7" width="21.08984375" style="37" customWidth="1"/>
    <col min="8" max="8" width="18.54296875" style="64" customWidth="1"/>
    <col min="9" max="9" width="18.81640625" customWidth="1"/>
    <col min="10" max="10" width="14.36328125" style="37" bestFit="1" customWidth="1"/>
    <col min="11" max="11" width="16.81640625" bestFit="1" customWidth="1"/>
    <col min="12" max="12" width="15.6328125" style="62" bestFit="1" customWidth="1"/>
    <col min="13" max="13" width="14.54296875" bestFit="1" customWidth="1"/>
    <col min="14" max="14" width="116.7265625" style="135" customWidth="1"/>
    <col min="15" max="15" width="51.81640625" style="135" customWidth="1"/>
    <col min="16" max="16" width="11.7265625" customWidth="1"/>
    <col min="17" max="17" width="17.1796875" style="226" bestFit="1" customWidth="1"/>
    <col min="18" max="18" width="18.54296875" style="226" bestFit="1" customWidth="1"/>
    <col min="19" max="19" width="15.7265625" bestFit="1" customWidth="1"/>
    <col min="20" max="21" width="15.7265625" customWidth="1"/>
    <col min="22" max="22" width="15.7265625" bestFit="1" customWidth="1"/>
    <col min="23" max="23" width="12.6328125" customWidth="1"/>
  </cols>
  <sheetData>
    <row r="1" spans="1:24" x14ac:dyDescent="0.35">
      <c r="B1" s="233" t="s">
        <v>32</v>
      </c>
      <c r="C1" s="234"/>
      <c r="D1" s="234"/>
      <c r="E1" s="235"/>
      <c r="F1" s="235"/>
      <c r="G1" s="236"/>
      <c r="H1" s="237"/>
      <c r="I1" s="235"/>
      <c r="J1" s="236"/>
      <c r="K1" s="235"/>
      <c r="L1" s="238"/>
      <c r="M1" s="235"/>
      <c r="N1" s="239"/>
      <c r="O1" s="239"/>
      <c r="P1" s="235"/>
      <c r="Q1" s="240"/>
      <c r="R1" s="240"/>
      <c r="S1" s="235"/>
      <c r="T1" s="235"/>
      <c r="U1" s="235"/>
      <c r="V1" s="235"/>
      <c r="W1" s="235"/>
    </row>
    <row r="2" spans="1:24" ht="14.5" customHeight="1" x14ac:dyDescent="0.35">
      <c r="C2" s="241" t="s">
        <v>71</v>
      </c>
      <c r="F2" t="str">
        <f>LEFT('[1]PR-PO SLA &amp; Contract%'!G5,10)</f>
        <v>30/01/2026</v>
      </c>
      <c r="G2" s="243" t="s">
        <v>72</v>
      </c>
      <c r="H2" s="243" t="s">
        <v>72</v>
      </c>
      <c r="I2" s="245" t="s">
        <v>76</v>
      </c>
      <c r="J2" s="243" t="s">
        <v>72</v>
      </c>
      <c r="K2" s="245" t="s">
        <v>76</v>
      </c>
      <c r="L2" s="243" t="s">
        <v>72</v>
      </c>
      <c r="M2" s="245" t="s">
        <v>76</v>
      </c>
      <c r="P2" s="245" t="s">
        <v>77</v>
      </c>
      <c r="S2" s="245" t="s">
        <v>76</v>
      </c>
      <c r="T2" s="245" t="s">
        <v>237</v>
      </c>
      <c r="U2" s="245" t="s">
        <v>238</v>
      </c>
      <c r="W2" s="245" t="s">
        <v>76</v>
      </c>
    </row>
    <row r="3" spans="1:24" ht="43.5" customHeight="1" x14ac:dyDescent="0.35">
      <c r="C3" s="242"/>
      <c r="F3" t="str">
        <f>RIGHT(LEFT('[1]PR-PO SLA &amp; Contract%'!G5,8),4)</f>
        <v>1/20</v>
      </c>
      <c r="G3" s="244"/>
      <c r="H3" s="244"/>
      <c r="I3" s="246"/>
      <c r="J3" s="244"/>
      <c r="K3" s="246"/>
      <c r="L3" s="244"/>
      <c r="M3" s="246"/>
      <c r="P3" s="246"/>
      <c r="S3" s="246"/>
      <c r="T3" s="246"/>
      <c r="U3" s="246"/>
      <c r="W3" s="246"/>
      <c r="X3" s="202"/>
    </row>
    <row r="4" spans="1:24" ht="46.5" customHeight="1" x14ac:dyDescent="0.35">
      <c r="B4" s="51" t="s">
        <v>33</v>
      </c>
      <c r="C4" s="52" t="s">
        <v>34</v>
      </c>
      <c r="D4" s="52" t="s">
        <v>35</v>
      </c>
      <c r="E4" s="131" t="s">
        <v>36</v>
      </c>
      <c r="F4" s="52" t="s">
        <v>37</v>
      </c>
      <c r="G4" s="73" t="s">
        <v>38</v>
      </c>
      <c r="H4" s="65" t="s">
        <v>39</v>
      </c>
      <c r="I4" s="51" t="s">
        <v>40</v>
      </c>
      <c r="J4" s="53" t="s">
        <v>41</v>
      </c>
      <c r="K4" s="51" t="s">
        <v>42</v>
      </c>
      <c r="L4" s="66" t="s">
        <v>43</v>
      </c>
      <c r="M4" s="51" t="s">
        <v>44</v>
      </c>
      <c r="N4" s="54" t="s">
        <v>45</v>
      </c>
      <c r="O4" s="54" t="s">
        <v>46</v>
      </c>
      <c r="P4" s="51" t="s">
        <v>47</v>
      </c>
      <c r="Q4" s="227" t="s">
        <v>48</v>
      </c>
      <c r="R4" s="227" t="s">
        <v>49</v>
      </c>
      <c r="S4" s="51" t="s">
        <v>50</v>
      </c>
      <c r="T4" s="51" t="s">
        <v>236</v>
      </c>
      <c r="U4" s="51" t="s">
        <v>235</v>
      </c>
      <c r="V4" s="51" t="s">
        <v>51</v>
      </c>
      <c r="W4" s="51" t="s">
        <v>52</v>
      </c>
    </row>
    <row r="5" spans="1:24" x14ac:dyDescent="0.35">
      <c r="A5" s="61"/>
      <c r="B5" s="55">
        <v>1</v>
      </c>
      <c r="C5" s="70" t="s">
        <v>822</v>
      </c>
      <c r="D5" s="129">
        <v>136497</v>
      </c>
      <c r="E5" s="128"/>
      <c r="F5" s="130">
        <v>138888</v>
      </c>
      <c r="G5" s="71">
        <v>46211</v>
      </c>
      <c r="H5" s="71" t="s">
        <v>239</v>
      </c>
      <c r="I5" s="56">
        <f t="shared" ref="I5:I61" si="0">IF(OR(H5="", G5=""), "", NETWORKDAYS(G5, H5))</f>
        <v>4</v>
      </c>
      <c r="J5" s="71">
        <v>46260</v>
      </c>
      <c r="K5" s="56">
        <f t="shared" ref="K5:K61" si="1">IF(OR(H5="", J5=""), "", NETWORKDAYS(H5, J5))</f>
        <v>33</v>
      </c>
      <c r="L5" s="71" t="s">
        <v>264</v>
      </c>
      <c r="M5" s="56">
        <f t="shared" ref="M5:M61" si="2">IF(OR(J5="", L5=""), "", NETWORKDAYS(J5, L5))</f>
        <v>1</v>
      </c>
      <c r="N5" s="50" t="s">
        <v>270</v>
      </c>
      <c r="O5" s="50" t="s">
        <v>604</v>
      </c>
      <c r="P5" s="57" t="s">
        <v>53</v>
      </c>
      <c r="Q5" s="224">
        <v>391.30434782608694</v>
      </c>
      <c r="R5" s="224">
        <v>391.30434782608694</v>
      </c>
      <c r="S5" s="58">
        <f t="shared" ref="S5:S61" si="3">Q5-R5</f>
        <v>0</v>
      </c>
      <c r="T5" s="58"/>
      <c r="U5" s="58"/>
      <c r="V5" s="59">
        <f t="shared" ref="V5:V61" si="4">IF(Q5="", "", Q5*10%)</f>
        <v>39.130434782608695</v>
      </c>
      <c r="W5" s="60">
        <f t="shared" ref="W5:W61" si="5">IF(OR(Q5="", R5=""), "", (Q5- R5)/Q5)</f>
        <v>0</v>
      </c>
    </row>
    <row r="6" spans="1:24" x14ac:dyDescent="0.35">
      <c r="A6" s="61"/>
      <c r="B6" s="55">
        <v>2</v>
      </c>
      <c r="C6" s="70" t="s">
        <v>822</v>
      </c>
      <c r="D6" s="129">
        <v>136157</v>
      </c>
      <c r="E6" s="128"/>
      <c r="F6" s="130">
        <v>138949</v>
      </c>
      <c r="G6" s="71">
        <v>46213</v>
      </c>
      <c r="H6" s="71" t="s">
        <v>240</v>
      </c>
      <c r="I6" s="56">
        <f t="shared" si="0"/>
        <v>16</v>
      </c>
      <c r="J6" s="71">
        <v>46237</v>
      </c>
      <c r="K6" s="56">
        <f t="shared" si="1"/>
        <v>2</v>
      </c>
      <c r="L6" s="71" t="s">
        <v>250</v>
      </c>
      <c r="M6" s="56">
        <f t="shared" si="2"/>
        <v>1</v>
      </c>
      <c r="N6" s="50">
        <v>0</v>
      </c>
      <c r="O6" s="50" t="s">
        <v>605</v>
      </c>
      <c r="P6" s="57" t="s">
        <v>53</v>
      </c>
      <c r="Q6" s="224">
        <v>2419.891304347826</v>
      </c>
      <c r="R6" s="224">
        <v>2419.891304347826</v>
      </c>
      <c r="S6" s="58">
        <f t="shared" si="3"/>
        <v>0</v>
      </c>
      <c r="T6" s="58"/>
      <c r="U6" s="58"/>
      <c r="V6" s="59">
        <f t="shared" si="4"/>
        <v>241.98913043478262</v>
      </c>
      <c r="W6" s="60">
        <f t="shared" si="5"/>
        <v>0</v>
      </c>
    </row>
    <row r="7" spans="1:24" x14ac:dyDescent="0.35">
      <c r="A7" s="61"/>
      <c r="B7" s="55">
        <v>3</v>
      </c>
      <c r="C7" s="70" t="s">
        <v>822</v>
      </c>
      <c r="D7" s="129">
        <v>136158</v>
      </c>
      <c r="E7" s="128"/>
      <c r="F7" s="130">
        <v>138947</v>
      </c>
      <c r="G7" s="71">
        <v>46213</v>
      </c>
      <c r="H7" s="71" t="s">
        <v>240</v>
      </c>
      <c r="I7" s="56">
        <f t="shared" si="0"/>
        <v>16</v>
      </c>
      <c r="J7" s="71">
        <v>46237</v>
      </c>
      <c r="K7" s="56">
        <f t="shared" si="1"/>
        <v>2</v>
      </c>
      <c r="L7" s="71" t="s">
        <v>250</v>
      </c>
      <c r="M7" s="56">
        <f t="shared" si="2"/>
        <v>1</v>
      </c>
      <c r="N7" s="50">
        <v>0</v>
      </c>
      <c r="O7" s="50" t="s">
        <v>605</v>
      </c>
      <c r="P7" s="57" t="s">
        <v>53</v>
      </c>
      <c r="Q7" s="224">
        <v>341.95652173913044</v>
      </c>
      <c r="R7" s="224">
        <v>341.95652173913044</v>
      </c>
      <c r="S7" s="58">
        <f t="shared" si="3"/>
        <v>0</v>
      </c>
      <c r="T7" s="58"/>
      <c r="U7" s="58"/>
      <c r="V7" s="59">
        <f t="shared" si="4"/>
        <v>34.195652173913047</v>
      </c>
      <c r="W7" s="60">
        <f t="shared" si="5"/>
        <v>0</v>
      </c>
    </row>
    <row r="8" spans="1:24" x14ac:dyDescent="0.35">
      <c r="A8" s="61"/>
      <c r="B8" s="55">
        <v>4</v>
      </c>
      <c r="C8" s="70" t="s">
        <v>822</v>
      </c>
      <c r="D8" s="129">
        <v>136159</v>
      </c>
      <c r="E8" s="128"/>
      <c r="F8" s="130">
        <v>138931</v>
      </c>
      <c r="G8" s="71">
        <v>46213</v>
      </c>
      <c r="H8" s="71" t="s">
        <v>240</v>
      </c>
      <c r="I8" s="56">
        <f t="shared" si="0"/>
        <v>16</v>
      </c>
      <c r="J8" s="71">
        <v>46237</v>
      </c>
      <c r="K8" s="56">
        <f t="shared" si="1"/>
        <v>2</v>
      </c>
      <c r="L8" s="71" t="s">
        <v>250</v>
      </c>
      <c r="M8" s="56">
        <f t="shared" si="2"/>
        <v>1</v>
      </c>
      <c r="N8" s="50">
        <v>0</v>
      </c>
      <c r="O8" s="50" t="s">
        <v>605</v>
      </c>
      <c r="P8" s="57" t="s">
        <v>53</v>
      </c>
      <c r="Q8" s="224">
        <v>336.95652173913044</v>
      </c>
      <c r="R8" s="224">
        <v>336.95652173913044</v>
      </c>
      <c r="S8" s="58">
        <f t="shared" si="3"/>
        <v>0</v>
      </c>
      <c r="T8" s="58"/>
      <c r="U8" s="58"/>
      <c r="V8" s="59">
        <f t="shared" si="4"/>
        <v>33.695652173913047</v>
      </c>
      <c r="W8" s="60">
        <f t="shared" si="5"/>
        <v>0</v>
      </c>
    </row>
    <row r="9" spans="1:24" x14ac:dyDescent="0.35">
      <c r="A9" s="61"/>
      <c r="B9" s="55">
        <v>5</v>
      </c>
      <c r="C9" s="70" t="s">
        <v>822</v>
      </c>
      <c r="D9" s="129">
        <v>136160</v>
      </c>
      <c r="E9" s="128"/>
      <c r="F9" s="130">
        <v>138945</v>
      </c>
      <c r="G9" s="71">
        <v>46213</v>
      </c>
      <c r="H9" s="71" t="s">
        <v>240</v>
      </c>
      <c r="I9" s="56">
        <f t="shared" si="0"/>
        <v>16</v>
      </c>
      <c r="J9" s="71">
        <v>46237</v>
      </c>
      <c r="K9" s="56">
        <f t="shared" si="1"/>
        <v>2</v>
      </c>
      <c r="L9" s="71" t="s">
        <v>250</v>
      </c>
      <c r="M9" s="56">
        <f t="shared" si="2"/>
        <v>1</v>
      </c>
      <c r="N9" s="50">
        <v>0</v>
      </c>
      <c r="O9" s="50" t="s">
        <v>605</v>
      </c>
      <c r="P9" s="57" t="s">
        <v>53</v>
      </c>
      <c r="Q9" s="224">
        <v>674.13043478260875</v>
      </c>
      <c r="R9" s="224">
        <v>674.13043478260875</v>
      </c>
      <c r="S9" s="58">
        <f t="shared" si="3"/>
        <v>0</v>
      </c>
      <c r="T9" s="58"/>
      <c r="U9" s="58"/>
      <c r="V9" s="59">
        <f t="shared" si="4"/>
        <v>67.413043478260875</v>
      </c>
      <c r="W9" s="60">
        <f t="shared" si="5"/>
        <v>0</v>
      </c>
    </row>
    <row r="10" spans="1:24" x14ac:dyDescent="0.35">
      <c r="A10" s="61"/>
      <c r="B10" s="55">
        <v>6</v>
      </c>
      <c r="C10" s="70" t="s">
        <v>822</v>
      </c>
      <c r="D10" s="129">
        <v>136156</v>
      </c>
      <c r="E10" s="128"/>
      <c r="F10" s="130">
        <v>139005</v>
      </c>
      <c r="G10" s="71">
        <v>46217</v>
      </c>
      <c r="H10" s="71" t="s">
        <v>240</v>
      </c>
      <c r="I10" s="56">
        <f t="shared" si="0"/>
        <v>14</v>
      </c>
      <c r="J10" s="71">
        <v>46237</v>
      </c>
      <c r="K10" s="56">
        <f t="shared" si="1"/>
        <v>2</v>
      </c>
      <c r="L10" s="71" t="s">
        <v>250</v>
      </c>
      <c r="M10" s="56">
        <f t="shared" si="2"/>
        <v>1</v>
      </c>
      <c r="N10" s="50">
        <v>0</v>
      </c>
      <c r="O10" s="50" t="s">
        <v>605</v>
      </c>
      <c r="P10" s="57" t="s">
        <v>53</v>
      </c>
      <c r="Q10" s="224">
        <v>2769.086956521739</v>
      </c>
      <c r="R10" s="224">
        <v>2769.086956521739</v>
      </c>
      <c r="S10" s="58">
        <f t="shared" si="3"/>
        <v>0</v>
      </c>
      <c r="T10" s="58"/>
      <c r="U10" s="58"/>
      <c r="V10" s="59">
        <f t="shared" si="4"/>
        <v>276.90869565217389</v>
      </c>
      <c r="W10" s="60">
        <f t="shared" si="5"/>
        <v>0</v>
      </c>
    </row>
    <row r="11" spans="1:24" x14ac:dyDescent="0.35">
      <c r="A11" s="61"/>
      <c r="B11" s="55">
        <v>7</v>
      </c>
      <c r="C11" s="70" t="s">
        <v>822</v>
      </c>
      <c r="D11" s="129">
        <v>136155</v>
      </c>
      <c r="E11" s="128"/>
      <c r="F11" s="130">
        <v>139038</v>
      </c>
      <c r="G11" s="71">
        <v>46219</v>
      </c>
      <c r="H11" s="71" t="s">
        <v>240</v>
      </c>
      <c r="I11" s="56">
        <f t="shared" si="0"/>
        <v>12</v>
      </c>
      <c r="J11" s="71">
        <v>46237</v>
      </c>
      <c r="K11" s="56">
        <f t="shared" si="1"/>
        <v>2</v>
      </c>
      <c r="L11" s="71" t="s">
        <v>250</v>
      </c>
      <c r="M11" s="56">
        <f t="shared" si="2"/>
        <v>1</v>
      </c>
      <c r="N11" s="50">
        <v>0</v>
      </c>
      <c r="O11" s="50" t="s">
        <v>606</v>
      </c>
      <c r="P11" s="57" t="s">
        <v>53</v>
      </c>
      <c r="Q11" s="224">
        <v>326.08695652173913</v>
      </c>
      <c r="R11" s="224">
        <v>326.08695652173913</v>
      </c>
      <c r="S11" s="58">
        <f t="shared" si="3"/>
        <v>0</v>
      </c>
      <c r="T11" s="58"/>
      <c r="U11" s="58"/>
      <c r="V11" s="59">
        <f t="shared" si="4"/>
        <v>32.608695652173914</v>
      </c>
      <c r="W11" s="60">
        <f t="shared" si="5"/>
        <v>0</v>
      </c>
    </row>
    <row r="12" spans="1:24" x14ac:dyDescent="0.35">
      <c r="A12" s="61"/>
      <c r="B12" s="55">
        <v>8</v>
      </c>
      <c r="C12" s="70" t="s">
        <v>822</v>
      </c>
      <c r="D12" s="129">
        <v>136154</v>
      </c>
      <c r="E12" s="128"/>
      <c r="F12" s="130">
        <v>139090</v>
      </c>
      <c r="G12" s="71">
        <v>46220</v>
      </c>
      <c r="H12" s="71" t="s">
        <v>240</v>
      </c>
      <c r="I12" s="56">
        <f t="shared" si="0"/>
        <v>11</v>
      </c>
      <c r="J12" s="71">
        <v>46237</v>
      </c>
      <c r="K12" s="56">
        <f t="shared" si="1"/>
        <v>2</v>
      </c>
      <c r="L12" s="71" t="s">
        <v>250</v>
      </c>
      <c r="M12" s="56">
        <f t="shared" si="2"/>
        <v>1</v>
      </c>
      <c r="N12" s="50" t="s">
        <v>271</v>
      </c>
      <c r="O12" s="50" t="s">
        <v>607</v>
      </c>
      <c r="P12" s="57" t="s">
        <v>53</v>
      </c>
      <c r="Q12" s="224">
        <v>1408.695652173913</v>
      </c>
      <c r="R12" s="224">
        <v>1408.695652173913</v>
      </c>
      <c r="S12" s="58">
        <f t="shared" si="3"/>
        <v>0</v>
      </c>
      <c r="T12" s="58"/>
      <c r="U12" s="58"/>
      <c r="V12" s="59">
        <f t="shared" si="4"/>
        <v>140.86956521739131</v>
      </c>
      <c r="W12" s="60">
        <f t="shared" si="5"/>
        <v>0</v>
      </c>
    </row>
    <row r="13" spans="1:24" x14ac:dyDescent="0.35">
      <c r="A13" s="61"/>
      <c r="B13" s="55">
        <v>9</v>
      </c>
      <c r="C13" s="70" t="s">
        <v>822</v>
      </c>
      <c r="D13" s="129">
        <v>136202</v>
      </c>
      <c r="E13" s="128"/>
      <c r="F13" s="130">
        <v>139078</v>
      </c>
      <c r="G13" s="71">
        <v>46220</v>
      </c>
      <c r="H13" s="71" t="s">
        <v>241</v>
      </c>
      <c r="I13" s="56">
        <f t="shared" si="0"/>
        <v>14</v>
      </c>
      <c r="J13" s="71">
        <v>46240</v>
      </c>
      <c r="K13" s="56">
        <f t="shared" si="1"/>
        <v>2</v>
      </c>
      <c r="L13" s="71" t="s">
        <v>256</v>
      </c>
      <c r="M13" s="56">
        <f t="shared" si="2"/>
        <v>1</v>
      </c>
      <c r="N13" s="50" t="s">
        <v>272</v>
      </c>
      <c r="O13" s="50" t="s">
        <v>608</v>
      </c>
      <c r="P13" s="57" t="s">
        <v>53</v>
      </c>
      <c r="Q13" s="224">
        <v>2591.304347826087</v>
      </c>
      <c r="R13" s="224">
        <v>2591.304347826087</v>
      </c>
      <c r="S13" s="58">
        <f t="shared" si="3"/>
        <v>0</v>
      </c>
      <c r="T13" s="58"/>
      <c r="U13" s="58"/>
      <c r="V13" s="59">
        <f t="shared" si="4"/>
        <v>259.13043478260869</v>
      </c>
      <c r="W13" s="60">
        <f t="shared" si="5"/>
        <v>0</v>
      </c>
    </row>
    <row r="14" spans="1:24" x14ac:dyDescent="0.35">
      <c r="A14" s="61"/>
      <c r="B14" s="55">
        <v>10</v>
      </c>
      <c r="C14" s="70" t="s">
        <v>822</v>
      </c>
      <c r="D14" s="129">
        <v>136211</v>
      </c>
      <c r="E14" s="128"/>
      <c r="F14" s="130">
        <v>139076</v>
      </c>
      <c r="G14" s="71">
        <v>46220</v>
      </c>
      <c r="H14" s="71" t="s">
        <v>241</v>
      </c>
      <c r="I14" s="56">
        <f t="shared" si="0"/>
        <v>14</v>
      </c>
      <c r="J14" s="71">
        <v>46240</v>
      </c>
      <c r="K14" s="56">
        <f t="shared" si="1"/>
        <v>2</v>
      </c>
      <c r="L14" s="71" t="s">
        <v>256</v>
      </c>
      <c r="M14" s="56">
        <f t="shared" si="2"/>
        <v>1</v>
      </c>
      <c r="N14" s="50" t="s">
        <v>273</v>
      </c>
      <c r="O14" s="50" t="s">
        <v>608</v>
      </c>
      <c r="P14" s="57" t="s">
        <v>53</v>
      </c>
      <c r="Q14" s="224">
        <v>2893.478260869565</v>
      </c>
      <c r="R14" s="224">
        <v>2893.478260869565</v>
      </c>
      <c r="S14" s="58">
        <f t="shared" si="3"/>
        <v>0</v>
      </c>
      <c r="T14" s="58"/>
      <c r="U14" s="58"/>
      <c r="V14" s="59">
        <f t="shared" si="4"/>
        <v>289.3478260869565</v>
      </c>
      <c r="W14" s="60">
        <f t="shared" si="5"/>
        <v>0</v>
      </c>
    </row>
    <row r="15" spans="1:24" x14ac:dyDescent="0.35">
      <c r="A15" s="61"/>
      <c r="B15" s="55">
        <v>11</v>
      </c>
      <c r="C15" s="70" t="s">
        <v>822</v>
      </c>
      <c r="D15" s="129">
        <v>136212</v>
      </c>
      <c r="E15" s="128"/>
      <c r="F15" s="130">
        <v>139077</v>
      </c>
      <c r="G15" s="71">
        <v>46220</v>
      </c>
      <c r="H15" s="71" t="s">
        <v>241</v>
      </c>
      <c r="I15" s="56">
        <f t="shared" si="0"/>
        <v>14</v>
      </c>
      <c r="J15" s="71">
        <v>46240</v>
      </c>
      <c r="K15" s="56">
        <f t="shared" si="1"/>
        <v>2</v>
      </c>
      <c r="L15" s="71" t="s">
        <v>256</v>
      </c>
      <c r="M15" s="56">
        <f t="shared" si="2"/>
        <v>1</v>
      </c>
      <c r="N15" s="50" t="s">
        <v>274</v>
      </c>
      <c r="O15" s="50" t="s">
        <v>608</v>
      </c>
      <c r="P15" s="57" t="s">
        <v>53</v>
      </c>
      <c r="Q15" s="224">
        <v>1629.4782608695652</v>
      </c>
      <c r="R15" s="224">
        <v>1629.4782608695652</v>
      </c>
      <c r="S15" s="58">
        <f t="shared" si="3"/>
        <v>0</v>
      </c>
      <c r="T15" s="58"/>
      <c r="U15" s="58"/>
      <c r="V15" s="59">
        <f t="shared" si="4"/>
        <v>162.94782608695652</v>
      </c>
      <c r="W15" s="60">
        <f t="shared" si="5"/>
        <v>0</v>
      </c>
    </row>
    <row r="16" spans="1:24" ht="29" customHeight="1" x14ac:dyDescent="0.35">
      <c r="A16" s="61"/>
      <c r="B16" s="55">
        <v>12</v>
      </c>
      <c r="C16" s="70" t="s">
        <v>822</v>
      </c>
      <c r="D16" s="129">
        <v>136213</v>
      </c>
      <c r="E16" s="128"/>
      <c r="F16" s="130">
        <v>139081</v>
      </c>
      <c r="G16" s="71">
        <v>46220</v>
      </c>
      <c r="H16" s="71" t="s">
        <v>241</v>
      </c>
      <c r="I16" s="56">
        <f t="shared" si="0"/>
        <v>14</v>
      </c>
      <c r="J16" s="71">
        <v>46240</v>
      </c>
      <c r="K16" s="56">
        <f t="shared" si="1"/>
        <v>2</v>
      </c>
      <c r="L16" s="71" t="s">
        <v>256</v>
      </c>
      <c r="M16" s="56">
        <f t="shared" si="2"/>
        <v>1</v>
      </c>
      <c r="N16" s="72" t="s">
        <v>275</v>
      </c>
      <c r="O16" s="50" t="s">
        <v>608</v>
      </c>
      <c r="P16" s="57" t="s">
        <v>53</v>
      </c>
      <c r="Q16" s="224">
        <v>1748.695652173913</v>
      </c>
      <c r="R16" s="224">
        <v>1748.695652173913</v>
      </c>
      <c r="S16" s="58">
        <f t="shared" si="3"/>
        <v>0</v>
      </c>
      <c r="T16" s="58"/>
      <c r="U16" s="58"/>
      <c r="V16" s="59">
        <f t="shared" si="4"/>
        <v>174.86956521739131</v>
      </c>
      <c r="W16" s="60">
        <f t="shared" si="5"/>
        <v>0</v>
      </c>
    </row>
    <row r="17" spans="1:23" x14ac:dyDescent="0.35">
      <c r="A17" s="61"/>
      <c r="B17" s="55">
        <v>13</v>
      </c>
      <c r="C17" s="70" t="s">
        <v>822</v>
      </c>
      <c r="D17" s="129">
        <v>136214</v>
      </c>
      <c r="E17" s="128"/>
      <c r="F17" s="130">
        <v>139079</v>
      </c>
      <c r="G17" s="71">
        <v>46220</v>
      </c>
      <c r="H17" s="71" t="s">
        <v>241</v>
      </c>
      <c r="I17" s="56">
        <f t="shared" si="0"/>
        <v>14</v>
      </c>
      <c r="J17" s="71">
        <v>46240</v>
      </c>
      <c r="K17" s="56">
        <f t="shared" si="1"/>
        <v>2</v>
      </c>
      <c r="L17" s="71" t="s">
        <v>256</v>
      </c>
      <c r="M17" s="56">
        <f t="shared" si="2"/>
        <v>1</v>
      </c>
      <c r="N17" s="50" t="s">
        <v>273</v>
      </c>
      <c r="O17" s="50" t="s">
        <v>608</v>
      </c>
      <c r="P17" s="57" t="s">
        <v>53</v>
      </c>
      <c r="Q17" s="224">
        <v>2802.586956521739</v>
      </c>
      <c r="R17" s="224">
        <v>2802.586956521739</v>
      </c>
      <c r="S17" s="58">
        <f t="shared" si="3"/>
        <v>0</v>
      </c>
      <c r="T17" s="58"/>
      <c r="U17" s="58"/>
      <c r="V17" s="59">
        <f t="shared" si="4"/>
        <v>280.25869565217391</v>
      </c>
      <c r="W17" s="60">
        <f t="shared" si="5"/>
        <v>0</v>
      </c>
    </row>
    <row r="18" spans="1:23" x14ac:dyDescent="0.35">
      <c r="A18" s="61"/>
      <c r="B18" s="55">
        <v>14</v>
      </c>
      <c r="C18" s="70" t="s">
        <v>822</v>
      </c>
      <c r="D18" s="129">
        <v>136219</v>
      </c>
      <c r="E18" s="128"/>
      <c r="F18" s="130">
        <v>139100</v>
      </c>
      <c r="G18" s="71">
        <v>46220</v>
      </c>
      <c r="H18" s="71" t="s">
        <v>241</v>
      </c>
      <c r="I18" s="56">
        <f t="shared" si="0"/>
        <v>14</v>
      </c>
      <c r="J18" s="71">
        <v>46241</v>
      </c>
      <c r="K18" s="56">
        <f t="shared" si="1"/>
        <v>3</v>
      </c>
      <c r="L18" s="71" t="s">
        <v>255</v>
      </c>
      <c r="M18" s="56">
        <f t="shared" si="2"/>
        <v>1</v>
      </c>
      <c r="N18" s="50" t="s">
        <v>276</v>
      </c>
      <c r="O18" s="50" t="s">
        <v>609</v>
      </c>
      <c r="P18" s="57" t="s">
        <v>53</v>
      </c>
      <c r="Q18" s="224">
        <v>2610.6521739130435</v>
      </c>
      <c r="R18" s="224">
        <v>2610.6521739130435</v>
      </c>
      <c r="S18" s="58">
        <f t="shared" si="3"/>
        <v>0</v>
      </c>
      <c r="T18" s="58"/>
      <c r="U18" s="58"/>
      <c r="V18" s="59">
        <f t="shared" si="4"/>
        <v>261.06521739130437</v>
      </c>
      <c r="W18" s="60">
        <f t="shared" si="5"/>
        <v>0</v>
      </c>
    </row>
    <row r="19" spans="1:23" x14ac:dyDescent="0.35">
      <c r="A19" s="61"/>
      <c r="B19" s="55">
        <v>15</v>
      </c>
      <c r="C19" s="70" t="s">
        <v>822</v>
      </c>
      <c r="D19" s="129">
        <v>136220</v>
      </c>
      <c r="E19" s="128"/>
      <c r="F19" s="130">
        <v>139082</v>
      </c>
      <c r="G19" s="71">
        <v>46220</v>
      </c>
      <c r="H19" s="71" t="s">
        <v>241</v>
      </c>
      <c r="I19" s="56">
        <f t="shared" si="0"/>
        <v>14</v>
      </c>
      <c r="J19" s="71">
        <v>46241</v>
      </c>
      <c r="K19" s="56">
        <f t="shared" si="1"/>
        <v>3</v>
      </c>
      <c r="L19" s="71" t="s">
        <v>255</v>
      </c>
      <c r="M19" s="56">
        <f t="shared" si="2"/>
        <v>1</v>
      </c>
      <c r="N19" s="50" t="s">
        <v>277</v>
      </c>
      <c r="O19" s="50" t="s">
        <v>608</v>
      </c>
      <c r="P19" s="57" t="s">
        <v>53</v>
      </c>
      <c r="Q19" s="224">
        <v>2600.413043478261</v>
      </c>
      <c r="R19" s="224">
        <v>2600.413043478261</v>
      </c>
      <c r="S19" s="58">
        <f t="shared" si="3"/>
        <v>0</v>
      </c>
      <c r="T19" s="58"/>
      <c r="U19" s="58"/>
      <c r="V19" s="59">
        <f t="shared" si="4"/>
        <v>260.0413043478261</v>
      </c>
      <c r="W19" s="60">
        <f t="shared" si="5"/>
        <v>0</v>
      </c>
    </row>
    <row r="20" spans="1:23" x14ac:dyDescent="0.35">
      <c r="A20" s="61"/>
      <c r="B20" s="55">
        <v>16</v>
      </c>
      <c r="C20" s="70" t="s">
        <v>822</v>
      </c>
      <c r="D20" s="129">
        <v>136221</v>
      </c>
      <c r="E20" s="128"/>
      <c r="F20" s="130">
        <v>139102</v>
      </c>
      <c r="G20" s="71">
        <v>46220</v>
      </c>
      <c r="H20" s="71" t="s">
        <v>241</v>
      </c>
      <c r="I20" s="56">
        <f t="shared" si="0"/>
        <v>14</v>
      </c>
      <c r="J20" s="71">
        <v>46241</v>
      </c>
      <c r="K20" s="56">
        <f t="shared" si="1"/>
        <v>3</v>
      </c>
      <c r="L20" s="71" t="s">
        <v>255</v>
      </c>
      <c r="M20" s="56">
        <f t="shared" si="2"/>
        <v>1</v>
      </c>
      <c r="N20" s="50" t="s">
        <v>278</v>
      </c>
      <c r="O20" s="50" t="s">
        <v>609</v>
      </c>
      <c r="P20" s="57" t="s">
        <v>53</v>
      </c>
      <c r="Q20" s="224">
        <v>1928.1304347826087</v>
      </c>
      <c r="R20" s="224">
        <v>1928.1304347826087</v>
      </c>
      <c r="S20" s="58">
        <f t="shared" si="3"/>
        <v>0</v>
      </c>
      <c r="T20" s="58"/>
      <c r="U20" s="58"/>
      <c r="V20" s="59">
        <f t="shared" si="4"/>
        <v>192.81304347826088</v>
      </c>
      <c r="W20" s="60">
        <f t="shared" si="5"/>
        <v>0</v>
      </c>
    </row>
    <row r="21" spans="1:23" x14ac:dyDescent="0.35">
      <c r="A21" s="61"/>
      <c r="B21" s="55">
        <v>17</v>
      </c>
      <c r="C21" s="70" t="s">
        <v>822</v>
      </c>
      <c r="D21" s="129">
        <v>136508</v>
      </c>
      <c r="E21" s="128"/>
      <c r="F21" s="130">
        <v>139093</v>
      </c>
      <c r="G21" s="71">
        <v>46220</v>
      </c>
      <c r="H21" s="71" t="s">
        <v>242</v>
      </c>
      <c r="I21" s="56">
        <f t="shared" si="0"/>
        <v>2</v>
      </c>
      <c r="J21" s="71">
        <v>46261</v>
      </c>
      <c r="K21" s="56">
        <f t="shared" si="1"/>
        <v>29</v>
      </c>
      <c r="L21" s="71" t="s">
        <v>267</v>
      </c>
      <c r="M21" s="56">
        <f t="shared" si="2"/>
        <v>3</v>
      </c>
      <c r="N21" s="50" t="s">
        <v>279</v>
      </c>
      <c r="O21" s="50" t="s">
        <v>610</v>
      </c>
      <c r="P21" s="57" t="s">
        <v>53</v>
      </c>
      <c r="Q21" s="224">
        <v>91.304347826086953</v>
      </c>
      <c r="R21" s="224">
        <v>91.304347826086953</v>
      </c>
      <c r="S21" s="58">
        <f t="shared" si="3"/>
        <v>0</v>
      </c>
      <c r="T21" s="58"/>
      <c r="U21" s="58"/>
      <c r="V21" s="59">
        <f t="shared" si="4"/>
        <v>9.1304347826086953</v>
      </c>
      <c r="W21" s="60">
        <f t="shared" si="5"/>
        <v>0</v>
      </c>
    </row>
    <row r="22" spans="1:23" x14ac:dyDescent="0.35">
      <c r="A22" s="61"/>
      <c r="B22" s="55">
        <v>18</v>
      </c>
      <c r="C22" s="70" t="s">
        <v>822</v>
      </c>
      <c r="D22" s="129">
        <v>136284</v>
      </c>
      <c r="E22" s="128"/>
      <c r="F22" s="130">
        <v>139125</v>
      </c>
      <c r="G22" s="71">
        <v>46223</v>
      </c>
      <c r="H22" s="71" t="s">
        <v>243</v>
      </c>
      <c r="I22" s="56">
        <f t="shared" si="0"/>
        <v>19</v>
      </c>
      <c r="J22" s="71">
        <v>46247</v>
      </c>
      <c r="K22" s="56">
        <f t="shared" si="1"/>
        <v>1</v>
      </c>
      <c r="L22" s="71" t="s">
        <v>243</v>
      </c>
      <c r="M22" s="56">
        <f t="shared" si="2"/>
        <v>1</v>
      </c>
      <c r="N22" s="50" t="s">
        <v>280</v>
      </c>
      <c r="O22" s="50" t="s">
        <v>611</v>
      </c>
      <c r="P22" s="57" t="s">
        <v>53</v>
      </c>
      <c r="Q22" s="224">
        <v>2510.8695652173915</v>
      </c>
      <c r="R22" s="224">
        <v>2510.8695652173915</v>
      </c>
      <c r="S22" s="58">
        <f t="shared" si="3"/>
        <v>0</v>
      </c>
      <c r="T22" s="58"/>
      <c r="U22" s="58"/>
      <c r="V22" s="59">
        <f t="shared" si="4"/>
        <v>251.08695652173915</v>
      </c>
      <c r="W22" s="60">
        <f t="shared" si="5"/>
        <v>0</v>
      </c>
    </row>
    <row r="23" spans="1:23" x14ac:dyDescent="0.35">
      <c r="A23" s="61"/>
      <c r="B23" s="55">
        <v>19</v>
      </c>
      <c r="C23" s="70" t="s">
        <v>822</v>
      </c>
      <c r="D23" s="129">
        <v>136131</v>
      </c>
      <c r="E23" s="128"/>
      <c r="F23" s="130">
        <v>139161</v>
      </c>
      <c r="G23" s="71">
        <v>46224</v>
      </c>
      <c r="H23" s="71" t="s">
        <v>244</v>
      </c>
      <c r="I23" s="56">
        <f t="shared" si="0"/>
        <v>8</v>
      </c>
      <c r="J23" s="71">
        <v>46237</v>
      </c>
      <c r="K23" s="56">
        <f t="shared" si="1"/>
        <v>3</v>
      </c>
      <c r="L23" s="71" t="s">
        <v>250</v>
      </c>
      <c r="M23" s="56">
        <f t="shared" si="2"/>
        <v>1</v>
      </c>
      <c r="N23" s="50" t="s">
        <v>281</v>
      </c>
      <c r="O23" s="50" t="s">
        <v>605</v>
      </c>
      <c r="P23" s="57" t="s">
        <v>53</v>
      </c>
      <c r="Q23" s="224">
        <v>2287.0434782608695</v>
      </c>
      <c r="R23" s="224">
        <v>2287.0434782608695</v>
      </c>
      <c r="S23" s="58">
        <f t="shared" si="3"/>
        <v>0</v>
      </c>
      <c r="T23" s="58"/>
      <c r="U23" s="58"/>
      <c r="V23" s="59">
        <f t="shared" si="4"/>
        <v>228.70434782608697</v>
      </c>
      <c r="W23" s="60">
        <f t="shared" si="5"/>
        <v>0</v>
      </c>
    </row>
    <row r="24" spans="1:23" x14ac:dyDescent="0.35">
      <c r="A24" s="61"/>
      <c r="B24" s="55">
        <v>20</v>
      </c>
      <c r="C24" s="70" t="s">
        <v>822</v>
      </c>
      <c r="D24" s="129">
        <v>136153</v>
      </c>
      <c r="E24" s="128"/>
      <c r="F24" s="130">
        <v>139145</v>
      </c>
      <c r="G24" s="71">
        <v>46224</v>
      </c>
      <c r="H24" s="71" t="s">
        <v>240</v>
      </c>
      <c r="I24" s="56">
        <f t="shared" si="0"/>
        <v>9</v>
      </c>
      <c r="J24" s="71">
        <v>46237</v>
      </c>
      <c r="K24" s="56">
        <f t="shared" si="1"/>
        <v>2</v>
      </c>
      <c r="L24" s="71" t="s">
        <v>250</v>
      </c>
      <c r="M24" s="56">
        <f t="shared" si="2"/>
        <v>1</v>
      </c>
      <c r="N24" s="50">
        <v>0</v>
      </c>
      <c r="O24" s="50" t="s">
        <v>612</v>
      </c>
      <c r="P24" s="57" t="s">
        <v>53</v>
      </c>
      <c r="Q24" s="224">
        <v>573.28260869565213</v>
      </c>
      <c r="R24" s="224">
        <v>573.28260869565213</v>
      </c>
      <c r="S24" s="58">
        <f t="shared" si="3"/>
        <v>0</v>
      </c>
      <c r="T24" s="58"/>
      <c r="U24" s="58"/>
      <c r="V24" s="59">
        <f t="shared" si="4"/>
        <v>57.328260869565213</v>
      </c>
      <c r="W24" s="60">
        <f t="shared" si="5"/>
        <v>0</v>
      </c>
    </row>
    <row r="25" spans="1:23" x14ac:dyDescent="0.35">
      <c r="A25" s="61"/>
      <c r="B25" s="55">
        <v>21</v>
      </c>
      <c r="C25" s="70" t="s">
        <v>822</v>
      </c>
      <c r="D25" s="129">
        <v>136506</v>
      </c>
      <c r="E25" s="128"/>
      <c r="F25" s="130">
        <v>139143</v>
      </c>
      <c r="G25" s="71">
        <v>46224</v>
      </c>
      <c r="H25" s="71" t="s">
        <v>245</v>
      </c>
      <c r="I25" s="56">
        <f t="shared" si="0"/>
        <v>1</v>
      </c>
      <c r="J25" s="71">
        <v>46261</v>
      </c>
      <c r="K25" s="56">
        <f t="shared" si="1"/>
        <v>28</v>
      </c>
      <c r="L25" s="71" t="s">
        <v>265</v>
      </c>
      <c r="M25" s="56">
        <f t="shared" si="2"/>
        <v>1</v>
      </c>
      <c r="N25" s="50" t="s">
        <v>282</v>
      </c>
      <c r="O25" s="50" t="s">
        <v>613</v>
      </c>
      <c r="P25" s="57" t="s">
        <v>53</v>
      </c>
      <c r="Q25" s="224">
        <v>2760.8695652173915</v>
      </c>
      <c r="R25" s="224">
        <v>2760.8695652173915</v>
      </c>
      <c r="S25" s="58">
        <f t="shared" si="3"/>
        <v>0</v>
      </c>
      <c r="T25" s="58"/>
      <c r="U25" s="58"/>
      <c r="V25" s="59">
        <f t="shared" si="4"/>
        <v>276.08695652173918</v>
      </c>
      <c r="W25" s="60">
        <f t="shared" si="5"/>
        <v>0</v>
      </c>
    </row>
    <row r="26" spans="1:23" x14ac:dyDescent="0.35">
      <c r="A26" s="61"/>
      <c r="B26" s="55">
        <v>22</v>
      </c>
      <c r="C26" s="70" t="s">
        <v>822</v>
      </c>
      <c r="D26" s="129">
        <v>136258</v>
      </c>
      <c r="E26" s="128"/>
      <c r="F26" s="130">
        <v>139202</v>
      </c>
      <c r="G26" s="71">
        <v>46225</v>
      </c>
      <c r="H26" s="71" t="s">
        <v>246</v>
      </c>
      <c r="I26" s="56">
        <f t="shared" si="0"/>
        <v>2</v>
      </c>
      <c r="J26" s="71">
        <v>46244</v>
      </c>
      <c r="K26" s="56">
        <f t="shared" si="1"/>
        <v>13</v>
      </c>
      <c r="L26" s="71" t="s">
        <v>258</v>
      </c>
      <c r="M26" s="56">
        <f t="shared" si="2"/>
        <v>1</v>
      </c>
      <c r="N26" s="50" t="s">
        <v>283</v>
      </c>
      <c r="O26" s="50" t="s">
        <v>614</v>
      </c>
      <c r="P26" s="57" t="s">
        <v>53</v>
      </c>
      <c r="Q26" s="224">
        <v>3710.9300730236814</v>
      </c>
      <c r="R26" s="224">
        <v>3695.6521739130435</v>
      </c>
      <c r="S26" s="58">
        <f t="shared" si="3"/>
        <v>15.277899110637918</v>
      </c>
      <c r="T26" s="58"/>
      <c r="U26" s="58"/>
      <c r="V26" s="59">
        <f t="shared" si="4"/>
        <v>371.09300730236816</v>
      </c>
      <c r="W26" s="60">
        <f t="shared" si="5"/>
        <v>4.1169999999998439E-3</v>
      </c>
    </row>
    <row r="27" spans="1:23" x14ac:dyDescent="0.35">
      <c r="A27" s="61"/>
      <c r="B27" s="55">
        <v>23</v>
      </c>
      <c r="C27" s="70" t="s">
        <v>822</v>
      </c>
      <c r="D27" s="129">
        <v>136081</v>
      </c>
      <c r="E27" s="128"/>
      <c r="F27" s="130">
        <v>139174</v>
      </c>
      <c r="G27" s="71">
        <v>46225</v>
      </c>
      <c r="H27" s="71" t="s">
        <v>240</v>
      </c>
      <c r="I27" s="56">
        <f t="shared" si="0"/>
        <v>8</v>
      </c>
      <c r="J27" s="71">
        <v>46237</v>
      </c>
      <c r="K27" s="56">
        <f t="shared" si="1"/>
        <v>2</v>
      </c>
      <c r="L27" s="71" t="s">
        <v>250</v>
      </c>
      <c r="M27" s="56">
        <f t="shared" si="2"/>
        <v>1</v>
      </c>
      <c r="N27" s="50">
        <v>0</v>
      </c>
      <c r="O27" s="50" t="s">
        <v>605</v>
      </c>
      <c r="P27" s="57" t="s">
        <v>53</v>
      </c>
      <c r="Q27" s="224">
        <v>102153.65217391304</v>
      </c>
      <c r="R27" s="224">
        <v>102153.65217391304</v>
      </c>
      <c r="S27" s="58">
        <f t="shared" si="3"/>
        <v>0</v>
      </c>
      <c r="T27" s="58"/>
      <c r="U27" s="58"/>
      <c r="V27" s="59">
        <f t="shared" si="4"/>
        <v>10215.365217391305</v>
      </c>
      <c r="W27" s="60">
        <f t="shared" si="5"/>
        <v>0</v>
      </c>
    </row>
    <row r="28" spans="1:23" x14ac:dyDescent="0.35">
      <c r="A28" s="61"/>
      <c r="B28" s="55">
        <v>24</v>
      </c>
      <c r="C28" s="70" t="s">
        <v>822</v>
      </c>
      <c r="D28" s="129">
        <v>136082</v>
      </c>
      <c r="E28" s="128"/>
      <c r="F28" s="130">
        <v>139206</v>
      </c>
      <c r="G28" s="71">
        <v>46225</v>
      </c>
      <c r="H28" s="71" t="s">
        <v>244</v>
      </c>
      <c r="I28" s="56">
        <f t="shared" si="0"/>
        <v>7</v>
      </c>
      <c r="J28" s="71">
        <v>46237</v>
      </c>
      <c r="K28" s="56">
        <f t="shared" si="1"/>
        <v>3</v>
      </c>
      <c r="L28" s="71" t="s">
        <v>250</v>
      </c>
      <c r="M28" s="56">
        <f t="shared" si="2"/>
        <v>1</v>
      </c>
      <c r="N28" s="50" t="s">
        <v>284</v>
      </c>
      <c r="O28" s="50" t="s">
        <v>605</v>
      </c>
      <c r="P28" s="57" t="s">
        <v>53</v>
      </c>
      <c r="Q28" s="224">
        <v>2027.2989130434783</v>
      </c>
      <c r="R28" s="224">
        <v>2027.2989130434783</v>
      </c>
      <c r="S28" s="58">
        <f t="shared" si="3"/>
        <v>0</v>
      </c>
      <c r="T28" s="58"/>
      <c r="U28" s="58"/>
      <c r="V28" s="59">
        <f t="shared" si="4"/>
        <v>202.72989130434783</v>
      </c>
      <c r="W28" s="60">
        <f t="shared" si="5"/>
        <v>0</v>
      </c>
    </row>
    <row r="29" spans="1:23" x14ac:dyDescent="0.35">
      <c r="A29" s="61"/>
      <c r="B29" s="55">
        <v>25</v>
      </c>
      <c r="C29" s="70" t="s">
        <v>822</v>
      </c>
      <c r="D29" s="129">
        <v>136083</v>
      </c>
      <c r="E29" s="128"/>
      <c r="F29" s="130">
        <v>139190</v>
      </c>
      <c r="G29" s="71">
        <v>46225</v>
      </c>
      <c r="H29" s="71" t="s">
        <v>240</v>
      </c>
      <c r="I29" s="56">
        <f t="shared" si="0"/>
        <v>8</v>
      </c>
      <c r="J29" s="71">
        <v>46237</v>
      </c>
      <c r="K29" s="56">
        <f t="shared" si="1"/>
        <v>2</v>
      </c>
      <c r="L29" s="71" t="s">
        <v>250</v>
      </c>
      <c r="M29" s="56">
        <f t="shared" si="2"/>
        <v>1</v>
      </c>
      <c r="N29" s="50">
        <v>0</v>
      </c>
      <c r="O29" s="50" t="s">
        <v>605</v>
      </c>
      <c r="P29" s="57" t="s">
        <v>53</v>
      </c>
      <c r="Q29" s="224">
        <v>488.6521739130435</v>
      </c>
      <c r="R29" s="224">
        <v>488.6521739130435</v>
      </c>
      <c r="S29" s="58">
        <f t="shared" si="3"/>
        <v>0</v>
      </c>
      <c r="T29" s="58"/>
      <c r="U29" s="58"/>
      <c r="V29" s="59">
        <f t="shared" si="4"/>
        <v>48.865217391304355</v>
      </c>
      <c r="W29" s="60">
        <f t="shared" si="5"/>
        <v>0</v>
      </c>
    </row>
    <row r="30" spans="1:23" x14ac:dyDescent="0.35">
      <c r="A30" s="61"/>
      <c r="B30" s="55">
        <v>26</v>
      </c>
      <c r="C30" s="70" t="s">
        <v>822</v>
      </c>
      <c r="D30" s="129">
        <v>136084</v>
      </c>
      <c r="E30" s="128"/>
      <c r="F30" s="130">
        <v>139173</v>
      </c>
      <c r="G30" s="71">
        <v>46225</v>
      </c>
      <c r="H30" s="71" t="s">
        <v>240</v>
      </c>
      <c r="I30" s="56">
        <f t="shared" si="0"/>
        <v>8</v>
      </c>
      <c r="J30" s="71">
        <v>46237</v>
      </c>
      <c r="K30" s="56">
        <f t="shared" si="1"/>
        <v>2</v>
      </c>
      <c r="L30" s="71" t="s">
        <v>250</v>
      </c>
      <c r="M30" s="56">
        <f t="shared" si="2"/>
        <v>1</v>
      </c>
      <c r="N30" s="50">
        <v>0</v>
      </c>
      <c r="O30" s="50" t="s">
        <v>605</v>
      </c>
      <c r="P30" s="57" t="s">
        <v>53</v>
      </c>
      <c r="Q30" s="224">
        <v>13164.130434782608</v>
      </c>
      <c r="R30" s="224">
        <v>13164.130434782608</v>
      </c>
      <c r="S30" s="58">
        <f t="shared" si="3"/>
        <v>0</v>
      </c>
      <c r="T30" s="58"/>
      <c r="U30" s="58"/>
      <c r="V30" s="59">
        <f t="shared" si="4"/>
        <v>1316.413043478261</v>
      </c>
      <c r="W30" s="60">
        <f t="shared" si="5"/>
        <v>0</v>
      </c>
    </row>
    <row r="31" spans="1:23" x14ac:dyDescent="0.35">
      <c r="A31" s="61"/>
      <c r="B31" s="55">
        <v>27</v>
      </c>
      <c r="C31" s="70" t="s">
        <v>822</v>
      </c>
      <c r="D31" s="129">
        <v>136085</v>
      </c>
      <c r="E31" s="128"/>
      <c r="F31" s="130">
        <v>139200</v>
      </c>
      <c r="G31" s="71">
        <v>46225</v>
      </c>
      <c r="H31" s="71" t="s">
        <v>247</v>
      </c>
      <c r="I31" s="56">
        <f t="shared" si="0"/>
        <v>5</v>
      </c>
      <c r="J31" s="71">
        <v>46237</v>
      </c>
      <c r="K31" s="56">
        <f t="shared" si="1"/>
        <v>5</v>
      </c>
      <c r="L31" s="71" t="s">
        <v>250</v>
      </c>
      <c r="M31" s="56">
        <f t="shared" si="2"/>
        <v>1</v>
      </c>
      <c r="N31" s="50" t="s">
        <v>285</v>
      </c>
      <c r="O31" s="50" t="s">
        <v>615</v>
      </c>
      <c r="P31" s="57" t="s">
        <v>53</v>
      </c>
      <c r="Q31" s="224">
        <v>26.086956521739129</v>
      </c>
      <c r="R31" s="224">
        <v>26.086956521739129</v>
      </c>
      <c r="S31" s="58">
        <f t="shared" si="3"/>
        <v>0</v>
      </c>
      <c r="T31" s="58"/>
      <c r="U31" s="58"/>
      <c r="V31" s="59">
        <f t="shared" si="4"/>
        <v>2.6086956521739131</v>
      </c>
      <c r="W31" s="60">
        <f t="shared" si="5"/>
        <v>0</v>
      </c>
    </row>
    <row r="32" spans="1:23" x14ac:dyDescent="0.35">
      <c r="A32" s="61"/>
      <c r="B32" s="55">
        <v>28</v>
      </c>
      <c r="C32" s="70" t="s">
        <v>822</v>
      </c>
      <c r="D32" s="129">
        <v>136132</v>
      </c>
      <c r="E32" s="128"/>
      <c r="F32" s="130">
        <v>139194</v>
      </c>
      <c r="G32" s="71">
        <v>46225</v>
      </c>
      <c r="H32" s="71" t="s">
        <v>240</v>
      </c>
      <c r="I32" s="56">
        <f t="shared" si="0"/>
        <v>8</v>
      </c>
      <c r="J32" s="71">
        <v>46237</v>
      </c>
      <c r="K32" s="56">
        <f t="shared" si="1"/>
        <v>2</v>
      </c>
      <c r="L32" s="71" t="s">
        <v>250</v>
      </c>
      <c r="M32" s="56">
        <f t="shared" si="2"/>
        <v>1</v>
      </c>
      <c r="N32" s="50">
        <v>0</v>
      </c>
      <c r="O32" s="50" t="s">
        <v>605</v>
      </c>
      <c r="P32" s="57" t="s">
        <v>53</v>
      </c>
      <c r="Q32" s="224">
        <v>5229.782608695652</v>
      </c>
      <c r="R32" s="224">
        <v>5229.782608695652</v>
      </c>
      <c r="S32" s="58">
        <f t="shared" si="3"/>
        <v>0</v>
      </c>
      <c r="T32" s="58"/>
      <c r="U32" s="58"/>
      <c r="V32" s="59">
        <f t="shared" si="4"/>
        <v>522.97826086956525</v>
      </c>
      <c r="W32" s="60">
        <f t="shared" si="5"/>
        <v>0</v>
      </c>
    </row>
    <row r="33" spans="1:23" x14ac:dyDescent="0.35">
      <c r="A33" s="61"/>
      <c r="B33" s="55">
        <v>29</v>
      </c>
      <c r="C33" s="70" t="s">
        <v>822</v>
      </c>
      <c r="D33" s="129">
        <v>136133</v>
      </c>
      <c r="E33" s="128"/>
      <c r="F33" s="130">
        <v>139193</v>
      </c>
      <c r="G33" s="71">
        <v>46225</v>
      </c>
      <c r="H33" s="71" t="s">
        <v>240</v>
      </c>
      <c r="I33" s="56">
        <f t="shared" si="0"/>
        <v>8</v>
      </c>
      <c r="J33" s="71">
        <v>46237</v>
      </c>
      <c r="K33" s="56">
        <f t="shared" si="1"/>
        <v>2</v>
      </c>
      <c r="L33" s="71" t="s">
        <v>250</v>
      </c>
      <c r="M33" s="56">
        <f t="shared" si="2"/>
        <v>1</v>
      </c>
      <c r="N33" s="50">
        <v>0</v>
      </c>
      <c r="O33" s="50" t="s">
        <v>605</v>
      </c>
      <c r="P33" s="57" t="s">
        <v>53</v>
      </c>
      <c r="Q33" s="224">
        <v>7721.739130434783</v>
      </c>
      <c r="R33" s="224">
        <v>7721.739130434783</v>
      </c>
      <c r="S33" s="58">
        <f t="shared" si="3"/>
        <v>0</v>
      </c>
      <c r="T33" s="58"/>
      <c r="U33" s="58"/>
      <c r="V33" s="59">
        <f t="shared" si="4"/>
        <v>772.17391304347836</v>
      </c>
      <c r="W33" s="60">
        <f t="shared" si="5"/>
        <v>0</v>
      </c>
    </row>
    <row r="34" spans="1:23" x14ac:dyDescent="0.35">
      <c r="A34" s="61"/>
      <c r="B34" s="55">
        <v>30</v>
      </c>
      <c r="C34" s="70" t="s">
        <v>822</v>
      </c>
      <c r="D34" s="129">
        <v>136134</v>
      </c>
      <c r="E34" s="128"/>
      <c r="F34" s="130">
        <v>139192</v>
      </c>
      <c r="G34" s="71">
        <v>46225</v>
      </c>
      <c r="H34" s="71" t="s">
        <v>240</v>
      </c>
      <c r="I34" s="56">
        <f t="shared" si="0"/>
        <v>8</v>
      </c>
      <c r="J34" s="71">
        <v>46237</v>
      </c>
      <c r="K34" s="56">
        <f t="shared" si="1"/>
        <v>2</v>
      </c>
      <c r="L34" s="71" t="s">
        <v>250</v>
      </c>
      <c r="M34" s="56">
        <f t="shared" si="2"/>
        <v>1</v>
      </c>
      <c r="N34" s="50">
        <v>0</v>
      </c>
      <c r="O34" s="50" t="s">
        <v>605</v>
      </c>
      <c r="P34" s="57" t="s">
        <v>53</v>
      </c>
      <c r="Q34" s="224">
        <v>11885.869565217392</v>
      </c>
      <c r="R34" s="224">
        <v>11885.869565217392</v>
      </c>
      <c r="S34" s="58">
        <f t="shared" si="3"/>
        <v>0</v>
      </c>
      <c r="T34" s="58"/>
      <c r="U34" s="58"/>
      <c r="V34" s="59">
        <f t="shared" si="4"/>
        <v>1188.5869565217392</v>
      </c>
      <c r="W34" s="60">
        <f t="shared" si="5"/>
        <v>0</v>
      </c>
    </row>
    <row r="35" spans="1:23" x14ac:dyDescent="0.35">
      <c r="A35" s="61"/>
      <c r="B35" s="55">
        <v>31</v>
      </c>
      <c r="C35" s="70" t="s">
        <v>822</v>
      </c>
      <c r="D35" s="129">
        <v>136135</v>
      </c>
      <c r="E35" s="128"/>
      <c r="F35" s="130">
        <v>139191</v>
      </c>
      <c r="G35" s="71">
        <v>46225</v>
      </c>
      <c r="H35" s="71" t="s">
        <v>240</v>
      </c>
      <c r="I35" s="56">
        <f t="shared" si="0"/>
        <v>8</v>
      </c>
      <c r="J35" s="71">
        <v>46237</v>
      </c>
      <c r="K35" s="56">
        <f t="shared" si="1"/>
        <v>2</v>
      </c>
      <c r="L35" s="71" t="s">
        <v>250</v>
      </c>
      <c r="M35" s="56">
        <f t="shared" si="2"/>
        <v>1</v>
      </c>
      <c r="N35" s="50">
        <v>0</v>
      </c>
      <c r="O35" s="50" t="s">
        <v>605</v>
      </c>
      <c r="P35" s="57" t="s">
        <v>53</v>
      </c>
      <c r="Q35" s="224">
        <v>792.39130434782612</v>
      </c>
      <c r="R35" s="224">
        <v>792.39130434782612</v>
      </c>
      <c r="S35" s="58">
        <f t="shared" si="3"/>
        <v>0</v>
      </c>
      <c r="T35" s="58"/>
      <c r="U35" s="58"/>
      <c r="V35" s="59">
        <f t="shared" si="4"/>
        <v>79.239130434782624</v>
      </c>
      <c r="W35" s="60">
        <f t="shared" si="5"/>
        <v>0</v>
      </c>
    </row>
    <row r="36" spans="1:23" x14ac:dyDescent="0.35">
      <c r="A36" s="61"/>
      <c r="B36" s="55">
        <v>32</v>
      </c>
      <c r="C36" s="70" t="s">
        <v>822</v>
      </c>
      <c r="D36" s="129">
        <v>136136</v>
      </c>
      <c r="E36" s="128"/>
      <c r="F36" s="130">
        <v>139189</v>
      </c>
      <c r="G36" s="71">
        <v>46225</v>
      </c>
      <c r="H36" s="71" t="s">
        <v>240</v>
      </c>
      <c r="I36" s="56">
        <f t="shared" si="0"/>
        <v>8</v>
      </c>
      <c r="J36" s="71">
        <v>46237</v>
      </c>
      <c r="K36" s="56">
        <f t="shared" si="1"/>
        <v>2</v>
      </c>
      <c r="L36" s="71" t="s">
        <v>250</v>
      </c>
      <c r="M36" s="56">
        <f t="shared" si="2"/>
        <v>1</v>
      </c>
      <c r="N36" s="50">
        <v>0</v>
      </c>
      <c r="O36" s="50" t="s">
        <v>605</v>
      </c>
      <c r="P36" s="57" t="s">
        <v>53</v>
      </c>
      <c r="Q36" s="224">
        <v>827</v>
      </c>
      <c r="R36" s="224">
        <v>827</v>
      </c>
      <c r="S36" s="58">
        <f t="shared" si="3"/>
        <v>0</v>
      </c>
      <c r="T36" s="58"/>
      <c r="U36" s="58"/>
      <c r="V36" s="59">
        <f t="shared" si="4"/>
        <v>82.7</v>
      </c>
      <c r="W36" s="60">
        <f t="shared" si="5"/>
        <v>0</v>
      </c>
    </row>
    <row r="37" spans="1:23" x14ac:dyDescent="0.35">
      <c r="A37" s="61"/>
      <c r="B37" s="55">
        <v>33</v>
      </c>
      <c r="C37" s="70" t="s">
        <v>822</v>
      </c>
      <c r="D37" s="129">
        <v>136137</v>
      </c>
      <c r="E37" s="128"/>
      <c r="F37" s="130">
        <v>139188</v>
      </c>
      <c r="G37" s="71">
        <v>46225</v>
      </c>
      <c r="H37" s="71" t="s">
        <v>240</v>
      </c>
      <c r="I37" s="56">
        <f t="shared" si="0"/>
        <v>8</v>
      </c>
      <c r="J37" s="71">
        <v>46237</v>
      </c>
      <c r="K37" s="56">
        <f t="shared" si="1"/>
        <v>2</v>
      </c>
      <c r="L37" s="71" t="s">
        <v>250</v>
      </c>
      <c r="M37" s="56">
        <f t="shared" si="2"/>
        <v>1</v>
      </c>
      <c r="N37" s="50">
        <v>0</v>
      </c>
      <c r="O37" s="50" t="s">
        <v>605</v>
      </c>
      <c r="P37" s="57" t="s">
        <v>53</v>
      </c>
      <c r="Q37" s="224">
        <v>10944</v>
      </c>
      <c r="R37" s="224">
        <v>10944</v>
      </c>
      <c r="S37" s="58">
        <f t="shared" si="3"/>
        <v>0</v>
      </c>
      <c r="T37" s="58"/>
      <c r="U37" s="58"/>
      <c r="V37" s="59">
        <f t="shared" si="4"/>
        <v>1094.4000000000001</v>
      </c>
      <c r="W37" s="60">
        <f t="shared" si="5"/>
        <v>0</v>
      </c>
    </row>
    <row r="38" spans="1:23" x14ac:dyDescent="0.35">
      <c r="A38" s="61"/>
      <c r="B38" s="55">
        <v>34</v>
      </c>
      <c r="C38" s="70" t="s">
        <v>822</v>
      </c>
      <c r="D38" s="129">
        <v>136138</v>
      </c>
      <c r="E38" s="128"/>
      <c r="F38" s="130">
        <v>139187</v>
      </c>
      <c r="G38" s="71">
        <v>46225</v>
      </c>
      <c r="H38" s="71" t="s">
        <v>240</v>
      </c>
      <c r="I38" s="56">
        <f t="shared" si="0"/>
        <v>8</v>
      </c>
      <c r="J38" s="71">
        <v>46237</v>
      </c>
      <c r="K38" s="56">
        <f t="shared" si="1"/>
        <v>2</v>
      </c>
      <c r="L38" s="71" t="s">
        <v>250</v>
      </c>
      <c r="M38" s="56">
        <f t="shared" si="2"/>
        <v>1</v>
      </c>
      <c r="N38" s="50">
        <v>0</v>
      </c>
      <c r="O38" s="50" t="s">
        <v>605</v>
      </c>
      <c r="P38" s="57" t="s">
        <v>53</v>
      </c>
      <c r="Q38" s="224">
        <v>1085.0434782608695</v>
      </c>
      <c r="R38" s="224">
        <v>1085.0434782608695</v>
      </c>
      <c r="S38" s="58">
        <f t="shared" si="3"/>
        <v>0</v>
      </c>
      <c r="T38" s="58"/>
      <c r="U38" s="58"/>
      <c r="V38" s="59">
        <f t="shared" si="4"/>
        <v>108.50434782608696</v>
      </c>
      <c r="W38" s="60">
        <f t="shared" si="5"/>
        <v>0</v>
      </c>
    </row>
    <row r="39" spans="1:23" x14ac:dyDescent="0.35">
      <c r="A39" s="61"/>
      <c r="B39" s="55">
        <v>35</v>
      </c>
      <c r="C39" s="70" t="s">
        <v>822</v>
      </c>
      <c r="D39" s="129">
        <v>136139</v>
      </c>
      <c r="E39" s="128"/>
      <c r="F39" s="130">
        <v>139178</v>
      </c>
      <c r="G39" s="71">
        <v>46225</v>
      </c>
      <c r="H39" s="71" t="s">
        <v>240</v>
      </c>
      <c r="I39" s="56">
        <f t="shared" si="0"/>
        <v>8</v>
      </c>
      <c r="J39" s="71">
        <v>46237</v>
      </c>
      <c r="K39" s="56">
        <f t="shared" si="1"/>
        <v>2</v>
      </c>
      <c r="L39" s="71" t="s">
        <v>250</v>
      </c>
      <c r="M39" s="56">
        <f t="shared" si="2"/>
        <v>1</v>
      </c>
      <c r="N39" s="50">
        <v>0</v>
      </c>
      <c r="O39" s="50" t="s">
        <v>605</v>
      </c>
      <c r="P39" s="57" t="s">
        <v>53</v>
      </c>
      <c r="Q39" s="224">
        <v>33270.304347826088</v>
      </c>
      <c r="R39" s="224">
        <v>33270.304347826088</v>
      </c>
      <c r="S39" s="58">
        <f t="shared" si="3"/>
        <v>0</v>
      </c>
      <c r="T39" s="58"/>
      <c r="U39" s="58"/>
      <c r="V39" s="59">
        <f t="shared" si="4"/>
        <v>3327.0304347826091</v>
      </c>
      <c r="W39" s="60">
        <f t="shared" si="5"/>
        <v>0</v>
      </c>
    </row>
    <row r="40" spans="1:23" x14ac:dyDescent="0.35">
      <c r="A40" s="61"/>
      <c r="B40" s="55">
        <v>36</v>
      </c>
      <c r="C40" s="70" t="s">
        <v>822</v>
      </c>
      <c r="D40" s="129">
        <v>136141</v>
      </c>
      <c r="E40" s="128"/>
      <c r="F40" s="130">
        <v>139186</v>
      </c>
      <c r="G40" s="71">
        <v>46225</v>
      </c>
      <c r="H40" s="71" t="s">
        <v>240</v>
      </c>
      <c r="I40" s="56">
        <f t="shared" si="0"/>
        <v>8</v>
      </c>
      <c r="J40" s="71">
        <v>46237</v>
      </c>
      <c r="K40" s="56">
        <f t="shared" si="1"/>
        <v>2</v>
      </c>
      <c r="L40" s="71" t="s">
        <v>250</v>
      </c>
      <c r="M40" s="56">
        <f t="shared" si="2"/>
        <v>1</v>
      </c>
      <c r="N40" s="50">
        <v>0</v>
      </c>
      <c r="O40" s="50" t="s">
        <v>605</v>
      </c>
      <c r="P40" s="57" t="s">
        <v>53</v>
      </c>
      <c r="Q40" s="224">
        <v>434.78260869565219</v>
      </c>
      <c r="R40" s="224">
        <v>434.78260869565219</v>
      </c>
      <c r="S40" s="58">
        <f t="shared" si="3"/>
        <v>0</v>
      </c>
      <c r="T40" s="58"/>
      <c r="U40" s="58"/>
      <c r="V40" s="59">
        <f t="shared" si="4"/>
        <v>43.478260869565219</v>
      </c>
      <c r="W40" s="60">
        <f t="shared" si="5"/>
        <v>0</v>
      </c>
    </row>
    <row r="41" spans="1:23" x14ac:dyDescent="0.35">
      <c r="A41" s="61"/>
      <c r="B41" s="55">
        <v>37</v>
      </c>
      <c r="C41" s="70" t="s">
        <v>822</v>
      </c>
      <c r="D41" s="129">
        <v>136142</v>
      </c>
      <c r="E41" s="128"/>
      <c r="F41" s="130">
        <v>139185</v>
      </c>
      <c r="G41" s="71">
        <v>46225</v>
      </c>
      <c r="H41" s="71" t="s">
        <v>240</v>
      </c>
      <c r="I41" s="56">
        <f t="shared" si="0"/>
        <v>8</v>
      </c>
      <c r="J41" s="71">
        <v>46237</v>
      </c>
      <c r="K41" s="56">
        <f t="shared" si="1"/>
        <v>2</v>
      </c>
      <c r="L41" s="71" t="s">
        <v>250</v>
      </c>
      <c r="M41" s="56">
        <f t="shared" si="2"/>
        <v>1</v>
      </c>
      <c r="N41" s="50">
        <v>0</v>
      </c>
      <c r="O41" s="50" t="s">
        <v>605</v>
      </c>
      <c r="P41" s="57" t="s">
        <v>53</v>
      </c>
      <c r="Q41" s="224">
        <v>4835.2181159413049</v>
      </c>
      <c r="R41" s="224">
        <v>4835.2181159413049</v>
      </c>
      <c r="S41" s="58">
        <f t="shared" si="3"/>
        <v>0</v>
      </c>
      <c r="T41" s="58"/>
      <c r="U41" s="58"/>
      <c r="V41" s="59">
        <f t="shared" si="4"/>
        <v>483.5218115941305</v>
      </c>
      <c r="W41" s="60">
        <f t="shared" si="5"/>
        <v>0</v>
      </c>
    </row>
    <row r="42" spans="1:23" ht="43.5" customHeight="1" x14ac:dyDescent="0.35">
      <c r="A42" s="61"/>
      <c r="B42" s="55">
        <v>38</v>
      </c>
      <c r="C42" s="70" t="s">
        <v>822</v>
      </c>
      <c r="D42" s="129">
        <v>136143</v>
      </c>
      <c r="E42" s="128"/>
      <c r="F42" s="130">
        <v>139184</v>
      </c>
      <c r="G42" s="71">
        <v>46225</v>
      </c>
      <c r="H42" s="71" t="s">
        <v>240</v>
      </c>
      <c r="I42" s="56">
        <f t="shared" si="0"/>
        <v>8</v>
      </c>
      <c r="J42" s="71">
        <v>46237</v>
      </c>
      <c r="K42" s="56">
        <f t="shared" si="1"/>
        <v>2</v>
      </c>
      <c r="L42" s="71" t="s">
        <v>250</v>
      </c>
      <c r="M42" s="56">
        <f t="shared" si="2"/>
        <v>1</v>
      </c>
      <c r="N42" s="72">
        <v>0</v>
      </c>
      <c r="O42" s="50" t="s">
        <v>605</v>
      </c>
      <c r="P42" s="57" t="s">
        <v>53</v>
      </c>
      <c r="Q42" s="224">
        <v>1924.1576086956522</v>
      </c>
      <c r="R42" s="224">
        <v>1924.1576086956522</v>
      </c>
      <c r="S42" s="58">
        <f t="shared" si="3"/>
        <v>0</v>
      </c>
      <c r="T42" s="58"/>
      <c r="U42" s="58"/>
      <c r="V42" s="59">
        <f t="shared" si="4"/>
        <v>192.41576086956525</v>
      </c>
      <c r="W42" s="60">
        <f t="shared" si="5"/>
        <v>0</v>
      </c>
    </row>
    <row r="43" spans="1:23" ht="29" customHeight="1" x14ac:dyDescent="0.35">
      <c r="A43" s="61"/>
      <c r="B43" s="55">
        <v>39</v>
      </c>
      <c r="C43" s="70" t="s">
        <v>822</v>
      </c>
      <c r="D43" s="129">
        <v>136144</v>
      </c>
      <c r="E43" s="128"/>
      <c r="F43" s="130">
        <v>139183</v>
      </c>
      <c r="G43" s="71">
        <v>46225</v>
      </c>
      <c r="H43" s="71" t="s">
        <v>240</v>
      </c>
      <c r="I43" s="56">
        <f t="shared" si="0"/>
        <v>8</v>
      </c>
      <c r="J43" s="71">
        <v>46237</v>
      </c>
      <c r="K43" s="56">
        <f t="shared" si="1"/>
        <v>2</v>
      </c>
      <c r="L43" s="71" t="s">
        <v>250</v>
      </c>
      <c r="M43" s="56">
        <f t="shared" si="2"/>
        <v>1</v>
      </c>
      <c r="N43" s="72">
        <v>0</v>
      </c>
      <c r="O43" s="50" t="s">
        <v>605</v>
      </c>
      <c r="P43" s="57" t="s">
        <v>53</v>
      </c>
      <c r="Q43" s="224">
        <v>327.30434782608694</v>
      </c>
      <c r="R43" s="224">
        <v>327.30434782608694</v>
      </c>
      <c r="S43" s="58">
        <f t="shared" si="3"/>
        <v>0</v>
      </c>
      <c r="T43" s="58"/>
      <c r="U43" s="58"/>
      <c r="V43" s="59">
        <f t="shared" si="4"/>
        <v>32.730434782608697</v>
      </c>
      <c r="W43" s="60">
        <f t="shared" si="5"/>
        <v>0</v>
      </c>
    </row>
    <row r="44" spans="1:23" ht="29" customHeight="1" x14ac:dyDescent="0.35">
      <c r="A44" s="61"/>
      <c r="B44" s="55">
        <v>40</v>
      </c>
      <c r="C44" s="70" t="s">
        <v>822</v>
      </c>
      <c r="D44" s="129">
        <v>136145</v>
      </c>
      <c r="E44" s="128"/>
      <c r="F44" s="130">
        <v>139182</v>
      </c>
      <c r="G44" s="71">
        <v>46225</v>
      </c>
      <c r="H44" s="71" t="s">
        <v>240</v>
      </c>
      <c r="I44" s="56">
        <f t="shared" si="0"/>
        <v>8</v>
      </c>
      <c r="J44" s="71">
        <v>46237</v>
      </c>
      <c r="K44" s="56">
        <f t="shared" si="1"/>
        <v>2</v>
      </c>
      <c r="L44" s="71" t="s">
        <v>250</v>
      </c>
      <c r="M44" s="56">
        <f t="shared" si="2"/>
        <v>1</v>
      </c>
      <c r="N44" s="72">
        <v>0</v>
      </c>
      <c r="O44" s="50" t="s">
        <v>605</v>
      </c>
      <c r="P44" s="57" t="s">
        <v>53</v>
      </c>
      <c r="Q44" s="224">
        <v>526.56521739130437</v>
      </c>
      <c r="R44" s="224">
        <v>526.56521739130437</v>
      </c>
      <c r="S44" s="58">
        <f t="shared" si="3"/>
        <v>0</v>
      </c>
      <c r="T44" s="58"/>
      <c r="U44" s="58"/>
      <c r="V44" s="59">
        <f t="shared" si="4"/>
        <v>52.65652173913044</v>
      </c>
      <c r="W44" s="60">
        <f t="shared" si="5"/>
        <v>0</v>
      </c>
    </row>
    <row r="45" spans="1:23" x14ac:dyDescent="0.35">
      <c r="A45" s="61"/>
      <c r="B45" s="55">
        <v>41</v>
      </c>
      <c r="C45" s="70" t="s">
        <v>822</v>
      </c>
      <c r="D45" s="129">
        <v>136146</v>
      </c>
      <c r="E45" s="128"/>
      <c r="F45" s="130">
        <v>139180</v>
      </c>
      <c r="G45" s="71">
        <v>46225</v>
      </c>
      <c r="H45" s="71" t="s">
        <v>240</v>
      </c>
      <c r="I45" s="56">
        <f t="shared" si="0"/>
        <v>8</v>
      </c>
      <c r="J45" s="71">
        <v>46237</v>
      </c>
      <c r="K45" s="56">
        <f t="shared" si="1"/>
        <v>2</v>
      </c>
      <c r="L45" s="71" t="s">
        <v>250</v>
      </c>
      <c r="M45" s="56">
        <f t="shared" si="2"/>
        <v>1</v>
      </c>
      <c r="N45" s="50">
        <v>0</v>
      </c>
      <c r="O45" s="50" t="s">
        <v>605</v>
      </c>
      <c r="P45" s="57" t="s">
        <v>53</v>
      </c>
      <c r="Q45" s="224">
        <v>13097.782608695652</v>
      </c>
      <c r="R45" s="224">
        <v>13097.782608695652</v>
      </c>
      <c r="S45" s="58">
        <f t="shared" si="3"/>
        <v>0</v>
      </c>
      <c r="T45" s="58"/>
      <c r="U45" s="58"/>
      <c r="V45" s="59">
        <f t="shared" si="4"/>
        <v>1309.7782608695652</v>
      </c>
      <c r="W45" s="60">
        <f t="shared" si="5"/>
        <v>0</v>
      </c>
    </row>
    <row r="46" spans="1:23" x14ac:dyDescent="0.35">
      <c r="A46" s="61"/>
      <c r="B46" s="55">
        <v>42</v>
      </c>
      <c r="C46" s="70" t="s">
        <v>822</v>
      </c>
      <c r="D46" s="129">
        <v>136147</v>
      </c>
      <c r="E46" s="128"/>
      <c r="F46" s="130">
        <v>139181</v>
      </c>
      <c r="G46" s="71">
        <v>46225</v>
      </c>
      <c r="H46" s="71" t="s">
        <v>240</v>
      </c>
      <c r="I46" s="56">
        <f t="shared" si="0"/>
        <v>8</v>
      </c>
      <c r="J46" s="71">
        <v>46237</v>
      </c>
      <c r="K46" s="56">
        <f t="shared" si="1"/>
        <v>2</v>
      </c>
      <c r="L46" s="71" t="s">
        <v>250</v>
      </c>
      <c r="M46" s="56">
        <f t="shared" si="2"/>
        <v>1</v>
      </c>
      <c r="N46" s="50">
        <v>0</v>
      </c>
      <c r="O46" s="50" t="s">
        <v>605</v>
      </c>
      <c r="P46" s="57" t="s">
        <v>53</v>
      </c>
      <c r="Q46" s="224">
        <v>3510.4347826086955</v>
      </c>
      <c r="R46" s="224">
        <v>3510.4347826086955</v>
      </c>
      <c r="S46" s="58">
        <f t="shared" si="3"/>
        <v>0</v>
      </c>
      <c r="T46" s="58"/>
      <c r="U46" s="58"/>
      <c r="V46" s="59">
        <f t="shared" si="4"/>
        <v>351.04347826086956</v>
      </c>
      <c r="W46" s="60">
        <f t="shared" si="5"/>
        <v>0</v>
      </c>
    </row>
    <row r="47" spans="1:23" x14ac:dyDescent="0.35">
      <c r="A47" s="61"/>
      <c r="B47" s="55">
        <v>43</v>
      </c>
      <c r="C47" s="70" t="s">
        <v>822</v>
      </c>
      <c r="D47" s="129">
        <v>136148</v>
      </c>
      <c r="E47" s="128"/>
      <c r="F47" s="130">
        <v>139179</v>
      </c>
      <c r="G47" s="71">
        <v>46225</v>
      </c>
      <c r="H47" s="71" t="s">
        <v>240</v>
      </c>
      <c r="I47" s="56">
        <f t="shared" si="0"/>
        <v>8</v>
      </c>
      <c r="J47" s="71">
        <v>46237</v>
      </c>
      <c r="K47" s="56">
        <f t="shared" si="1"/>
        <v>2</v>
      </c>
      <c r="L47" s="71" t="s">
        <v>250</v>
      </c>
      <c r="M47" s="56">
        <f t="shared" si="2"/>
        <v>1</v>
      </c>
      <c r="N47" s="50">
        <v>0</v>
      </c>
      <c r="O47" s="50" t="s">
        <v>605</v>
      </c>
      <c r="P47" s="57" t="s">
        <v>53</v>
      </c>
      <c r="Q47" s="224">
        <v>15797</v>
      </c>
      <c r="R47" s="224">
        <v>15797</v>
      </c>
      <c r="S47" s="58">
        <f t="shared" si="3"/>
        <v>0</v>
      </c>
      <c r="T47" s="58"/>
      <c r="U47" s="58"/>
      <c r="V47" s="59">
        <f t="shared" si="4"/>
        <v>1579.7</v>
      </c>
      <c r="W47" s="60">
        <f t="shared" si="5"/>
        <v>0</v>
      </c>
    </row>
    <row r="48" spans="1:23" x14ac:dyDescent="0.35">
      <c r="A48" s="61"/>
      <c r="B48" s="55">
        <v>44</v>
      </c>
      <c r="C48" s="70" t="s">
        <v>822</v>
      </c>
      <c r="D48" s="129">
        <v>136149</v>
      </c>
      <c r="E48" s="128"/>
      <c r="F48" s="130">
        <v>139177</v>
      </c>
      <c r="G48" s="71">
        <v>46225</v>
      </c>
      <c r="H48" s="71" t="s">
        <v>240</v>
      </c>
      <c r="I48" s="56">
        <f t="shared" si="0"/>
        <v>8</v>
      </c>
      <c r="J48" s="71">
        <v>46237</v>
      </c>
      <c r="K48" s="56">
        <f t="shared" si="1"/>
        <v>2</v>
      </c>
      <c r="L48" s="71" t="s">
        <v>250</v>
      </c>
      <c r="M48" s="56">
        <f t="shared" si="2"/>
        <v>1</v>
      </c>
      <c r="N48" s="50">
        <v>0</v>
      </c>
      <c r="O48" s="50" t="s">
        <v>605</v>
      </c>
      <c r="P48" s="57" t="s">
        <v>53</v>
      </c>
      <c r="Q48" s="224">
        <v>4388.04347826087</v>
      </c>
      <c r="R48" s="224">
        <v>4388.04347826087</v>
      </c>
      <c r="S48" s="58">
        <f t="shared" si="3"/>
        <v>0</v>
      </c>
      <c r="T48" s="58"/>
      <c r="U48" s="58"/>
      <c r="V48" s="59">
        <f t="shared" si="4"/>
        <v>438.804347826087</v>
      </c>
      <c r="W48" s="60">
        <f t="shared" si="5"/>
        <v>0</v>
      </c>
    </row>
    <row r="49" spans="1:23" x14ac:dyDescent="0.35">
      <c r="A49" s="61"/>
      <c r="B49" s="55">
        <v>45</v>
      </c>
      <c r="C49" s="70" t="s">
        <v>822</v>
      </c>
      <c r="D49" s="129">
        <v>136150</v>
      </c>
      <c r="E49" s="128"/>
      <c r="F49" s="130">
        <v>139176</v>
      </c>
      <c r="G49" s="71">
        <v>46225</v>
      </c>
      <c r="H49" s="71" t="s">
        <v>240</v>
      </c>
      <c r="I49" s="56">
        <f t="shared" si="0"/>
        <v>8</v>
      </c>
      <c r="J49" s="71">
        <v>46237</v>
      </c>
      <c r="K49" s="56">
        <f t="shared" si="1"/>
        <v>2</v>
      </c>
      <c r="L49" s="71" t="s">
        <v>250</v>
      </c>
      <c r="M49" s="56">
        <f t="shared" si="2"/>
        <v>1</v>
      </c>
      <c r="N49" s="50">
        <v>0</v>
      </c>
      <c r="O49" s="50" t="s">
        <v>605</v>
      </c>
      <c r="P49" s="57" t="s">
        <v>53</v>
      </c>
      <c r="Q49" s="224">
        <v>11584.434782608696</v>
      </c>
      <c r="R49" s="224">
        <v>11584.434782608696</v>
      </c>
      <c r="S49" s="58">
        <f t="shared" si="3"/>
        <v>0</v>
      </c>
      <c r="T49" s="58"/>
      <c r="U49" s="58"/>
      <c r="V49" s="59">
        <f t="shared" si="4"/>
        <v>1158.4434782608696</v>
      </c>
      <c r="W49" s="60">
        <f t="shared" si="5"/>
        <v>0</v>
      </c>
    </row>
    <row r="50" spans="1:23" x14ac:dyDescent="0.35">
      <c r="A50" s="61"/>
      <c r="B50" s="55">
        <v>46</v>
      </c>
      <c r="C50" s="70" t="s">
        <v>822</v>
      </c>
      <c r="D50" s="129">
        <v>136151</v>
      </c>
      <c r="E50" s="128"/>
      <c r="F50" s="130">
        <v>139171</v>
      </c>
      <c r="G50" s="71">
        <v>46225</v>
      </c>
      <c r="H50" s="71" t="s">
        <v>240</v>
      </c>
      <c r="I50" s="56">
        <f t="shared" si="0"/>
        <v>8</v>
      </c>
      <c r="J50" s="71">
        <v>46237</v>
      </c>
      <c r="K50" s="56">
        <f t="shared" si="1"/>
        <v>2</v>
      </c>
      <c r="L50" s="71" t="s">
        <v>250</v>
      </c>
      <c r="M50" s="56">
        <f t="shared" si="2"/>
        <v>1</v>
      </c>
      <c r="N50" s="50">
        <v>0</v>
      </c>
      <c r="O50" s="50" t="s">
        <v>605</v>
      </c>
      <c r="P50" s="57" t="s">
        <v>53</v>
      </c>
      <c r="Q50" s="224">
        <v>877.60869565217388</v>
      </c>
      <c r="R50" s="224">
        <v>877.60869565217388</v>
      </c>
      <c r="S50" s="58">
        <f t="shared" si="3"/>
        <v>0</v>
      </c>
      <c r="T50" s="58"/>
      <c r="U50" s="58"/>
      <c r="V50" s="59">
        <f t="shared" si="4"/>
        <v>87.760869565217391</v>
      </c>
      <c r="W50" s="60">
        <f t="shared" si="5"/>
        <v>0</v>
      </c>
    </row>
    <row r="51" spans="1:23" x14ac:dyDescent="0.35">
      <c r="A51" s="61"/>
      <c r="B51" s="55">
        <v>47</v>
      </c>
      <c r="C51" s="70" t="s">
        <v>822</v>
      </c>
      <c r="D51" s="129">
        <v>136152</v>
      </c>
      <c r="E51" s="128"/>
      <c r="F51" s="130">
        <v>139169</v>
      </c>
      <c r="G51" s="71">
        <v>46225</v>
      </c>
      <c r="H51" s="71" t="s">
        <v>240</v>
      </c>
      <c r="I51" s="56">
        <f t="shared" si="0"/>
        <v>8</v>
      </c>
      <c r="J51" s="71">
        <v>46237</v>
      </c>
      <c r="K51" s="56">
        <f t="shared" si="1"/>
        <v>2</v>
      </c>
      <c r="L51" s="71" t="s">
        <v>250</v>
      </c>
      <c r="M51" s="56">
        <f t="shared" si="2"/>
        <v>1</v>
      </c>
      <c r="N51" s="50">
        <v>0</v>
      </c>
      <c r="O51" s="50" t="s">
        <v>605</v>
      </c>
      <c r="P51" s="57" t="s">
        <v>53</v>
      </c>
      <c r="Q51" s="224">
        <v>25728.260869565216</v>
      </c>
      <c r="R51" s="224">
        <v>25728.260869565216</v>
      </c>
      <c r="S51" s="58">
        <f t="shared" si="3"/>
        <v>0</v>
      </c>
      <c r="T51" s="58"/>
      <c r="U51" s="58"/>
      <c r="V51" s="59">
        <f t="shared" si="4"/>
        <v>2572.826086956522</v>
      </c>
      <c r="W51" s="60">
        <f t="shared" si="5"/>
        <v>0</v>
      </c>
    </row>
    <row r="52" spans="1:23" x14ac:dyDescent="0.35">
      <c r="A52" s="61"/>
      <c r="B52" s="55">
        <v>48</v>
      </c>
      <c r="C52" s="70" t="s">
        <v>822</v>
      </c>
      <c r="D52" s="129">
        <v>136163</v>
      </c>
      <c r="E52" s="128"/>
      <c r="F52" s="130">
        <v>139209</v>
      </c>
      <c r="G52" s="71">
        <v>46225</v>
      </c>
      <c r="H52" s="71" t="s">
        <v>240</v>
      </c>
      <c r="I52" s="56">
        <f t="shared" si="0"/>
        <v>8</v>
      </c>
      <c r="J52" s="71">
        <v>46237</v>
      </c>
      <c r="K52" s="56">
        <f t="shared" si="1"/>
        <v>2</v>
      </c>
      <c r="L52" s="71" t="s">
        <v>250</v>
      </c>
      <c r="M52" s="56">
        <f t="shared" si="2"/>
        <v>1</v>
      </c>
      <c r="N52" s="50" t="s">
        <v>286</v>
      </c>
      <c r="O52" s="50" t="s">
        <v>616</v>
      </c>
      <c r="P52" s="57" t="s">
        <v>53</v>
      </c>
      <c r="Q52" s="224">
        <v>23.356521739130436</v>
      </c>
      <c r="R52" s="224">
        <v>23.356521739130436</v>
      </c>
      <c r="S52" s="58">
        <f t="shared" si="3"/>
        <v>0</v>
      </c>
      <c r="T52" s="58"/>
      <c r="U52" s="58"/>
      <c r="V52" s="59">
        <f t="shared" si="4"/>
        <v>2.3356521739130436</v>
      </c>
      <c r="W52" s="60">
        <f t="shared" si="5"/>
        <v>0</v>
      </c>
    </row>
    <row r="53" spans="1:23" x14ac:dyDescent="0.35">
      <c r="A53" s="61"/>
      <c r="B53" s="55">
        <v>49</v>
      </c>
      <c r="C53" s="70" t="s">
        <v>822</v>
      </c>
      <c r="D53" s="129">
        <v>136228</v>
      </c>
      <c r="E53" s="128"/>
      <c r="F53" s="130">
        <v>139197</v>
      </c>
      <c r="G53" s="71">
        <v>46225</v>
      </c>
      <c r="H53" s="71" t="s">
        <v>241</v>
      </c>
      <c r="I53" s="56">
        <f t="shared" si="0"/>
        <v>11</v>
      </c>
      <c r="J53" s="71">
        <v>46241</v>
      </c>
      <c r="K53" s="56">
        <f t="shared" si="1"/>
        <v>3</v>
      </c>
      <c r="L53" s="71" t="s">
        <v>255</v>
      </c>
      <c r="M53" s="56">
        <f t="shared" si="2"/>
        <v>1</v>
      </c>
      <c r="N53" s="50" t="s">
        <v>287</v>
      </c>
      <c r="O53" s="50" t="s">
        <v>608</v>
      </c>
      <c r="P53" s="57" t="s">
        <v>53</v>
      </c>
      <c r="Q53" s="224">
        <v>3017.391304347826</v>
      </c>
      <c r="R53" s="224">
        <v>3017.391304347826</v>
      </c>
      <c r="S53" s="58">
        <f t="shared" si="3"/>
        <v>0</v>
      </c>
      <c r="T53" s="58"/>
      <c r="U53" s="58"/>
      <c r="V53" s="59">
        <f t="shared" si="4"/>
        <v>301.73913043478262</v>
      </c>
      <c r="W53" s="60">
        <f t="shared" si="5"/>
        <v>0</v>
      </c>
    </row>
    <row r="54" spans="1:23" x14ac:dyDescent="0.35">
      <c r="A54" s="61"/>
      <c r="B54" s="55">
        <v>50</v>
      </c>
      <c r="C54" s="70" t="s">
        <v>822</v>
      </c>
      <c r="D54" s="129">
        <v>136229</v>
      </c>
      <c r="E54" s="128"/>
      <c r="F54" s="130">
        <v>139198</v>
      </c>
      <c r="G54" s="71">
        <v>46225</v>
      </c>
      <c r="H54" s="71" t="s">
        <v>241</v>
      </c>
      <c r="I54" s="56">
        <f t="shared" si="0"/>
        <v>11</v>
      </c>
      <c r="J54" s="71">
        <v>46241</v>
      </c>
      <c r="K54" s="56">
        <f t="shared" si="1"/>
        <v>3</v>
      </c>
      <c r="L54" s="71" t="s">
        <v>255</v>
      </c>
      <c r="M54" s="56">
        <f t="shared" si="2"/>
        <v>1</v>
      </c>
      <c r="N54" s="50" t="s">
        <v>288</v>
      </c>
      <c r="O54" s="50" t="s">
        <v>609</v>
      </c>
      <c r="P54" s="57" t="s">
        <v>53</v>
      </c>
      <c r="Q54" s="224">
        <v>3017.391304347826</v>
      </c>
      <c r="R54" s="224">
        <v>3017.391304347826</v>
      </c>
      <c r="S54" s="58">
        <f t="shared" si="3"/>
        <v>0</v>
      </c>
      <c r="T54" s="58"/>
      <c r="U54" s="58"/>
      <c r="V54" s="59">
        <f t="shared" si="4"/>
        <v>301.73913043478262</v>
      </c>
      <c r="W54" s="60">
        <f t="shared" si="5"/>
        <v>0</v>
      </c>
    </row>
    <row r="55" spans="1:23" x14ac:dyDescent="0.35">
      <c r="A55" s="61"/>
      <c r="B55" s="55">
        <v>51</v>
      </c>
      <c r="C55" s="70" t="s">
        <v>822</v>
      </c>
      <c r="D55" s="129">
        <v>136232</v>
      </c>
      <c r="E55" s="128"/>
      <c r="F55" s="130">
        <v>139203</v>
      </c>
      <c r="G55" s="71">
        <v>46225</v>
      </c>
      <c r="H55" s="71" t="s">
        <v>241</v>
      </c>
      <c r="I55" s="56">
        <f t="shared" si="0"/>
        <v>11</v>
      </c>
      <c r="J55" s="71">
        <v>46241</v>
      </c>
      <c r="K55" s="56">
        <f t="shared" si="1"/>
        <v>3</v>
      </c>
      <c r="L55" s="71" t="s">
        <v>255</v>
      </c>
      <c r="M55" s="56">
        <f t="shared" si="2"/>
        <v>1</v>
      </c>
      <c r="N55" s="50" t="s">
        <v>289</v>
      </c>
      <c r="O55" s="50" t="s">
        <v>609</v>
      </c>
      <c r="P55" s="57" t="s">
        <v>53</v>
      </c>
      <c r="Q55" s="224">
        <v>1056.5217391304348</v>
      </c>
      <c r="R55" s="224">
        <v>1056.5217391304348</v>
      </c>
      <c r="S55" s="58">
        <f t="shared" si="3"/>
        <v>0</v>
      </c>
      <c r="T55" s="58"/>
      <c r="U55" s="58"/>
      <c r="V55" s="59">
        <f t="shared" si="4"/>
        <v>105.65217391304348</v>
      </c>
      <c r="W55" s="60">
        <f t="shared" si="5"/>
        <v>0</v>
      </c>
    </row>
    <row r="56" spans="1:23" x14ac:dyDescent="0.35">
      <c r="A56" s="61"/>
      <c r="B56" s="55">
        <v>52</v>
      </c>
      <c r="C56" s="70" t="s">
        <v>822</v>
      </c>
      <c r="D56" s="129">
        <v>136234</v>
      </c>
      <c r="E56" s="128"/>
      <c r="F56" s="130">
        <v>139205</v>
      </c>
      <c r="G56" s="71">
        <v>46225</v>
      </c>
      <c r="H56" s="71" t="s">
        <v>241</v>
      </c>
      <c r="I56" s="56">
        <f t="shared" si="0"/>
        <v>11</v>
      </c>
      <c r="J56" s="71">
        <v>46241</v>
      </c>
      <c r="K56" s="56">
        <f t="shared" si="1"/>
        <v>3</v>
      </c>
      <c r="L56" s="71" t="s">
        <v>255</v>
      </c>
      <c r="M56" s="56">
        <f t="shared" si="2"/>
        <v>1</v>
      </c>
      <c r="N56" s="50" t="s">
        <v>290</v>
      </c>
      <c r="O56" s="50" t="s">
        <v>609</v>
      </c>
      <c r="P56" s="57" t="s">
        <v>53</v>
      </c>
      <c r="Q56" s="224">
        <v>1408.695652173913</v>
      </c>
      <c r="R56" s="224">
        <v>1408.695652173913</v>
      </c>
      <c r="S56" s="58">
        <f t="shared" si="3"/>
        <v>0</v>
      </c>
      <c r="T56" s="58"/>
      <c r="U56" s="58"/>
      <c r="V56" s="59">
        <f t="shared" si="4"/>
        <v>140.86956521739131</v>
      </c>
      <c r="W56" s="60">
        <f t="shared" si="5"/>
        <v>0</v>
      </c>
    </row>
    <row r="57" spans="1:23" x14ac:dyDescent="0.35">
      <c r="A57" s="61"/>
      <c r="B57" s="55">
        <v>53</v>
      </c>
      <c r="C57" s="70" t="s">
        <v>822</v>
      </c>
      <c r="D57" s="129">
        <v>136360</v>
      </c>
      <c r="E57" s="128"/>
      <c r="F57" s="130">
        <v>139195</v>
      </c>
      <c r="G57" s="71">
        <v>46225</v>
      </c>
      <c r="H57" s="71" t="s">
        <v>248</v>
      </c>
      <c r="I57" s="56">
        <f t="shared" si="0"/>
        <v>19</v>
      </c>
      <c r="J57" s="71">
        <v>46251</v>
      </c>
      <c r="K57" s="56">
        <f t="shared" si="1"/>
        <v>1</v>
      </c>
      <c r="L57" s="71" t="s">
        <v>264</v>
      </c>
      <c r="M57" s="56">
        <f t="shared" si="2"/>
        <v>8</v>
      </c>
      <c r="N57" s="50">
        <v>0</v>
      </c>
      <c r="O57" s="50" t="s">
        <v>605</v>
      </c>
      <c r="P57" s="57" t="s">
        <v>53</v>
      </c>
      <c r="Q57" s="224">
        <v>39860.869565217392</v>
      </c>
      <c r="R57" s="224">
        <v>39860.869565217392</v>
      </c>
      <c r="S57" s="58">
        <f t="shared" si="3"/>
        <v>0</v>
      </c>
      <c r="T57" s="58"/>
      <c r="U57" s="58"/>
      <c r="V57" s="59">
        <f t="shared" si="4"/>
        <v>3986.0869565217395</v>
      </c>
      <c r="W57" s="60">
        <f t="shared" si="5"/>
        <v>0</v>
      </c>
    </row>
    <row r="58" spans="1:23" x14ac:dyDescent="0.35">
      <c r="A58" s="61"/>
      <c r="B58" s="55">
        <v>54</v>
      </c>
      <c r="C58" s="70" t="s">
        <v>822</v>
      </c>
      <c r="D58" s="129">
        <v>136122</v>
      </c>
      <c r="E58" s="128"/>
      <c r="F58" s="130">
        <v>139214</v>
      </c>
      <c r="G58" s="71">
        <v>46226</v>
      </c>
      <c r="H58" s="71" t="s">
        <v>249</v>
      </c>
      <c r="I58" s="56">
        <f t="shared" si="0"/>
        <v>3</v>
      </c>
      <c r="J58" s="71">
        <v>46237</v>
      </c>
      <c r="K58" s="56">
        <f t="shared" si="1"/>
        <v>6</v>
      </c>
      <c r="L58" s="71" t="s">
        <v>250</v>
      </c>
      <c r="M58" s="56">
        <f t="shared" si="2"/>
        <v>1</v>
      </c>
      <c r="N58" s="50" t="s">
        <v>291</v>
      </c>
      <c r="O58" s="50" t="s">
        <v>617</v>
      </c>
      <c r="P58" s="57" t="s">
        <v>53</v>
      </c>
      <c r="Q58" s="224">
        <v>1402.1739130434783</v>
      </c>
      <c r="R58" s="224">
        <v>1402.1739130434783</v>
      </c>
      <c r="S58" s="58">
        <f t="shared" si="3"/>
        <v>0</v>
      </c>
      <c r="T58" s="58"/>
      <c r="U58" s="58"/>
      <c r="V58" s="59">
        <f t="shared" si="4"/>
        <v>140.21739130434784</v>
      </c>
      <c r="W58" s="60">
        <f t="shared" si="5"/>
        <v>0</v>
      </c>
    </row>
    <row r="59" spans="1:23" x14ac:dyDescent="0.35">
      <c r="A59" s="61"/>
      <c r="B59" s="55">
        <v>55</v>
      </c>
      <c r="C59" s="70" t="s">
        <v>822</v>
      </c>
      <c r="D59" s="129">
        <v>136126</v>
      </c>
      <c r="E59" s="128"/>
      <c r="F59" s="130">
        <v>139220</v>
      </c>
      <c r="G59" s="71">
        <v>46226</v>
      </c>
      <c r="H59" s="71" t="s">
        <v>240</v>
      </c>
      <c r="I59" s="56">
        <f t="shared" si="0"/>
        <v>7</v>
      </c>
      <c r="J59" s="71">
        <v>46237</v>
      </c>
      <c r="K59" s="56">
        <f t="shared" si="1"/>
        <v>2</v>
      </c>
      <c r="L59" s="71" t="s">
        <v>250</v>
      </c>
      <c r="M59" s="56">
        <f t="shared" si="2"/>
        <v>1</v>
      </c>
      <c r="N59" s="50">
        <v>0</v>
      </c>
      <c r="O59" s="50" t="s">
        <v>615</v>
      </c>
      <c r="P59" s="57" t="s">
        <v>53</v>
      </c>
      <c r="Q59" s="224">
        <v>81.521739130434781</v>
      </c>
      <c r="R59" s="224">
        <v>81.521739130434781</v>
      </c>
      <c r="S59" s="58">
        <f t="shared" si="3"/>
        <v>0</v>
      </c>
      <c r="T59" s="58"/>
      <c r="U59" s="58"/>
      <c r="V59" s="59">
        <f t="shared" si="4"/>
        <v>8.1521739130434785</v>
      </c>
      <c r="W59" s="60">
        <f t="shared" si="5"/>
        <v>0</v>
      </c>
    </row>
    <row r="60" spans="1:23" x14ac:dyDescent="0.35">
      <c r="A60" s="61"/>
      <c r="B60" s="55">
        <v>56</v>
      </c>
      <c r="C60" s="70" t="s">
        <v>822</v>
      </c>
      <c r="D60" s="129">
        <v>136127</v>
      </c>
      <c r="E60" s="128"/>
      <c r="F60" s="130">
        <v>139215</v>
      </c>
      <c r="G60" s="71">
        <v>46226</v>
      </c>
      <c r="H60" s="71" t="s">
        <v>240</v>
      </c>
      <c r="I60" s="56">
        <f t="shared" si="0"/>
        <v>7</v>
      </c>
      <c r="J60" s="71">
        <v>46237</v>
      </c>
      <c r="K60" s="56">
        <f t="shared" si="1"/>
        <v>2</v>
      </c>
      <c r="L60" s="71" t="s">
        <v>250</v>
      </c>
      <c r="M60" s="56">
        <f t="shared" si="2"/>
        <v>1</v>
      </c>
      <c r="N60" s="50">
        <v>0</v>
      </c>
      <c r="O60" s="50" t="s">
        <v>618</v>
      </c>
      <c r="P60" s="57" t="s">
        <v>53</v>
      </c>
      <c r="Q60" s="224">
        <v>217.39130434782609</v>
      </c>
      <c r="R60" s="224">
        <v>217.39130434782609</v>
      </c>
      <c r="S60" s="58">
        <f t="shared" si="3"/>
        <v>0</v>
      </c>
      <c r="T60" s="58"/>
      <c r="U60" s="58"/>
      <c r="V60" s="59">
        <f t="shared" si="4"/>
        <v>21.739130434782609</v>
      </c>
      <c r="W60" s="60">
        <f t="shared" si="5"/>
        <v>0</v>
      </c>
    </row>
    <row r="61" spans="1:23" x14ac:dyDescent="0.35">
      <c r="A61" s="61"/>
      <c r="B61" s="55">
        <v>57</v>
      </c>
      <c r="C61" s="70" t="s">
        <v>822</v>
      </c>
      <c r="D61" s="129">
        <v>136074</v>
      </c>
      <c r="E61" s="128"/>
      <c r="F61" s="130">
        <v>139238</v>
      </c>
      <c r="G61" s="71">
        <v>46230</v>
      </c>
      <c r="H61" s="71" t="s">
        <v>247</v>
      </c>
      <c r="I61" s="56">
        <f t="shared" si="0"/>
        <v>2</v>
      </c>
      <c r="J61" s="71">
        <v>46237</v>
      </c>
      <c r="K61" s="56">
        <f t="shared" si="1"/>
        <v>5</v>
      </c>
      <c r="L61" s="71" t="s">
        <v>250</v>
      </c>
      <c r="M61" s="56">
        <f t="shared" si="2"/>
        <v>1</v>
      </c>
      <c r="N61" s="50" t="s">
        <v>292</v>
      </c>
      <c r="O61" s="50" t="s">
        <v>619</v>
      </c>
      <c r="P61" s="57" t="s">
        <v>53</v>
      </c>
      <c r="Q61" s="224">
        <v>1739.1304347826087</v>
      </c>
      <c r="R61" s="224">
        <v>1739.1304347826087</v>
      </c>
      <c r="S61" s="58">
        <f t="shared" si="3"/>
        <v>0</v>
      </c>
      <c r="T61" s="58"/>
      <c r="U61" s="58"/>
      <c r="V61" s="59">
        <f t="shared" si="4"/>
        <v>173.91304347826087</v>
      </c>
      <c r="W61" s="60">
        <f t="shared" si="5"/>
        <v>0</v>
      </c>
    </row>
    <row r="62" spans="1:23" x14ac:dyDescent="0.35">
      <c r="A62" s="61"/>
      <c r="B62" s="55">
        <v>58</v>
      </c>
      <c r="C62" s="70" t="s">
        <v>822</v>
      </c>
      <c r="D62" s="129">
        <v>136075</v>
      </c>
      <c r="E62" s="128"/>
      <c r="F62" s="130">
        <v>139231</v>
      </c>
      <c r="G62" s="71">
        <v>46230</v>
      </c>
      <c r="H62" s="71" t="s">
        <v>247</v>
      </c>
      <c r="I62" s="56">
        <f t="shared" ref="I62:I125" si="6">IF(OR(H62="", G62=""), "", NETWORKDAYS(G62, H62))</f>
        <v>2</v>
      </c>
      <c r="J62" s="71">
        <v>46237</v>
      </c>
      <c r="K62" s="56">
        <f t="shared" ref="K62:K125" si="7">IF(OR(H62="", J62=""), "", NETWORKDAYS(H62, J62))</f>
        <v>5</v>
      </c>
      <c r="L62" s="71" t="s">
        <v>250</v>
      </c>
      <c r="M62" s="56">
        <f t="shared" ref="M62:M125" si="8">IF(OR(J62="", L62=""), "", NETWORKDAYS(J62, L62))</f>
        <v>1</v>
      </c>
      <c r="N62" s="50" t="s">
        <v>293</v>
      </c>
      <c r="O62" s="50" t="s">
        <v>620</v>
      </c>
      <c r="P62" s="57" t="s">
        <v>53</v>
      </c>
      <c r="Q62" s="224">
        <v>7608.695652173913</v>
      </c>
      <c r="R62" s="224">
        <v>7608.695652173913</v>
      </c>
      <c r="S62" s="58">
        <f t="shared" ref="S62:S125" si="9">Q62-R62</f>
        <v>0</v>
      </c>
      <c r="T62" s="58"/>
      <c r="U62" s="58"/>
      <c r="V62" s="59">
        <f t="shared" ref="V62:V125" si="10">IF(Q62="", "", Q62*10%)</f>
        <v>760.86956521739137</v>
      </c>
      <c r="W62" s="60">
        <f t="shared" ref="W62:W125" si="11">IF(OR(Q62="", R62=""), "", (Q62- R62)/Q62)</f>
        <v>0</v>
      </c>
    </row>
    <row r="63" spans="1:23" x14ac:dyDescent="0.35">
      <c r="A63" s="61"/>
      <c r="B63" s="55">
        <v>59</v>
      </c>
      <c r="C63" s="70" t="s">
        <v>822</v>
      </c>
      <c r="D63" s="129">
        <v>136076</v>
      </c>
      <c r="E63" s="128"/>
      <c r="F63" s="130">
        <v>139227</v>
      </c>
      <c r="G63" s="71">
        <v>46230</v>
      </c>
      <c r="H63" s="71" t="s">
        <v>247</v>
      </c>
      <c r="I63" s="56">
        <f t="shared" si="6"/>
        <v>2</v>
      </c>
      <c r="J63" s="71">
        <v>46237</v>
      </c>
      <c r="K63" s="56">
        <f t="shared" si="7"/>
        <v>5</v>
      </c>
      <c r="L63" s="71" t="s">
        <v>250</v>
      </c>
      <c r="M63" s="56">
        <f t="shared" si="8"/>
        <v>1</v>
      </c>
      <c r="N63" s="50" t="s">
        <v>293</v>
      </c>
      <c r="O63" s="50" t="s">
        <v>621</v>
      </c>
      <c r="P63" s="57" t="s">
        <v>53</v>
      </c>
      <c r="Q63" s="224">
        <v>652.17391304347825</v>
      </c>
      <c r="R63" s="224">
        <v>652.17391304347825</v>
      </c>
      <c r="S63" s="58">
        <f t="shared" si="9"/>
        <v>0</v>
      </c>
      <c r="T63" s="58"/>
      <c r="U63" s="58"/>
      <c r="V63" s="59">
        <f t="shared" si="10"/>
        <v>65.217391304347828</v>
      </c>
      <c r="W63" s="60">
        <f t="shared" si="11"/>
        <v>0</v>
      </c>
    </row>
    <row r="64" spans="1:23" x14ac:dyDescent="0.35">
      <c r="A64" s="61"/>
      <c r="B64" s="55">
        <v>60</v>
      </c>
      <c r="C64" s="70" t="s">
        <v>822</v>
      </c>
      <c r="D64" s="129">
        <v>136077</v>
      </c>
      <c r="E64" s="128"/>
      <c r="F64" s="130">
        <v>139225</v>
      </c>
      <c r="G64" s="71">
        <v>46230</v>
      </c>
      <c r="H64" s="71" t="s">
        <v>247</v>
      </c>
      <c r="I64" s="56">
        <f t="shared" si="6"/>
        <v>2</v>
      </c>
      <c r="J64" s="71">
        <v>46237</v>
      </c>
      <c r="K64" s="56">
        <f t="shared" si="7"/>
        <v>5</v>
      </c>
      <c r="L64" s="71" t="s">
        <v>250</v>
      </c>
      <c r="M64" s="56">
        <f t="shared" si="8"/>
        <v>1</v>
      </c>
      <c r="N64" s="50" t="s">
        <v>294</v>
      </c>
      <c r="O64" s="50" t="s">
        <v>622</v>
      </c>
      <c r="P64" s="57" t="s">
        <v>53</v>
      </c>
      <c r="Q64" s="224">
        <v>130.43478260869566</v>
      </c>
      <c r="R64" s="224">
        <v>130.43478260869566</v>
      </c>
      <c r="S64" s="58">
        <f t="shared" si="9"/>
        <v>0</v>
      </c>
      <c r="T64" s="58"/>
      <c r="U64" s="58"/>
      <c r="V64" s="59">
        <f t="shared" si="10"/>
        <v>13.043478260869566</v>
      </c>
      <c r="W64" s="60">
        <f t="shared" si="11"/>
        <v>0</v>
      </c>
    </row>
    <row r="65" spans="1:23" x14ac:dyDescent="0.35">
      <c r="A65" s="61"/>
      <c r="B65" s="55">
        <v>61</v>
      </c>
      <c r="C65" s="70" t="s">
        <v>822</v>
      </c>
      <c r="D65" s="129">
        <v>136230</v>
      </c>
      <c r="E65" s="128"/>
      <c r="F65" s="130">
        <v>139241</v>
      </c>
      <c r="G65" s="71">
        <v>46230</v>
      </c>
      <c r="H65" s="71" t="s">
        <v>241</v>
      </c>
      <c r="I65" s="56">
        <f t="shared" si="6"/>
        <v>8</v>
      </c>
      <c r="J65" s="71">
        <v>46241</v>
      </c>
      <c r="K65" s="56">
        <f t="shared" si="7"/>
        <v>3</v>
      </c>
      <c r="L65" s="71" t="s">
        <v>255</v>
      </c>
      <c r="M65" s="56">
        <f t="shared" si="8"/>
        <v>1</v>
      </c>
      <c r="N65" s="50" t="s">
        <v>295</v>
      </c>
      <c r="O65" s="50" t="s">
        <v>608</v>
      </c>
      <c r="P65" s="57" t="s">
        <v>53</v>
      </c>
      <c r="Q65" s="224">
        <v>3000</v>
      </c>
      <c r="R65" s="224">
        <v>3000</v>
      </c>
      <c r="S65" s="58">
        <f t="shared" si="9"/>
        <v>0</v>
      </c>
      <c r="T65" s="58"/>
      <c r="U65" s="58"/>
      <c r="V65" s="59">
        <f t="shared" si="10"/>
        <v>300</v>
      </c>
      <c r="W65" s="60">
        <f t="shared" si="11"/>
        <v>0</v>
      </c>
    </row>
    <row r="66" spans="1:23" x14ac:dyDescent="0.35">
      <c r="A66" s="61"/>
      <c r="B66" s="55">
        <v>62</v>
      </c>
      <c r="C66" s="70" t="s">
        <v>822</v>
      </c>
      <c r="D66" s="129">
        <v>136231</v>
      </c>
      <c r="E66" s="128"/>
      <c r="F66" s="130">
        <v>139242</v>
      </c>
      <c r="G66" s="71">
        <v>46230</v>
      </c>
      <c r="H66" s="71" t="s">
        <v>241</v>
      </c>
      <c r="I66" s="56">
        <f t="shared" si="6"/>
        <v>8</v>
      </c>
      <c r="J66" s="71">
        <v>46241</v>
      </c>
      <c r="K66" s="56">
        <f t="shared" si="7"/>
        <v>3</v>
      </c>
      <c r="L66" s="71" t="s">
        <v>255</v>
      </c>
      <c r="M66" s="56">
        <f t="shared" si="8"/>
        <v>1</v>
      </c>
      <c r="N66" s="50" t="s">
        <v>295</v>
      </c>
      <c r="O66" s="50" t="s">
        <v>609</v>
      </c>
      <c r="P66" s="57" t="s">
        <v>53</v>
      </c>
      <c r="Q66" s="224">
        <v>3000</v>
      </c>
      <c r="R66" s="224">
        <v>3000</v>
      </c>
      <c r="S66" s="58">
        <f t="shared" si="9"/>
        <v>0</v>
      </c>
      <c r="T66" s="58"/>
      <c r="U66" s="58"/>
      <c r="V66" s="59">
        <f t="shared" si="10"/>
        <v>300</v>
      </c>
      <c r="W66" s="60">
        <f t="shared" si="11"/>
        <v>0</v>
      </c>
    </row>
    <row r="67" spans="1:23" x14ac:dyDescent="0.35">
      <c r="A67" s="61"/>
      <c r="B67" s="55">
        <v>63</v>
      </c>
      <c r="C67" s="70" t="s">
        <v>822</v>
      </c>
      <c r="D67" s="129">
        <v>136060</v>
      </c>
      <c r="E67" s="128"/>
      <c r="F67" s="130">
        <v>139284</v>
      </c>
      <c r="G67" s="71">
        <v>46231</v>
      </c>
      <c r="H67" s="71" t="s">
        <v>247</v>
      </c>
      <c r="I67" s="56">
        <f t="shared" si="6"/>
        <v>1</v>
      </c>
      <c r="J67" s="71">
        <v>46237</v>
      </c>
      <c r="K67" s="56">
        <f t="shared" si="7"/>
        <v>5</v>
      </c>
      <c r="L67" s="71" t="s">
        <v>250</v>
      </c>
      <c r="M67" s="56">
        <f t="shared" si="8"/>
        <v>1</v>
      </c>
      <c r="N67" s="50" t="s">
        <v>296</v>
      </c>
      <c r="O67" s="50" t="s">
        <v>623</v>
      </c>
      <c r="P67" s="57" t="s">
        <v>53</v>
      </c>
      <c r="Q67" s="224">
        <v>170</v>
      </c>
      <c r="R67" s="224">
        <v>170</v>
      </c>
      <c r="S67" s="58">
        <f t="shared" si="9"/>
        <v>0</v>
      </c>
      <c r="T67" s="58"/>
      <c r="U67" s="58"/>
      <c r="V67" s="59">
        <f t="shared" si="10"/>
        <v>17</v>
      </c>
      <c r="W67" s="60">
        <f t="shared" si="11"/>
        <v>0</v>
      </c>
    </row>
    <row r="68" spans="1:23" x14ac:dyDescent="0.35">
      <c r="A68" s="61"/>
      <c r="B68" s="55">
        <v>64</v>
      </c>
      <c r="C68" s="70" t="s">
        <v>822</v>
      </c>
      <c r="D68" s="129">
        <v>136061</v>
      </c>
      <c r="E68" s="128"/>
      <c r="F68" s="130">
        <v>139283</v>
      </c>
      <c r="G68" s="71">
        <v>46231</v>
      </c>
      <c r="H68" s="71" t="s">
        <v>247</v>
      </c>
      <c r="I68" s="56">
        <f t="shared" si="6"/>
        <v>1</v>
      </c>
      <c r="J68" s="71">
        <v>46237</v>
      </c>
      <c r="K68" s="56">
        <f t="shared" si="7"/>
        <v>5</v>
      </c>
      <c r="L68" s="71" t="s">
        <v>250</v>
      </c>
      <c r="M68" s="56">
        <f t="shared" si="8"/>
        <v>1</v>
      </c>
      <c r="N68" s="50" t="s">
        <v>297</v>
      </c>
      <c r="O68" s="50" t="s">
        <v>623</v>
      </c>
      <c r="P68" s="57" t="s">
        <v>53</v>
      </c>
      <c r="Q68" s="224">
        <v>179.13043478260869</v>
      </c>
      <c r="R68" s="224">
        <v>179.13043478260869</v>
      </c>
      <c r="S68" s="58">
        <f t="shared" si="9"/>
        <v>0</v>
      </c>
      <c r="T68" s="58"/>
      <c r="U68" s="58"/>
      <c r="V68" s="59">
        <f t="shared" si="10"/>
        <v>17.913043478260871</v>
      </c>
      <c r="W68" s="60">
        <f t="shared" si="11"/>
        <v>0</v>
      </c>
    </row>
    <row r="69" spans="1:23" x14ac:dyDescent="0.35">
      <c r="A69" s="61"/>
      <c r="B69" s="55">
        <v>65</v>
      </c>
      <c r="C69" s="70" t="s">
        <v>822</v>
      </c>
      <c r="D69" s="129">
        <v>136072</v>
      </c>
      <c r="E69" s="128"/>
      <c r="F69" s="130">
        <v>139247</v>
      </c>
      <c r="G69" s="71">
        <v>46231</v>
      </c>
      <c r="H69" s="71" t="s">
        <v>244</v>
      </c>
      <c r="I69" s="56">
        <f t="shared" si="6"/>
        <v>3</v>
      </c>
      <c r="J69" s="71">
        <v>46237</v>
      </c>
      <c r="K69" s="56">
        <f t="shared" si="7"/>
        <v>3</v>
      </c>
      <c r="L69" s="71" t="s">
        <v>241</v>
      </c>
      <c r="M69" s="56">
        <f t="shared" si="8"/>
        <v>3</v>
      </c>
      <c r="N69" s="50" t="s">
        <v>293</v>
      </c>
      <c r="O69" s="50" t="s">
        <v>624</v>
      </c>
      <c r="P69" s="57" t="s">
        <v>53</v>
      </c>
      <c r="Q69" s="224">
        <v>760.86956521739125</v>
      </c>
      <c r="R69" s="224">
        <v>760.86956521739125</v>
      </c>
      <c r="S69" s="58">
        <f t="shared" si="9"/>
        <v>0</v>
      </c>
      <c r="T69" s="58"/>
      <c r="U69" s="58"/>
      <c r="V69" s="59">
        <f t="shared" si="10"/>
        <v>76.086956521739125</v>
      </c>
      <c r="W69" s="60">
        <f t="shared" si="11"/>
        <v>0</v>
      </c>
    </row>
    <row r="70" spans="1:23" x14ac:dyDescent="0.35">
      <c r="A70" s="61"/>
      <c r="B70" s="55">
        <v>66</v>
      </c>
      <c r="C70" s="70" t="s">
        <v>822</v>
      </c>
      <c r="D70" s="129">
        <v>136073</v>
      </c>
      <c r="E70" s="128"/>
      <c r="F70" s="130">
        <v>139246</v>
      </c>
      <c r="G70" s="71">
        <v>46231</v>
      </c>
      <c r="H70" s="71" t="s">
        <v>247</v>
      </c>
      <c r="I70" s="56">
        <f t="shared" si="6"/>
        <v>1</v>
      </c>
      <c r="J70" s="71">
        <v>46237</v>
      </c>
      <c r="K70" s="56">
        <f t="shared" si="7"/>
        <v>5</v>
      </c>
      <c r="L70" s="71" t="s">
        <v>250</v>
      </c>
      <c r="M70" s="56">
        <f t="shared" si="8"/>
        <v>1</v>
      </c>
      <c r="N70" s="50" t="s">
        <v>298</v>
      </c>
      <c r="O70" s="50" t="s">
        <v>625</v>
      </c>
      <c r="P70" s="57" t="s">
        <v>53</v>
      </c>
      <c r="Q70" s="224">
        <v>130.43478260869566</v>
      </c>
      <c r="R70" s="224">
        <v>130.43478260869566</v>
      </c>
      <c r="S70" s="58">
        <f t="shared" si="9"/>
        <v>0</v>
      </c>
      <c r="T70" s="58"/>
      <c r="U70" s="58"/>
      <c r="V70" s="59">
        <f t="shared" si="10"/>
        <v>13.043478260869566</v>
      </c>
      <c r="W70" s="60">
        <f t="shared" si="11"/>
        <v>0</v>
      </c>
    </row>
    <row r="71" spans="1:23" x14ac:dyDescent="0.35">
      <c r="A71" s="61"/>
      <c r="B71" s="55">
        <v>67</v>
      </c>
      <c r="C71" s="70" t="s">
        <v>822</v>
      </c>
      <c r="D71" s="129">
        <v>136080</v>
      </c>
      <c r="E71" s="128"/>
      <c r="F71" s="130">
        <v>139266</v>
      </c>
      <c r="G71" s="71">
        <v>46231</v>
      </c>
      <c r="H71" s="71" t="s">
        <v>240</v>
      </c>
      <c r="I71" s="56">
        <f t="shared" si="6"/>
        <v>4</v>
      </c>
      <c r="J71" s="71">
        <v>46237</v>
      </c>
      <c r="K71" s="56">
        <f t="shared" si="7"/>
        <v>2</v>
      </c>
      <c r="L71" s="71" t="s">
        <v>250</v>
      </c>
      <c r="M71" s="56">
        <f t="shared" si="8"/>
        <v>1</v>
      </c>
      <c r="N71" s="50">
        <v>0</v>
      </c>
      <c r="O71" s="50" t="s">
        <v>612</v>
      </c>
      <c r="P71" s="57" t="s">
        <v>53</v>
      </c>
      <c r="Q71" s="224">
        <v>327.04347826086956</v>
      </c>
      <c r="R71" s="224">
        <v>327.04347826086956</v>
      </c>
      <c r="S71" s="58">
        <f t="shared" si="9"/>
        <v>0</v>
      </c>
      <c r="T71" s="58"/>
      <c r="U71" s="58"/>
      <c r="V71" s="59">
        <f t="shared" si="10"/>
        <v>32.704347826086959</v>
      </c>
      <c r="W71" s="60">
        <f t="shared" si="11"/>
        <v>0</v>
      </c>
    </row>
    <row r="72" spans="1:23" x14ac:dyDescent="0.35">
      <c r="A72" s="61"/>
      <c r="B72" s="55">
        <v>68</v>
      </c>
      <c r="C72" s="70" t="s">
        <v>822</v>
      </c>
      <c r="D72" s="129">
        <v>136086</v>
      </c>
      <c r="E72" s="128"/>
      <c r="F72" s="130">
        <v>139294</v>
      </c>
      <c r="G72" s="71">
        <v>46231</v>
      </c>
      <c r="H72" s="71" t="s">
        <v>240</v>
      </c>
      <c r="I72" s="56">
        <f t="shared" si="6"/>
        <v>4</v>
      </c>
      <c r="J72" s="71">
        <v>46237</v>
      </c>
      <c r="K72" s="56">
        <f t="shared" si="7"/>
        <v>2</v>
      </c>
      <c r="L72" s="71" t="s">
        <v>250</v>
      </c>
      <c r="M72" s="56">
        <f t="shared" si="8"/>
        <v>1</v>
      </c>
      <c r="N72" s="50">
        <v>0</v>
      </c>
      <c r="O72" s="50" t="s">
        <v>605</v>
      </c>
      <c r="P72" s="57" t="s">
        <v>53</v>
      </c>
      <c r="Q72" s="224">
        <v>35.282608695652172</v>
      </c>
      <c r="R72" s="224">
        <v>35.282608695652172</v>
      </c>
      <c r="S72" s="58">
        <f t="shared" si="9"/>
        <v>0</v>
      </c>
      <c r="T72" s="58"/>
      <c r="U72" s="58"/>
      <c r="V72" s="59">
        <f t="shared" si="10"/>
        <v>3.5282608695652176</v>
      </c>
      <c r="W72" s="60">
        <f t="shared" si="11"/>
        <v>0</v>
      </c>
    </row>
    <row r="73" spans="1:23" x14ac:dyDescent="0.35">
      <c r="A73" s="61"/>
      <c r="B73" s="55">
        <v>69</v>
      </c>
      <c r="C73" s="70" t="s">
        <v>822</v>
      </c>
      <c r="D73" s="129">
        <v>136088</v>
      </c>
      <c r="E73" s="128"/>
      <c r="F73" s="130">
        <v>139281</v>
      </c>
      <c r="G73" s="71">
        <v>46231</v>
      </c>
      <c r="H73" s="71" t="s">
        <v>240</v>
      </c>
      <c r="I73" s="56">
        <f t="shared" si="6"/>
        <v>4</v>
      </c>
      <c r="J73" s="71">
        <v>46237</v>
      </c>
      <c r="K73" s="56">
        <f t="shared" si="7"/>
        <v>2</v>
      </c>
      <c r="L73" s="71" t="s">
        <v>250</v>
      </c>
      <c r="M73" s="56">
        <f t="shared" si="8"/>
        <v>1</v>
      </c>
      <c r="N73" s="50">
        <v>0</v>
      </c>
      <c r="O73" s="50" t="s">
        <v>605</v>
      </c>
      <c r="P73" s="57" t="s">
        <v>53</v>
      </c>
      <c r="Q73" s="224">
        <v>223.41304347826087</v>
      </c>
      <c r="R73" s="224">
        <v>223.41304347826087</v>
      </c>
      <c r="S73" s="58">
        <f t="shared" si="9"/>
        <v>0</v>
      </c>
      <c r="T73" s="58"/>
      <c r="U73" s="58"/>
      <c r="V73" s="59">
        <f t="shared" si="10"/>
        <v>22.341304347826089</v>
      </c>
      <c r="W73" s="60">
        <f t="shared" si="11"/>
        <v>0</v>
      </c>
    </row>
    <row r="74" spans="1:23" x14ac:dyDescent="0.35">
      <c r="A74" s="61"/>
      <c r="B74" s="55">
        <v>70</v>
      </c>
      <c r="C74" s="70" t="s">
        <v>822</v>
      </c>
      <c r="D74" s="129">
        <v>136090</v>
      </c>
      <c r="E74" s="128"/>
      <c r="F74" s="130">
        <v>139286</v>
      </c>
      <c r="G74" s="71">
        <v>46231</v>
      </c>
      <c r="H74" s="71" t="s">
        <v>240</v>
      </c>
      <c r="I74" s="56">
        <f t="shared" si="6"/>
        <v>4</v>
      </c>
      <c r="J74" s="71">
        <v>46237</v>
      </c>
      <c r="K74" s="56">
        <f t="shared" si="7"/>
        <v>2</v>
      </c>
      <c r="L74" s="71" t="s">
        <v>250</v>
      </c>
      <c r="M74" s="56">
        <f t="shared" si="8"/>
        <v>1</v>
      </c>
      <c r="N74" s="50">
        <v>0</v>
      </c>
      <c r="O74" s="50" t="s">
        <v>605</v>
      </c>
      <c r="P74" s="57" t="s">
        <v>53</v>
      </c>
      <c r="Q74" s="224">
        <v>348.47826086956519</v>
      </c>
      <c r="R74" s="224">
        <v>348.47826086956519</v>
      </c>
      <c r="S74" s="58">
        <f t="shared" si="9"/>
        <v>0</v>
      </c>
      <c r="T74" s="58"/>
      <c r="U74" s="58"/>
      <c r="V74" s="59">
        <f t="shared" si="10"/>
        <v>34.847826086956523</v>
      </c>
      <c r="W74" s="60">
        <f t="shared" si="11"/>
        <v>0</v>
      </c>
    </row>
    <row r="75" spans="1:23" x14ac:dyDescent="0.35">
      <c r="A75" s="61"/>
      <c r="B75" s="55">
        <v>71</v>
      </c>
      <c r="C75" s="70" t="s">
        <v>822</v>
      </c>
      <c r="D75" s="129">
        <v>136091</v>
      </c>
      <c r="E75" s="128"/>
      <c r="F75" s="130">
        <v>139288</v>
      </c>
      <c r="G75" s="71">
        <v>46231</v>
      </c>
      <c r="H75" s="71" t="s">
        <v>240</v>
      </c>
      <c r="I75" s="56">
        <f t="shared" si="6"/>
        <v>4</v>
      </c>
      <c r="J75" s="71">
        <v>46237</v>
      </c>
      <c r="K75" s="56">
        <f t="shared" si="7"/>
        <v>2</v>
      </c>
      <c r="L75" s="71" t="s">
        <v>250</v>
      </c>
      <c r="M75" s="56">
        <f t="shared" si="8"/>
        <v>1</v>
      </c>
      <c r="N75" s="50">
        <v>0</v>
      </c>
      <c r="O75" s="50" t="s">
        <v>605</v>
      </c>
      <c r="P75" s="57" t="s">
        <v>53</v>
      </c>
      <c r="Q75" s="224">
        <v>1393.9130434782608</v>
      </c>
      <c r="R75" s="224">
        <v>1393.9130434782608</v>
      </c>
      <c r="S75" s="58">
        <f t="shared" si="9"/>
        <v>0</v>
      </c>
      <c r="T75" s="58"/>
      <c r="U75" s="58"/>
      <c r="V75" s="59">
        <f t="shared" si="10"/>
        <v>139.39130434782609</v>
      </c>
      <c r="W75" s="60">
        <f t="shared" si="11"/>
        <v>0</v>
      </c>
    </row>
    <row r="76" spans="1:23" x14ac:dyDescent="0.35">
      <c r="A76" s="61"/>
      <c r="B76" s="55">
        <v>72</v>
      </c>
      <c r="C76" s="70" t="s">
        <v>822</v>
      </c>
      <c r="D76" s="129">
        <v>136092</v>
      </c>
      <c r="E76" s="128"/>
      <c r="F76" s="130">
        <v>139277</v>
      </c>
      <c r="G76" s="71">
        <v>46231</v>
      </c>
      <c r="H76" s="71" t="s">
        <v>240</v>
      </c>
      <c r="I76" s="56">
        <f t="shared" si="6"/>
        <v>4</v>
      </c>
      <c r="J76" s="71">
        <v>46237</v>
      </c>
      <c r="K76" s="56">
        <f t="shared" si="7"/>
        <v>2</v>
      </c>
      <c r="L76" s="71" t="s">
        <v>250</v>
      </c>
      <c r="M76" s="56">
        <f t="shared" si="8"/>
        <v>1</v>
      </c>
      <c r="N76" s="50">
        <v>0</v>
      </c>
      <c r="O76" s="50" t="s">
        <v>612</v>
      </c>
      <c r="P76" s="57" t="s">
        <v>53</v>
      </c>
      <c r="Q76" s="224">
        <v>324.95652173913044</v>
      </c>
      <c r="R76" s="224">
        <v>324.95652173913044</v>
      </c>
      <c r="S76" s="58">
        <f t="shared" si="9"/>
        <v>0</v>
      </c>
      <c r="T76" s="58"/>
      <c r="U76" s="58"/>
      <c r="V76" s="59">
        <f t="shared" si="10"/>
        <v>32.495652173913044</v>
      </c>
      <c r="W76" s="60">
        <f t="shared" si="11"/>
        <v>0</v>
      </c>
    </row>
    <row r="77" spans="1:23" x14ac:dyDescent="0.35">
      <c r="A77" s="61"/>
      <c r="B77" s="55">
        <v>73</v>
      </c>
      <c r="C77" s="70" t="s">
        <v>822</v>
      </c>
      <c r="D77" s="129">
        <v>136093</v>
      </c>
      <c r="E77" s="128"/>
      <c r="F77" s="130">
        <v>139279</v>
      </c>
      <c r="G77" s="71">
        <v>46231</v>
      </c>
      <c r="H77" s="71" t="s">
        <v>240</v>
      </c>
      <c r="I77" s="56">
        <f t="shared" si="6"/>
        <v>4</v>
      </c>
      <c r="J77" s="71">
        <v>46237</v>
      </c>
      <c r="K77" s="56">
        <f t="shared" si="7"/>
        <v>2</v>
      </c>
      <c r="L77" s="71" t="s">
        <v>250</v>
      </c>
      <c r="M77" s="56">
        <f t="shared" si="8"/>
        <v>1</v>
      </c>
      <c r="N77" s="50">
        <v>0</v>
      </c>
      <c r="O77" s="50" t="s">
        <v>612</v>
      </c>
      <c r="P77" s="57" t="s">
        <v>53</v>
      </c>
      <c r="Q77" s="224">
        <v>316.95652173913044</v>
      </c>
      <c r="R77" s="224">
        <v>316.95652173913044</v>
      </c>
      <c r="S77" s="58">
        <f t="shared" si="9"/>
        <v>0</v>
      </c>
      <c r="T77" s="58"/>
      <c r="U77" s="58"/>
      <c r="V77" s="59">
        <f t="shared" si="10"/>
        <v>31.695652173913047</v>
      </c>
      <c r="W77" s="60">
        <f t="shared" si="11"/>
        <v>0</v>
      </c>
    </row>
    <row r="78" spans="1:23" x14ac:dyDescent="0.35">
      <c r="A78" s="61"/>
      <c r="B78" s="55">
        <v>74</v>
      </c>
      <c r="C78" s="70" t="s">
        <v>822</v>
      </c>
      <c r="D78" s="129">
        <v>136097</v>
      </c>
      <c r="E78" s="128"/>
      <c r="F78" s="130">
        <v>139278</v>
      </c>
      <c r="G78" s="71">
        <v>46231</v>
      </c>
      <c r="H78" s="71" t="s">
        <v>240</v>
      </c>
      <c r="I78" s="56">
        <f t="shared" si="6"/>
        <v>4</v>
      </c>
      <c r="J78" s="71">
        <v>46237</v>
      </c>
      <c r="K78" s="56">
        <f t="shared" si="7"/>
        <v>2</v>
      </c>
      <c r="L78" s="71" t="s">
        <v>250</v>
      </c>
      <c r="M78" s="56">
        <f t="shared" si="8"/>
        <v>1</v>
      </c>
      <c r="N78" s="50">
        <v>0</v>
      </c>
      <c r="O78" s="50" t="s">
        <v>612</v>
      </c>
      <c r="P78" s="57" t="s">
        <v>53</v>
      </c>
      <c r="Q78" s="224">
        <v>4754.347826086957</v>
      </c>
      <c r="R78" s="224">
        <v>4754.347826086957</v>
      </c>
      <c r="S78" s="58">
        <f t="shared" si="9"/>
        <v>0</v>
      </c>
      <c r="T78" s="58"/>
      <c r="U78" s="58"/>
      <c r="V78" s="59">
        <f t="shared" si="10"/>
        <v>475.43478260869574</v>
      </c>
      <c r="W78" s="60">
        <f t="shared" si="11"/>
        <v>0</v>
      </c>
    </row>
    <row r="79" spans="1:23" x14ac:dyDescent="0.35">
      <c r="A79" s="61"/>
      <c r="B79" s="55">
        <v>75</v>
      </c>
      <c r="C79" s="70" t="s">
        <v>822</v>
      </c>
      <c r="D79" s="129">
        <v>136099</v>
      </c>
      <c r="E79" s="128"/>
      <c r="F79" s="130">
        <v>139276</v>
      </c>
      <c r="G79" s="71">
        <v>46231</v>
      </c>
      <c r="H79" s="71" t="s">
        <v>240</v>
      </c>
      <c r="I79" s="56">
        <f t="shared" si="6"/>
        <v>4</v>
      </c>
      <c r="J79" s="71">
        <v>46237</v>
      </c>
      <c r="K79" s="56">
        <f t="shared" si="7"/>
        <v>2</v>
      </c>
      <c r="L79" s="71" t="s">
        <v>250</v>
      </c>
      <c r="M79" s="56">
        <f t="shared" si="8"/>
        <v>1</v>
      </c>
      <c r="N79" s="50">
        <v>0</v>
      </c>
      <c r="O79" s="50" t="s">
        <v>612</v>
      </c>
      <c r="P79" s="57" t="s">
        <v>53</v>
      </c>
      <c r="Q79" s="224">
        <v>4874.347826086957</v>
      </c>
      <c r="R79" s="224">
        <v>4874.347826086957</v>
      </c>
      <c r="S79" s="58">
        <f t="shared" si="9"/>
        <v>0</v>
      </c>
      <c r="T79" s="58"/>
      <c r="U79" s="58"/>
      <c r="V79" s="59">
        <f t="shared" si="10"/>
        <v>487.43478260869574</v>
      </c>
      <c r="W79" s="60">
        <f t="shared" si="11"/>
        <v>0</v>
      </c>
    </row>
    <row r="80" spans="1:23" x14ac:dyDescent="0.35">
      <c r="A80" s="61"/>
      <c r="B80" s="55">
        <v>76</v>
      </c>
      <c r="C80" s="70" t="s">
        <v>822</v>
      </c>
      <c r="D80" s="129">
        <v>136100</v>
      </c>
      <c r="E80" s="128"/>
      <c r="F80" s="130">
        <v>139274</v>
      </c>
      <c r="G80" s="71">
        <v>46231</v>
      </c>
      <c r="H80" s="71" t="s">
        <v>240</v>
      </c>
      <c r="I80" s="56">
        <f t="shared" si="6"/>
        <v>4</v>
      </c>
      <c r="J80" s="71">
        <v>46237</v>
      </c>
      <c r="K80" s="56">
        <f t="shared" si="7"/>
        <v>2</v>
      </c>
      <c r="L80" s="71" t="s">
        <v>250</v>
      </c>
      <c r="M80" s="56">
        <f t="shared" si="8"/>
        <v>1</v>
      </c>
      <c r="N80" s="50">
        <v>0</v>
      </c>
      <c r="O80" s="50" t="s">
        <v>612</v>
      </c>
      <c r="P80" s="57" t="s">
        <v>53</v>
      </c>
      <c r="Q80" s="224">
        <v>2112.217391304348</v>
      </c>
      <c r="R80" s="224">
        <v>2112.217391304348</v>
      </c>
      <c r="S80" s="58">
        <f t="shared" si="9"/>
        <v>0</v>
      </c>
      <c r="T80" s="58"/>
      <c r="U80" s="58"/>
      <c r="V80" s="59">
        <f t="shared" si="10"/>
        <v>211.2217391304348</v>
      </c>
      <c r="W80" s="60">
        <f t="shared" si="11"/>
        <v>0</v>
      </c>
    </row>
    <row r="81" spans="1:23" x14ac:dyDescent="0.35">
      <c r="A81" s="61"/>
      <c r="B81" s="55">
        <v>77</v>
      </c>
      <c r="C81" s="70" t="s">
        <v>822</v>
      </c>
      <c r="D81" s="129">
        <v>136103</v>
      </c>
      <c r="E81" s="128"/>
      <c r="F81" s="130">
        <v>139273</v>
      </c>
      <c r="G81" s="71">
        <v>46231</v>
      </c>
      <c r="H81" s="71" t="s">
        <v>240</v>
      </c>
      <c r="I81" s="56">
        <f t="shared" si="6"/>
        <v>4</v>
      </c>
      <c r="J81" s="71">
        <v>46237</v>
      </c>
      <c r="K81" s="56">
        <f t="shared" si="7"/>
        <v>2</v>
      </c>
      <c r="L81" s="71" t="s">
        <v>250</v>
      </c>
      <c r="M81" s="56">
        <f t="shared" si="8"/>
        <v>1</v>
      </c>
      <c r="N81" s="50">
        <v>0</v>
      </c>
      <c r="O81" s="50" t="s">
        <v>612</v>
      </c>
      <c r="P81" s="57" t="s">
        <v>53</v>
      </c>
      <c r="Q81" s="224">
        <v>3249.5652173913045</v>
      </c>
      <c r="R81" s="224">
        <v>3249.5652173913045</v>
      </c>
      <c r="S81" s="58">
        <f t="shared" si="9"/>
        <v>0</v>
      </c>
      <c r="T81" s="58"/>
      <c r="U81" s="58"/>
      <c r="V81" s="59">
        <f t="shared" si="10"/>
        <v>324.95652173913049</v>
      </c>
      <c r="W81" s="60">
        <f t="shared" si="11"/>
        <v>0</v>
      </c>
    </row>
    <row r="82" spans="1:23" x14ac:dyDescent="0.35">
      <c r="A82" s="61"/>
      <c r="B82" s="55">
        <v>78</v>
      </c>
      <c r="C82" s="70" t="s">
        <v>822</v>
      </c>
      <c r="D82" s="129">
        <v>136104</v>
      </c>
      <c r="E82" s="128"/>
      <c r="F82" s="130">
        <v>139267</v>
      </c>
      <c r="G82" s="71">
        <v>46231</v>
      </c>
      <c r="H82" s="71" t="s">
        <v>240</v>
      </c>
      <c r="I82" s="56">
        <f t="shared" si="6"/>
        <v>4</v>
      </c>
      <c r="J82" s="71">
        <v>46237</v>
      </c>
      <c r="K82" s="56">
        <f t="shared" si="7"/>
        <v>2</v>
      </c>
      <c r="L82" s="71" t="s">
        <v>250</v>
      </c>
      <c r="M82" s="56">
        <f t="shared" si="8"/>
        <v>1</v>
      </c>
      <c r="N82" s="50">
        <v>0</v>
      </c>
      <c r="O82" s="50" t="s">
        <v>612</v>
      </c>
      <c r="P82" s="57" t="s">
        <v>53</v>
      </c>
      <c r="Q82" s="224">
        <v>271.39130434782606</v>
      </c>
      <c r="R82" s="224">
        <v>271.39130434782606</v>
      </c>
      <c r="S82" s="58">
        <f t="shared" si="9"/>
        <v>0</v>
      </c>
      <c r="T82" s="58"/>
      <c r="U82" s="58"/>
      <c r="V82" s="59">
        <f t="shared" si="10"/>
        <v>27.139130434782608</v>
      </c>
      <c r="W82" s="60">
        <f t="shared" si="11"/>
        <v>0</v>
      </c>
    </row>
    <row r="83" spans="1:23" x14ac:dyDescent="0.35">
      <c r="A83" s="61"/>
      <c r="B83" s="55">
        <v>79</v>
      </c>
      <c r="C83" s="70" t="s">
        <v>822</v>
      </c>
      <c r="D83" s="129">
        <v>136105</v>
      </c>
      <c r="E83" s="128"/>
      <c r="F83" s="130">
        <v>139271</v>
      </c>
      <c r="G83" s="71">
        <v>46231</v>
      </c>
      <c r="H83" s="71" t="s">
        <v>240</v>
      </c>
      <c r="I83" s="56">
        <f t="shared" si="6"/>
        <v>4</v>
      </c>
      <c r="J83" s="71">
        <v>46237</v>
      </c>
      <c r="K83" s="56">
        <f t="shared" si="7"/>
        <v>2</v>
      </c>
      <c r="L83" s="71" t="s">
        <v>251</v>
      </c>
      <c r="M83" s="56">
        <f t="shared" si="8"/>
        <v>2</v>
      </c>
      <c r="N83" s="50">
        <v>0</v>
      </c>
      <c r="O83" s="50" t="s">
        <v>612</v>
      </c>
      <c r="P83" s="57" t="s">
        <v>53</v>
      </c>
      <c r="Q83" s="224">
        <v>7149.04347826087</v>
      </c>
      <c r="R83" s="224">
        <v>7149.04347826087</v>
      </c>
      <c r="S83" s="58">
        <f t="shared" si="9"/>
        <v>0</v>
      </c>
      <c r="T83" s="58"/>
      <c r="U83" s="58"/>
      <c r="V83" s="59">
        <f t="shared" si="10"/>
        <v>714.90434782608702</v>
      </c>
      <c r="W83" s="60">
        <f t="shared" si="11"/>
        <v>0</v>
      </c>
    </row>
    <row r="84" spans="1:23" x14ac:dyDescent="0.35">
      <c r="A84" s="61"/>
      <c r="B84" s="55">
        <v>80</v>
      </c>
      <c r="C84" s="70" t="s">
        <v>822</v>
      </c>
      <c r="D84" s="129">
        <v>136106</v>
      </c>
      <c r="E84" s="128"/>
      <c r="F84" s="130">
        <v>139270</v>
      </c>
      <c r="G84" s="71">
        <v>46231</v>
      </c>
      <c r="H84" s="71" t="s">
        <v>240</v>
      </c>
      <c r="I84" s="56">
        <f t="shared" si="6"/>
        <v>4</v>
      </c>
      <c r="J84" s="71">
        <v>46237</v>
      </c>
      <c r="K84" s="56">
        <f t="shared" si="7"/>
        <v>2</v>
      </c>
      <c r="L84" s="71" t="s">
        <v>250</v>
      </c>
      <c r="M84" s="56">
        <f t="shared" si="8"/>
        <v>1</v>
      </c>
      <c r="N84" s="50">
        <v>0</v>
      </c>
      <c r="O84" s="50" t="s">
        <v>612</v>
      </c>
      <c r="P84" s="57" t="s">
        <v>53</v>
      </c>
      <c r="Q84" s="224">
        <v>3087.086956521739</v>
      </c>
      <c r="R84" s="224">
        <v>3087.086956521739</v>
      </c>
      <c r="S84" s="58">
        <f t="shared" si="9"/>
        <v>0</v>
      </c>
      <c r="T84" s="58"/>
      <c r="U84" s="58"/>
      <c r="V84" s="59">
        <f t="shared" si="10"/>
        <v>308.7086956521739</v>
      </c>
      <c r="W84" s="60">
        <f t="shared" si="11"/>
        <v>0</v>
      </c>
    </row>
    <row r="85" spans="1:23" x14ac:dyDescent="0.35">
      <c r="A85" s="61"/>
      <c r="B85" s="55">
        <v>81</v>
      </c>
      <c r="C85" s="70" t="s">
        <v>822</v>
      </c>
      <c r="D85" s="129">
        <v>136109</v>
      </c>
      <c r="E85" s="128"/>
      <c r="F85" s="130">
        <v>139268</v>
      </c>
      <c r="G85" s="71">
        <v>46231</v>
      </c>
      <c r="H85" s="71" t="s">
        <v>240</v>
      </c>
      <c r="I85" s="56">
        <f t="shared" si="6"/>
        <v>4</v>
      </c>
      <c r="J85" s="71">
        <v>46237</v>
      </c>
      <c r="K85" s="56">
        <f t="shared" si="7"/>
        <v>2</v>
      </c>
      <c r="L85" s="71" t="s">
        <v>250</v>
      </c>
      <c r="M85" s="56">
        <f t="shared" si="8"/>
        <v>1</v>
      </c>
      <c r="N85" s="50">
        <v>0</v>
      </c>
      <c r="O85" s="50" t="s">
        <v>612</v>
      </c>
      <c r="P85" s="57" t="s">
        <v>53</v>
      </c>
      <c r="Q85" s="224">
        <v>327.04347826086956</v>
      </c>
      <c r="R85" s="224">
        <v>327.04347826086956</v>
      </c>
      <c r="S85" s="58">
        <f t="shared" si="9"/>
        <v>0</v>
      </c>
      <c r="T85" s="58"/>
      <c r="U85" s="58"/>
      <c r="V85" s="59">
        <f t="shared" si="10"/>
        <v>32.704347826086959</v>
      </c>
      <c r="W85" s="60">
        <f t="shared" si="11"/>
        <v>0</v>
      </c>
    </row>
    <row r="86" spans="1:23" x14ac:dyDescent="0.35">
      <c r="A86" s="61"/>
      <c r="B86" s="55">
        <v>82</v>
      </c>
      <c r="C86" s="70" t="s">
        <v>822</v>
      </c>
      <c r="D86" s="129">
        <v>136110</v>
      </c>
      <c r="E86" s="128"/>
      <c r="F86" s="130">
        <v>139265</v>
      </c>
      <c r="G86" s="71">
        <v>46231</v>
      </c>
      <c r="H86" s="71" t="s">
        <v>240</v>
      </c>
      <c r="I86" s="56">
        <f t="shared" si="6"/>
        <v>4</v>
      </c>
      <c r="J86" s="71">
        <v>46237</v>
      </c>
      <c r="K86" s="56">
        <f t="shared" si="7"/>
        <v>2</v>
      </c>
      <c r="L86" s="71" t="s">
        <v>250</v>
      </c>
      <c r="M86" s="56">
        <f t="shared" si="8"/>
        <v>1</v>
      </c>
      <c r="N86" s="50">
        <v>0</v>
      </c>
      <c r="O86" s="50" t="s">
        <v>612</v>
      </c>
      <c r="P86" s="57" t="s">
        <v>53</v>
      </c>
      <c r="Q86" s="224">
        <v>340.51086956521738</v>
      </c>
      <c r="R86" s="224">
        <v>340.51086956521738</v>
      </c>
      <c r="S86" s="58">
        <f t="shared" si="9"/>
        <v>0</v>
      </c>
      <c r="T86" s="58"/>
      <c r="U86" s="58"/>
      <c r="V86" s="59">
        <f t="shared" si="10"/>
        <v>34.051086956521736</v>
      </c>
      <c r="W86" s="60">
        <f t="shared" si="11"/>
        <v>0</v>
      </c>
    </row>
    <row r="87" spans="1:23" x14ac:dyDescent="0.35">
      <c r="A87" s="61"/>
      <c r="B87" s="55">
        <v>83</v>
      </c>
      <c r="C87" s="70" t="s">
        <v>822</v>
      </c>
      <c r="D87" s="129">
        <v>136111</v>
      </c>
      <c r="E87" s="128"/>
      <c r="F87" s="130">
        <v>139264</v>
      </c>
      <c r="G87" s="71">
        <v>46231</v>
      </c>
      <c r="H87" s="71" t="s">
        <v>240</v>
      </c>
      <c r="I87" s="56">
        <f t="shared" si="6"/>
        <v>4</v>
      </c>
      <c r="J87" s="71">
        <v>46237</v>
      </c>
      <c r="K87" s="56">
        <f t="shared" si="7"/>
        <v>2</v>
      </c>
      <c r="L87" s="71" t="s">
        <v>250</v>
      </c>
      <c r="M87" s="56">
        <f t="shared" si="8"/>
        <v>1</v>
      </c>
      <c r="N87" s="50">
        <v>0</v>
      </c>
      <c r="O87" s="50" t="s">
        <v>612</v>
      </c>
      <c r="P87" s="57" t="s">
        <v>53</v>
      </c>
      <c r="Q87" s="224">
        <v>353.97826086956519</v>
      </c>
      <c r="R87" s="224">
        <v>353.97826086956519</v>
      </c>
      <c r="S87" s="58">
        <f t="shared" si="9"/>
        <v>0</v>
      </c>
      <c r="T87" s="58"/>
      <c r="U87" s="58"/>
      <c r="V87" s="59">
        <f t="shared" si="10"/>
        <v>35.39782608695652</v>
      </c>
      <c r="W87" s="60">
        <f t="shared" si="11"/>
        <v>0</v>
      </c>
    </row>
    <row r="88" spans="1:23" x14ac:dyDescent="0.35">
      <c r="A88" s="61"/>
      <c r="B88" s="55">
        <v>84</v>
      </c>
      <c r="C88" s="70" t="s">
        <v>822</v>
      </c>
      <c r="D88" s="129">
        <v>136112</v>
      </c>
      <c r="E88" s="128"/>
      <c r="F88" s="130">
        <v>139262</v>
      </c>
      <c r="G88" s="71">
        <v>46231</v>
      </c>
      <c r="H88" s="71" t="s">
        <v>240</v>
      </c>
      <c r="I88" s="56">
        <f t="shared" si="6"/>
        <v>4</v>
      </c>
      <c r="J88" s="71">
        <v>46237</v>
      </c>
      <c r="K88" s="56">
        <f t="shared" si="7"/>
        <v>2</v>
      </c>
      <c r="L88" s="71" t="s">
        <v>250</v>
      </c>
      <c r="M88" s="56">
        <f t="shared" si="8"/>
        <v>1</v>
      </c>
      <c r="N88" s="50">
        <v>0</v>
      </c>
      <c r="O88" s="50" t="s">
        <v>612</v>
      </c>
      <c r="P88" s="57" t="s">
        <v>53</v>
      </c>
      <c r="Q88" s="224">
        <v>327.04347826086956</v>
      </c>
      <c r="R88" s="224">
        <v>327.04347826086956</v>
      </c>
      <c r="S88" s="58">
        <f t="shared" si="9"/>
        <v>0</v>
      </c>
      <c r="T88" s="58"/>
      <c r="U88" s="58"/>
      <c r="V88" s="59">
        <f t="shared" si="10"/>
        <v>32.704347826086959</v>
      </c>
      <c r="W88" s="60">
        <f t="shared" si="11"/>
        <v>0</v>
      </c>
    </row>
    <row r="89" spans="1:23" x14ac:dyDescent="0.35">
      <c r="A89" s="61"/>
      <c r="B89" s="55">
        <v>85</v>
      </c>
      <c r="C89" s="70" t="s">
        <v>822</v>
      </c>
      <c r="D89" s="129">
        <v>136113</v>
      </c>
      <c r="E89" s="128"/>
      <c r="F89" s="130">
        <v>139263</v>
      </c>
      <c r="G89" s="71">
        <v>46231</v>
      </c>
      <c r="H89" s="71" t="s">
        <v>240</v>
      </c>
      <c r="I89" s="56">
        <f t="shared" si="6"/>
        <v>4</v>
      </c>
      <c r="J89" s="71">
        <v>46237</v>
      </c>
      <c r="K89" s="56">
        <f t="shared" si="7"/>
        <v>2</v>
      </c>
      <c r="L89" s="71" t="s">
        <v>250</v>
      </c>
      <c r="M89" s="56">
        <f t="shared" si="8"/>
        <v>1</v>
      </c>
      <c r="N89" s="50">
        <v>0</v>
      </c>
      <c r="O89" s="50" t="s">
        <v>612</v>
      </c>
      <c r="P89" s="57" t="s">
        <v>53</v>
      </c>
      <c r="Q89" s="224">
        <v>869.56521739130437</v>
      </c>
      <c r="R89" s="224">
        <v>869.56521739130437</v>
      </c>
      <c r="S89" s="58">
        <f t="shared" si="9"/>
        <v>0</v>
      </c>
      <c r="T89" s="58"/>
      <c r="U89" s="58"/>
      <c r="V89" s="59">
        <f t="shared" si="10"/>
        <v>86.956521739130437</v>
      </c>
      <c r="W89" s="60">
        <f t="shared" si="11"/>
        <v>0</v>
      </c>
    </row>
    <row r="90" spans="1:23" x14ac:dyDescent="0.35">
      <c r="A90" s="61"/>
      <c r="B90" s="55">
        <v>86</v>
      </c>
      <c r="C90" s="70" t="s">
        <v>822</v>
      </c>
      <c r="D90" s="129">
        <v>136114</v>
      </c>
      <c r="E90" s="128"/>
      <c r="F90" s="130">
        <v>139261</v>
      </c>
      <c r="G90" s="71">
        <v>46231</v>
      </c>
      <c r="H90" s="71" t="s">
        <v>240</v>
      </c>
      <c r="I90" s="56">
        <f t="shared" si="6"/>
        <v>4</v>
      </c>
      <c r="J90" s="71">
        <v>46237</v>
      </c>
      <c r="K90" s="56">
        <f t="shared" si="7"/>
        <v>2</v>
      </c>
      <c r="L90" s="71" t="s">
        <v>250</v>
      </c>
      <c r="M90" s="56">
        <f t="shared" si="8"/>
        <v>1</v>
      </c>
      <c r="N90" s="50">
        <v>0</v>
      </c>
      <c r="O90" s="50" t="s">
        <v>612</v>
      </c>
      <c r="P90" s="57" t="s">
        <v>53</v>
      </c>
      <c r="Q90" s="224">
        <v>313.03739130434781</v>
      </c>
      <c r="R90" s="224">
        <v>313.03739130434781</v>
      </c>
      <c r="S90" s="58">
        <f t="shared" si="9"/>
        <v>0</v>
      </c>
      <c r="T90" s="58"/>
      <c r="U90" s="58"/>
      <c r="V90" s="59">
        <f t="shared" si="10"/>
        <v>31.303739130434781</v>
      </c>
      <c r="W90" s="60">
        <f t="shared" si="11"/>
        <v>0</v>
      </c>
    </row>
    <row r="91" spans="1:23" x14ac:dyDescent="0.35">
      <c r="A91" s="61"/>
      <c r="B91" s="55">
        <v>87</v>
      </c>
      <c r="C91" s="70" t="s">
        <v>822</v>
      </c>
      <c r="D91" s="129">
        <v>136115</v>
      </c>
      <c r="E91" s="128"/>
      <c r="F91" s="130">
        <v>139258</v>
      </c>
      <c r="G91" s="71">
        <v>46231</v>
      </c>
      <c r="H91" s="71" t="s">
        <v>240</v>
      </c>
      <c r="I91" s="56">
        <f t="shared" si="6"/>
        <v>4</v>
      </c>
      <c r="J91" s="71">
        <v>46237</v>
      </c>
      <c r="K91" s="56">
        <f t="shared" si="7"/>
        <v>2</v>
      </c>
      <c r="L91" s="71" t="s">
        <v>250</v>
      </c>
      <c r="M91" s="56">
        <f t="shared" si="8"/>
        <v>1</v>
      </c>
      <c r="N91" s="50">
        <v>0</v>
      </c>
      <c r="O91" s="50" t="s">
        <v>612</v>
      </c>
      <c r="P91" s="57" t="s">
        <v>53</v>
      </c>
      <c r="Q91" s="224">
        <v>353.97826086956519</v>
      </c>
      <c r="R91" s="224">
        <v>353.97826086956519</v>
      </c>
      <c r="S91" s="58">
        <f t="shared" si="9"/>
        <v>0</v>
      </c>
      <c r="T91" s="58"/>
      <c r="U91" s="58"/>
      <c r="V91" s="59">
        <f t="shared" si="10"/>
        <v>35.39782608695652</v>
      </c>
      <c r="W91" s="60">
        <f t="shared" si="11"/>
        <v>0</v>
      </c>
    </row>
    <row r="92" spans="1:23" x14ac:dyDescent="0.35">
      <c r="A92" s="61"/>
      <c r="B92" s="55">
        <v>88</v>
      </c>
      <c r="C92" s="70" t="s">
        <v>822</v>
      </c>
      <c r="D92" s="129">
        <v>136116</v>
      </c>
      <c r="E92" s="128"/>
      <c r="F92" s="130">
        <v>139260</v>
      </c>
      <c r="G92" s="71">
        <v>46231</v>
      </c>
      <c r="H92" s="71" t="s">
        <v>240</v>
      </c>
      <c r="I92" s="56">
        <f t="shared" si="6"/>
        <v>4</v>
      </c>
      <c r="J92" s="71">
        <v>46237</v>
      </c>
      <c r="K92" s="56">
        <f t="shared" si="7"/>
        <v>2</v>
      </c>
      <c r="L92" s="71" t="s">
        <v>250</v>
      </c>
      <c r="M92" s="56">
        <f t="shared" si="8"/>
        <v>1</v>
      </c>
      <c r="N92" s="50">
        <v>0</v>
      </c>
      <c r="O92" s="50" t="s">
        <v>612</v>
      </c>
      <c r="P92" s="57" t="s">
        <v>53</v>
      </c>
      <c r="Q92" s="224">
        <v>2893.478260869565</v>
      </c>
      <c r="R92" s="224">
        <v>2893.478260869565</v>
      </c>
      <c r="S92" s="58">
        <f t="shared" si="9"/>
        <v>0</v>
      </c>
      <c r="T92" s="58"/>
      <c r="U92" s="58"/>
      <c r="V92" s="59">
        <f t="shared" si="10"/>
        <v>289.3478260869565</v>
      </c>
      <c r="W92" s="60">
        <f t="shared" si="11"/>
        <v>0</v>
      </c>
    </row>
    <row r="93" spans="1:23" x14ac:dyDescent="0.35">
      <c r="A93" s="61"/>
      <c r="B93" s="55">
        <v>89</v>
      </c>
      <c r="C93" s="70" t="s">
        <v>822</v>
      </c>
      <c r="D93" s="129">
        <v>136117</v>
      </c>
      <c r="E93" s="128"/>
      <c r="F93" s="130">
        <v>139259</v>
      </c>
      <c r="G93" s="71">
        <v>46231</v>
      </c>
      <c r="H93" s="71" t="s">
        <v>240</v>
      </c>
      <c r="I93" s="56">
        <f t="shared" si="6"/>
        <v>4</v>
      </c>
      <c r="J93" s="71">
        <v>46237</v>
      </c>
      <c r="K93" s="56">
        <f t="shared" si="7"/>
        <v>2</v>
      </c>
      <c r="L93" s="71" t="s">
        <v>250</v>
      </c>
      <c r="M93" s="56">
        <f t="shared" si="8"/>
        <v>1</v>
      </c>
      <c r="N93" s="50">
        <v>0</v>
      </c>
      <c r="O93" s="50" t="s">
        <v>612</v>
      </c>
      <c r="P93" s="57" t="s">
        <v>53</v>
      </c>
      <c r="Q93" s="224">
        <v>327.04347826086956</v>
      </c>
      <c r="R93" s="224">
        <v>327.04347826086956</v>
      </c>
      <c r="S93" s="58">
        <f t="shared" si="9"/>
        <v>0</v>
      </c>
      <c r="T93" s="58"/>
      <c r="U93" s="58"/>
      <c r="V93" s="59">
        <f t="shared" si="10"/>
        <v>32.704347826086959</v>
      </c>
      <c r="W93" s="60">
        <f t="shared" si="11"/>
        <v>0</v>
      </c>
    </row>
    <row r="94" spans="1:23" x14ac:dyDescent="0.35">
      <c r="A94" s="61"/>
      <c r="B94" s="55">
        <v>90</v>
      </c>
      <c r="C94" s="70" t="s">
        <v>822</v>
      </c>
      <c r="D94" s="129">
        <v>136118</v>
      </c>
      <c r="E94" s="128"/>
      <c r="F94" s="130">
        <v>139257</v>
      </c>
      <c r="G94" s="71">
        <v>46231</v>
      </c>
      <c r="H94" s="71" t="s">
        <v>240</v>
      </c>
      <c r="I94" s="56">
        <f t="shared" si="6"/>
        <v>4</v>
      </c>
      <c r="J94" s="71">
        <v>46237</v>
      </c>
      <c r="K94" s="56">
        <f t="shared" si="7"/>
        <v>2</v>
      </c>
      <c r="L94" s="71" t="s">
        <v>250</v>
      </c>
      <c r="M94" s="56">
        <f t="shared" si="8"/>
        <v>1</v>
      </c>
      <c r="N94" s="50">
        <v>0</v>
      </c>
      <c r="O94" s="50" t="s">
        <v>612</v>
      </c>
      <c r="P94" s="57" t="s">
        <v>53</v>
      </c>
      <c r="Q94" s="224">
        <v>313.03739130434781</v>
      </c>
      <c r="R94" s="224">
        <v>313.03739130434781</v>
      </c>
      <c r="S94" s="58">
        <f t="shared" si="9"/>
        <v>0</v>
      </c>
      <c r="T94" s="58"/>
      <c r="U94" s="58"/>
      <c r="V94" s="59">
        <f t="shared" si="10"/>
        <v>31.303739130434781</v>
      </c>
      <c r="W94" s="60">
        <f t="shared" si="11"/>
        <v>0</v>
      </c>
    </row>
    <row r="95" spans="1:23" x14ac:dyDescent="0.35">
      <c r="A95" s="61"/>
      <c r="B95" s="55">
        <v>91</v>
      </c>
      <c r="C95" s="70" t="s">
        <v>822</v>
      </c>
      <c r="D95" s="129">
        <v>136119</v>
      </c>
      <c r="E95" s="128"/>
      <c r="F95" s="130">
        <v>139256</v>
      </c>
      <c r="G95" s="71">
        <v>46231</v>
      </c>
      <c r="H95" s="71" t="s">
        <v>240</v>
      </c>
      <c r="I95" s="56">
        <f t="shared" si="6"/>
        <v>4</v>
      </c>
      <c r="J95" s="71">
        <v>46237</v>
      </c>
      <c r="K95" s="56">
        <f t="shared" si="7"/>
        <v>2</v>
      </c>
      <c r="L95" s="71" t="s">
        <v>250</v>
      </c>
      <c r="M95" s="56">
        <f t="shared" si="8"/>
        <v>1</v>
      </c>
      <c r="N95" s="50">
        <v>0</v>
      </c>
      <c r="O95" s="50" t="s">
        <v>612</v>
      </c>
      <c r="P95" s="57" t="s">
        <v>53</v>
      </c>
      <c r="Q95" s="224">
        <v>340.51086956521738</v>
      </c>
      <c r="R95" s="224">
        <v>340.51086956521738</v>
      </c>
      <c r="S95" s="58">
        <f t="shared" si="9"/>
        <v>0</v>
      </c>
      <c r="T95" s="58"/>
      <c r="U95" s="58"/>
      <c r="V95" s="59">
        <f t="shared" si="10"/>
        <v>34.051086956521736</v>
      </c>
      <c r="W95" s="60">
        <f t="shared" si="11"/>
        <v>0</v>
      </c>
    </row>
    <row r="96" spans="1:23" x14ac:dyDescent="0.35">
      <c r="A96" s="61"/>
      <c r="B96" s="55">
        <v>92</v>
      </c>
      <c r="C96" s="70" t="s">
        <v>822</v>
      </c>
      <c r="D96" s="129">
        <v>136120</v>
      </c>
      <c r="E96" s="128"/>
      <c r="F96" s="130">
        <v>139255</v>
      </c>
      <c r="G96" s="71">
        <v>46231</v>
      </c>
      <c r="H96" s="71" t="s">
        <v>240</v>
      </c>
      <c r="I96" s="56">
        <f t="shared" si="6"/>
        <v>4</v>
      </c>
      <c r="J96" s="71">
        <v>46237</v>
      </c>
      <c r="K96" s="56">
        <f t="shared" si="7"/>
        <v>2</v>
      </c>
      <c r="L96" s="71" t="s">
        <v>250</v>
      </c>
      <c r="M96" s="56">
        <f t="shared" si="8"/>
        <v>1</v>
      </c>
      <c r="N96" s="50">
        <v>0</v>
      </c>
      <c r="O96" s="50" t="s">
        <v>612</v>
      </c>
      <c r="P96" s="57" t="s">
        <v>53</v>
      </c>
      <c r="Q96" s="224">
        <v>353.97826086956519</v>
      </c>
      <c r="R96" s="224">
        <v>353.97826086956519</v>
      </c>
      <c r="S96" s="58">
        <f t="shared" si="9"/>
        <v>0</v>
      </c>
      <c r="T96" s="58"/>
      <c r="U96" s="58"/>
      <c r="V96" s="59">
        <f t="shared" si="10"/>
        <v>35.39782608695652</v>
      </c>
      <c r="W96" s="60">
        <f t="shared" si="11"/>
        <v>0</v>
      </c>
    </row>
    <row r="97" spans="1:23" x14ac:dyDescent="0.35">
      <c r="A97" s="61"/>
      <c r="B97" s="55">
        <v>93</v>
      </c>
      <c r="C97" s="70" t="s">
        <v>822</v>
      </c>
      <c r="D97" s="129">
        <v>136121</v>
      </c>
      <c r="E97" s="128"/>
      <c r="F97" s="130">
        <v>139252</v>
      </c>
      <c r="G97" s="71">
        <v>46231</v>
      </c>
      <c r="H97" s="71" t="s">
        <v>244</v>
      </c>
      <c r="I97" s="56">
        <f t="shared" si="6"/>
        <v>3</v>
      </c>
      <c r="J97" s="71">
        <v>46237</v>
      </c>
      <c r="K97" s="56">
        <f t="shared" si="7"/>
        <v>3</v>
      </c>
      <c r="L97" s="71" t="s">
        <v>250</v>
      </c>
      <c r="M97" s="56">
        <f t="shared" si="8"/>
        <v>1</v>
      </c>
      <c r="N97" s="50" t="s">
        <v>299</v>
      </c>
      <c r="O97" s="50" t="s">
        <v>626</v>
      </c>
      <c r="P97" s="57" t="s">
        <v>53</v>
      </c>
      <c r="Q97" s="224">
        <v>2967.391304347826</v>
      </c>
      <c r="R97" s="224">
        <v>2967.391304347826</v>
      </c>
      <c r="S97" s="58">
        <f t="shared" si="9"/>
        <v>0</v>
      </c>
      <c r="T97" s="58"/>
      <c r="U97" s="58"/>
      <c r="V97" s="59">
        <f t="shared" si="10"/>
        <v>296.73913043478262</v>
      </c>
      <c r="W97" s="60">
        <f t="shared" si="11"/>
        <v>0</v>
      </c>
    </row>
    <row r="98" spans="1:23" x14ac:dyDescent="0.35">
      <c r="A98" s="61"/>
      <c r="B98" s="55">
        <v>94</v>
      </c>
      <c r="C98" s="70" t="s">
        <v>822</v>
      </c>
      <c r="D98" s="129">
        <v>136123</v>
      </c>
      <c r="E98" s="128"/>
      <c r="F98" s="130">
        <v>139254</v>
      </c>
      <c r="G98" s="71">
        <v>46231</v>
      </c>
      <c r="H98" s="71" t="s">
        <v>240</v>
      </c>
      <c r="I98" s="56">
        <f t="shared" si="6"/>
        <v>4</v>
      </c>
      <c r="J98" s="71">
        <v>46237</v>
      </c>
      <c r="K98" s="56">
        <f t="shared" si="7"/>
        <v>2</v>
      </c>
      <c r="L98" s="71" t="s">
        <v>250</v>
      </c>
      <c r="M98" s="56">
        <f t="shared" si="8"/>
        <v>1</v>
      </c>
      <c r="N98" s="50">
        <v>0</v>
      </c>
      <c r="O98" s="50" t="s">
        <v>612</v>
      </c>
      <c r="P98" s="57" t="s">
        <v>53</v>
      </c>
      <c r="Q98" s="224">
        <v>26.608721739130434</v>
      </c>
      <c r="R98" s="224">
        <v>26.608721739130434</v>
      </c>
      <c r="S98" s="58">
        <f t="shared" si="9"/>
        <v>0</v>
      </c>
      <c r="T98" s="58"/>
      <c r="U98" s="58"/>
      <c r="V98" s="59">
        <f t="shared" si="10"/>
        <v>2.6608721739130434</v>
      </c>
      <c r="W98" s="60">
        <f t="shared" si="11"/>
        <v>0</v>
      </c>
    </row>
    <row r="99" spans="1:23" x14ac:dyDescent="0.35">
      <c r="A99" s="61"/>
      <c r="B99" s="55">
        <v>95</v>
      </c>
      <c r="C99" s="70" t="s">
        <v>822</v>
      </c>
      <c r="D99" s="129">
        <v>136124</v>
      </c>
      <c r="E99" s="128"/>
      <c r="F99" s="130">
        <v>139253</v>
      </c>
      <c r="G99" s="71">
        <v>46231</v>
      </c>
      <c r="H99" s="71" t="s">
        <v>240</v>
      </c>
      <c r="I99" s="56">
        <f t="shared" si="6"/>
        <v>4</v>
      </c>
      <c r="J99" s="71">
        <v>46237</v>
      </c>
      <c r="K99" s="56">
        <f t="shared" si="7"/>
        <v>2</v>
      </c>
      <c r="L99" s="71" t="s">
        <v>250</v>
      </c>
      <c r="M99" s="56">
        <f t="shared" si="8"/>
        <v>1</v>
      </c>
      <c r="N99" s="50">
        <v>0</v>
      </c>
      <c r="O99" s="50" t="s">
        <v>612</v>
      </c>
      <c r="P99" s="57" t="s">
        <v>53</v>
      </c>
      <c r="Q99" s="224">
        <v>1458.2391304347825</v>
      </c>
      <c r="R99" s="224">
        <v>1458.2391304347825</v>
      </c>
      <c r="S99" s="58">
        <f t="shared" si="9"/>
        <v>0</v>
      </c>
      <c r="T99" s="58"/>
      <c r="U99" s="58"/>
      <c r="V99" s="59">
        <f t="shared" si="10"/>
        <v>145.82391304347826</v>
      </c>
      <c r="W99" s="60">
        <f t="shared" si="11"/>
        <v>0</v>
      </c>
    </row>
    <row r="100" spans="1:23" x14ac:dyDescent="0.35">
      <c r="A100" s="61"/>
      <c r="B100" s="55">
        <v>96</v>
      </c>
      <c r="C100" s="70" t="s">
        <v>822</v>
      </c>
      <c r="D100" s="129">
        <v>136125</v>
      </c>
      <c r="E100" s="128"/>
      <c r="F100" s="130">
        <v>139250</v>
      </c>
      <c r="G100" s="71">
        <v>46231</v>
      </c>
      <c r="H100" s="71" t="s">
        <v>240</v>
      </c>
      <c r="I100" s="56">
        <f t="shared" si="6"/>
        <v>4</v>
      </c>
      <c r="J100" s="71">
        <v>46237</v>
      </c>
      <c r="K100" s="56">
        <f t="shared" si="7"/>
        <v>2</v>
      </c>
      <c r="L100" s="71" t="s">
        <v>250</v>
      </c>
      <c r="M100" s="56">
        <f t="shared" si="8"/>
        <v>1</v>
      </c>
      <c r="N100" s="50">
        <v>0</v>
      </c>
      <c r="O100" s="50" t="s">
        <v>605</v>
      </c>
      <c r="P100" s="57" t="s">
        <v>53</v>
      </c>
      <c r="Q100" s="224">
        <v>33.760869565217391</v>
      </c>
      <c r="R100" s="224">
        <v>33.760869565217391</v>
      </c>
      <c r="S100" s="58">
        <f t="shared" si="9"/>
        <v>0</v>
      </c>
      <c r="T100" s="58"/>
      <c r="U100" s="58"/>
      <c r="V100" s="59">
        <f t="shared" si="10"/>
        <v>3.3760869565217391</v>
      </c>
      <c r="W100" s="60">
        <f t="shared" si="11"/>
        <v>0</v>
      </c>
    </row>
    <row r="101" spans="1:23" x14ac:dyDescent="0.35">
      <c r="A101" s="61"/>
      <c r="B101" s="55">
        <v>97</v>
      </c>
      <c r="C101" s="70" t="s">
        <v>822</v>
      </c>
      <c r="D101" s="129">
        <v>136177</v>
      </c>
      <c r="E101" s="128"/>
      <c r="F101" s="130">
        <v>139249</v>
      </c>
      <c r="G101" s="71">
        <v>46231</v>
      </c>
      <c r="H101" s="71" t="s">
        <v>250</v>
      </c>
      <c r="I101" s="56">
        <f t="shared" si="6"/>
        <v>5</v>
      </c>
      <c r="J101" s="71">
        <v>46238</v>
      </c>
      <c r="K101" s="56">
        <f t="shared" si="7"/>
        <v>2</v>
      </c>
      <c r="L101" s="71" t="s">
        <v>251</v>
      </c>
      <c r="M101" s="56">
        <f t="shared" si="8"/>
        <v>1</v>
      </c>
      <c r="N101" s="50" t="s">
        <v>300</v>
      </c>
      <c r="O101" s="50" t="s">
        <v>627</v>
      </c>
      <c r="P101" s="57" t="s">
        <v>53</v>
      </c>
      <c r="Q101" s="224">
        <v>528.26086956521738</v>
      </c>
      <c r="R101" s="224">
        <v>528.26086956521738</v>
      </c>
      <c r="S101" s="58">
        <f t="shared" si="9"/>
        <v>0</v>
      </c>
      <c r="T101" s="58"/>
      <c r="U101" s="58"/>
      <c r="V101" s="59">
        <f t="shared" si="10"/>
        <v>52.826086956521742</v>
      </c>
      <c r="W101" s="60">
        <f t="shared" si="11"/>
        <v>0</v>
      </c>
    </row>
    <row r="102" spans="1:23" x14ac:dyDescent="0.35">
      <c r="A102" s="61"/>
      <c r="B102" s="55">
        <v>98</v>
      </c>
      <c r="C102" s="70" t="s">
        <v>822</v>
      </c>
      <c r="D102" s="129">
        <v>136361</v>
      </c>
      <c r="E102" s="128"/>
      <c r="F102" s="130">
        <v>139269</v>
      </c>
      <c r="G102" s="71">
        <v>46231</v>
      </c>
      <c r="H102" s="71" t="s">
        <v>248</v>
      </c>
      <c r="I102" s="56">
        <f t="shared" si="6"/>
        <v>15</v>
      </c>
      <c r="J102" s="71">
        <v>46251</v>
      </c>
      <c r="K102" s="56">
        <f t="shared" si="7"/>
        <v>1</v>
      </c>
      <c r="L102" s="71" t="s">
        <v>264</v>
      </c>
      <c r="M102" s="56">
        <f t="shared" si="8"/>
        <v>8</v>
      </c>
      <c r="N102" s="50">
        <v>0</v>
      </c>
      <c r="O102" s="50" t="s">
        <v>612</v>
      </c>
      <c r="P102" s="57" t="s">
        <v>53</v>
      </c>
      <c r="Q102" s="224">
        <v>23071.91304347826</v>
      </c>
      <c r="R102" s="224">
        <v>23071.91304347826</v>
      </c>
      <c r="S102" s="58">
        <f t="shared" si="9"/>
        <v>0</v>
      </c>
      <c r="T102" s="58"/>
      <c r="U102" s="58"/>
      <c r="V102" s="59">
        <f t="shared" si="10"/>
        <v>2307.1913043478262</v>
      </c>
      <c r="W102" s="60">
        <f t="shared" si="11"/>
        <v>0</v>
      </c>
    </row>
    <row r="103" spans="1:23" ht="43.5" customHeight="1" x14ac:dyDescent="0.35">
      <c r="A103" s="61"/>
      <c r="B103" s="55">
        <v>99</v>
      </c>
      <c r="C103" s="70" t="s">
        <v>822</v>
      </c>
      <c r="D103" s="129">
        <v>136058</v>
      </c>
      <c r="E103" s="128"/>
      <c r="F103" s="130">
        <v>139303</v>
      </c>
      <c r="G103" s="71">
        <v>46232</v>
      </c>
      <c r="H103" s="71" t="s">
        <v>240</v>
      </c>
      <c r="I103" s="56">
        <f t="shared" si="6"/>
        <v>3</v>
      </c>
      <c r="J103" s="71">
        <v>46237</v>
      </c>
      <c r="K103" s="56">
        <f t="shared" si="7"/>
        <v>2</v>
      </c>
      <c r="L103" s="71" t="s">
        <v>250</v>
      </c>
      <c r="M103" s="56">
        <f t="shared" si="8"/>
        <v>1</v>
      </c>
      <c r="N103" s="72" t="s">
        <v>301</v>
      </c>
      <c r="O103" s="50" t="s">
        <v>628</v>
      </c>
      <c r="P103" s="57" t="s">
        <v>53</v>
      </c>
      <c r="Q103" s="224">
        <v>853.64869565217396</v>
      </c>
      <c r="R103" s="224">
        <v>853.64869565217396</v>
      </c>
      <c r="S103" s="58">
        <f t="shared" si="9"/>
        <v>0</v>
      </c>
      <c r="T103" s="58"/>
      <c r="U103" s="58"/>
      <c r="V103" s="59">
        <f t="shared" si="10"/>
        <v>85.364869565217404</v>
      </c>
      <c r="W103" s="60">
        <f t="shared" si="11"/>
        <v>0</v>
      </c>
    </row>
    <row r="104" spans="1:23" x14ac:dyDescent="0.35">
      <c r="A104" s="61"/>
      <c r="B104" s="55">
        <v>100</v>
      </c>
      <c r="C104" s="70" t="s">
        <v>822</v>
      </c>
      <c r="D104" s="129">
        <v>136059</v>
      </c>
      <c r="E104" s="128"/>
      <c r="F104" s="130">
        <v>139299</v>
      </c>
      <c r="G104" s="71">
        <v>46232</v>
      </c>
      <c r="H104" s="71" t="s">
        <v>244</v>
      </c>
      <c r="I104" s="56">
        <f t="shared" si="6"/>
        <v>2</v>
      </c>
      <c r="J104" s="71">
        <v>46237</v>
      </c>
      <c r="K104" s="56">
        <f t="shared" si="7"/>
        <v>3</v>
      </c>
      <c r="L104" s="71" t="s">
        <v>250</v>
      </c>
      <c r="M104" s="56">
        <f t="shared" si="8"/>
        <v>1</v>
      </c>
      <c r="N104" s="50" t="s">
        <v>302</v>
      </c>
      <c r="O104" s="50" t="s">
        <v>629</v>
      </c>
      <c r="P104" s="57" t="s">
        <v>53</v>
      </c>
      <c r="Q104" s="224">
        <v>8478.2608695652179</v>
      </c>
      <c r="R104" s="224">
        <v>8478.2608695652179</v>
      </c>
      <c r="S104" s="58">
        <f t="shared" si="9"/>
        <v>0</v>
      </c>
      <c r="T104" s="58"/>
      <c r="U104" s="58"/>
      <c r="V104" s="59">
        <f t="shared" si="10"/>
        <v>847.82608695652186</v>
      </c>
      <c r="W104" s="60">
        <f t="shared" si="11"/>
        <v>0</v>
      </c>
    </row>
    <row r="105" spans="1:23" x14ac:dyDescent="0.35">
      <c r="A105" s="61"/>
      <c r="B105" s="55">
        <v>101</v>
      </c>
      <c r="C105" s="70" t="s">
        <v>822</v>
      </c>
      <c r="D105" s="129">
        <v>136065</v>
      </c>
      <c r="E105" s="128"/>
      <c r="F105" s="130">
        <v>139315</v>
      </c>
      <c r="G105" s="71">
        <v>46232</v>
      </c>
      <c r="H105" s="71" t="s">
        <v>240</v>
      </c>
      <c r="I105" s="56">
        <f t="shared" si="6"/>
        <v>3</v>
      </c>
      <c r="J105" s="71">
        <v>46237</v>
      </c>
      <c r="K105" s="56">
        <f t="shared" si="7"/>
        <v>2</v>
      </c>
      <c r="L105" s="71" t="s">
        <v>250</v>
      </c>
      <c r="M105" s="56">
        <f t="shared" si="8"/>
        <v>1</v>
      </c>
      <c r="N105" s="50" t="s">
        <v>303</v>
      </c>
      <c r="O105" s="50" t="s">
        <v>630</v>
      </c>
      <c r="P105" s="57" t="s">
        <v>53</v>
      </c>
      <c r="Q105" s="224">
        <v>1521.7391304347825</v>
      </c>
      <c r="R105" s="224">
        <v>1521.7391304347825</v>
      </c>
      <c r="S105" s="58">
        <f t="shared" si="9"/>
        <v>0</v>
      </c>
      <c r="T105" s="58"/>
      <c r="U105" s="58"/>
      <c r="V105" s="59">
        <f t="shared" si="10"/>
        <v>152.17391304347825</v>
      </c>
      <c r="W105" s="60">
        <f t="shared" si="11"/>
        <v>0</v>
      </c>
    </row>
    <row r="106" spans="1:23" x14ac:dyDescent="0.35">
      <c r="A106" s="61"/>
      <c r="B106" s="55">
        <v>102</v>
      </c>
      <c r="C106" s="70" t="s">
        <v>822</v>
      </c>
      <c r="D106" s="129">
        <v>136066</v>
      </c>
      <c r="E106" s="128"/>
      <c r="F106" s="130">
        <v>139310</v>
      </c>
      <c r="G106" s="71">
        <v>46232</v>
      </c>
      <c r="H106" s="71" t="s">
        <v>244</v>
      </c>
      <c r="I106" s="56">
        <f t="shared" si="6"/>
        <v>2</v>
      </c>
      <c r="J106" s="71">
        <v>46237</v>
      </c>
      <c r="K106" s="56">
        <f t="shared" si="7"/>
        <v>3</v>
      </c>
      <c r="L106" s="71" t="s">
        <v>250</v>
      </c>
      <c r="M106" s="56">
        <f t="shared" si="8"/>
        <v>1</v>
      </c>
      <c r="N106" s="50" t="s">
        <v>304</v>
      </c>
      <c r="O106" s="50" t="s">
        <v>631</v>
      </c>
      <c r="P106" s="57" t="s">
        <v>53</v>
      </c>
      <c r="Q106" s="224">
        <v>177.60869565217391</v>
      </c>
      <c r="R106" s="224">
        <v>177.60869565217391</v>
      </c>
      <c r="S106" s="58">
        <f t="shared" si="9"/>
        <v>0</v>
      </c>
      <c r="T106" s="58"/>
      <c r="U106" s="58"/>
      <c r="V106" s="59">
        <f t="shared" si="10"/>
        <v>17.760869565217391</v>
      </c>
      <c r="W106" s="60">
        <f t="shared" si="11"/>
        <v>0</v>
      </c>
    </row>
    <row r="107" spans="1:23" ht="43.5" customHeight="1" x14ac:dyDescent="0.35">
      <c r="A107" s="61"/>
      <c r="B107" s="55">
        <v>103</v>
      </c>
      <c r="C107" s="70" t="s">
        <v>822</v>
      </c>
      <c r="D107" s="129">
        <v>136067</v>
      </c>
      <c r="E107" s="128"/>
      <c r="F107" s="130">
        <v>139309</v>
      </c>
      <c r="G107" s="71">
        <v>46232</v>
      </c>
      <c r="H107" s="71" t="s">
        <v>244</v>
      </c>
      <c r="I107" s="56">
        <f t="shared" si="6"/>
        <v>2</v>
      </c>
      <c r="J107" s="71">
        <v>46237</v>
      </c>
      <c r="K107" s="56">
        <f t="shared" si="7"/>
        <v>3</v>
      </c>
      <c r="L107" s="71" t="s">
        <v>250</v>
      </c>
      <c r="M107" s="56">
        <f t="shared" si="8"/>
        <v>1</v>
      </c>
      <c r="N107" s="72" t="s">
        <v>305</v>
      </c>
      <c r="O107" s="50" t="s">
        <v>632</v>
      </c>
      <c r="P107" s="57" t="s">
        <v>53</v>
      </c>
      <c r="Q107" s="224">
        <v>19.673913043478262</v>
      </c>
      <c r="R107" s="224">
        <v>19.673913043478262</v>
      </c>
      <c r="S107" s="58">
        <f t="shared" si="9"/>
        <v>0</v>
      </c>
      <c r="T107" s="58"/>
      <c r="U107" s="58"/>
      <c r="V107" s="59">
        <f t="shared" si="10"/>
        <v>1.9673913043478262</v>
      </c>
      <c r="W107" s="60">
        <f t="shared" si="11"/>
        <v>0</v>
      </c>
    </row>
    <row r="108" spans="1:23" x14ac:dyDescent="0.35">
      <c r="A108" s="61"/>
      <c r="B108" s="55">
        <v>104</v>
      </c>
      <c r="C108" s="70" t="s">
        <v>822</v>
      </c>
      <c r="D108" s="129">
        <v>136069</v>
      </c>
      <c r="E108" s="128"/>
      <c r="F108" s="130">
        <v>139307</v>
      </c>
      <c r="G108" s="71">
        <v>46232</v>
      </c>
      <c r="H108" s="71" t="s">
        <v>240</v>
      </c>
      <c r="I108" s="56">
        <f t="shared" si="6"/>
        <v>3</v>
      </c>
      <c r="J108" s="71">
        <v>46237</v>
      </c>
      <c r="K108" s="56">
        <f t="shared" si="7"/>
        <v>2</v>
      </c>
      <c r="L108" s="71" t="s">
        <v>250</v>
      </c>
      <c r="M108" s="56">
        <f t="shared" si="8"/>
        <v>1</v>
      </c>
      <c r="N108" s="50" t="s">
        <v>306</v>
      </c>
      <c r="O108" s="50" t="s">
        <v>633</v>
      </c>
      <c r="P108" s="57" t="s">
        <v>53</v>
      </c>
      <c r="Q108" s="224">
        <v>6490.3384521739135</v>
      </c>
      <c r="R108" s="224">
        <v>6490.3384521739135</v>
      </c>
      <c r="S108" s="58">
        <f t="shared" si="9"/>
        <v>0</v>
      </c>
      <c r="T108" s="58"/>
      <c r="U108" s="58"/>
      <c r="V108" s="59">
        <f t="shared" si="10"/>
        <v>649.03384521739144</v>
      </c>
      <c r="W108" s="60">
        <f t="shared" si="11"/>
        <v>0</v>
      </c>
    </row>
    <row r="109" spans="1:23" x14ac:dyDescent="0.35">
      <c r="A109" s="61"/>
      <c r="B109" s="55">
        <v>105</v>
      </c>
      <c r="C109" s="70" t="s">
        <v>822</v>
      </c>
      <c r="D109" s="129">
        <v>136070</v>
      </c>
      <c r="E109" s="128"/>
      <c r="F109" s="130">
        <v>139305</v>
      </c>
      <c r="G109" s="71">
        <v>46232</v>
      </c>
      <c r="H109" s="71" t="s">
        <v>240</v>
      </c>
      <c r="I109" s="56">
        <f t="shared" si="6"/>
        <v>3</v>
      </c>
      <c r="J109" s="71">
        <v>46237</v>
      </c>
      <c r="K109" s="56">
        <f t="shared" si="7"/>
        <v>2</v>
      </c>
      <c r="L109" s="71" t="s">
        <v>250</v>
      </c>
      <c r="M109" s="56">
        <f t="shared" si="8"/>
        <v>1</v>
      </c>
      <c r="N109" s="50" t="s">
        <v>306</v>
      </c>
      <c r="O109" s="50" t="s">
        <v>633</v>
      </c>
      <c r="P109" s="57" t="s">
        <v>53</v>
      </c>
      <c r="Q109" s="224">
        <v>4552.4431652173917</v>
      </c>
      <c r="R109" s="224">
        <v>4552.4431652173917</v>
      </c>
      <c r="S109" s="58">
        <f t="shared" si="9"/>
        <v>0</v>
      </c>
      <c r="T109" s="58"/>
      <c r="U109" s="58"/>
      <c r="V109" s="59">
        <f t="shared" si="10"/>
        <v>455.24431652173917</v>
      </c>
      <c r="W109" s="60">
        <f t="shared" si="11"/>
        <v>0</v>
      </c>
    </row>
    <row r="110" spans="1:23" x14ac:dyDescent="0.35">
      <c r="A110" s="61"/>
      <c r="B110" s="55">
        <v>106</v>
      </c>
      <c r="C110" s="70" t="s">
        <v>822</v>
      </c>
      <c r="D110" s="129">
        <v>136071</v>
      </c>
      <c r="E110" s="128"/>
      <c r="F110" s="130">
        <v>139304</v>
      </c>
      <c r="G110" s="71">
        <v>46232</v>
      </c>
      <c r="H110" s="71" t="s">
        <v>240</v>
      </c>
      <c r="I110" s="56">
        <f t="shared" si="6"/>
        <v>3</v>
      </c>
      <c r="J110" s="71">
        <v>46237</v>
      </c>
      <c r="K110" s="56">
        <f t="shared" si="7"/>
        <v>2</v>
      </c>
      <c r="L110" s="71" t="s">
        <v>250</v>
      </c>
      <c r="M110" s="56">
        <f t="shared" si="8"/>
        <v>1</v>
      </c>
      <c r="N110" s="50" t="s">
        <v>306</v>
      </c>
      <c r="O110" s="50" t="s">
        <v>633</v>
      </c>
      <c r="P110" s="57" t="s">
        <v>53</v>
      </c>
      <c r="Q110" s="224">
        <v>4719.7014956521734</v>
      </c>
      <c r="R110" s="224">
        <v>4719.7014956521734</v>
      </c>
      <c r="S110" s="58">
        <f t="shared" si="9"/>
        <v>0</v>
      </c>
      <c r="T110" s="58"/>
      <c r="U110" s="58"/>
      <c r="V110" s="59">
        <f t="shared" si="10"/>
        <v>471.97014956521735</v>
      </c>
      <c r="W110" s="60">
        <f t="shared" si="11"/>
        <v>0</v>
      </c>
    </row>
    <row r="111" spans="1:23" x14ac:dyDescent="0.35">
      <c r="A111" s="61"/>
      <c r="B111" s="55">
        <v>107</v>
      </c>
      <c r="C111" s="70" t="s">
        <v>822</v>
      </c>
      <c r="D111" s="129">
        <v>136108</v>
      </c>
      <c r="E111" s="128"/>
      <c r="F111" s="130">
        <v>139314</v>
      </c>
      <c r="G111" s="71">
        <v>46232</v>
      </c>
      <c r="H111" s="71" t="s">
        <v>244</v>
      </c>
      <c r="I111" s="56">
        <f t="shared" si="6"/>
        <v>2</v>
      </c>
      <c r="J111" s="71">
        <v>46237</v>
      </c>
      <c r="K111" s="56">
        <f t="shared" si="7"/>
        <v>3</v>
      </c>
      <c r="L111" s="71" t="s">
        <v>250</v>
      </c>
      <c r="M111" s="56">
        <f t="shared" si="8"/>
        <v>1</v>
      </c>
      <c r="N111" s="50" t="s">
        <v>307</v>
      </c>
      <c r="O111" s="50" t="s">
        <v>634</v>
      </c>
      <c r="P111" s="57" t="s">
        <v>53</v>
      </c>
      <c r="Q111" s="224">
        <v>25127.38281873913</v>
      </c>
      <c r="R111" s="224">
        <v>25127.38281873913</v>
      </c>
      <c r="S111" s="58">
        <f t="shared" si="9"/>
        <v>0</v>
      </c>
      <c r="T111" s="58"/>
      <c r="U111" s="58"/>
      <c r="V111" s="59">
        <f t="shared" si="10"/>
        <v>2512.7382818739134</v>
      </c>
      <c r="W111" s="60">
        <f t="shared" si="11"/>
        <v>0</v>
      </c>
    </row>
    <row r="112" spans="1:23" x14ac:dyDescent="0.35">
      <c r="A112" s="61"/>
      <c r="B112" s="55">
        <v>108</v>
      </c>
      <c r="C112" s="70" t="s">
        <v>822</v>
      </c>
      <c r="D112" s="129">
        <v>136161</v>
      </c>
      <c r="E112" s="128"/>
      <c r="F112" s="130">
        <v>139313</v>
      </c>
      <c r="G112" s="71">
        <v>46232</v>
      </c>
      <c r="H112" s="71" t="s">
        <v>240</v>
      </c>
      <c r="I112" s="56">
        <f t="shared" si="6"/>
        <v>3</v>
      </c>
      <c r="J112" s="71">
        <v>46237</v>
      </c>
      <c r="K112" s="56">
        <f t="shared" si="7"/>
        <v>2</v>
      </c>
      <c r="L112" s="71" t="s">
        <v>250</v>
      </c>
      <c r="M112" s="56">
        <f t="shared" si="8"/>
        <v>1</v>
      </c>
      <c r="N112" s="50" t="s">
        <v>308</v>
      </c>
      <c r="O112" s="50" t="s">
        <v>635</v>
      </c>
      <c r="P112" s="57" t="s">
        <v>53</v>
      </c>
      <c r="Q112" s="224">
        <v>12.173913043478262</v>
      </c>
      <c r="R112" s="224">
        <v>12.173913043478262</v>
      </c>
      <c r="S112" s="58">
        <f t="shared" si="9"/>
        <v>0</v>
      </c>
      <c r="T112" s="58"/>
      <c r="U112" s="58"/>
      <c r="V112" s="59">
        <f t="shared" si="10"/>
        <v>1.2173913043478262</v>
      </c>
      <c r="W112" s="60">
        <f t="shared" si="11"/>
        <v>0</v>
      </c>
    </row>
    <row r="113" spans="1:23" x14ac:dyDescent="0.35">
      <c r="A113" s="61"/>
      <c r="B113" s="55">
        <v>109</v>
      </c>
      <c r="C113" s="70" t="s">
        <v>822</v>
      </c>
      <c r="D113" s="129">
        <v>136128</v>
      </c>
      <c r="E113" s="128"/>
      <c r="F113" s="130">
        <v>139336</v>
      </c>
      <c r="G113" s="71">
        <v>46233</v>
      </c>
      <c r="H113" s="71" t="s">
        <v>250</v>
      </c>
      <c r="I113" s="56">
        <f t="shared" si="6"/>
        <v>3</v>
      </c>
      <c r="J113" s="71">
        <v>46237</v>
      </c>
      <c r="K113" s="56">
        <f t="shared" si="7"/>
        <v>1</v>
      </c>
      <c r="L113" s="71" t="s">
        <v>251</v>
      </c>
      <c r="M113" s="56">
        <f t="shared" si="8"/>
        <v>2</v>
      </c>
      <c r="N113" s="50" t="s">
        <v>309</v>
      </c>
      <c r="O113" s="50" t="s">
        <v>636</v>
      </c>
      <c r="P113" s="57" t="s">
        <v>53</v>
      </c>
      <c r="Q113" s="224">
        <v>4516.2</v>
      </c>
      <c r="R113" s="224">
        <v>3763.89</v>
      </c>
      <c r="S113" s="58">
        <f t="shared" si="9"/>
        <v>752.31</v>
      </c>
      <c r="T113" s="58"/>
      <c r="U113" s="58"/>
      <c r="V113" s="59">
        <f t="shared" si="10"/>
        <v>451.62</v>
      </c>
      <c r="W113" s="60">
        <f t="shared" si="11"/>
        <v>0.166580310880829</v>
      </c>
    </row>
    <row r="114" spans="1:23" x14ac:dyDescent="0.35">
      <c r="A114" s="61"/>
      <c r="B114" s="55">
        <v>110</v>
      </c>
      <c r="C114" s="70" t="s">
        <v>822</v>
      </c>
      <c r="D114" s="129">
        <v>136062</v>
      </c>
      <c r="E114" s="128"/>
      <c r="F114" s="130">
        <v>139333</v>
      </c>
      <c r="G114" s="71">
        <v>46233</v>
      </c>
      <c r="H114" s="71" t="s">
        <v>244</v>
      </c>
      <c r="I114" s="56">
        <f t="shared" si="6"/>
        <v>1</v>
      </c>
      <c r="J114" s="71">
        <v>46237</v>
      </c>
      <c r="K114" s="56">
        <f t="shared" si="7"/>
        <v>3</v>
      </c>
      <c r="L114" s="71" t="s">
        <v>250</v>
      </c>
      <c r="M114" s="56">
        <f t="shared" si="8"/>
        <v>1</v>
      </c>
      <c r="N114" s="50" t="s">
        <v>310</v>
      </c>
      <c r="O114" s="50" t="s">
        <v>605</v>
      </c>
      <c r="P114" s="57" t="s">
        <v>53</v>
      </c>
      <c r="Q114" s="224">
        <v>2481.9565217391305</v>
      </c>
      <c r="R114" s="224">
        <v>2481.9565217391305</v>
      </c>
      <c r="S114" s="58">
        <f t="shared" si="9"/>
        <v>0</v>
      </c>
      <c r="T114" s="58"/>
      <c r="U114" s="58"/>
      <c r="V114" s="59">
        <f t="shared" si="10"/>
        <v>248.19565217391306</v>
      </c>
      <c r="W114" s="60">
        <f t="shared" si="11"/>
        <v>0</v>
      </c>
    </row>
    <row r="115" spans="1:23" ht="72.5" customHeight="1" x14ac:dyDescent="0.35">
      <c r="A115" s="61"/>
      <c r="B115" s="55">
        <v>111</v>
      </c>
      <c r="C115" s="70" t="s">
        <v>822</v>
      </c>
      <c r="D115" s="129">
        <v>136063</v>
      </c>
      <c r="E115" s="128"/>
      <c r="F115" s="130">
        <v>139331</v>
      </c>
      <c r="G115" s="71">
        <v>46233</v>
      </c>
      <c r="H115" s="71" t="s">
        <v>244</v>
      </c>
      <c r="I115" s="56">
        <f t="shared" si="6"/>
        <v>1</v>
      </c>
      <c r="J115" s="71">
        <v>46237</v>
      </c>
      <c r="K115" s="56">
        <f t="shared" si="7"/>
        <v>3</v>
      </c>
      <c r="L115" s="71" t="s">
        <v>250</v>
      </c>
      <c r="M115" s="56">
        <f t="shared" si="8"/>
        <v>1</v>
      </c>
      <c r="N115" s="72" t="s">
        <v>311</v>
      </c>
      <c r="O115" s="50" t="s">
        <v>605</v>
      </c>
      <c r="P115" s="57" t="s">
        <v>53</v>
      </c>
      <c r="Q115" s="224">
        <v>65820.65217391304</v>
      </c>
      <c r="R115" s="224">
        <v>65820.65217391304</v>
      </c>
      <c r="S115" s="58">
        <f t="shared" si="9"/>
        <v>0</v>
      </c>
      <c r="T115" s="58"/>
      <c r="U115" s="58"/>
      <c r="V115" s="59">
        <f t="shared" si="10"/>
        <v>6582.065217391304</v>
      </c>
      <c r="W115" s="60">
        <f t="shared" si="11"/>
        <v>0</v>
      </c>
    </row>
    <row r="116" spans="1:23" x14ac:dyDescent="0.35">
      <c r="A116" s="61"/>
      <c r="B116" s="55">
        <v>112</v>
      </c>
      <c r="C116" s="70" t="s">
        <v>822</v>
      </c>
      <c r="D116" s="129">
        <v>136064</v>
      </c>
      <c r="E116" s="128"/>
      <c r="F116" s="130">
        <v>139328</v>
      </c>
      <c r="G116" s="71">
        <v>46233</v>
      </c>
      <c r="H116" s="71" t="s">
        <v>244</v>
      </c>
      <c r="I116" s="56">
        <f t="shared" si="6"/>
        <v>1</v>
      </c>
      <c r="J116" s="71">
        <v>46237</v>
      </c>
      <c r="K116" s="56">
        <f t="shared" si="7"/>
        <v>3</v>
      </c>
      <c r="L116" s="71" t="s">
        <v>250</v>
      </c>
      <c r="M116" s="56">
        <f t="shared" si="8"/>
        <v>1</v>
      </c>
      <c r="N116" s="50" t="s">
        <v>312</v>
      </c>
      <c r="O116" s="50" t="s">
        <v>605</v>
      </c>
      <c r="P116" s="57" t="s">
        <v>53</v>
      </c>
      <c r="Q116" s="224">
        <v>51809.565217391304</v>
      </c>
      <c r="R116" s="224">
        <v>51809.565217391304</v>
      </c>
      <c r="S116" s="58">
        <f t="shared" si="9"/>
        <v>0</v>
      </c>
      <c r="T116" s="58"/>
      <c r="U116" s="58"/>
      <c r="V116" s="59">
        <f t="shared" si="10"/>
        <v>5180.9565217391309</v>
      </c>
      <c r="W116" s="60">
        <f t="shared" si="11"/>
        <v>0</v>
      </c>
    </row>
    <row r="117" spans="1:23" x14ac:dyDescent="0.35">
      <c r="A117" s="61"/>
      <c r="B117" s="55">
        <v>113</v>
      </c>
      <c r="C117" s="70" t="s">
        <v>822</v>
      </c>
      <c r="D117" s="129">
        <v>136068</v>
      </c>
      <c r="E117" s="128"/>
      <c r="F117" s="130">
        <v>139337</v>
      </c>
      <c r="G117" s="71">
        <v>46233</v>
      </c>
      <c r="H117" s="71" t="s">
        <v>240</v>
      </c>
      <c r="I117" s="56">
        <f t="shared" si="6"/>
        <v>2</v>
      </c>
      <c r="J117" s="71">
        <v>46237</v>
      </c>
      <c r="K117" s="56">
        <f t="shared" si="7"/>
        <v>2</v>
      </c>
      <c r="L117" s="71" t="s">
        <v>252</v>
      </c>
      <c r="M117" s="56">
        <f t="shared" si="8"/>
        <v>8</v>
      </c>
      <c r="N117" s="50" t="s">
        <v>313</v>
      </c>
      <c r="O117" s="50" t="s">
        <v>637</v>
      </c>
      <c r="P117" s="57" t="s">
        <v>53</v>
      </c>
      <c r="Q117" s="224">
        <v>8695.652173913044</v>
      </c>
      <c r="R117" s="224">
        <v>8695.652173913044</v>
      </c>
      <c r="S117" s="58">
        <f t="shared" si="9"/>
        <v>0</v>
      </c>
      <c r="T117" s="58"/>
      <c r="U117" s="58"/>
      <c r="V117" s="59">
        <f t="shared" si="10"/>
        <v>869.56521739130449</v>
      </c>
      <c r="W117" s="60">
        <f t="shared" si="11"/>
        <v>0</v>
      </c>
    </row>
    <row r="118" spans="1:23" x14ac:dyDescent="0.35">
      <c r="A118" s="61"/>
      <c r="B118" s="55">
        <v>114</v>
      </c>
      <c r="C118" s="70" t="s">
        <v>822</v>
      </c>
      <c r="D118" s="129">
        <v>136096</v>
      </c>
      <c r="E118" s="128"/>
      <c r="F118" s="130">
        <v>139349</v>
      </c>
      <c r="G118" s="71">
        <v>46233</v>
      </c>
      <c r="H118" s="71" t="s">
        <v>244</v>
      </c>
      <c r="I118" s="56">
        <f t="shared" si="6"/>
        <v>1</v>
      </c>
      <c r="J118" s="71">
        <v>46237</v>
      </c>
      <c r="K118" s="56">
        <f t="shared" si="7"/>
        <v>3</v>
      </c>
      <c r="L118" s="71" t="s">
        <v>250</v>
      </c>
      <c r="M118" s="56">
        <f t="shared" si="8"/>
        <v>1</v>
      </c>
      <c r="N118" s="50" t="s">
        <v>314</v>
      </c>
      <c r="O118" s="50" t="s">
        <v>632</v>
      </c>
      <c r="P118" s="57" t="s">
        <v>53</v>
      </c>
      <c r="Q118" s="224">
        <v>84891.304347826081</v>
      </c>
      <c r="R118" s="224">
        <v>84891.304347826081</v>
      </c>
      <c r="S118" s="58">
        <f t="shared" si="9"/>
        <v>0</v>
      </c>
      <c r="T118" s="58"/>
      <c r="U118" s="58"/>
      <c r="V118" s="59">
        <f t="shared" si="10"/>
        <v>8489.1304347826081</v>
      </c>
      <c r="W118" s="60">
        <f t="shared" si="11"/>
        <v>0</v>
      </c>
    </row>
    <row r="119" spans="1:23" x14ac:dyDescent="0.35">
      <c r="A119" s="61"/>
      <c r="B119" s="55">
        <v>115</v>
      </c>
      <c r="C119" s="70" t="s">
        <v>822</v>
      </c>
      <c r="D119" s="129">
        <v>136098</v>
      </c>
      <c r="E119" s="128"/>
      <c r="F119" s="130">
        <v>139346</v>
      </c>
      <c r="G119" s="71">
        <v>46233</v>
      </c>
      <c r="H119" s="71" t="s">
        <v>240</v>
      </c>
      <c r="I119" s="56">
        <f t="shared" si="6"/>
        <v>2</v>
      </c>
      <c r="J119" s="71">
        <v>46237</v>
      </c>
      <c r="K119" s="56">
        <f t="shared" si="7"/>
        <v>2</v>
      </c>
      <c r="L119" s="71" t="s">
        <v>250</v>
      </c>
      <c r="M119" s="56">
        <f t="shared" si="8"/>
        <v>1</v>
      </c>
      <c r="N119" s="50" t="s">
        <v>315</v>
      </c>
      <c r="O119" s="50" t="s">
        <v>638</v>
      </c>
      <c r="P119" s="57" t="s">
        <v>53</v>
      </c>
      <c r="Q119" s="224">
        <v>25.434782608695652</v>
      </c>
      <c r="R119" s="224">
        <v>25.434782608695652</v>
      </c>
      <c r="S119" s="58">
        <f t="shared" si="9"/>
        <v>0</v>
      </c>
      <c r="T119" s="58"/>
      <c r="U119" s="58"/>
      <c r="V119" s="59">
        <f t="shared" si="10"/>
        <v>2.5434782608695654</v>
      </c>
      <c r="W119" s="60">
        <f t="shared" si="11"/>
        <v>0</v>
      </c>
    </row>
    <row r="120" spans="1:23" x14ac:dyDescent="0.35">
      <c r="A120" s="61"/>
      <c r="B120" s="55">
        <v>116</v>
      </c>
      <c r="C120" s="70" t="s">
        <v>822</v>
      </c>
      <c r="D120" s="129">
        <v>136101</v>
      </c>
      <c r="E120" s="128"/>
      <c r="F120" s="130">
        <v>139345</v>
      </c>
      <c r="G120" s="71">
        <v>46233</v>
      </c>
      <c r="H120" s="71" t="s">
        <v>240</v>
      </c>
      <c r="I120" s="56">
        <f t="shared" si="6"/>
        <v>2</v>
      </c>
      <c r="J120" s="71">
        <v>46237</v>
      </c>
      <c r="K120" s="56">
        <f t="shared" si="7"/>
        <v>2</v>
      </c>
      <c r="L120" s="71" t="s">
        <v>251</v>
      </c>
      <c r="M120" s="56">
        <f t="shared" si="8"/>
        <v>2</v>
      </c>
      <c r="N120" s="50" t="s">
        <v>293</v>
      </c>
      <c r="O120" s="50" t="s">
        <v>639</v>
      </c>
      <c r="P120" s="57" t="s">
        <v>53</v>
      </c>
      <c r="Q120" s="224">
        <v>13043.478260869566</v>
      </c>
      <c r="R120" s="224">
        <v>13043.478260869566</v>
      </c>
      <c r="S120" s="58">
        <f t="shared" si="9"/>
        <v>0</v>
      </c>
      <c r="T120" s="58"/>
      <c r="U120" s="58"/>
      <c r="V120" s="59">
        <f t="shared" si="10"/>
        <v>1304.3478260869567</v>
      </c>
      <c r="W120" s="60">
        <f t="shared" si="11"/>
        <v>0</v>
      </c>
    </row>
    <row r="121" spans="1:23" x14ac:dyDescent="0.35">
      <c r="A121" s="61"/>
      <c r="B121" s="55">
        <v>117</v>
      </c>
      <c r="C121" s="70" t="s">
        <v>822</v>
      </c>
      <c r="D121" s="129">
        <v>136102</v>
      </c>
      <c r="E121" s="128"/>
      <c r="F121" s="130">
        <v>139343</v>
      </c>
      <c r="G121" s="71">
        <v>46233</v>
      </c>
      <c r="H121" s="71" t="s">
        <v>240</v>
      </c>
      <c r="I121" s="56">
        <f t="shared" si="6"/>
        <v>2</v>
      </c>
      <c r="J121" s="71">
        <v>46237</v>
      </c>
      <c r="K121" s="56">
        <f t="shared" si="7"/>
        <v>2</v>
      </c>
      <c r="L121" s="71" t="s">
        <v>251</v>
      </c>
      <c r="M121" s="56">
        <f t="shared" si="8"/>
        <v>2</v>
      </c>
      <c r="N121" s="50" t="s">
        <v>316</v>
      </c>
      <c r="O121" s="50" t="s">
        <v>640</v>
      </c>
      <c r="P121" s="57" t="s">
        <v>53</v>
      </c>
      <c r="Q121" s="224">
        <v>135766</v>
      </c>
      <c r="R121" s="224">
        <v>135766</v>
      </c>
      <c r="S121" s="58">
        <f t="shared" si="9"/>
        <v>0</v>
      </c>
      <c r="T121" s="58"/>
      <c r="U121" s="58"/>
      <c r="V121" s="59">
        <f t="shared" si="10"/>
        <v>13576.6</v>
      </c>
      <c r="W121" s="60">
        <f t="shared" si="11"/>
        <v>0</v>
      </c>
    </row>
    <row r="122" spans="1:23" x14ac:dyDescent="0.35">
      <c r="A122" s="61"/>
      <c r="B122" s="55">
        <v>118</v>
      </c>
      <c r="C122" s="70" t="s">
        <v>822</v>
      </c>
      <c r="D122" s="129">
        <v>136107</v>
      </c>
      <c r="E122" s="128"/>
      <c r="F122" s="130">
        <v>139341</v>
      </c>
      <c r="G122" s="71">
        <v>46233</v>
      </c>
      <c r="H122" s="71" t="s">
        <v>244</v>
      </c>
      <c r="I122" s="56">
        <f t="shared" si="6"/>
        <v>1</v>
      </c>
      <c r="J122" s="71">
        <v>46237</v>
      </c>
      <c r="K122" s="56">
        <f t="shared" si="7"/>
        <v>3</v>
      </c>
      <c r="L122" s="71" t="s">
        <v>250</v>
      </c>
      <c r="M122" s="56">
        <f t="shared" si="8"/>
        <v>1</v>
      </c>
      <c r="N122" s="50" t="s">
        <v>317</v>
      </c>
      <c r="O122" s="50" t="s">
        <v>605</v>
      </c>
      <c r="P122" s="57" t="s">
        <v>53</v>
      </c>
      <c r="Q122" s="224">
        <v>1354.3478260869565</v>
      </c>
      <c r="R122" s="224">
        <v>1354.3478260869565</v>
      </c>
      <c r="S122" s="58">
        <f t="shared" si="9"/>
        <v>0</v>
      </c>
      <c r="T122" s="58"/>
      <c r="U122" s="58"/>
      <c r="V122" s="59">
        <f t="shared" si="10"/>
        <v>135.43478260869566</v>
      </c>
      <c r="W122" s="60">
        <f t="shared" si="11"/>
        <v>0</v>
      </c>
    </row>
    <row r="123" spans="1:23" x14ac:dyDescent="0.35">
      <c r="A123" s="61"/>
      <c r="B123" s="55">
        <v>119</v>
      </c>
      <c r="C123" s="70" t="s">
        <v>822</v>
      </c>
      <c r="D123" s="129">
        <v>136129</v>
      </c>
      <c r="E123" s="128"/>
      <c r="F123" s="130">
        <v>139130</v>
      </c>
      <c r="G123" s="71">
        <v>46233</v>
      </c>
      <c r="H123" s="71" t="s">
        <v>240</v>
      </c>
      <c r="I123" s="56">
        <f t="shared" si="6"/>
        <v>2</v>
      </c>
      <c r="J123" s="71">
        <v>46237</v>
      </c>
      <c r="K123" s="56">
        <f t="shared" si="7"/>
        <v>2</v>
      </c>
      <c r="L123" s="71" t="s">
        <v>250</v>
      </c>
      <c r="M123" s="56">
        <f t="shared" si="8"/>
        <v>1</v>
      </c>
      <c r="N123" s="50" t="s">
        <v>318</v>
      </c>
      <c r="O123" s="50" t="s">
        <v>641</v>
      </c>
      <c r="P123" s="57" t="s">
        <v>53</v>
      </c>
      <c r="Q123" s="224">
        <v>101.08695652173913</v>
      </c>
      <c r="R123" s="224">
        <v>101.08695652173913</v>
      </c>
      <c r="S123" s="58">
        <f t="shared" si="9"/>
        <v>0</v>
      </c>
      <c r="T123" s="58"/>
      <c r="U123" s="58"/>
      <c r="V123" s="59">
        <f t="shared" si="10"/>
        <v>10.108695652173914</v>
      </c>
      <c r="W123" s="60">
        <f t="shared" si="11"/>
        <v>0</v>
      </c>
    </row>
    <row r="124" spans="1:23" x14ac:dyDescent="0.35">
      <c r="A124" s="61"/>
      <c r="B124" s="55">
        <v>120</v>
      </c>
      <c r="C124" s="70" t="s">
        <v>822</v>
      </c>
      <c r="D124" s="129">
        <v>136140</v>
      </c>
      <c r="E124" s="128"/>
      <c r="F124" s="130">
        <v>139321</v>
      </c>
      <c r="G124" s="71">
        <v>46233</v>
      </c>
      <c r="H124" s="71" t="s">
        <v>244</v>
      </c>
      <c r="I124" s="56">
        <f t="shared" si="6"/>
        <v>1</v>
      </c>
      <c r="J124" s="71">
        <v>46237</v>
      </c>
      <c r="K124" s="56">
        <f t="shared" si="7"/>
        <v>3</v>
      </c>
      <c r="L124" s="71" t="s">
        <v>250</v>
      </c>
      <c r="M124" s="56">
        <f t="shared" si="8"/>
        <v>1</v>
      </c>
      <c r="N124" s="50" t="s">
        <v>319</v>
      </c>
      <c r="O124" s="50" t="s">
        <v>642</v>
      </c>
      <c r="P124" s="57" t="s">
        <v>53</v>
      </c>
      <c r="Q124" s="224">
        <v>9053.224782608695</v>
      </c>
      <c r="R124" s="224">
        <v>9053.224782608695</v>
      </c>
      <c r="S124" s="58">
        <f t="shared" si="9"/>
        <v>0</v>
      </c>
      <c r="T124" s="58"/>
      <c r="U124" s="58"/>
      <c r="V124" s="59">
        <f t="shared" si="10"/>
        <v>905.3224782608695</v>
      </c>
      <c r="W124" s="60">
        <f t="shared" si="11"/>
        <v>0</v>
      </c>
    </row>
    <row r="125" spans="1:23" x14ac:dyDescent="0.35">
      <c r="A125" s="61"/>
      <c r="B125" s="55">
        <v>121</v>
      </c>
      <c r="C125" s="70" t="s">
        <v>822</v>
      </c>
      <c r="D125" s="129">
        <v>136170</v>
      </c>
      <c r="E125" s="128"/>
      <c r="F125" s="130">
        <v>139348</v>
      </c>
      <c r="G125" s="71">
        <v>46233</v>
      </c>
      <c r="H125" s="71" t="s">
        <v>244</v>
      </c>
      <c r="I125" s="56">
        <f t="shared" si="6"/>
        <v>1</v>
      </c>
      <c r="J125" s="71">
        <v>46238</v>
      </c>
      <c r="K125" s="56">
        <f t="shared" si="7"/>
        <v>4</v>
      </c>
      <c r="L125" s="71" t="s">
        <v>251</v>
      </c>
      <c r="M125" s="56">
        <f t="shared" si="8"/>
        <v>1</v>
      </c>
      <c r="N125" s="50" t="s">
        <v>320</v>
      </c>
      <c r="O125" s="50" t="s">
        <v>643</v>
      </c>
      <c r="P125" s="57" t="s">
        <v>53</v>
      </c>
      <c r="Q125" s="224">
        <v>65.217391304347828</v>
      </c>
      <c r="R125" s="224">
        <v>65.217391304347828</v>
      </c>
      <c r="S125" s="58">
        <f t="shared" si="9"/>
        <v>0</v>
      </c>
      <c r="T125" s="58"/>
      <c r="U125" s="58"/>
      <c r="V125" s="59">
        <f t="shared" si="10"/>
        <v>6.5217391304347831</v>
      </c>
      <c r="W125" s="60">
        <f t="shared" si="11"/>
        <v>0</v>
      </c>
    </row>
    <row r="126" spans="1:23" x14ac:dyDescent="0.35">
      <c r="A126" s="61"/>
      <c r="B126" s="55">
        <v>122</v>
      </c>
      <c r="C126" s="70" t="s">
        <v>822</v>
      </c>
      <c r="D126" s="129">
        <v>136178</v>
      </c>
      <c r="E126" s="128"/>
      <c r="F126" s="130">
        <v>139350</v>
      </c>
      <c r="G126" s="71">
        <v>46233</v>
      </c>
      <c r="H126" s="71" t="s">
        <v>250</v>
      </c>
      <c r="I126" s="56">
        <f t="shared" ref="I126:I184" si="12">IF(OR(H126="", G126=""), "", NETWORKDAYS(G126, H126))</f>
        <v>3</v>
      </c>
      <c r="J126" s="71">
        <v>46238</v>
      </c>
      <c r="K126" s="56">
        <f t="shared" ref="K126:K184" si="13">IF(OR(H126="", J126=""), "", NETWORKDAYS(H126, J126))</f>
        <v>2</v>
      </c>
      <c r="L126" s="71" t="s">
        <v>256</v>
      </c>
      <c r="M126" s="56">
        <f t="shared" ref="M126:M184" si="14">IF(OR(J126="", L126=""), "", NETWORKDAYS(J126, L126))</f>
        <v>3</v>
      </c>
      <c r="N126" s="50" t="s">
        <v>321</v>
      </c>
      <c r="O126" s="50" t="s">
        <v>644</v>
      </c>
      <c r="P126" s="57" t="s">
        <v>53</v>
      </c>
      <c r="Q126" s="224">
        <v>112600</v>
      </c>
      <c r="R126" s="224">
        <v>112600</v>
      </c>
      <c r="S126" s="58">
        <f t="shared" ref="S126:S164" si="15">Q126-R126</f>
        <v>0</v>
      </c>
      <c r="T126" s="58"/>
      <c r="U126" s="58"/>
      <c r="V126" s="59">
        <f t="shared" ref="V126:V184" si="16">IF(Q126="", "", Q126*10%)</f>
        <v>11260</v>
      </c>
      <c r="W126" s="60">
        <f t="shared" ref="W126:W184" si="17">IF(OR(Q126="", R126=""), "", (Q126- R126)/Q126)</f>
        <v>0</v>
      </c>
    </row>
    <row r="127" spans="1:23" x14ac:dyDescent="0.35">
      <c r="A127" s="61"/>
      <c r="B127" s="55">
        <v>123</v>
      </c>
      <c r="C127" s="70" t="s">
        <v>822</v>
      </c>
      <c r="D127" s="129">
        <v>136179</v>
      </c>
      <c r="E127" s="128"/>
      <c r="F127" s="130">
        <v>139334</v>
      </c>
      <c r="G127" s="71">
        <v>46233</v>
      </c>
      <c r="H127" s="71" t="s">
        <v>250</v>
      </c>
      <c r="I127" s="56">
        <f t="shared" si="12"/>
        <v>3</v>
      </c>
      <c r="J127" s="71">
        <v>46238</v>
      </c>
      <c r="K127" s="56">
        <f t="shared" si="13"/>
        <v>2</v>
      </c>
      <c r="L127" s="71" t="s">
        <v>251</v>
      </c>
      <c r="M127" s="56">
        <f t="shared" si="14"/>
        <v>1</v>
      </c>
      <c r="N127" s="50" t="s">
        <v>322</v>
      </c>
      <c r="O127" s="50" t="s">
        <v>644</v>
      </c>
      <c r="P127" s="57" t="s">
        <v>53</v>
      </c>
      <c r="Q127" s="224">
        <v>28150</v>
      </c>
      <c r="R127" s="224">
        <v>28150</v>
      </c>
      <c r="S127" s="58">
        <f t="shared" si="15"/>
        <v>0</v>
      </c>
      <c r="T127" s="58"/>
      <c r="U127" s="58"/>
      <c r="V127" s="59">
        <f t="shared" si="16"/>
        <v>2815</v>
      </c>
      <c r="W127" s="60">
        <f t="shared" si="17"/>
        <v>0</v>
      </c>
    </row>
    <row r="128" spans="1:23" x14ac:dyDescent="0.35">
      <c r="A128" s="61"/>
      <c r="B128" s="55">
        <v>124</v>
      </c>
      <c r="C128" s="70" t="s">
        <v>822</v>
      </c>
      <c r="D128" s="129">
        <v>136180</v>
      </c>
      <c r="E128" s="128"/>
      <c r="F128" s="130">
        <v>139351</v>
      </c>
      <c r="G128" s="71">
        <v>46233</v>
      </c>
      <c r="H128" s="71" t="s">
        <v>250</v>
      </c>
      <c r="I128" s="56">
        <f t="shared" si="12"/>
        <v>3</v>
      </c>
      <c r="J128" s="71">
        <v>46238</v>
      </c>
      <c r="K128" s="56">
        <f t="shared" si="13"/>
        <v>2</v>
      </c>
      <c r="L128" s="71" t="s">
        <v>251</v>
      </c>
      <c r="M128" s="56">
        <f t="shared" si="14"/>
        <v>1</v>
      </c>
      <c r="N128" s="50" t="s">
        <v>323</v>
      </c>
      <c r="O128" s="50" t="s">
        <v>645</v>
      </c>
      <c r="P128" s="57" t="s">
        <v>53</v>
      </c>
      <c r="Q128" s="224">
        <v>39354.726304347823</v>
      </c>
      <c r="R128" s="224">
        <v>39354.726304347823</v>
      </c>
      <c r="S128" s="58">
        <f t="shared" si="15"/>
        <v>0</v>
      </c>
      <c r="T128" s="58"/>
      <c r="U128" s="58"/>
      <c r="V128" s="59">
        <f t="shared" si="16"/>
        <v>3935.4726304347823</v>
      </c>
      <c r="W128" s="60">
        <f t="shared" si="17"/>
        <v>0</v>
      </c>
    </row>
    <row r="129" spans="1:23" x14ac:dyDescent="0.35">
      <c r="A129" s="61"/>
      <c r="B129" s="55">
        <v>125</v>
      </c>
      <c r="C129" s="70" t="s">
        <v>822</v>
      </c>
      <c r="D129" s="129">
        <v>136181</v>
      </c>
      <c r="E129" s="128"/>
      <c r="F129" s="130">
        <v>139352</v>
      </c>
      <c r="G129" s="71">
        <v>46233</v>
      </c>
      <c r="H129" s="71" t="s">
        <v>250</v>
      </c>
      <c r="I129" s="56">
        <f t="shared" si="12"/>
        <v>3</v>
      </c>
      <c r="J129" s="71">
        <v>46238</v>
      </c>
      <c r="K129" s="56">
        <f t="shared" si="13"/>
        <v>2</v>
      </c>
      <c r="L129" s="71" t="s">
        <v>251</v>
      </c>
      <c r="M129" s="56">
        <f t="shared" si="14"/>
        <v>1</v>
      </c>
      <c r="N129" s="50" t="s">
        <v>324</v>
      </c>
      <c r="O129" s="50" t="s">
        <v>645</v>
      </c>
      <c r="P129" s="57" t="s">
        <v>53</v>
      </c>
      <c r="Q129" s="224">
        <v>50225.448260869562</v>
      </c>
      <c r="R129" s="224">
        <v>50225.448260869562</v>
      </c>
      <c r="S129" s="58">
        <f t="shared" si="15"/>
        <v>0</v>
      </c>
      <c r="T129" s="58"/>
      <c r="U129" s="58"/>
      <c r="V129" s="59">
        <f t="shared" si="16"/>
        <v>5022.5448260869562</v>
      </c>
      <c r="W129" s="60">
        <f t="shared" si="17"/>
        <v>0</v>
      </c>
    </row>
    <row r="130" spans="1:23" x14ac:dyDescent="0.35">
      <c r="A130" s="61"/>
      <c r="B130" s="55">
        <v>126</v>
      </c>
      <c r="C130" s="70" t="s">
        <v>822</v>
      </c>
      <c r="D130" s="129">
        <v>136239</v>
      </c>
      <c r="E130" s="128"/>
      <c r="F130" s="130">
        <v>139326</v>
      </c>
      <c r="G130" s="71">
        <v>46233</v>
      </c>
      <c r="H130" s="71" t="s">
        <v>241</v>
      </c>
      <c r="I130" s="56">
        <f t="shared" si="12"/>
        <v>5</v>
      </c>
      <c r="J130" s="71">
        <v>46244</v>
      </c>
      <c r="K130" s="56">
        <f t="shared" si="13"/>
        <v>4</v>
      </c>
      <c r="L130" s="71" t="s">
        <v>258</v>
      </c>
      <c r="M130" s="56">
        <f t="shared" si="14"/>
        <v>1</v>
      </c>
      <c r="N130" s="50" t="s">
        <v>325</v>
      </c>
      <c r="O130" s="50" t="s">
        <v>646</v>
      </c>
      <c r="P130" s="57" t="s">
        <v>53</v>
      </c>
      <c r="Q130" s="224">
        <v>245.65217391304347</v>
      </c>
      <c r="R130" s="224">
        <v>245.65217391304347</v>
      </c>
      <c r="S130" s="58">
        <f t="shared" si="15"/>
        <v>0</v>
      </c>
      <c r="T130" s="58"/>
      <c r="U130" s="58"/>
      <c r="V130" s="59">
        <f t="shared" si="16"/>
        <v>24.565217391304348</v>
      </c>
      <c r="W130" s="60">
        <f t="shared" si="17"/>
        <v>0</v>
      </c>
    </row>
    <row r="131" spans="1:23" x14ac:dyDescent="0.35">
      <c r="A131" s="61"/>
      <c r="B131" s="55">
        <v>127</v>
      </c>
      <c r="C131" s="70" t="s">
        <v>822</v>
      </c>
      <c r="D131" s="129">
        <v>136240</v>
      </c>
      <c r="E131" s="128"/>
      <c r="F131" s="130">
        <v>139323</v>
      </c>
      <c r="G131" s="71">
        <v>46233</v>
      </c>
      <c r="H131" s="71" t="s">
        <v>241</v>
      </c>
      <c r="I131" s="56">
        <f t="shared" si="12"/>
        <v>5</v>
      </c>
      <c r="J131" s="71">
        <v>46244</v>
      </c>
      <c r="K131" s="56">
        <f t="shared" si="13"/>
        <v>4</v>
      </c>
      <c r="L131" s="71" t="s">
        <v>258</v>
      </c>
      <c r="M131" s="56">
        <f t="shared" si="14"/>
        <v>1</v>
      </c>
      <c r="N131" s="50" t="s">
        <v>326</v>
      </c>
      <c r="O131" s="50" t="s">
        <v>647</v>
      </c>
      <c r="P131" s="57" t="s">
        <v>53</v>
      </c>
      <c r="Q131" s="224">
        <v>297.82608695652175</v>
      </c>
      <c r="R131" s="224">
        <v>297.82608695652175</v>
      </c>
      <c r="S131" s="58">
        <f t="shared" si="15"/>
        <v>0</v>
      </c>
      <c r="T131" s="58"/>
      <c r="U131" s="58"/>
      <c r="V131" s="59">
        <f t="shared" si="16"/>
        <v>29.782608695652176</v>
      </c>
      <c r="W131" s="60">
        <f t="shared" si="17"/>
        <v>0</v>
      </c>
    </row>
    <row r="132" spans="1:23" x14ac:dyDescent="0.35">
      <c r="A132" s="61"/>
      <c r="B132" s="55">
        <v>128</v>
      </c>
      <c r="C132" s="70" t="s">
        <v>822</v>
      </c>
      <c r="D132" s="129">
        <v>136241</v>
      </c>
      <c r="E132" s="128"/>
      <c r="F132" s="130">
        <v>139324</v>
      </c>
      <c r="G132" s="71">
        <v>46233</v>
      </c>
      <c r="H132" s="71" t="s">
        <v>241</v>
      </c>
      <c r="I132" s="56">
        <f t="shared" si="12"/>
        <v>5</v>
      </c>
      <c r="J132" s="71">
        <v>46244</v>
      </c>
      <c r="K132" s="56">
        <f t="shared" si="13"/>
        <v>4</v>
      </c>
      <c r="L132" s="71" t="s">
        <v>258</v>
      </c>
      <c r="M132" s="56">
        <f t="shared" si="14"/>
        <v>1</v>
      </c>
      <c r="N132" s="50" t="s">
        <v>327</v>
      </c>
      <c r="O132" s="50" t="s">
        <v>647</v>
      </c>
      <c r="P132" s="57" t="s">
        <v>53</v>
      </c>
      <c r="Q132" s="224">
        <v>317.39130434782606</v>
      </c>
      <c r="R132" s="224">
        <v>317.39130434782606</v>
      </c>
      <c r="S132" s="58">
        <f t="shared" si="15"/>
        <v>0</v>
      </c>
      <c r="T132" s="58"/>
      <c r="U132" s="58"/>
      <c r="V132" s="59">
        <f t="shared" si="16"/>
        <v>31.739130434782609</v>
      </c>
      <c r="W132" s="60">
        <f t="shared" si="17"/>
        <v>0</v>
      </c>
    </row>
    <row r="133" spans="1:23" x14ac:dyDescent="0.35">
      <c r="A133" s="61"/>
      <c r="B133" s="55">
        <v>129</v>
      </c>
      <c r="C133" s="70" t="s">
        <v>822</v>
      </c>
      <c r="D133" s="129">
        <v>136242</v>
      </c>
      <c r="E133" s="128"/>
      <c r="F133" s="130">
        <v>139322</v>
      </c>
      <c r="G133" s="71">
        <v>46233</v>
      </c>
      <c r="H133" s="71" t="s">
        <v>241</v>
      </c>
      <c r="I133" s="56">
        <f t="shared" si="12"/>
        <v>5</v>
      </c>
      <c r="J133" s="71">
        <v>46244</v>
      </c>
      <c r="K133" s="56">
        <f t="shared" si="13"/>
        <v>4</v>
      </c>
      <c r="L133" s="71" t="s">
        <v>258</v>
      </c>
      <c r="M133" s="56">
        <f t="shared" si="14"/>
        <v>1</v>
      </c>
      <c r="N133" s="50" t="s">
        <v>328</v>
      </c>
      <c r="O133" s="50" t="s">
        <v>647</v>
      </c>
      <c r="P133" s="57" t="s">
        <v>53</v>
      </c>
      <c r="Q133" s="224">
        <v>182.60869565217391</v>
      </c>
      <c r="R133" s="224">
        <v>182.60869565217391</v>
      </c>
      <c r="S133" s="58">
        <f t="shared" si="15"/>
        <v>0</v>
      </c>
      <c r="T133" s="58"/>
      <c r="U133" s="58"/>
      <c r="V133" s="59">
        <f t="shared" si="16"/>
        <v>18.260869565217391</v>
      </c>
      <c r="W133" s="60">
        <f t="shared" si="17"/>
        <v>0</v>
      </c>
    </row>
    <row r="134" spans="1:23" x14ac:dyDescent="0.35">
      <c r="A134" s="61"/>
      <c r="B134" s="55">
        <v>130</v>
      </c>
      <c r="C134" s="70" t="s">
        <v>822</v>
      </c>
      <c r="D134" s="129">
        <v>136271</v>
      </c>
      <c r="E134" s="128"/>
      <c r="F134" s="130">
        <v>139327</v>
      </c>
      <c r="G134" s="71">
        <v>46233</v>
      </c>
      <c r="H134" s="71" t="s">
        <v>241</v>
      </c>
      <c r="I134" s="56">
        <f t="shared" si="12"/>
        <v>5</v>
      </c>
      <c r="J134" s="71">
        <v>46245</v>
      </c>
      <c r="K134" s="56">
        <f t="shared" si="13"/>
        <v>5</v>
      </c>
      <c r="L134" s="71" t="s">
        <v>254</v>
      </c>
      <c r="M134" s="56">
        <f t="shared" si="14"/>
        <v>1</v>
      </c>
      <c r="N134" s="50" t="s">
        <v>329</v>
      </c>
      <c r="O134" s="50" t="s">
        <v>622</v>
      </c>
      <c r="P134" s="57" t="s">
        <v>53</v>
      </c>
      <c r="Q134" s="224">
        <v>652.17391304347825</v>
      </c>
      <c r="R134" s="224">
        <v>652.17391304347825</v>
      </c>
      <c r="S134" s="58">
        <f t="shared" si="15"/>
        <v>0</v>
      </c>
      <c r="T134" s="58"/>
      <c r="U134" s="58"/>
      <c r="V134" s="59">
        <f t="shared" si="16"/>
        <v>65.217391304347828</v>
      </c>
      <c r="W134" s="60">
        <f t="shared" si="17"/>
        <v>0</v>
      </c>
    </row>
    <row r="135" spans="1:23" ht="58" customHeight="1" x14ac:dyDescent="0.35">
      <c r="A135" s="61"/>
      <c r="B135" s="55">
        <v>131</v>
      </c>
      <c r="C135" s="70" t="s">
        <v>822</v>
      </c>
      <c r="D135" s="129">
        <v>136545</v>
      </c>
      <c r="E135" s="128"/>
      <c r="F135" s="130">
        <v>139332</v>
      </c>
      <c r="G135" s="71">
        <v>46233</v>
      </c>
      <c r="H135" s="71" t="s">
        <v>241</v>
      </c>
      <c r="I135" s="56">
        <f t="shared" si="12"/>
        <v>5</v>
      </c>
      <c r="J135" s="71">
        <v>46262</v>
      </c>
      <c r="K135" s="56">
        <f t="shared" si="13"/>
        <v>18</v>
      </c>
      <c r="L135" s="71" t="s">
        <v>266</v>
      </c>
      <c r="M135" s="56">
        <f t="shared" si="14"/>
        <v>1</v>
      </c>
      <c r="N135" s="72" t="s">
        <v>330</v>
      </c>
      <c r="O135" s="50" t="s">
        <v>648</v>
      </c>
      <c r="P135" s="57" t="s">
        <v>53</v>
      </c>
      <c r="Q135" s="224">
        <v>1743.3</v>
      </c>
      <c r="R135" s="224">
        <v>1743.3</v>
      </c>
      <c r="S135" s="58">
        <f t="shared" si="15"/>
        <v>0</v>
      </c>
      <c r="T135" s="58"/>
      <c r="U135" s="58"/>
      <c r="V135" s="59">
        <f t="shared" si="16"/>
        <v>174.33</v>
      </c>
      <c r="W135" s="60">
        <f t="shared" si="17"/>
        <v>0</v>
      </c>
    </row>
    <row r="136" spans="1:23" x14ac:dyDescent="0.35">
      <c r="A136" s="61"/>
      <c r="B136" s="55">
        <v>132</v>
      </c>
      <c r="C136" s="70" t="s">
        <v>822</v>
      </c>
      <c r="D136" s="129">
        <v>136078</v>
      </c>
      <c r="E136" s="128"/>
      <c r="F136" s="130">
        <v>139362</v>
      </c>
      <c r="G136" s="71">
        <v>46234</v>
      </c>
      <c r="H136" s="71" t="s">
        <v>250</v>
      </c>
      <c r="I136" s="56">
        <f t="shared" si="12"/>
        <v>2</v>
      </c>
      <c r="J136" s="71">
        <v>46237</v>
      </c>
      <c r="K136" s="56">
        <f t="shared" si="13"/>
        <v>1</v>
      </c>
      <c r="L136" s="71" t="s">
        <v>250</v>
      </c>
      <c r="M136" s="56">
        <f t="shared" si="14"/>
        <v>1</v>
      </c>
      <c r="N136" s="50" t="s">
        <v>331</v>
      </c>
      <c r="O136" s="50" t="s">
        <v>649</v>
      </c>
      <c r="P136" s="57" t="s">
        <v>53</v>
      </c>
      <c r="Q136" s="224">
        <v>573.91304347826087</v>
      </c>
      <c r="R136" s="224">
        <v>552.17391304347825</v>
      </c>
      <c r="S136" s="58">
        <f t="shared" si="15"/>
        <v>21.739130434782624</v>
      </c>
      <c r="T136" s="58"/>
      <c r="U136" s="58"/>
      <c r="V136" s="59">
        <f t="shared" si="16"/>
        <v>57.391304347826093</v>
      </c>
      <c r="W136" s="60">
        <f t="shared" si="17"/>
        <v>3.7878787878787908E-2</v>
      </c>
    </row>
    <row r="137" spans="1:23" x14ac:dyDescent="0.35">
      <c r="A137" s="61"/>
      <c r="B137" s="55">
        <v>133</v>
      </c>
      <c r="C137" s="70" t="s">
        <v>822</v>
      </c>
      <c r="D137" s="129">
        <v>136079</v>
      </c>
      <c r="E137" s="128"/>
      <c r="F137" s="130">
        <v>139295</v>
      </c>
      <c r="G137" s="71">
        <v>46234</v>
      </c>
      <c r="H137" s="71" t="s">
        <v>250</v>
      </c>
      <c r="I137" s="56">
        <f t="shared" si="12"/>
        <v>2</v>
      </c>
      <c r="J137" s="71">
        <v>46237</v>
      </c>
      <c r="K137" s="56">
        <f t="shared" si="13"/>
        <v>1</v>
      </c>
      <c r="L137" s="71" t="s">
        <v>250</v>
      </c>
      <c r="M137" s="56">
        <f t="shared" si="14"/>
        <v>1</v>
      </c>
      <c r="N137" s="50" t="s">
        <v>332</v>
      </c>
      <c r="O137" s="50" t="s">
        <v>650</v>
      </c>
      <c r="P137" s="57" t="s">
        <v>53</v>
      </c>
      <c r="Q137" s="224">
        <v>465.34526086956527</v>
      </c>
      <c r="R137" s="224">
        <v>398.9769782608696</v>
      </c>
      <c r="S137" s="58">
        <f t="shared" si="15"/>
        <v>66.368282608695665</v>
      </c>
      <c r="T137" s="58"/>
      <c r="U137" s="58"/>
      <c r="V137" s="59">
        <f t="shared" si="16"/>
        <v>46.534526086956532</v>
      </c>
      <c r="W137" s="60">
        <f t="shared" si="17"/>
        <v>0.14262159344800651</v>
      </c>
    </row>
    <row r="138" spans="1:23" x14ac:dyDescent="0.35">
      <c r="A138" s="61"/>
      <c r="B138" s="55">
        <v>134</v>
      </c>
      <c r="C138" s="70" t="s">
        <v>822</v>
      </c>
      <c r="D138" s="129">
        <v>136089</v>
      </c>
      <c r="E138" s="128"/>
      <c r="F138" s="130">
        <v>139357</v>
      </c>
      <c r="G138" s="71">
        <v>46234</v>
      </c>
      <c r="H138" s="71" t="s">
        <v>240</v>
      </c>
      <c r="I138" s="56">
        <f t="shared" si="12"/>
        <v>1</v>
      </c>
      <c r="J138" s="71">
        <v>46237</v>
      </c>
      <c r="K138" s="56">
        <f t="shared" si="13"/>
        <v>2</v>
      </c>
      <c r="L138" s="71" t="s">
        <v>250</v>
      </c>
      <c r="M138" s="56">
        <f t="shared" si="14"/>
        <v>1</v>
      </c>
      <c r="N138" s="50" t="s">
        <v>333</v>
      </c>
      <c r="O138" s="50" t="s">
        <v>651</v>
      </c>
      <c r="P138" s="57" t="s">
        <v>53</v>
      </c>
      <c r="Q138" s="224">
        <v>1762.5</v>
      </c>
      <c r="R138" s="224">
        <v>1762.5</v>
      </c>
      <c r="S138" s="58">
        <f t="shared" si="15"/>
        <v>0</v>
      </c>
      <c r="T138" s="58"/>
      <c r="U138" s="58"/>
      <c r="V138" s="59">
        <f t="shared" si="16"/>
        <v>176.25</v>
      </c>
      <c r="W138" s="60">
        <f t="shared" si="17"/>
        <v>0</v>
      </c>
    </row>
    <row r="139" spans="1:23" x14ac:dyDescent="0.35">
      <c r="A139" s="61"/>
      <c r="B139" s="55">
        <v>135</v>
      </c>
      <c r="C139" s="70" t="s">
        <v>822</v>
      </c>
      <c r="D139" s="129">
        <v>136087</v>
      </c>
      <c r="E139" s="128"/>
      <c r="F139" s="130">
        <v>139363</v>
      </c>
      <c r="G139" s="71">
        <v>46234</v>
      </c>
      <c r="H139" s="71" t="s">
        <v>240</v>
      </c>
      <c r="I139" s="56">
        <f t="shared" si="12"/>
        <v>1</v>
      </c>
      <c r="J139" s="71">
        <v>46237</v>
      </c>
      <c r="K139" s="56">
        <f t="shared" si="13"/>
        <v>2</v>
      </c>
      <c r="L139" s="71" t="s">
        <v>250</v>
      </c>
      <c r="M139" s="56">
        <f t="shared" si="14"/>
        <v>1</v>
      </c>
      <c r="N139" s="50" t="s">
        <v>334</v>
      </c>
      <c r="O139" s="50" t="s">
        <v>652</v>
      </c>
      <c r="P139" s="57" t="s">
        <v>53</v>
      </c>
      <c r="Q139" s="224">
        <v>8695.652173913044</v>
      </c>
      <c r="R139" s="224">
        <v>8695.652173913044</v>
      </c>
      <c r="S139" s="58">
        <f t="shared" si="15"/>
        <v>0</v>
      </c>
      <c r="T139" s="58"/>
      <c r="U139" s="58"/>
      <c r="V139" s="59">
        <f t="shared" si="16"/>
        <v>869.56521739130449</v>
      </c>
      <c r="W139" s="60">
        <f t="shared" si="17"/>
        <v>0</v>
      </c>
    </row>
    <row r="140" spans="1:23" x14ac:dyDescent="0.35">
      <c r="A140" s="61"/>
      <c r="B140" s="55">
        <v>136</v>
      </c>
      <c r="C140" s="70" t="s">
        <v>822</v>
      </c>
      <c r="D140" s="129">
        <v>136094</v>
      </c>
      <c r="E140" s="128"/>
      <c r="F140" s="130">
        <v>139356</v>
      </c>
      <c r="G140" s="71">
        <v>46234</v>
      </c>
      <c r="H140" s="71" t="s">
        <v>240</v>
      </c>
      <c r="I140" s="56">
        <f t="shared" si="12"/>
        <v>1</v>
      </c>
      <c r="J140" s="71">
        <v>46237</v>
      </c>
      <c r="K140" s="56">
        <f t="shared" si="13"/>
        <v>2</v>
      </c>
      <c r="L140" s="71" t="s">
        <v>250</v>
      </c>
      <c r="M140" s="56">
        <f t="shared" si="14"/>
        <v>1</v>
      </c>
      <c r="N140" s="50" t="s">
        <v>314</v>
      </c>
      <c r="O140" s="50" t="s">
        <v>632</v>
      </c>
      <c r="P140" s="57" t="s">
        <v>53</v>
      </c>
      <c r="Q140" s="224">
        <v>1543.4782608695652</v>
      </c>
      <c r="R140" s="224">
        <v>1543.4782608695652</v>
      </c>
      <c r="S140" s="58">
        <f t="shared" si="15"/>
        <v>0</v>
      </c>
      <c r="T140" s="58"/>
      <c r="U140" s="58"/>
      <c r="V140" s="59">
        <f t="shared" si="16"/>
        <v>154.34782608695653</v>
      </c>
      <c r="W140" s="60">
        <f t="shared" si="17"/>
        <v>0</v>
      </c>
    </row>
    <row r="141" spans="1:23" x14ac:dyDescent="0.35">
      <c r="A141" s="61"/>
      <c r="B141" s="55">
        <v>137</v>
      </c>
      <c r="C141" s="70" t="s">
        <v>822</v>
      </c>
      <c r="D141" s="129">
        <v>136095</v>
      </c>
      <c r="E141" s="128"/>
      <c r="F141" s="130">
        <v>139355</v>
      </c>
      <c r="G141" s="71">
        <v>46234</v>
      </c>
      <c r="H141" s="71" t="s">
        <v>240</v>
      </c>
      <c r="I141" s="56">
        <f t="shared" si="12"/>
        <v>1</v>
      </c>
      <c r="J141" s="71">
        <v>46237</v>
      </c>
      <c r="K141" s="56">
        <f t="shared" si="13"/>
        <v>2</v>
      </c>
      <c r="L141" s="71" t="s">
        <v>250</v>
      </c>
      <c r="M141" s="56">
        <f t="shared" si="14"/>
        <v>1</v>
      </c>
      <c r="N141" s="50" t="s">
        <v>314</v>
      </c>
      <c r="O141" s="50" t="s">
        <v>632</v>
      </c>
      <c r="P141" s="57" t="s">
        <v>53</v>
      </c>
      <c r="Q141" s="224">
        <v>2630.4347826086955</v>
      </c>
      <c r="R141" s="224">
        <v>2630.4347826086955</v>
      </c>
      <c r="S141" s="58">
        <f t="shared" si="15"/>
        <v>0</v>
      </c>
      <c r="T141" s="58"/>
      <c r="U141" s="58"/>
      <c r="V141" s="59">
        <f t="shared" si="16"/>
        <v>263.04347826086956</v>
      </c>
      <c r="W141" s="60">
        <f t="shared" si="17"/>
        <v>0</v>
      </c>
    </row>
    <row r="142" spans="1:23" x14ac:dyDescent="0.35">
      <c r="A142" s="61"/>
      <c r="B142" s="55">
        <v>138</v>
      </c>
      <c r="C142" s="70" t="s">
        <v>822</v>
      </c>
      <c r="D142" s="129">
        <v>136169</v>
      </c>
      <c r="E142" s="128"/>
      <c r="F142" s="130">
        <v>139367</v>
      </c>
      <c r="G142" s="71">
        <v>46234</v>
      </c>
      <c r="H142" s="71" t="s">
        <v>250</v>
      </c>
      <c r="I142" s="56">
        <f t="shared" si="12"/>
        <v>2</v>
      </c>
      <c r="J142" s="71">
        <v>46238</v>
      </c>
      <c r="K142" s="56">
        <f t="shared" si="13"/>
        <v>2</v>
      </c>
      <c r="L142" s="71" t="s">
        <v>256</v>
      </c>
      <c r="M142" s="56">
        <f t="shared" si="14"/>
        <v>3</v>
      </c>
      <c r="N142" s="50" t="s">
        <v>335</v>
      </c>
      <c r="O142" s="50" t="s">
        <v>653</v>
      </c>
      <c r="P142" s="57" t="s">
        <v>53</v>
      </c>
      <c r="Q142" s="224">
        <v>24456.521739130436</v>
      </c>
      <c r="R142" s="224">
        <v>24456.521739130436</v>
      </c>
      <c r="S142" s="58">
        <f t="shared" si="15"/>
        <v>0</v>
      </c>
      <c r="T142" s="58"/>
      <c r="U142" s="58"/>
      <c r="V142" s="59">
        <f t="shared" si="16"/>
        <v>2445.6521739130435</v>
      </c>
      <c r="W142" s="60">
        <f t="shared" si="17"/>
        <v>0</v>
      </c>
    </row>
    <row r="143" spans="1:23" x14ac:dyDescent="0.35">
      <c r="A143" s="61"/>
      <c r="B143" s="55">
        <v>139</v>
      </c>
      <c r="C143" s="70" t="s">
        <v>822</v>
      </c>
      <c r="D143" s="129">
        <v>136171</v>
      </c>
      <c r="E143" s="128"/>
      <c r="F143" s="130">
        <v>139366</v>
      </c>
      <c r="G143" s="71">
        <v>46234</v>
      </c>
      <c r="H143" s="71" t="s">
        <v>250</v>
      </c>
      <c r="I143" s="56">
        <f t="shared" si="12"/>
        <v>2</v>
      </c>
      <c r="J143" s="71">
        <v>46238</v>
      </c>
      <c r="K143" s="56">
        <f t="shared" si="13"/>
        <v>2</v>
      </c>
      <c r="L143" s="71" t="s">
        <v>251</v>
      </c>
      <c r="M143" s="56">
        <f t="shared" si="14"/>
        <v>1</v>
      </c>
      <c r="N143" s="50" t="s">
        <v>336</v>
      </c>
      <c r="O143" s="50" t="s">
        <v>654</v>
      </c>
      <c r="P143" s="57" t="s">
        <v>53</v>
      </c>
      <c r="Q143" s="224">
        <v>259.78260869565219</v>
      </c>
      <c r="R143" s="224">
        <v>259.78260869565219</v>
      </c>
      <c r="S143" s="58">
        <f t="shared" si="15"/>
        <v>0</v>
      </c>
      <c r="T143" s="58"/>
      <c r="U143" s="58"/>
      <c r="V143" s="59">
        <f t="shared" si="16"/>
        <v>25.978260869565219</v>
      </c>
      <c r="W143" s="60">
        <f t="shared" si="17"/>
        <v>0</v>
      </c>
    </row>
    <row r="144" spans="1:23" x14ac:dyDescent="0.35">
      <c r="A144" s="61"/>
      <c r="B144" s="55">
        <v>140</v>
      </c>
      <c r="C144" s="70" t="s">
        <v>822</v>
      </c>
      <c r="D144" s="129">
        <v>136183</v>
      </c>
      <c r="E144" s="128"/>
      <c r="F144" s="130">
        <v>139354</v>
      </c>
      <c r="G144" s="71">
        <v>46234</v>
      </c>
      <c r="H144" s="71" t="s">
        <v>251</v>
      </c>
      <c r="I144" s="56">
        <f t="shared" si="12"/>
        <v>3</v>
      </c>
      <c r="J144" s="71">
        <v>46239</v>
      </c>
      <c r="K144" s="56">
        <f t="shared" si="13"/>
        <v>2</v>
      </c>
      <c r="L144" s="71" t="s">
        <v>241</v>
      </c>
      <c r="M144" s="56">
        <f t="shared" si="14"/>
        <v>1</v>
      </c>
      <c r="N144" s="50" t="s">
        <v>314</v>
      </c>
      <c r="O144" s="50" t="s">
        <v>632</v>
      </c>
      <c r="P144" s="57" t="s">
        <v>53</v>
      </c>
      <c r="Q144" s="224">
        <v>24695.652173913044</v>
      </c>
      <c r="R144" s="224">
        <v>24695.652173913044</v>
      </c>
      <c r="S144" s="58">
        <f t="shared" si="15"/>
        <v>0</v>
      </c>
      <c r="T144" s="58"/>
      <c r="U144" s="58"/>
      <c r="V144" s="59">
        <f t="shared" si="16"/>
        <v>2469.5652173913045</v>
      </c>
      <c r="W144" s="60">
        <f t="shared" si="17"/>
        <v>0</v>
      </c>
    </row>
    <row r="145" spans="1:23" x14ac:dyDescent="0.35">
      <c r="A145" s="61"/>
      <c r="B145" s="55">
        <v>141</v>
      </c>
      <c r="C145" s="70" t="s">
        <v>822</v>
      </c>
      <c r="D145" s="129">
        <v>136210</v>
      </c>
      <c r="E145" s="128"/>
      <c r="F145" s="130">
        <v>139364</v>
      </c>
      <c r="G145" s="71">
        <v>46234</v>
      </c>
      <c r="H145" s="71" t="s">
        <v>251</v>
      </c>
      <c r="I145" s="56">
        <f t="shared" si="12"/>
        <v>3</v>
      </c>
      <c r="J145" s="71">
        <v>46240</v>
      </c>
      <c r="K145" s="56">
        <f t="shared" si="13"/>
        <v>3</v>
      </c>
      <c r="L145" s="71" t="s">
        <v>256</v>
      </c>
      <c r="M145" s="56">
        <f t="shared" si="14"/>
        <v>1</v>
      </c>
      <c r="N145" s="50" t="s">
        <v>337</v>
      </c>
      <c r="O145" s="50" t="s">
        <v>655</v>
      </c>
      <c r="P145" s="57" t="s">
        <v>53</v>
      </c>
      <c r="Q145" s="224">
        <v>478.26086956521738</v>
      </c>
      <c r="R145" s="224">
        <v>478.26086956521738</v>
      </c>
      <c r="S145" s="58">
        <f t="shared" si="15"/>
        <v>0</v>
      </c>
      <c r="T145" s="58"/>
      <c r="U145" s="58"/>
      <c r="V145" s="59">
        <f t="shared" si="16"/>
        <v>47.826086956521742</v>
      </c>
      <c r="W145" s="60">
        <f t="shared" si="17"/>
        <v>0</v>
      </c>
    </row>
    <row r="146" spans="1:23" ht="43.5" customHeight="1" x14ac:dyDescent="0.35">
      <c r="A146" s="61"/>
      <c r="B146" s="55">
        <v>142</v>
      </c>
      <c r="C146" s="70" t="s">
        <v>822</v>
      </c>
      <c r="D146" s="129">
        <v>136224</v>
      </c>
      <c r="E146" s="128"/>
      <c r="F146" s="130">
        <v>139359</v>
      </c>
      <c r="G146" s="71">
        <v>46234</v>
      </c>
      <c r="H146" s="71" t="s">
        <v>241</v>
      </c>
      <c r="I146" s="56">
        <f t="shared" si="12"/>
        <v>4</v>
      </c>
      <c r="J146" s="71">
        <v>46241</v>
      </c>
      <c r="K146" s="56">
        <f t="shared" si="13"/>
        <v>3</v>
      </c>
      <c r="L146" s="71" t="s">
        <v>255</v>
      </c>
      <c r="M146" s="56">
        <f t="shared" si="14"/>
        <v>1</v>
      </c>
      <c r="N146" s="72" t="s">
        <v>338</v>
      </c>
      <c r="O146" s="50" t="s">
        <v>656</v>
      </c>
      <c r="P146" s="57" t="s">
        <v>53</v>
      </c>
      <c r="Q146" s="224">
        <v>2913.0434782608695</v>
      </c>
      <c r="R146" s="224">
        <v>2913.0434782608695</v>
      </c>
      <c r="S146" s="58">
        <f t="shared" si="15"/>
        <v>0</v>
      </c>
      <c r="T146" s="58"/>
      <c r="U146" s="58"/>
      <c r="V146" s="59">
        <f t="shared" si="16"/>
        <v>291.30434782608694</v>
      </c>
      <c r="W146" s="60">
        <f t="shared" si="17"/>
        <v>0</v>
      </c>
    </row>
    <row r="147" spans="1:23" x14ac:dyDescent="0.35">
      <c r="A147" s="61"/>
      <c r="B147" s="55">
        <v>143</v>
      </c>
      <c r="C147" s="70" t="s">
        <v>822</v>
      </c>
      <c r="D147" s="129">
        <v>136243</v>
      </c>
      <c r="E147" s="128"/>
      <c r="F147" s="130">
        <v>139358</v>
      </c>
      <c r="G147" s="71">
        <v>46234</v>
      </c>
      <c r="H147" s="71" t="s">
        <v>241</v>
      </c>
      <c r="I147" s="56">
        <f t="shared" si="12"/>
        <v>4</v>
      </c>
      <c r="J147" s="71">
        <v>46244</v>
      </c>
      <c r="K147" s="56">
        <f t="shared" si="13"/>
        <v>4</v>
      </c>
      <c r="L147" s="71" t="s">
        <v>258</v>
      </c>
      <c r="M147" s="56">
        <f t="shared" si="14"/>
        <v>1</v>
      </c>
      <c r="N147" s="50" t="s">
        <v>339</v>
      </c>
      <c r="O147" s="50" t="s">
        <v>622</v>
      </c>
      <c r="P147" s="57" t="s">
        <v>53</v>
      </c>
      <c r="Q147" s="224">
        <v>3043.478260869565</v>
      </c>
      <c r="R147" s="224">
        <v>3043.478260869565</v>
      </c>
      <c r="S147" s="58">
        <f t="shared" si="15"/>
        <v>0</v>
      </c>
      <c r="T147" s="58"/>
      <c r="U147" s="58"/>
      <c r="V147" s="59">
        <f t="shared" si="16"/>
        <v>304.3478260869565</v>
      </c>
      <c r="W147" s="60">
        <f t="shared" si="17"/>
        <v>0</v>
      </c>
    </row>
    <row r="148" spans="1:23" x14ac:dyDescent="0.35">
      <c r="A148" s="61"/>
      <c r="B148" s="55">
        <v>144</v>
      </c>
      <c r="C148" s="70" t="s">
        <v>822</v>
      </c>
      <c r="D148" s="129">
        <v>136244</v>
      </c>
      <c r="E148" s="128"/>
      <c r="F148" s="130">
        <v>139360</v>
      </c>
      <c r="G148" s="71">
        <v>46234</v>
      </c>
      <c r="H148" s="71" t="s">
        <v>241</v>
      </c>
      <c r="I148" s="56">
        <f t="shared" si="12"/>
        <v>4</v>
      </c>
      <c r="J148" s="71">
        <v>46244</v>
      </c>
      <c r="K148" s="56">
        <f t="shared" si="13"/>
        <v>4</v>
      </c>
      <c r="L148" s="71" t="s">
        <v>258</v>
      </c>
      <c r="M148" s="56">
        <f t="shared" si="14"/>
        <v>1</v>
      </c>
      <c r="N148" s="50" t="s">
        <v>340</v>
      </c>
      <c r="O148" s="50" t="s">
        <v>657</v>
      </c>
      <c r="P148" s="57" t="s">
        <v>53</v>
      </c>
      <c r="Q148" s="224">
        <v>1331.1</v>
      </c>
      <c r="R148" s="224">
        <v>1331.1</v>
      </c>
      <c r="S148" s="58">
        <f t="shared" si="15"/>
        <v>0</v>
      </c>
      <c r="T148" s="58"/>
      <c r="U148" s="58"/>
      <c r="V148" s="59">
        <f t="shared" si="16"/>
        <v>133.10999999999999</v>
      </c>
      <c r="W148" s="60">
        <f t="shared" si="17"/>
        <v>0</v>
      </c>
    </row>
    <row r="149" spans="1:23" x14ac:dyDescent="0.35">
      <c r="A149" s="61"/>
      <c r="B149" s="55">
        <v>145</v>
      </c>
      <c r="C149" s="70" t="s">
        <v>822</v>
      </c>
      <c r="D149" s="129">
        <v>136286</v>
      </c>
      <c r="E149" s="128"/>
      <c r="F149" s="130">
        <v>139365</v>
      </c>
      <c r="G149" s="71">
        <v>46234</v>
      </c>
      <c r="H149" s="71" t="s">
        <v>252</v>
      </c>
      <c r="I149" s="56">
        <f t="shared" si="12"/>
        <v>9</v>
      </c>
      <c r="J149" s="71">
        <v>46247</v>
      </c>
      <c r="K149" s="56">
        <f t="shared" si="13"/>
        <v>2</v>
      </c>
      <c r="L149" s="71" t="s">
        <v>243</v>
      </c>
      <c r="M149" s="56">
        <f t="shared" si="14"/>
        <v>1</v>
      </c>
      <c r="N149" s="50" t="s">
        <v>341</v>
      </c>
      <c r="O149" s="50" t="s">
        <v>658</v>
      </c>
      <c r="P149" s="57" t="s">
        <v>53</v>
      </c>
      <c r="Q149" s="224">
        <v>60.869565217391305</v>
      </c>
      <c r="R149" s="224">
        <v>60.869565217391305</v>
      </c>
      <c r="S149" s="58">
        <f t="shared" si="15"/>
        <v>0</v>
      </c>
      <c r="T149" s="58"/>
      <c r="U149" s="58"/>
      <c r="V149" s="59">
        <f t="shared" si="16"/>
        <v>6.0869565217391308</v>
      </c>
      <c r="W149" s="60">
        <f t="shared" si="17"/>
        <v>0</v>
      </c>
    </row>
    <row r="150" spans="1:23" x14ac:dyDescent="0.35">
      <c r="A150" s="61"/>
      <c r="B150" s="55">
        <v>146</v>
      </c>
      <c r="C150" s="70" t="s">
        <v>822</v>
      </c>
      <c r="D150" s="129">
        <v>136130</v>
      </c>
      <c r="E150" s="128"/>
      <c r="F150" s="130">
        <v>139373</v>
      </c>
      <c r="G150" s="71">
        <v>46237</v>
      </c>
      <c r="H150" s="71" t="s">
        <v>250</v>
      </c>
      <c r="I150" s="56">
        <f t="shared" si="12"/>
        <v>1</v>
      </c>
      <c r="J150" s="71">
        <v>46237</v>
      </c>
      <c r="K150" s="56">
        <f t="shared" si="13"/>
        <v>1</v>
      </c>
      <c r="L150" s="71" t="s">
        <v>250</v>
      </c>
      <c r="M150" s="56">
        <f t="shared" si="14"/>
        <v>1</v>
      </c>
      <c r="N150" s="50" t="s">
        <v>342</v>
      </c>
      <c r="O150" s="50" t="s">
        <v>615</v>
      </c>
      <c r="P150" s="57" t="s">
        <v>53</v>
      </c>
      <c r="Q150" s="224">
        <v>380.43478260869563</v>
      </c>
      <c r="R150" s="224">
        <v>380.43478260869563</v>
      </c>
      <c r="S150" s="58">
        <f t="shared" si="15"/>
        <v>0</v>
      </c>
      <c r="T150" s="58"/>
      <c r="U150" s="58"/>
      <c r="V150" s="59">
        <f t="shared" si="16"/>
        <v>38.043478260869563</v>
      </c>
      <c r="W150" s="60">
        <f t="shared" si="17"/>
        <v>0</v>
      </c>
    </row>
    <row r="151" spans="1:23" x14ac:dyDescent="0.35">
      <c r="A151" s="61"/>
      <c r="B151" s="55">
        <v>147</v>
      </c>
      <c r="C151" s="70" t="s">
        <v>822</v>
      </c>
      <c r="D151" s="129">
        <v>136162</v>
      </c>
      <c r="E151" s="128"/>
      <c r="F151" s="130">
        <v>139378</v>
      </c>
      <c r="G151" s="71">
        <v>46237</v>
      </c>
      <c r="H151" s="71" t="s">
        <v>250</v>
      </c>
      <c r="I151" s="56">
        <f t="shared" si="12"/>
        <v>1</v>
      </c>
      <c r="J151" s="71">
        <v>46237</v>
      </c>
      <c r="K151" s="56">
        <f t="shared" si="13"/>
        <v>1</v>
      </c>
      <c r="L151" s="71" t="s">
        <v>250</v>
      </c>
      <c r="M151" s="56">
        <f t="shared" si="14"/>
        <v>1</v>
      </c>
      <c r="N151" s="50" t="s">
        <v>343</v>
      </c>
      <c r="O151" s="50" t="s">
        <v>659</v>
      </c>
      <c r="P151" s="57" t="s">
        <v>53</v>
      </c>
      <c r="Q151" s="224">
        <v>150</v>
      </c>
      <c r="R151" s="224">
        <v>150</v>
      </c>
      <c r="S151" s="58">
        <f t="shared" si="15"/>
        <v>0</v>
      </c>
      <c r="T151" s="58"/>
      <c r="U151" s="58"/>
      <c r="V151" s="59">
        <f t="shared" si="16"/>
        <v>15</v>
      </c>
      <c r="W151" s="60">
        <f t="shared" si="17"/>
        <v>0</v>
      </c>
    </row>
    <row r="152" spans="1:23" x14ac:dyDescent="0.35">
      <c r="A152" s="61"/>
      <c r="B152" s="55">
        <v>148</v>
      </c>
      <c r="C152" s="70" t="s">
        <v>822</v>
      </c>
      <c r="D152" s="129">
        <v>136164</v>
      </c>
      <c r="E152" s="128"/>
      <c r="F152" s="130">
        <v>139387</v>
      </c>
      <c r="G152" s="71">
        <v>46237</v>
      </c>
      <c r="H152" s="71" t="s">
        <v>250</v>
      </c>
      <c r="I152" s="56">
        <f t="shared" si="12"/>
        <v>1</v>
      </c>
      <c r="J152" s="71">
        <v>46238</v>
      </c>
      <c r="K152" s="56">
        <f t="shared" si="13"/>
        <v>2</v>
      </c>
      <c r="L152" s="71" t="s">
        <v>251</v>
      </c>
      <c r="M152" s="56">
        <f t="shared" si="14"/>
        <v>1</v>
      </c>
      <c r="N152" s="50" t="s">
        <v>344</v>
      </c>
      <c r="O152" s="50" t="s">
        <v>660</v>
      </c>
      <c r="P152" s="57" t="s">
        <v>53</v>
      </c>
      <c r="Q152" s="224">
        <v>228.2608695652174</v>
      </c>
      <c r="R152" s="224">
        <v>228.2608695652174</v>
      </c>
      <c r="S152" s="58">
        <f t="shared" si="15"/>
        <v>0</v>
      </c>
      <c r="T152" s="58"/>
      <c r="U152" s="58"/>
      <c r="V152" s="59">
        <f t="shared" si="16"/>
        <v>22.826086956521742</v>
      </c>
      <c r="W152" s="60">
        <f t="shared" si="17"/>
        <v>0</v>
      </c>
    </row>
    <row r="153" spans="1:23" x14ac:dyDescent="0.35">
      <c r="A153" s="61"/>
      <c r="B153" s="55">
        <v>149</v>
      </c>
      <c r="C153" s="70" t="s">
        <v>822</v>
      </c>
      <c r="D153" s="129">
        <v>136165</v>
      </c>
      <c r="E153" s="128"/>
      <c r="F153" s="130">
        <v>139385</v>
      </c>
      <c r="G153" s="71">
        <v>46237</v>
      </c>
      <c r="H153" s="71" t="s">
        <v>250</v>
      </c>
      <c r="I153" s="56">
        <f t="shared" si="12"/>
        <v>1</v>
      </c>
      <c r="J153" s="71">
        <v>46238</v>
      </c>
      <c r="K153" s="56">
        <f t="shared" si="13"/>
        <v>2</v>
      </c>
      <c r="L153" s="71" t="s">
        <v>251</v>
      </c>
      <c r="M153" s="56">
        <f t="shared" si="14"/>
        <v>1</v>
      </c>
      <c r="N153" s="50" t="s">
        <v>345</v>
      </c>
      <c r="O153" s="50" t="s">
        <v>661</v>
      </c>
      <c r="P153" s="57" t="s">
        <v>53</v>
      </c>
      <c r="Q153" s="224">
        <v>8805.9894369565209</v>
      </c>
      <c r="R153" s="224">
        <v>8805.9894369565209</v>
      </c>
      <c r="S153" s="58">
        <f t="shared" si="15"/>
        <v>0</v>
      </c>
      <c r="T153" s="58"/>
      <c r="U153" s="58"/>
      <c r="V153" s="59">
        <f t="shared" si="16"/>
        <v>880.59894369565211</v>
      </c>
      <c r="W153" s="60">
        <f t="shared" si="17"/>
        <v>0</v>
      </c>
    </row>
    <row r="154" spans="1:23" x14ac:dyDescent="0.35">
      <c r="A154" s="61"/>
      <c r="B154" s="55">
        <v>150</v>
      </c>
      <c r="C154" s="70" t="s">
        <v>822</v>
      </c>
      <c r="D154" s="129">
        <v>136166</v>
      </c>
      <c r="E154" s="128"/>
      <c r="F154" s="130">
        <v>139383</v>
      </c>
      <c r="G154" s="71">
        <v>46237</v>
      </c>
      <c r="H154" s="71" t="s">
        <v>250</v>
      </c>
      <c r="I154" s="56">
        <f t="shared" si="12"/>
        <v>1</v>
      </c>
      <c r="J154" s="71">
        <v>46238</v>
      </c>
      <c r="K154" s="56">
        <f t="shared" si="13"/>
        <v>2</v>
      </c>
      <c r="L154" s="71" t="s">
        <v>251</v>
      </c>
      <c r="M154" s="56">
        <f t="shared" si="14"/>
        <v>1</v>
      </c>
      <c r="N154" s="50" t="s">
        <v>345</v>
      </c>
      <c r="O154" s="50" t="s">
        <v>661</v>
      </c>
      <c r="P154" s="57" t="s">
        <v>53</v>
      </c>
      <c r="Q154" s="224">
        <v>14563.575780434783</v>
      </c>
      <c r="R154" s="224">
        <v>14563.575780434783</v>
      </c>
      <c r="S154" s="58">
        <f t="shared" si="15"/>
        <v>0</v>
      </c>
      <c r="T154" s="58"/>
      <c r="U154" s="58"/>
      <c r="V154" s="59">
        <f t="shared" si="16"/>
        <v>1456.3575780434785</v>
      </c>
      <c r="W154" s="60">
        <f t="shared" si="17"/>
        <v>0</v>
      </c>
    </row>
    <row r="155" spans="1:23" x14ac:dyDescent="0.35">
      <c r="A155" s="61"/>
      <c r="B155" s="55">
        <v>151</v>
      </c>
      <c r="C155" s="70" t="s">
        <v>822</v>
      </c>
      <c r="D155" s="129">
        <v>136167</v>
      </c>
      <c r="E155" s="128"/>
      <c r="F155" s="130">
        <v>139380</v>
      </c>
      <c r="G155" s="71">
        <v>46237</v>
      </c>
      <c r="H155" s="71" t="s">
        <v>250</v>
      </c>
      <c r="I155" s="56">
        <f t="shared" si="12"/>
        <v>1</v>
      </c>
      <c r="J155" s="71">
        <v>46238</v>
      </c>
      <c r="K155" s="56">
        <f t="shared" si="13"/>
        <v>2</v>
      </c>
      <c r="L155" s="71" t="s">
        <v>251</v>
      </c>
      <c r="M155" s="56">
        <f t="shared" si="14"/>
        <v>1</v>
      </c>
      <c r="N155" s="50" t="s">
        <v>346</v>
      </c>
      <c r="O155" s="50" t="s">
        <v>623</v>
      </c>
      <c r="P155" s="57" t="s">
        <v>53</v>
      </c>
      <c r="Q155" s="224">
        <v>4896.6099347826084</v>
      </c>
      <c r="R155" s="224">
        <v>4896.6099347826084</v>
      </c>
      <c r="S155" s="58">
        <f t="shared" si="15"/>
        <v>0</v>
      </c>
      <c r="T155" s="58"/>
      <c r="U155" s="58"/>
      <c r="V155" s="59">
        <f t="shared" si="16"/>
        <v>489.66099347826088</v>
      </c>
      <c r="W155" s="60">
        <f t="shared" si="17"/>
        <v>0</v>
      </c>
    </row>
    <row r="156" spans="1:23" x14ac:dyDescent="0.35">
      <c r="A156" s="61"/>
      <c r="B156" s="55">
        <v>152</v>
      </c>
      <c r="C156" s="70" t="s">
        <v>822</v>
      </c>
      <c r="D156" s="129">
        <v>136168</v>
      </c>
      <c r="E156" s="128"/>
      <c r="F156" s="130">
        <v>139375</v>
      </c>
      <c r="G156" s="71">
        <v>46237</v>
      </c>
      <c r="H156" s="71" t="s">
        <v>250</v>
      </c>
      <c r="I156" s="56">
        <f t="shared" si="12"/>
        <v>1</v>
      </c>
      <c r="J156" s="71">
        <v>46238</v>
      </c>
      <c r="K156" s="56">
        <f t="shared" si="13"/>
        <v>2</v>
      </c>
      <c r="L156" s="71" t="s">
        <v>251</v>
      </c>
      <c r="M156" s="56">
        <f t="shared" si="14"/>
        <v>1</v>
      </c>
      <c r="N156" s="50" t="s">
        <v>347</v>
      </c>
      <c r="O156" s="50" t="s">
        <v>653</v>
      </c>
      <c r="P156" s="57" t="s">
        <v>53</v>
      </c>
      <c r="Q156" s="224">
        <v>52536.23195652174</v>
      </c>
      <c r="R156" s="224">
        <v>52536.23195652174</v>
      </c>
      <c r="S156" s="58">
        <f t="shared" si="15"/>
        <v>0</v>
      </c>
      <c r="T156" s="58"/>
      <c r="U156" s="58"/>
      <c r="V156" s="59">
        <f t="shared" si="16"/>
        <v>5253.6231956521742</v>
      </c>
      <c r="W156" s="60">
        <f t="shared" si="17"/>
        <v>0</v>
      </c>
    </row>
    <row r="157" spans="1:23" ht="29" customHeight="1" x14ac:dyDescent="0.35">
      <c r="A157" s="61"/>
      <c r="B157" s="55">
        <v>153</v>
      </c>
      <c r="C157" s="70" t="s">
        <v>822</v>
      </c>
      <c r="D157" s="129">
        <v>136172</v>
      </c>
      <c r="E157" s="128"/>
      <c r="F157" s="130">
        <v>139379</v>
      </c>
      <c r="G157" s="71">
        <v>46237</v>
      </c>
      <c r="H157" s="71" t="s">
        <v>250</v>
      </c>
      <c r="I157" s="56">
        <f t="shared" si="12"/>
        <v>1</v>
      </c>
      <c r="J157" s="71">
        <v>46238</v>
      </c>
      <c r="K157" s="56">
        <f t="shared" si="13"/>
        <v>2</v>
      </c>
      <c r="L157" s="71" t="s">
        <v>268</v>
      </c>
      <c r="M157" s="56">
        <f t="shared" si="14"/>
        <v>27</v>
      </c>
      <c r="N157" s="72" t="s">
        <v>348</v>
      </c>
      <c r="O157" s="50" t="s">
        <v>662</v>
      </c>
      <c r="P157" s="57" t="s">
        <v>53</v>
      </c>
      <c r="Q157" s="224">
        <v>300</v>
      </c>
      <c r="R157" s="224">
        <v>300</v>
      </c>
      <c r="S157" s="58">
        <f t="shared" si="15"/>
        <v>0</v>
      </c>
      <c r="T157" s="58"/>
      <c r="U157" s="58"/>
      <c r="V157" s="59">
        <f t="shared" si="16"/>
        <v>30</v>
      </c>
      <c r="W157" s="60">
        <f t="shared" si="17"/>
        <v>0</v>
      </c>
    </row>
    <row r="158" spans="1:23" x14ac:dyDescent="0.35">
      <c r="A158" s="61"/>
      <c r="B158" s="55">
        <v>154</v>
      </c>
      <c r="C158" s="70" t="s">
        <v>822</v>
      </c>
      <c r="D158" s="129">
        <v>136173</v>
      </c>
      <c r="E158" s="128"/>
      <c r="F158" s="130">
        <v>139382</v>
      </c>
      <c r="G158" s="71">
        <v>46237</v>
      </c>
      <c r="H158" s="71" t="s">
        <v>251</v>
      </c>
      <c r="I158" s="56">
        <f t="shared" si="12"/>
        <v>2</v>
      </c>
      <c r="J158" s="71">
        <v>46238</v>
      </c>
      <c r="K158" s="56">
        <f t="shared" si="13"/>
        <v>1</v>
      </c>
      <c r="L158" s="71" t="s">
        <v>251</v>
      </c>
      <c r="M158" s="56">
        <f t="shared" si="14"/>
        <v>1</v>
      </c>
      <c r="N158" s="50" t="s">
        <v>349</v>
      </c>
      <c r="O158" s="50" t="s">
        <v>663</v>
      </c>
      <c r="P158" s="57" t="s">
        <v>53</v>
      </c>
      <c r="Q158" s="224">
        <v>669.56521739130437</v>
      </c>
      <c r="R158" s="224">
        <v>669.56521739130437</v>
      </c>
      <c r="S158" s="58">
        <f t="shared" si="15"/>
        <v>0</v>
      </c>
      <c r="T158" s="58"/>
      <c r="U158" s="58"/>
      <c r="V158" s="59">
        <f t="shared" si="16"/>
        <v>66.956521739130437</v>
      </c>
      <c r="W158" s="60">
        <f t="shared" si="17"/>
        <v>0</v>
      </c>
    </row>
    <row r="159" spans="1:23" x14ac:dyDescent="0.35">
      <c r="A159" s="61"/>
      <c r="B159" s="55">
        <v>155</v>
      </c>
      <c r="C159" s="70" t="s">
        <v>822</v>
      </c>
      <c r="D159" s="129">
        <v>136174</v>
      </c>
      <c r="E159" s="128"/>
      <c r="F159" s="130">
        <v>139390</v>
      </c>
      <c r="G159" s="71">
        <v>46237</v>
      </c>
      <c r="H159" s="71" t="s">
        <v>251</v>
      </c>
      <c r="I159" s="56">
        <f t="shared" si="12"/>
        <v>2</v>
      </c>
      <c r="J159" s="71">
        <v>46238</v>
      </c>
      <c r="K159" s="56">
        <f t="shared" si="13"/>
        <v>1</v>
      </c>
      <c r="L159" s="71" t="s">
        <v>251</v>
      </c>
      <c r="M159" s="56">
        <f t="shared" si="14"/>
        <v>1</v>
      </c>
      <c r="N159" s="50" t="s">
        <v>350</v>
      </c>
      <c r="O159" s="50" t="s">
        <v>615</v>
      </c>
      <c r="P159" s="57" t="s">
        <v>53</v>
      </c>
      <c r="Q159" s="224">
        <v>345.94565217391306</v>
      </c>
      <c r="R159" s="224">
        <v>345.94565217391306</v>
      </c>
      <c r="S159" s="58">
        <f t="shared" si="15"/>
        <v>0</v>
      </c>
      <c r="T159" s="58"/>
      <c r="U159" s="58"/>
      <c r="V159" s="59">
        <f t="shared" si="16"/>
        <v>34.594565217391306</v>
      </c>
      <c r="W159" s="60">
        <f t="shared" si="17"/>
        <v>0</v>
      </c>
    </row>
    <row r="160" spans="1:23" x14ac:dyDescent="0.35">
      <c r="A160" s="61"/>
      <c r="B160" s="55">
        <v>156</v>
      </c>
      <c r="C160" s="70" t="s">
        <v>822</v>
      </c>
      <c r="D160" s="129">
        <v>136175</v>
      </c>
      <c r="E160" s="128"/>
      <c r="F160" s="130">
        <v>139386</v>
      </c>
      <c r="G160" s="71">
        <v>46237</v>
      </c>
      <c r="H160" s="71" t="s">
        <v>251</v>
      </c>
      <c r="I160" s="56">
        <f t="shared" si="12"/>
        <v>2</v>
      </c>
      <c r="J160" s="71">
        <v>46238</v>
      </c>
      <c r="K160" s="56">
        <f t="shared" si="13"/>
        <v>1</v>
      </c>
      <c r="L160" s="71" t="s">
        <v>241</v>
      </c>
      <c r="M160" s="56">
        <f t="shared" si="14"/>
        <v>2</v>
      </c>
      <c r="N160" s="50" t="s">
        <v>351</v>
      </c>
      <c r="O160" s="50" t="s">
        <v>663</v>
      </c>
      <c r="P160" s="57" t="s">
        <v>53</v>
      </c>
      <c r="Q160" s="224">
        <v>1874.7826086956522</v>
      </c>
      <c r="R160" s="224">
        <v>1874.7826086956522</v>
      </c>
      <c r="S160" s="58">
        <f t="shared" si="15"/>
        <v>0</v>
      </c>
      <c r="T160" s="58"/>
      <c r="U160" s="58"/>
      <c r="V160" s="59">
        <f t="shared" si="16"/>
        <v>187.47826086956525</v>
      </c>
      <c r="W160" s="60">
        <f t="shared" si="17"/>
        <v>0</v>
      </c>
    </row>
    <row r="161" spans="1:23" x14ac:dyDescent="0.35">
      <c r="A161" s="61"/>
      <c r="B161" s="55">
        <v>157</v>
      </c>
      <c r="C161" s="70" t="s">
        <v>822</v>
      </c>
      <c r="D161" s="129">
        <v>136176</v>
      </c>
      <c r="E161" s="128"/>
      <c r="F161" s="130">
        <v>139391</v>
      </c>
      <c r="G161" s="71">
        <v>46237</v>
      </c>
      <c r="H161" s="71" t="s">
        <v>251</v>
      </c>
      <c r="I161" s="56">
        <f t="shared" si="12"/>
        <v>2</v>
      </c>
      <c r="J161" s="71">
        <v>46238</v>
      </c>
      <c r="K161" s="56">
        <f t="shared" si="13"/>
        <v>1</v>
      </c>
      <c r="L161" s="71" t="s">
        <v>251</v>
      </c>
      <c r="M161" s="56">
        <f t="shared" si="14"/>
        <v>1</v>
      </c>
      <c r="N161" s="50" t="s">
        <v>352</v>
      </c>
      <c r="O161" s="50" t="s">
        <v>663</v>
      </c>
      <c r="P161" s="57" t="s">
        <v>53</v>
      </c>
      <c r="Q161" s="224">
        <v>2209.5652173913045</v>
      </c>
      <c r="R161" s="224">
        <v>2209.5652173913045</v>
      </c>
      <c r="S161" s="58">
        <f t="shared" si="15"/>
        <v>0</v>
      </c>
      <c r="T161" s="58"/>
      <c r="U161" s="58"/>
      <c r="V161" s="59">
        <f t="shared" si="16"/>
        <v>220.95652173913047</v>
      </c>
      <c r="W161" s="60">
        <f t="shared" si="17"/>
        <v>0</v>
      </c>
    </row>
    <row r="162" spans="1:23" ht="29" customHeight="1" x14ac:dyDescent="0.35">
      <c r="A162" s="61"/>
      <c r="B162" s="55">
        <v>158</v>
      </c>
      <c r="C162" s="70" t="s">
        <v>822</v>
      </c>
      <c r="D162" s="129">
        <v>136186</v>
      </c>
      <c r="E162" s="128"/>
      <c r="F162" s="130">
        <v>139376</v>
      </c>
      <c r="G162" s="71">
        <v>46237</v>
      </c>
      <c r="H162" s="71" t="s">
        <v>251</v>
      </c>
      <c r="I162" s="56">
        <f t="shared" si="12"/>
        <v>2</v>
      </c>
      <c r="J162" s="71">
        <v>46239</v>
      </c>
      <c r="K162" s="56">
        <f t="shared" si="13"/>
        <v>2</v>
      </c>
      <c r="L162" s="71" t="s">
        <v>241</v>
      </c>
      <c r="M162" s="56">
        <f t="shared" si="14"/>
        <v>1</v>
      </c>
      <c r="N162" s="72" t="s">
        <v>353</v>
      </c>
      <c r="O162" s="50" t="s">
        <v>632</v>
      </c>
      <c r="P162" s="57" t="s">
        <v>53</v>
      </c>
      <c r="Q162" s="224">
        <v>3304.3478260869565</v>
      </c>
      <c r="R162" s="224">
        <v>3304.3478260869565</v>
      </c>
      <c r="S162" s="58">
        <f t="shared" si="15"/>
        <v>0</v>
      </c>
      <c r="T162" s="58"/>
      <c r="U162" s="58"/>
      <c r="V162" s="59">
        <f t="shared" si="16"/>
        <v>330.43478260869568</v>
      </c>
      <c r="W162" s="60">
        <f t="shared" si="17"/>
        <v>0</v>
      </c>
    </row>
    <row r="163" spans="1:23" x14ac:dyDescent="0.35">
      <c r="A163" s="61"/>
      <c r="B163" s="55">
        <v>159</v>
      </c>
      <c r="C163" s="70" t="s">
        <v>822</v>
      </c>
      <c r="D163" s="129">
        <v>136187</v>
      </c>
      <c r="E163" s="128"/>
      <c r="F163" s="130">
        <v>139377</v>
      </c>
      <c r="G163" s="71">
        <v>46237</v>
      </c>
      <c r="H163" s="71" t="s">
        <v>251</v>
      </c>
      <c r="I163" s="56">
        <f t="shared" si="12"/>
        <v>2</v>
      </c>
      <c r="J163" s="71">
        <v>46239</v>
      </c>
      <c r="K163" s="56">
        <f t="shared" si="13"/>
        <v>2</v>
      </c>
      <c r="L163" s="71" t="s">
        <v>241</v>
      </c>
      <c r="M163" s="56">
        <f t="shared" si="14"/>
        <v>1</v>
      </c>
      <c r="N163" s="50" t="s">
        <v>354</v>
      </c>
      <c r="O163" s="50" t="s">
        <v>632</v>
      </c>
      <c r="P163" s="57" t="s">
        <v>53</v>
      </c>
      <c r="Q163" s="224">
        <v>21391.304347826088</v>
      </c>
      <c r="R163" s="224">
        <v>21391.304347826088</v>
      </c>
      <c r="S163" s="58">
        <f t="shared" si="15"/>
        <v>0</v>
      </c>
      <c r="T163" s="58"/>
      <c r="U163" s="58"/>
      <c r="V163" s="59">
        <f t="shared" si="16"/>
        <v>2139.130434782609</v>
      </c>
      <c r="W163" s="60">
        <f t="shared" si="17"/>
        <v>0</v>
      </c>
    </row>
    <row r="164" spans="1:23" x14ac:dyDescent="0.35">
      <c r="A164" s="61"/>
      <c r="B164" s="55">
        <v>160</v>
      </c>
      <c r="C164" s="70" t="s">
        <v>822</v>
      </c>
      <c r="D164" s="129">
        <v>136188</v>
      </c>
      <c r="E164" s="128"/>
      <c r="F164" s="130">
        <v>139392</v>
      </c>
      <c r="G164" s="71">
        <v>46237</v>
      </c>
      <c r="H164" s="71" t="s">
        <v>251</v>
      </c>
      <c r="I164" s="56">
        <f t="shared" si="12"/>
        <v>2</v>
      </c>
      <c r="J164" s="71">
        <v>46239</v>
      </c>
      <c r="K164" s="56">
        <f t="shared" si="13"/>
        <v>2</v>
      </c>
      <c r="L164" s="71" t="s">
        <v>241</v>
      </c>
      <c r="M164" s="56">
        <f t="shared" si="14"/>
        <v>1</v>
      </c>
      <c r="N164" s="50" t="s">
        <v>355</v>
      </c>
      <c r="O164" s="50" t="s">
        <v>664</v>
      </c>
      <c r="P164" s="57" t="s">
        <v>53</v>
      </c>
      <c r="Q164" s="224">
        <v>28.396739130434781</v>
      </c>
      <c r="R164" s="224">
        <v>28.396739130434781</v>
      </c>
      <c r="S164" s="58">
        <f t="shared" si="15"/>
        <v>0</v>
      </c>
      <c r="T164" s="58"/>
      <c r="U164" s="58"/>
      <c r="V164" s="59">
        <f t="shared" si="16"/>
        <v>2.8396739130434785</v>
      </c>
      <c r="W164" s="60">
        <f t="shared" si="17"/>
        <v>0</v>
      </c>
    </row>
    <row r="165" spans="1:23" x14ac:dyDescent="0.35">
      <c r="A165" s="61"/>
      <c r="B165" s="55">
        <v>161</v>
      </c>
      <c r="C165" s="70" t="s">
        <v>822</v>
      </c>
      <c r="D165" s="129">
        <v>136189</v>
      </c>
      <c r="E165" s="128"/>
      <c r="F165" s="130">
        <v>139388</v>
      </c>
      <c r="G165" s="71">
        <v>46237</v>
      </c>
      <c r="H165" s="71" t="s">
        <v>251</v>
      </c>
      <c r="I165" s="56">
        <f t="shared" si="12"/>
        <v>2</v>
      </c>
      <c r="J165" s="71">
        <v>46239</v>
      </c>
      <c r="K165" s="56">
        <f t="shared" si="13"/>
        <v>2</v>
      </c>
      <c r="L165" s="71" t="s">
        <v>241</v>
      </c>
      <c r="M165" s="56">
        <f t="shared" si="14"/>
        <v>1</v>
      </c>
      <c r="N165" s="50" t="s">
        <v>356</v>
      </c>
      <c r="O165" s="50" t="s">
        <v>664</v>
      </c>
      <c r="P165" s="57" t="s">
        <v>53</v>
      </c>
      <c r="Q165" s="224">
        <v>28.75</v>
      </c>
      <c r="R165" s="224">
        <v>28.75</v>
      </c>
      <c r="S165" s="58">
        <v>109.06935388263173</v>
      </c>
      <c r="T165" s="58"/>
      <c r="U165" s="58"/>
      <c r="V165" s="59">
        <f t="shared" si="16"/>
        <v>2.875</v>
      </c>
      <c r="W165" s="60">
        <f t="shared" si="17"/>
        <v>0</v>
      </c>
    </row>
    <row r="166" spans="1:23" x14ac:dyDescent="0.35">
      <c r="A166" s="61"/>
      <c r="B166" s="55">
        <v>162</v>
      </c>
      <c r="C166" s="70" t="s">
        <v>822</v>
      </c>
      <c r="D166" s="129">
        <v>136287</v>
      </c>
      <c r="E166" s="128"/>
      <c r="F166" s="130">
        <v>139389</v>
      </c>
      <c r="G166" s="71">
        <v>46237</v>
      </c>
      <c r="H166" s="71" t="s">
        <v>252</v>
      </c>
      <c r="I166" s="56">
        <f t="shared" si="12"/>
        <v>8</v>
      </c>
      <c r="J166" s="71">
        <v>46247</v>
      </c>
      <c r="K166" s="56">
        <f t="shared" si="13"/>
        <v>2</v>
      </c>
      <c r="L166" s="71" t="s">
        <v>243</v>
      </c>
      <c r="M166" s="56">
        <f t="shared" si="14"/>
        <v>1</v>
      </c>
      <c r="N166" s="50" t="s">
        <v>357</v>
      </c>
      <c r="O166" s="50" t="s">
        <v>665</v>
      </c>
      <c r="P166" s="57" t="s">
        <v>53</v>
      </c>
      <c r="Q166" s="224">
        <v>1739.1304347826087</v>
      </c>
      <c r="R166" s="224">
        <v>1739.1304347826087</v>
      </c>
      <c r="S166" s="58">
        <v>144.04267931238883</v>
      </c>
      <c r="T166" s="58"/>
      <c r="U166" s="58"/>
      <c r="V166" s="59">
        <f t="shared" si="16"/>
        <v>173.91304347826087</v>
      </c>
      <c r="W166" s="60">
        <f t="shared" si="17"/>
        <v>0</v>
      </c>
    </row>
    <row r="167" spans="1:23" x14ac:dyDescent="0.35">
      <c r="A167" s="61"/>
      <c r="B167" s="55">
        <v>163</v>
      </c>
      <c r="C167" s="70" t="s">
        <v>822</v>
      </c>
      <c r="D167" s="129">
        <v>136288</v>
      </c>
      <c r="E167" s="128"/>
      <c r="F167" s="130">
        <v>139371</v>
      </c>
      <c r="G167" s="186">
        <v>46237</v>
      </c>
      <c r="H167" s="71" t="s">
        <v>252</v>
      </c>
      <c r="I167" s="56">
        <f t="shared" si="12"/>
        <v>8</v>
      </c>
      <c r="J167" s="71">
        <v>46247</v>
      </c>
      <c r="K167" s="56">
        <f t="shared" si="13"/>
        <v>2</v>
      </c>
      <c r="L167" s="71" t="s">
        <v>243</v>
      </c>
      <c r="M167" s="56">
        <f t="shared" si="14"/>
        <v>1</v>
      </c>
      <c r="N167" s="50" t="s">
        <v>358</v>
      </c>
      <c r="O167" s="50" t="s">
        <v>622</v>
      </c>
      <c r="P167" s="57" t="s">
        <v>53</v>
      </c>
      <c r="Q167" s="224">
        <v>173.91304347826087</v>
      </c>
      <c r="R167" s="224">
        <v>173.91304347826087</v>
      </c>
      <c r="S167" s="58">
        <v>0</v>
      </c>
      <c r="T167" s="58"/>
      <c r="U167" s="58"/>
      <c r="V167" s="59">
        <f t="shared" si="16"/>
        <v>17.39130434782609</v>
      </c>
      <c r="W167" s="60">
        <f t="shared" si="17"/>
        <v>0</v>
      </c>
    </row>
    <row r="168" spans="1:23" x14ac:dyDescent="0.35">
      <c r="A168" s="61"/>
      <c r="B168" s="55">
        <v>164</v>
      </c>
      <c r="C168" s="70" t="s">
        <v>822</v>
      </c>
      <c r="D168" s="129">
        <v>136289</v>
      </c>
      <c r="E168" s="128"/>
      <c r="F168" s="130">
        <v>139370</v>
      </c>
      <c r="G168" s="71">
        <v>46237</v>
      </c>
      <c r="H168" s="71" t="s">
        <v>252</v>
      </c>
      <c r="I168" s="56">
        <f t="shared" si="12"/>
        <v>8</v>
      </c>
      <c r="J168" s="71">
        <v>46247</v>
      </c>
      <c r="K168" s="56">
        <f t="shared" si="13"/>
        <v>2</v>
      </c>
      <c r="L168" s="71" t="s">
        <v>243</v>
      </c>
      <c r="M168" s="56">
        <f t="shared" si="14"/>
        <v>1</v>
      </c>
      <c r="N168" s="50" t="s">
        <v>293</v>
      </c>
      <c r="O168" s="50" t="s">
        <v>666</v>
      </c>
      <c r="P168" s="57" t="s">
        <v>53</v>
      </c>
      <c r="Q168" s="224">
        <v>1086.9565217391305</v>
      </c>
      <c r="R168" s="224">
        <v>1086.9565217391305</v>
      </c>
      <c r="S168" s="58">
        <v>0</v>
      </c>
      <c r="T168" s="58"/>
      <c r="U168" s="58"/>
      <c r="V168" s="59">
        <f t="shared" si="16"/>
        <v>108.69565217391306</v>
      </c>
      <c r="W168" s="60">
        <f t="shared" si="17"/>
        <v>0</v>
      </c>
    </row>
    <row r="169" spans="1:23" x14ac:dyDescent="0.35">
      <c r="A169" s="61"/>
      <c r="B169" s="55">
        <v>165</v>
      </c>
      <c r="C169" s="70" t="s">
        <v>822</v>
      </c>
      <c r="D169" s="129">
        <v>136292</v>
      </c>
      <c r="E169" s="128"/>
      <c r="F169" s="130">
        <v>139369</v>
      </c>
      <c r="G169" s="71">
        <v>46237</v>
      </c>
      <c r="H169" s="71" t="s">
        <v>252</v>
      </c>
      <c r="I169" s="56">
        <f t="shared" si="12"/>
        <v>8</v>
      </c>
      <c r="J169" s="71">
        <v>46247</v>
      </c>
      <c r="K169" s="56">
        <f t="shared" si="13"/>
        <v>2</v>
      </c>
      <c r="L169" s="71" t="s">
        <v>243</v>
      </c>
      <c r="M169" s="56">
        <f t="shared" si="14"/>
        <v>1</v>
      </c>
      <c r="N169" s="50" t="s">
        <v>357</v>
      </c>
      <c r="O169" s="50" t="s">
        <v>667</v>
      </c>
      <c r="P169" s="57" t="s">
        <v>53</v>
      </c>
      <c r="Q169" s="224">
        <v>1304.3478260869565</v>
      </c>
      <c r="R169" s="224">
        <v>1304.3478260869565</v>
      </c>
      <c r="S169" s="58">
        <v>156859.23864848842</v>
      </c>
      <c r="T169" s="58"/>
      <c r="U169" s="58"/>
      <c r="V169" s="59">
        <f t="shared" si="16"/>
        <v>130.43478260869566</v>
      </c>
      <c r="W169" s="60">
        <f t="shared" si="17"/>
        <v>0</v>
      </c>
    </row>
    <row r="170" spans="1:23" x14ac:dyDescent="0.35">
      <c r="A170" s="61"/>
      <c r="B170" s="55">
        <v>166</v>
      </c>
      <c r="C170" s="70" t="s">
        <v>822</v>
      </c>
      <c r="D170" s="129">
        <v>136365</v>
      </c>
      <c r="E170" s="128"/>
      <c r="F170" s="130">
        <v>139372</v>
      </c>
      <c r="G170" s="71">
        <v>46237</v>
      </c>
      <c r="H170" s="71" t="s">
        <v>253</v>
      </c>
      <c r="I170" s="56">
        <f t="shared" si="12"/>
        <v>12</v>
      </c>
      <c r="J170" s="71">
        <v>46252</v>
      </c>
      <c r="K170" s="56">
        <f t="shared" si="13"/>
        <v>1</v>
      </c>
      <c r="L170" s="71" t="s">
        <v>253</v>
      </c>
      <c r="M170" s="56">
        <f t="shared" si="14"/>
        <v>1</v>
      </c>
      <c r="N170" s="72">
        <v>0</v>
      </c>
      <c r="O170" s="50" t="s">
        <v>668</v>
      </c>
      <c r="P170" s="57" t="s">
        <v>53</v>
      </c>
      <c r="Q170" s="224">
        <v>413.04347826086956</v>
      </c>
      <c r="R170" s="224">
        <v>413.04347826086956</v>
      </c>
      <c r="S170" s="58">
        <v>0</v>
      </c>
      <c r="T170" s="58"/>
      <c r="U170" s="58"/>
      <c r="V170" s="59">
        <f t="shared" si="16"/>
        <v>41.304347826086961</v>
      </c>
      <c r="W170" s="60">
        <f t="shared" si="17"/>
        <v>0</v>
      </c>
    </row>
    <row r="171" spans="1:23" x14ac:dyDescent="0.35">
      <c r="A171" s="61"/>
      <c r="B171" s="55">
        <v>167</v>
      </c>
      <c r="C171" s="70" t="s">
        <v>822</v>
      </c>
      <c r="D171" s="129">
        <v>136195</v>
      </c>
      <c r="E171" s="128"/>
      <c r="F171" s="130">
        <v>139399</v>
      </c>
      <c r="G171" s="71">
        <v>46238</v>
      </c>
      <c r="H171" s="71" t="s">
        <v>241</v>
      </c>
      <c r="I171" s="56">
        <f t="shared" si="12"/>
        <v>2</v>
      </c>
      <c r="J171" s="71">
        <v>46240</v>
      </c>
      <c r="K171" s="56">
        <f t="shared" si="13"/>
        <v>2</v>
      </c>
      <c r="L171" s="71" t="s">
        <v>256</v>
      </c>
      <c r="M171" s="56">
        <f t="shared" si="14"/>
        <v>1</v>
      </c>
      <c r="N171" s="72" t="s">
        <v>359</v>
      </c>
      <c r="O171" s="50" t="s">
        <v>669</v>
      </c>
      <c r="P171" s="57" t="s">
        <v>53</v>
      </c>
      <c r="Q171" s="224">
        <v>149937.08117391303</v>
      </c>
      <c r="R171" s="224">
        <v>136306.43745217391</v>
      </c>
      <c r="S171" s="58">
        <v>0</v>
      </c>
      <c r="T171" s="58"/>
      <c r="U171" s="58"/>
      <c r="V171" s="59">
        <f t="shared" si="16"/>
        <v>14993.708117391303</v>
      </c>
      <c r="W171" s="60">
        <f t="shared" si="17"/>
        <v>9.0909090766738657E-2</v>
      </c>
    </row>
    <row r="172" spans="1:23" x14ac:dyDescent="0.35">
      <c r="A172" s="61"/>
      <c r="B172" s="55">
        <v>168</v>
      </c>
      <c r="C172" s="70" t="s">
        <v>822</v>
      </c>
      <c r="D172" s="129">
        <v>136185</v>
      </c>
      <c r="E172" s="128"/>
      <c r="F172" s="130">
        <v>139410</v>
      </c>
      <c r="G172" s="71">
        <v>46238</v>
      </c>
      <c r="H172" s="71" t="s">
        <v>251</v>
      </c>
      <c r="I172" s="56">
        <f t="shared" si="12"/>
        <v>1</v>
      </c>
      <c r="J172" s="71">
        <v>46239</v>
      </c>
      <c r="K172" s="56">
        <f t="shared" si="13"/>
        <v>2</v>
      </c>
      <c r="L172" s="71" t="s">
        <v>241</v>
      </c>
      <c r="M172" s="56">
        <f t="shared" si="14"/>
        <v>1</v>
      </c>
      <c r="N172" s="72" t="s">
        <v>360</v>
      </c>
      <c r="O172" s="50" t="s">
        <v>650</v>
      </c>
      <c r="P172" s="57" t="s">
        <v>53</v>
      </c>
      <c r="Q172" s="224">
        <v>75.882352173913063</v>
      </c>
      <c r="R172" s="224">
        <v>65.984654347826094</v>
      </c>
      <c r="S172" s="58">
        <v>0</v>
      </c>
      <c r="T172" s="58"/>
      <c r="U172" s="58"/>
      <c r="V172" s="59">
        <f t="shared" si="16"/>
        <v>7.5882352173913068</v>
      </c>
      <c r="W172" s="60">
        <f t="shared" si="17"/>
        <v>0.13043477887193924</v>
      </c>
    </row>
    <row r="173" spans="1:23" x14ac:dyDescent="0.35">
      <c r="A173" s="61"/>
      <c r="B173" s="55">
        <v>169</v>
      </c>
      <c r="C173" s="70" t="s">
        <v>822</v>
      </c>
      <c r="D173" s="129">
        <v>136225</v>
      </c>
      <c r="E173" s="128"/>
      <c r="F173" s="130">
        <v>139420</v>
      </c>
      <c r="G173" s="71">
        <v>46238</v>
      </c>
      <c r="H173" s="71" t="s">
        <v>241</v>
      </c>
      <c r="I173" s="56">
        <f t="shared" si="12"/>
        <v>2</v>
      </c>
      <c r="J173" s="71">
        <v>46241</v>
      </c>
      <c r="K173" s="56">
        <f t="shared" si="13"/>
        <v>3</v>
      </c>
      <c r="L173" s="71" t="s">
        <v>258</v>
      </c>
      <c r="M173" s="56">
        <f t="shared" si="14"/>
        <v>2</v>
      </c>
      <c r="N173" s="72" t="s">
        <v>361</v>
      </c>
      <c r="O173" s="50" t="s">
        <v>670</v>
      </c>
      <c r="P173" s="57" t="s">
        <v>53</v>
      </c>
      <c r="Q173" s="224">
        <v>772629.37064819993</v>
      </c>
      <c r="R173" s="224">
        <v>472289.69052720006</v>
      </c>
      <c r="S173" s="58">
        <v>0</v>
      </c>
      <c r="T173" s="58"/>
      <c r="U173" s="58"/>
      <c r="V173" s="59">
        <f t="shared" si="16"/>
        <v>77262.937064819998</v>
      </c>
      <c r="W173" s="60">
        <f t="shared" si="17"/>
        <v>0.38872413026316732</v>
      </c>
    </row>
    <row r="174" spans="1:23" x14ac:dyDescent="0.35">
      <c r="A174" s="61"/>
      <c r="B174" s="55">
        <v>170</v>
      </c>
      <c r="C174" s="70" t="s">
        <v>822</v>
      </c>
      <c r="D174" s="129">
        <v>136291</v>
      </c>
      <c r="E174" s="128"/>
      <c r="F174" s="130">
        <v>139393</v>
      </c>
      <c r="G174" s="71">
        <v>46238</v>
      </c>
      <c r="H174" s="71" t="s">
        <v>252</v>
      </c>
      <c r="I174" s="56">
        <f t="shared" si="12"/>
        <v>7</v>
      </c>
      <c r="J174" s="71">
        <v>46247</v>
      </c>
      <c r="K174" s="56">
        <f t="shared" si="13"/>
        <v>2</v>
      </c>
      <c r="L174" s="71" t="s">
        <v>243</v>
      </c>
      <c r="M174" s="56">
        <f t="shared" si="14"/>
        <v>1</v>
      </c>
      <c r="N174" s="72" t="s">
        <v>362</v>
      </c>
      <c r="O174" s="50" t="s">
        <v>671</v>
      </c>
      <c r="P174" s="57" t="s">
        <v>53</v>
      </c>
      <c r="Q174" s="224">
        <v>1712.608695652174</v>
      </c>
      <c r="R174" s="224">
        <v>1712.608695652174</v>
      </c>
      <c r="S174" s="58">
        <v>0</v>
      </c>
      <c r="T174" s="58"/>
      <c r="U174" s="58"/>
      <c r="V174" s="59">
        <f t="shared" si="16"/>
        <v>171.2608695652174</v>
      </c>
      <c r="W174" s="60">
        <f t="shared" si="17"/>
        <v>0</v>
      </c>
    </row>
    <row r="175" spans="1:23" x14ac:dyDescent="0.35">
      <c r="A175" s="61"/>
      <c r="B175" s="55">
        <v>171</v>
      </c>
      <c r="C175" s="70" t="s">
        <v>822</v>
      </c>
      <c r="D175" s="129">
        <v>136184</v>
      </c>
      <c r="E175" s="128"/>
      <c r="F175" s="130">
        <v>139419</v>
      </c>
      <c r="G175" s="71">
        <v>46238</v>
      </c>
      <c r="H175" s="71" t="s">
        <v>251</v>
      </c>
      <c r="I175" s="56">
        <f t="shared" si="12"/>
        <v>1</v>
      </c>
      <c r="J175" s="71">
        <v>46239</v>
      </c>
      <c r="K175" s="56">
        <f t="shared" si="13"/>
        <v>2</v>
      </c>
      <c r="L175" s="71" t="s">
        <v>241</v>
      </c>
      <c r="M175" s="56">
        <f t="shared" si="14"/>
        <v>1</v>
      </c>
      <c r="N175" s="72" t="s">
        <v>363</v>
      </c>
      <c r="O175" s="50" t="s">
        <v>672</v>
      </c>
      <c r="P175" s="57" t="s">
        <v>53</v>
      </c>
      <c r="Q175" s="224">
        <v>2965.0724999999998</v>
      </c>
      <c r="R175" s="224">
        <v>2965.0724999999998</v>
      </c>
      <c r="S175" s="58">
        <v>0</v>
      </c>
      <c r="T175" s="58"/>
      <c r="U175" s="58"/>
      <c r="V175" s="59">
        <f t="shared" si="16"/>
        <v>296.50725</v>
      </c>
      <c r="W175" s="60">
        <f t="shared" si="17"/>
        <v>0</v>
      </c>
    </row>
    <row r="176" spans="1:23" x14ac:dyDescent="0.35">
      <c r="A176" s="61"/>
      <c r="B176" s="55">
        <v>172</v>
      </c>
      <c r="C176" s="70" t="s">
        <v>822</v>
      </c>
      <c r="D176" s="129">
        <v>136194</v>
      </c>
      <c r="E176" s="128"/>
      <c r="F176" s="130">
        <v>139394</v>
      </c>
      <c r="G176" s="71">
        <v>46238</v>
      </c>
      <c r="H176" s="71" t="s">
        <v>241</v>
      </c>
      <c r="I176" s="56">
        <f t="shared" si="12"/>
        <v>2</v>
      </c>
      <c r="J176" s="71">
        <v>46240</v>
      </c>
      <c r="K176" s="56">
        <f t="shared" si="13"/>
        <v>2</v>
      </c>
      <c r="L176" s="71" t="s">
        <v>256</v>
      </c>
      <c r="M176" s="56">
        <f t="shared" si="14"/>
        <v>1</v>
      </c>
      <c r="N176" s="72" t="s">
        <v>364</v>
      </c>
      <c r="O176" s="50" t="s">
        <v>673</v>
      </c>
      <c r="P176" s="57" t="s">
        <v>53</v>
      </c>
      <c r="Q176" s="224">
        <v>114437.95</v>
      </c>
      <c r="R176" s="224">
        <v>114437.95</v>
      </c>
      <c r="S176" s="58">
        <v>0</v>
      </c>
      <c r="T176" s="58"/>
      <c r="U176" s="58"/>
      <c r="V176" s="59">
        <f t="shared" si="16"/>
        <v>11443.795</v>
      </c>
      <c r="W176" s="60">
        <f t="shared" si="17"/>
        <v>0</v>
      </c>
    </row>
    <row r="177" spans="1:23" x14ac:dyDescent="0.35">
      <c r="A177" s="61"/>
      <c r="B177" s="55">
        <v>173</v>
      </c>
      <c r="C177" s="70" t="s">
        <v>822</v>
      </c>
      <c r="D177" s="129">
        <v>136201</v>
      </c>
      <c r="E177" s="128"/>
      <c r="F177" s="130">
        <v>139421</v>
      </c>
      <c r="G177" s="71">
        <v>46238</v>
      </c>
      <c r="H177" s="71" t="s">
        <v>241</v>
      </c>
      <c r="I177" s="56">
        <f t="shared" si="12"/>
        <v>2</v>
      </c>
      <c r="J177" s="71">
        <v>46240</v>
      </c>
      <c r="K177" s="56">
        <f t="shared" si="13"/>
        <v>2</v>
      </c>
      <c r="L177" s="71" t="s">
        <v>256</v>
      </c>
      <c r="M177" s="56">
        <f t="shared" si="14"/>
        <v>1</v>
      </c>
      <c r="N177" s="72" t="s">
        <v>293</v>
      </c>
      <c r="O177" s="50" t="s">
        <v>674</v>
      </c>
      <c r="P177" s="57" t="s">
        <v>53</v>
      </c>
      <c r="Q177" s="224">
        <v>3260.8695652173915</v>
      </c>
      <c r="R177" s="224">
        <v>3260.8695652173915</v>
      </c>
      <c r="S177" s="58">
        <v>0</v>
      </c>
      <c r="T177" s="58"/>
      <c r="U177" s="58"/>
      <c r="V177" s="59">
        <f t="shared" si="16"/>
        <v>326.08695652173918</v>
      </c>
      <c r="W177" s="60">
        <f t="shared" si="17"/>
        <v>0</v>
      </c>
    </row>
    <row r="178" spans="1:23" x14ac:dyDescent="0.35">
      <c r="A178" s="61"/>
      <c r="B178" s="55">
        <v>174</v>
      </c>
      <c r="C178" s="70" t="s">
        <v>822</v>
      </c>
      <c r="D178" s="129">
        <v>136203</v>
      </c>
      <c r="E178" s="128"/>
      <c r="F178" s="130">
        <v>139409</v>
      </c>
      <c r="G178" s="71">
        <v>46238</v>
      </c>
      <c r="H178" s="71" t="s">
        <v>241</v>
      </c>
      <c r="I178" s="56">
        <f t="shared" si="12"/>
        <v>2</v>
      </c>
      <c r="J178" s="71">
        <v>46240</v>
      </c>
      <c r="K178" s="56">
        <f t="shared" si="13"/>
        <v>2</v>
      </c>
      <c r="L178" s="71" t="s">
        <v>256</v>
      </c>
      <c r="M178" s="56">
        <f t="shared" si="14"/>
        <v>1</v>
      </c>
      <c r="N178" s="50" t="s">
        <v>365</v>
      </c>
      <c r="O178" s="50" t="s">
        <v>615</v>
      </c>
      <c r="P178" s="57" t="s">
        <v>53</v>
      </c>
      <c r="Q178" s="224">
        <v>329.56521739130437</v>
      </c>
      <c r="R178" s="224">
        <v>329.56521739130437</v>
      </c>
      <c r="S178" s="58">
        <v>281.84647302904523</v>
      </c>
      <c r="T178" s="58"/>
      <c r="U178" s="58"/>
      <c r="V178" s="59">
        <f t="shared" si="16"/>
        <v>32.956521739130437</v>
      </c>
      <c r="W178" s="60">
        <f t="shared" si="17"/>
        <v>0</v>
      </c>
    </row>
    <row r="179" spans="1:23" x14ac:dyDescent="0.35">
      <c r="A179" s="61"/>
      <c r="B179" s="55">
        <v>175</v>
      </c>
      <c r="C179" s="70" t="s">
        <v>822</v>
      </c>
      <c r="D179" s="129">
        <v>136204</v>
      </c>
      <c r="E179" s="128"/>
      <c r="F179" s="130">
        <v>139418</v>
      </c>
      <c r="G179" s="71">
        <v>46238</v>
      </c>
      <c r="H179" s="71" t="s">
        <v>241</v>
      </c>
      <c r="I179" s="56">
        <f t="shared" si="12"/>
        <v>2</v>
      </c>
      <c r="J179" s="71">
        <v>46240</v>
      </c>
      <c r="K179" s="56">
        <f t="shared" si="13"/>
        <v>2</v>
      </c>
      <c r="L179" s="71" t="s">
        <v>256</v>
      </c>
      <c r="M179" s="56">
        <f t="shared" si="14"/>
        <v>1</v>
      </c>
      <c r="N179" s="50" t="s">
        <v>314</v>
      </c>
      <c r="O179" s="50" t="s">
        <v>675</v>
      </c>
      <c r="P179" s="57" t="s">
        <v>53</v>
      </c>
      <c r="Q179" s="224">
        <v>14086.95652173913</v>
      </c>
      <c r="R179" s="224">
        <v>14086.95652173913</v>
      </c>
      <c r="S179" s="58">
        <v>0</v>
      </c>
      <c r="T179" s="58"/>
      <c r="U179" s="58"/>
      <c r="V179" s="59">
        <f t="shared" si="16"/>
        <v>1408.695652173913</v>
      </c>
      <c r="W179" s="60">
        <f t="shared" si="17"/>
        <v>0</v>
      </c>
    </row>
    <row r="180" spans="1:23" x14ac:dyDescent="0.35">
      <c r="A180" s="61"/>
      <c r="B180" s="55">
        <v>176</v>
      </c>
      <c r="C180" s="70" t="s">
        <v>822</v>
      </c>
      <c r="D180" s="129">
        <v>136205</v>
      </c>
      <c r="E180" s="128"/>
      <c r="F180" s="130">
        <v>139414</v>
      </c>
      <c r="G180" s="71">
        <v>46238</v>
      </c>
      <c r="H180" s="71" t="s">
        <v>241</v>
      </c>
      <c r="I180" s="56">
        <f t="shared" si="12"/>
        <v>2</v>
      </c>
      <c r="J180" s="71">
        <v>46240</v>
      </c>
      <c r="K180" s="56">
        <f t="shared" si="13"/>
        <v>2</v>
      </c>
      <c r="L180" s="71" t="s">
        <v>256</v>
      </c>
      <c r="M180" s="56">
        <f t="shared" si="14"/>
        <v>1</v>
      </c>
      <c r="N180" s="50" t="s">
        <v>366</v>
      </c>
      <c r="O180" s="50" t="s">
        <v>643</v>
      </c>
      <c r="P180" s="57" t="s">
        <v>53</v>
      </c>
      <c r="Q180" s="224">
        <v>78.69565200000001</v>
      </c>
      <c r="R180" s="224">
        <v>78.69565200000001</v>
      </c>
      <c r="S180" s="58">
        <v>0</v>
      </c>
      <c r="T180" s="58"/>
      <c r="U180" s="58"/>
      <c r="V180" s="59">
        <f t="shared" si="16"/>
        <v>7.8695652000000011</v>
      </c>
      <c r="W180" s="60">
        <f t="shared" si="17"/>
        <v>0</v>
      </c>
    </row>
    <row r="181" spans="1:23" x14ac:dyDescent="0.35">
      <c r="A181" s="61"/>
      <c r="B181" s="55">
        <v>177</v>
      </c>
      <c r="C181" s="70" t="s">
        <v>822</v>
      </c>
      <c r="D181" s="129">
        <v>136206</v>
      </c>
      <c r="E181" s="128"/>
      <c r="F181" s="130">
        <v>139413</v>
      </c>
      <c r="G181" s="71">
        <v>46238</v>
      </c>
      <c r="H181" s="71" t="s">
        <v>251</v>
      </c>
      <c r="I181" s="56">
        <f t="shared" si="12"/>
        <v>1</v>
      </c>
      <c r="J181" s="71">
        <v>46240</v>
      </c>
      <c r="K181" s="56">
        <f t="shared" si="13"/>
        <v>3</v>
      </c>
      <c r="L181" s="71" t="s">
        <v>256</v>
      </c>
      <c r="M181" s="56">
        <f t="shared" si="14"/>
        <v>1</v>
      </c>
      <c r="N181" s="50" t="s">
        <v>367</v>
      </c>
      <c r="O181" s="50" t="s">
        <v>676</v>
      </c>
      <c r="P181" s="57" t="s">
        <v>53</v>
      </c>
      <c r="Q181" s="224">
        <v>152.44565217391303</v>
      </c>
      <c r="R181" s="224">
        <v>152.44565217391303</v>
      </c>
      <c r="S181" s="58">
        <v>0</v>
      </c>
      <c r="T181" s="58"/>
      <c r="U181" s="58"/>
      <c r="V181" s="59">
        <f t="shared" si="16"/>
        <v>15.244565217391305</v>
      </c>
      <c r="W181" s="60">
        <f t="shared" si="17"/>
        <v>0</v>
      </c>
    </row>
    <row r="182" spans="1:23" x14ac:dyDescent="0.35">
      <c r="A182" s="61"/>
      <c r="B182" s="55">
        <v>178</v>
      </c>
      <c r="C182" s="70" t="s">
        <v>822</v>
      </c>
      <c r="D182" s="129">
        <v>136207</v>
      </c>
      <c r="E182" s="128"/>
      <c r="F182" s="130">
        <v>139412</v>
      </c>
      <c r="G182" s="71">
        <v>46238</v>
      </c>
      <c r="H182" s="71" t="s">
        <v>241</v>
      </c>
      <c r="I182" s="56">
        <f t="shared" si="12"/>
        <v>2</v>
      </c>
      <c r="J182" s="71">
        <v>46240</v>
      </c>
      <c r="K182" s="56">
        <f t="shared" si="13"/>
        <v>2</v>
      </c>
      <c r="L182" s="71" t="s">
        <v>256</v>
      </c>
      <c r="M182" s="56">
        <f t="shared" si="14"/>
        <v>1</v>
      </c>
      <c r="N182" s="50" t="s">
        <v>368</v>
      </c>
      <c r="O182" s="50" t="s">
        <v>677</v>
      </c>
      <c r="P182" s="57" t="s">
        <v>53</v>
      </c>
      <c r="Q182" s="224">
        <v>297.101452173913</v>
      </c>
      <c r="R182" s="224">
        <v>297.101452173913</v>
      </c>
      <c r="S182" s="58">
        <v>0</v>
      </c>
      <c r="T182" s="58"/>
      <c r="U182" s="58"/>
      <c r="V182" s="59">
        <f t="shared" si="16"/>
        <v>29.7101452173913</v>
      </c>
      <c r="W182" s="60">
        <f t="shared" si="17"/>
        <v>0</v>
      </c>
    </row>
    <row r="183" spans="1:23" x14ac:dyDescent="0.35">
      <c r="A183" s="61"/>
      <c r="B183" s="55">
        <v>179</v>
      </c>
      <c r="C183" s="70" t="s">
        <v>822</v>
      </c>
      <c r="D183" s="129">
        <v>136208</v>
      </c>
      <c r="E183" s="128"/>
      <c r="F183" s="130">
        <v>139404</v>
      </c>
      <c r="G183" s="71">
        <v>46238</v>
      </c>
      <c r="H183" s="71" t="s">
        <v>241</v>
      </c>
      <c r="I183" s="56">
        <f t="shared" si="12"/>
        <v>2</v>
      </c>
      <c r="J183" s="71">
        <v>46240</v>
      </c>
      <c r="K183" s="56">
        <f t="shared" si="13"/>
        <v>2</v>
      </c>
      <c r="L183" s="71" t="s">
        <v>256</v>
      </c>
      <c r="M183" s="56">
        <f t="shared" si="14"/>
        <v>1</v>
      </c>
      <c r="N183" s="50" t="s">
        <v>369</v>
      </c>
      <c r="O183" s="50" t="s">
        <v>678</v>
      </c>
      <c r="P183" s="57" t="s">
        <v>53</v>
      </c>
      <c r="Q183" s="224">
        <v>521.73939130434792</v>
      </c>
      <c r="R183" s="224">
        <v>521.73939130434792</v>
      </c>
      <c r="S183" s="58">
        <v>0</v>
      </c>
      <c r="T183" s="58"/>
      <c r="U183" s="58"/>
      <c r="V183" s="59">
        <f t="shared" si="16"/>
        <v>52.173939130434796</v>
      </c>
      <c r="W183" s="60">
        <f t="shared" si="17"/>
        <v>0</v>
      </c>
    </row>
    <row r="184" spans="1:23" x14ac:dyDescent="0.35">
      <c r="A184" s="61"/>
      <c r="B184" s="55">
        <v>180</v>
      </c>
      <c r="C184" s="70" t="s">
        <v>822</v>
      </c>
      <c r="D184" s="129">
        <v>136209</v>
      </c>
      <c r="E184" s="128"/>
      <c r="F184" s="130">
        <v>139397</v>
      </c>
      <c r="G184" s="71">
        <v>46238</v>
      </c>
      <c r="H184" s="71" t="s">
        <v>241</v>
      </c>
      <c r="I184" s="56">
        <f t="shared" si="12"/>
        <v>2</v>
      </c>
      <c r="J184" s="71">
        <v>46240</v>
      </c>
      <c r="K184" s="56">
        <f t="shared" si="13"/>
        <v>2</v>
      </c>
      <c r="L184" s="71" t="s">
        <v>256</v>
      </c>
      <c r="M184" s="56">
        <f t="shared" si="14"/>
        <v>1</v>
      </c>
      <c r="N184" s="50" t="s">
        <v>370</v>
      </c>
      <c r="O184" s="50" t="s">
        <v>650</v>
      </c>
      <c r="P184" s="57" t="s">
        <v>53</v>
      </c>
      <c r="Q184" s="224">
        <v>184.78260869565219</v>
      </c>
      <c r="R184" s="224">
        <v>184.78260869565219</v>
      </c>
      <c r="S184" s="58">
        <v>0</v>
      </c>
      <c r="T184" s="58"/>
      <c r="U184" s="58"/>
      <c r="V184" s="59">
        <f t="shared" si="16"/>
        <v>18.478260869565219</v>
      </c>
      <c r="W184" s="60">
        <f t="shared" si="17"/>
        <v>0</v>
      </c>
    </row>
    <row r="185" spans="1:23" x14ac:dyDescent="0.35">
      <c r="A185" s="61"/>
      <c r="B185" s="55">
        <v>181</v>
      </c>
      <c r="C185" s="70" t="s">
        <v>822</v>
      </c>
      <c r="D185" s="129">
        <v>136233</v>
      </c>
      <c r="E185" s="128"/>
      <c r="F185" s="130">
        <v>139406</v>
      </c>
      <c r="G185" s="71">
        <v>46238</v>
      </c>
      <c r="H185" s="71" t="s">
        <v>241</v>
      </c>
      <c r="I185" s="56">
        <f t="shared" ref="I185:I248" si="18">IF(OR(H185="", G185=""), "", NETWORKDAYS(G185, H185))</f>
        <v>2</v>
      </c>
      <c r="J185" s="71">
        <v>46241</v>
      </c>
      <c r="K185" s="56">
        <f t="shared" ref="K185:K248" si="19">IF(OR(H185="", J185=""), "", NETWORKDAYS(H185, J185))</f>
        <v>3</v>
      </c>
      <c r="L185" s="71" t="s">
        <v>255</v>
      </c>
      <c r="M185" s="56">
        <f t="shared" ref="M185:M248" si="20">IF(OR(J185="", L185=""), "", NETWORKDAYS(J185, L185))</f>
        <v>1</v>
      </c>
      <c r="N185" s="50" t="s">
        <v>371</v>
      </c>
      <c r="O185" s="50" t="s">
        <v>679</v>
      </c>
      <c r="P185" s="57" t="s">
        <v>53</v>
      </c>
      <c r="Q185" s="224">
        <v>93321.58173913043</v>
      </c>
      <c r="R185" s="224">
        <v>93321.58173913043</v>
      </c>
      <c r="S185" s="58">
        <v>2494.3687018375822</v>
      </c>
      <c r="T185" s="58"/>
      <c r="U185" s="58"/>
      <c r="V185" s="59">
        <f t="shared" ref="V185:V248" si="21">IF(Q185="", "", Q185*10%)</f>
        <v>9332.1581739130434</v>
      </c>
      <c r="W185" s="60">
        <f t="shared" ref="W185:W248" si="22">IF(OR(Q185="", R185=""), "", (Q185- R185)/Q185)</f>
        <v>0</v>
      </c>
    </row>
    <row r="186" spans="1:23" x14ac:dyDescent="0.35">
      <c r="A186" s="61"/>
      <c r="B186" s="55">
        <v>182</v>
      </c>
      <c r="C186" s="70" t="s">
        <v>822</v>
      </c>
      <c r="D186" s="129">
        <v>136237</v>
      </c>
      <c r="E186" s="128"/>
      <c r="F186" s="130">
        <v>139411</v>
      </c>
      <c r="G186" s="71">
        <v>46238</v>
      </c>
      <c r="H186" s="71" t="s">
        <v>241</v>
      </c>
      <c r="I186" s="56">
        <f t="shared" si="18"/>
        <v>2</v>
      </c>
      <c r="J186" s="71">
        <v>46244</v>
      </c>
      <c r="K186" s="56">
        <f t="shared" si="19"/>
        <v>4</v>
      </c>
      <c r="L186" s="71" t="s">
        <v>258</v>
      </c>
      <c r="M186" s="56">
        <f t="shared" si="20"/>
        <v>1</v>
      </c>
      <c r="N186" s="50" t="s">
        <v>372</v>
      </c>
      <c r="O186" s="50" t="s">
        <v>622</v>
      </c>
      <c r="P186" s="57" t="s">
        <v>53</v>
      </c>
      <c r="Q186" s="224">
        <v>271.73913043478262</v>
      </c>
      <c r="R186" s="224">
        <v>271.73913043478262</v>
      </c>
      <c r="S186" s="58">
        <f t="shared" ref="S186:S248" si="23">Q186-R186</f>
        <v>0</v>
      </c>
      <c r="T186" s="58"/>
      <c r="U186" s="58"/>
      <c r="V186" s="59">
        <f t="shared" si="21"/>
        <v>27.173913043478265</v>
      </c>
      <c r="W186" s="60">
        <f t="shared" si="22"/>
        <v>0</v>
      </c>
    </row>
    <row r="187" spans="1:23" x14ac:dyDescent="0.35">
      <c r="A187" s="61"/>
      <c r="B187" s="55">
        <v>183</v>
      </c>
      <c r="C187" s="70" t="s">
        <v>822</v>
      </c>
      <c r="D187" s="129">
        <v>136238</v>
      </c>
      <c r="E187" s="128"/>
      <c r="F187" s="130">
        <v>139408</v>
      </c>
      <c r="G187" s="71">
        <v>46238</v>
      </c>
      <c r="H187" s="71" t="s">
        <v>241</v>
      </c>
      <c r="I187" s="56">
        <f t="shared" si="18"/>
        <v>2</v>
      </c>
      <c r="J187" s="71">
        <v>46244</v>
      </c>
      <c r="K187" s="56">
        <f t="shared" si="19"/>
        <v>4</v>
      </c>
      <c r="L187" s="71" t="s">
        <v>258</v>
      </c>
      <c r="M187" s="56">
        <f t="shared" si="20"/>
        <v>1</v>
      </c>
      <c r="N187" s="50" t="s">
        <v>373</v>
      </c>
      <c r="O187" s="50" t="s">
        <v>680</v>
      </c>
      <c r="P187" s="57" t="s">
        <v>53</v>
      </c>
      <c r="Q187" s="224">
        <v>38478.260869565216</v>
      </c>
      <c r="R187" s="224">
        <v>38478.260869565216</v>
      </c>
      <c r="S187" s="58">
        <f t="shared" si="23"/>
        <v>0</v>
      </c>
      <c r="T187" s="58"/>
      <c r="U187" s="58"/>
      <c r="V187" s="59">
        <f t="shared" si="21"/>
        <v>3847.826086956522</v>
      </c>
      <c r="W187" s="60">
        <f t="shared" si="22"/>
        <v>0</v>
      </c>
    </row>
    <row r="188" spans="1:23" x14ac:dyDescent="0.35">
      <c r="A188" s="61"/>
      <c r="B188" s="55">
        <v>184</v>
      </c>
      <c r="C188" s="70" t="s">
        <v>822</v>
      </c>
      <c r="D188" s="129">
        <v>136290</v>
      </c>
      <c r="E188" s="128"/>
      <c r="F188" s="130">
        <v>139395</v>
      </c>
      <c r="G188" s="71">
        <v>46238</v>
      </c>
      <c r="H188" s="71" t="s">
        <v>252</v>
      </c>
      <c r="I188" s="56">
        <f t="shared" si="18"/>
        <v>7</v>
      </c>
      <c r="J188" s="71">
        <v>46247</v>
      </c>
      <c r="K188" s="56">
        <f t="shared" si="19"/>
        <v>2</v>
      </c>
      <c r="L188" s="71" t="s">
        <v>243</v>
      </c>
      <c r="M188" s="56">
        <f t="shared" si="20"/>
        <v>1</v>
      </c>
      <c r="N188" s="50" t="s">
        <v>374</v>
      </c>
      <c r="O188" s="50" t="s">
        <v>681</v>
      </c>
      <c r="P188" s="57" t="s">
        <v>53</v>
      </c>
      <c r="Q188" s="224">
        <v>2173.913043478261</v>
      </c>
      <c r="R188" s="224">
        <v>2173.913043478261</v>
      </c>
      <c r="S188" s="58">
        <f t="shared" si="23"/>
        <v>0</v>
      </c>
      <c r="T188" s="58"/>
      <c r="U188" s="58"/>
      <c r="V188" s="59">
        <f t="shared" si="21"/>
        <v>217.39130434782612</v>
      </c>
      <c r="W188" s="60">
        <f t="shared" si="22"/>
        <v>0</v>
      </c>
    </row>
    <row r="189" spans="1:23" ht="29" customHeight="1" x14ac:dyDescent="0.35">
      <c r="A189" s="61"/>
      <c r="B189" s="55">
        <v>185</v>
      </c>
      <c r="C189" s="70" t="s">
        <v>822</v>
      </c>
      <c r="D189" s="129">
        <v>136302</v>
      </c>
      <c r="E189" s="128"/>
      <c r="F189" s="130">
        <v>139417</v>
      </c>
      <c r="G189" s="71">
        <v>46238</v>
      </c>
      <c r="H189" s="71" t="s">
        <v>252</v>
      </c>
      <c r="I189" s="56">
        <f t="shared" si="18"/>
        <v>7</v>
      </c>
      <c r="J189" s="71">
        <v>46247</v>
      </c>
      <c r="K189" s="56">
        <f t="shared" si="19"/>
        <v>2</v>
      </c>
      <c r="L189" s="71" t="s">
        <v>243</v>
      </c>
      <c r="M189" s="56">
        <f t="shared" si="20"/>
        <v>1</v>
      </c>
      <c r="N189" s="72" t="s">
        <v>375</v>
      </c>
      <c r="O189" s="50" t="s">
        <v>682</v>
      </c>
      <c r="P189" s="57" t="s">
        <v>53</v>
      </c>
      <c r="Q189" s="224">
        <v>869.56521739130437</v>
      </c>
      <c r="R189" s="224">
        <v>869.56521739130437</v>
      </c>
      <c r="S189" s="58">
        <f t="shared" si="23"/>
        <v>0</v>
      </c>
      <c r="T189" s="58"/>
      <c r="U189" s="58"/>
      <c r="V189" s="59">
        <f t="shared" si="21"/>
        <v>86.956521739130437</v>
      </c>
      <c r="W189" s="60">
        <f t="shared" si="22"/>
        <v>0</v>
      </c>
    </row>
    <row r="190" spans="1:23" x14ac:dyDescent="0.35">
      <c r="A190" s="61"/>
      <c r="B190" s="55">
        <v>186</v>
      </c>
      <c r="C190" s="70" t="s">
        <v>822</v>
      </c>
      <c r="D190" s="129">
        <v>136303</v>
      </c>
      <c r="E190" s="128"/>
      <c r="F190" s="130">
        <v>139415</v>
      </c>
      <c r="G190" s="71">
        <v>46238</v>
      </c>
      <c r="H190" s="71" t="s">
        <v>252</v>
      </c>
      <c r="I190" s="56">
        <f t="shared" si="18"/>
        <v>7</v>
      </c>
      <c r="J190" s="71">
        <v>46247</v>
      </c>
      <c r="K190" s="56">
        <f t="shared" si="19"/>
        <v>2</v>
      </c>
      <c r="L190" s="71" t="s">
        <v>243</v>
      </c>
      <c r="M190" s="56">
        <f t="shared" si="20"/>
        <v>1</v>
      </c>
      <c r="N190" s="50" t="s">
        <v>293</v>
      </c>
      <c r="O190" s="50" t="s">
        <v>683</v>
      </c>
      <c r="P190" s="57" t="s">
        <v>53</v>
      </c>
      <c r="Q190" s="224">
        <v>5434.782608695652</v>
      </c>
      <c r="R190" s="224">
        <v>5434.782608695652</v>
      </c>
      <c r="S190" s="58">
        <f t="shared" si="23"/>
        <v>0</v>
      </c>
      <c r="T190" s="58"/>
      <c r="U190" s="58"/>
      <c r="V190" s="59">
        <f t="shared" si="21"/>
        <v>543.47826086956525</v>
      </c>
      <c r="W190" s="60">
        <f t="shared" si="22"/>
        <v>0</v>
      </c>
    </row>
    <row r="191" spans="1:23" x14ac:dyDescent="0.35">
      <c r="A191" s="61"/>
      <c r="B191" s="55">
        <v>187</v>
      </c>
      <c r="C191" s="70" t="s">
        <v>822</v>
      </c>
      <c r="D191" s="129">
        <v>136315</v>
      </c>
      <c r="E191" s="128"/>
      <c r="F191" s="130">
        <v>139401</v>
      </c>
      <c r="G191" s="71">
        <v>46238</v>
      </c>
      <c r="H191" s="71" t="s">
        <v>243</v>
      </c>
      <c r="I191" s="56">
        <f t="shared" si="18"/>
        <v>8</v>
      </c>
      <c r="J191" s="71">
        <v>46247</v>
      </c>
      <c r="K191" s="56">
        <f t="shared" si="19"/>
        <v>1</v>
      </c>
      <c r="L191" s="71" t="s">
        <v>243</v>
      </c>
      <c r="M191" s="56">
        <f t="shared" si="20"/>
        <v>1</v>
      </c>
      <c r="N191" s="50" t="s">
        <v>376</v>
      </c>
      <c r="O191" s="50" t="s">
        <v>641</v>
      </c>
      <c r="P191" s="57" t="s">
        <v>53</v>
      </c>
      <c r="Q191" s="224">
        <v>175000</v>
      </c>
      <c r="R191" s="224">
        <v>175000</v>
      </c>
      <c r="S191" s="58">
        <f t="shared" si="23"/>
        <v>0</v>
      </c>
      <c r="T191" s="58"/>
      <c r="U191" s="58"/>
      <c r="V191" s="59">
        <f t="shared" si="21"/>
        <v>17500</v>
      </c>
      <c r="W191" s="60">
        <f t="shared" si="22"/>
        <v>0</v>
      </c>
    </row>
    <row r="192" spans="1:23" ht="72.5" customHeight="1" x14ac:dyDescent="0.35">
      <c r="A192" s="61"/>
      <c r="B192" s="55">
        <v>188</v>
      </c>
      <c r="C192" s="70" t="s">
        <v>822</v>
      </c>
      <c r="D192" s="129">
        <v>136318</v>
      </c>
      <c r="E192" s="128"/>
      <c r="F192" s="130">
        <v>139407</v>
      </c>
      <c r="G192" s="71">
        <v>46238</v>
      </c>
      <c r="H192" s="71" t="s">
        <v>251</v>
      </c>
      <c r="I192" s="56">
        <f t="shared" si="18"/>
        <v>1</v>
      </c>
      <c r="J192" s="71">
        <v>46247</v>
      </c>
      <c r="K192" s="56">
        <f t="shared" si="19"/>
        <v>8</v>
      </c>
      <c r="L192" s="71" t="s">
        <v>243</v>
      </c>
      <c r="M192" s="56">
        <f t="shared" si="20"/>
        <v>1</v>
      </c>
      <c r="N192" s="72" t="s">
        <v>377</v>
      </c>
      <c r="O192" s="50" t="s">
        <v>684</v>
      </c>
      <c r="P192" s="57" t="s">
        <v>53</v>
      </c>
      <c r="Q192" s="224">
        <v>3217.5</v>
      </c>
      <c r="R192" s="224">
        <v>3217.5</v>
      </c>
      <c r="S192" s="58">
        <f t="shared" si="23"/>
        <v>0</v>
      </c>
      <c r="T192" s="58"/>
      <c r="U192" s="58"/>
      <c r="V192" s="59">
        <f t="shared" si="21"/>
        <v>321.75</v>
      </c>
      <c r="W192" s="60">
        <f t="shared" si="22"/>
        <v>0</v>
      </c>
    </row>
    <row r="193" spans="1:23" x14ac:dyDescent="0.35">
      <c r="A193" s="61"/>
      <c r="B193" s="55">
        <v>189</v>
      </c>
      <c r="C193" s="70" t="s">
        <v>822</v>
      </c>
      <c r="D193" s="129">
        <v>136366</v>
      </c>
      <c r="E193" s="128"/>
      <c r="F193" s="130">
        <v>139405</v>
      </c>
      <c r="G193" s="71">
        <v>46238</v>
      </c>
      <c r="H193" s="71" t="s">
        <v>253</v>
      </c>
      <c r="I193" s="56">
        <f t="shared" si="18"/>
        <v>11</v>
      </c>
      <c r="J193" s="71">
        <v>46252</v>
      </c>
      <c r="K193" s="56">
        <f t="shared" si="19"/>
        <v>1</v>
      </c>
      <c r="L193" s="71" t="s">
        <v>253</v>
      </c>
      <c r="M193" s="56">
        <f t="shared" si="20"/>
        <v>1</v>
      </c>
      <c r="N193" s="50">
        <v>0</v>
      </c>
      <c r="O193" s="50" t="s">
        <v>685</v>
      </c>
      <c r="P193" s="57" t="s">
        <v>53</v>
      </c>
      <c r="Q193" s="224">
        <v>184.17608695652174</v>
      </c>
      <c r="R193" s="224">
        <v>184.17608695652174</v>
      </c>
      <c r="S193" s="58">
        <f t="shared" si="23"/>
        <v>0</v>
      </c>
      <c r="T193" s="58"/>
      <c r="U193" s="58"/>
      <c r="V193" s="59">
        <f t="shared" si="21"/>
        <v>18.417608695652174</v>
      </c>
      <c r="W193" s="60">
        <f t="shared" si="22"/>
        <v>0</v>
      </c>
    </row>
    <row r="194" spans="1:23" x14ac:dyDescent="0.35">
      <c r="A194" s="61"/>
      <c r="B194" s="55">
        <v>190</v>
      </c>
      <c r="C194" s="70" t="s">
        <v>822</v>
      </c>
      <c r="D194" s="129">
        <v>136199</v>
      </c>
      <c r="E194" s="128"/>
      <c r="F194" s="130">
        <v>139429</v>
      </c>
      <c r="G194" s="71">
        <v>46239</v>
      </c>
      <c r="H194" s="71" t="s">
        <v>241</v>
      </c>
      <c r="I194" s="56">
        <f t="shared" si="18"/>
        <v>1</v>
      </c>
      <c r="J194" s="71">
        <v>46240</v>
      </c>
      <c r="K194" s="56">
        <f t="shared" si="19"/>
        <v>2</v>
      </c>
      <c r="L194" s="71" t="s">
        <v>256</v>
      </c>
      <c r="M194" s="56">
        <f t="shared" si="20"/>
        <v>1</v>
      </c>
      <c r="N194" s="50" t="s">
        <v>378</v>
      </c>
      <c r="O194" s="50" t="s">
        <v>672</v>
      </c>
      <c r="P194" s="57" t="s">
        <v>53</v>
      </c>
      <c r="Q194" s="224">
        <v>10395.192599999998</v>
      </c>
      <c r="R194" s="224">
        <v>10240.752599999998</v>
      </c>
      <c r="S194" s="58">
        <f t="shared" si="23"/>
        <v>154.44000000000051</v>
      </c>
      <c r="T194" s="58"/>
      <c r="U194" s="58"/>
      <c r="V194" s="59">
        <f t="shared" si="21"/>
        <v>1039.5192599999998</v>
      </c>
      <c r="W194" s="60">
        <f t="shared" si="22"/>
        <v>1.4856867587042161E-2</v>
      </c>
    </row>
    <row r="195" spans="1:23" x14ac:dyDescent="0.35">
      <c r="A195" s="61"/>
      <c r="B195" s="55">
        <v>191</v>
      </c>
      <c r="C195" s="70" t="s">
        <v>822</v>
      </c>
      <c r="D195" s="129">
        <v>136310</v>
      </c>
      <c r="E195" s="128"/>
      <c r="F195" s="130">
        <v>139424</v>
      </c>
      <c r="G195" s="71">
        <v>46239</v>
      </c>
      <c r="H195" s="71" t="s">
        <v>254</v>
      </c>
      <c r="I195" s="56">
        <f t="shared" si="18"/>
        <v>5</v>
      </c>
      <c r="J195" s="71">
        <v>46247</v>
      </c>
      <c r="K195" s="56">
        <f t="shared" si="19"/>
        <v>3</v>
      </c>
      <c r="L195" s="71" t="s">
        <v>243</v>
      </c>
      <c r="M195" s="56">
        <f t="shared" si="20"/>
        <v>1</v>
      </c>
      <c r="N195" s="50" t="s">
        <v>379</v>
      </c>
      <c r="O195" s="50" t="s">
        <v>609</v>
      </c>
      <c r="P195" s="57" t="s">
        <v>53</v>
      </c>
      <c r="Q195" s="224">
        <v>4487.021739130435</v>
      </c>
      <c r="R195" s="224">
        <v>4193.478260869565</v>
      </c>
      <c r="S195" s="58">
        <f t="shared" si="23"/>
        <v>293.54347826086996</v>
      </c>
      <c r="T195" s="58"/>
      <c r="U195" s="58"/>
      <c r="V195" s="59">
        <f t="shared" si="21"/>
        <v>448.70217391304351</v>
      </c>
      <c r="W195" s="60">
        <f t="shared" si="22"/>
        <v>6.5420560747663642E-2</v>
      </c>
    </row>
    <row r="196" spans="1:23" ht="29" customHeight="1" x14ac:dyDescent="0.35">
      <c r="A196" s="61"/>
      <c r="B196" s="55">
        <v>192</v>
      </c>
      <c r="C196" s="70" t="s">
        <v>822</v>
      </c>
      <c r="D196" s="129">
        <v>136314</v>
      </c>
      <c r="E196" s="128"/>
      <c r="F196" s="130">
        <v>139442</v>
      </c>
      <c r="G196" s="71">
        <v>46239</v>
      </c>
      <c r="H196" s="71" t="s">
        <v>254</v>
      </c>
      <c r="I196" s="56">
        <f t="shared" si="18"/>
        <v>5</v>
      </c>
      <c r="J196" s="71">
        <v>46247</v>
      </c>
      <c r="K196" s="56">
        <f t="shared" si="19"/>
        <v>3</v>
      </c>
      <c r="L196" s="71" t="s">
        <v>259</v>
      </c>
      <c r="M196" s="56">
        <f t="shared" si="20"/>
        <v>2</v>
      </c>
      <c r="N196" s="72" t="s">
        <v>380</v>
      </c>
      <c r="O196" s="50" t="s">
        <v>608</v>
      </c>
      <c r="P196" s="57" t="s">
        <v>53</v>
      </c>
      <c r="Q196" s="224">
        <v>4696.9876086956519</v>
      </c>
      <c r="R196" s="224">
        <v>4269.9886956521741</v>
      </c>
      <c r="S196" s="58">
        <f t="shared" si="23"/>
        <v>426.99891304347784</v>
      </c>
      <c r="T196" s="58"/>
      <c r="U196" s="58"/>
      <c r="V196" s="59">
        <f t="shared" si="21"/>
        <v>469.69876086956521</v>
      </c>
      <c r="W196" s="60">
        <f t="shared" si="22"/>
        <v>9.0909099324206002E-2</v>
      </c>
    </row>
    <row r="197" spans="1:23" x14ac:dyDescent="0.35">
      <c r="A197" s="61"/>
      <c r="B197" s="55">
        <v>193</v>
      </c>
      <c r="C197" s="70" t="s">
        <v>822</v>
      </c>
      <c r="D197" s="129">
        <v>136251</v>
      </c>
      <c r="E197" s="128"/>
      <c r="F197" s="130">
        <v>139427</v>
      </c>
      <c r="G197" s="71">
        <v>46239</v>
      </c>
      <c r="H197" s="71" t="s">
        <v>255</v>
      </c>
      <c r="I197" s="56">
        <f t="shared" si="18"/>
        <v>3</v>
      </c>
      <c r="J197" s="71">
        <v>46244</v>
      </c>
      <c r="K197" s="56">
        <f t="shared" si="19"/>
        <v>2</v>
      </c>
      <c r="L197" s="71" t="s">
        <v>258</v>
      </c>
      <c r="M197" s="56">
        <f t="shared" si="20"/>
        <v>1</v>
      </c>
      <c r="N197" s="50" t="s">
        <v>381</v>
      </c>
      <c r="O197" s="50" t="s">
        <v>686</v>
      </c>
      <c r="P197" s="57" t="s">
        <v>53</v>
      </c>
      <c r="Q197" s="224">
        <v>130392.88673913044</v>
      </c>
      <c r="R197" s="224">
        <v>115865.67847826087</v>
      </c>
      <c r="S197" s="58">
        <f t="shared" si="23"/>
        <v>14527.208260869564</v>
      </c>
      <c r="T197" s="58"/>
      <c r="U197" s="58"/>
      <c r="V197" s="59">
        <f t="shared" si="21"/>
        <v>13039.288673913044</v>
      </c>
      <c r="W197" s="60">
        <f t="shared" si="22"/>
        <v>0.11141104874787622</v>
      </c>
    </row>
    <row r="198" spans="1:23" x14ac:dyDescent="0.35">
      <c r="A198" s="61"/>
      <c r="B198" s="55">
        <v>194</v>
      </c>
      <c r="C198" s="70" t="s">
        <v>822</v>
      </c>
      <c r="D198" s="129">
        <v>136197</v>
      </c>
      <c r="E198" s="128"/>
      <c r="F198" s="130">
        <v>139430</v>
      </c>
      <c r="G198" s="71">
        <v>46239</v>
      </c>
      <c r="H198" s="71" t="s">
        <v>241</v>
      </c>
      <c r="I198" s="56">
        <f t="shared" si="18"/>
        <v>1</v>
      </c>
      <c r="J198" s="71">
        <v>46240</v>
      </c>
      <c r="K198" s="56">
        <f t="shared" si="19"/>
        <v>2</v>
      </c>
      <c r="L198" s="71" t="s">
        <v>258</v>
      </c>
      <c r="M198" s="56">
        <f t="shared" si="20"/>
        <v>3</v>
      </c>
      <c r="N198" s="50" t="s">
        <v>382</v>
      </c>
      <c r="O198" s="50" t="s">
        <v>687</v>
      </c>
      <c r="P198" s="57" t="s">
        <v>53</v>
      </c>
      <c r="Q198" s="224">
        <v>1261784.3439239999</v>
      </c>
      <c r="R198" s="224">
        <v>809764.74294299993</v>
      </c>
      <c r="S198" s="58">
        <f t="shared" si="23"/>
        <v>452019.600981</v>
      </c>
      <c r="T198" s="58"/>
      <c r="U198" s="58"/>
      <c r="V198" s="59">
        <f t="shared" si="21"/>
        <v>126178.4343924</v>
      </c>
      <c r="W198" s="60">
        <f t="shared" si="22"/>
        <v>0.35823839720127809</v>
      </c>
    </row>
    <row r="199" spans="1:23" x14ac:dyDescent="0.35">
      <c r="A199" s="61"/>
      <c r="B199" s="55">
        <v>195</v>
      </c>
      <c r="C199" s="70" t="s">
        <v>822</v>
      </c>
      <c r="D199" s="129">
        <v>136190</v>
      </c>
      <c r="E199" s="128"/>
      <c r="F199" s="130">
        <v>139432</v>
      </c>
      <c r="G199" s="71">
        <v>46239</v>
      </c>
      <c r="H199" s="71" t="s">
        <v>241</v>
      </c>
      <c r="I199" s="56">
        <f t="shared" si="18"/>
        <v>1</v>
      </c>
      <c r="J199" s="71">
        <v>46239</v>
      </c>
      <c r="K199" s="56">
        <f t="shared" si="19"/>
        <v>1</v>
      </c>
      <c r="L199" s="71" t="s">
        <v>241</v>
      </c>
      <c r="M199" s="56">
        <f t="shared" si="20"/>
        <v>1</v>
      </c>
      <c r="N199" s="50" t="s">
        <v>383</v>
      </c>
      <c r="O199" s="50" t="s">
        <v>672</v>
      </c>
      <c r="P199" s="57" t="s">
        <v>53</v>
      </c>
      <c r="Q199" s="224">
        <v>301.93019999999996</v>
      </c>
      <c r="R199" s="224">
        <v>301.93019999999996</v>
      </c>
      <c r="S199" s="58">
        <f t="shared" si="23"/>
        <v>0</v>
      </c>
      <c r="T199" s="58"/>
      <c r="U199" s="58"/>
      <c r="V199" s="59">
        <f t="shared" si="21"/>
        <v>30.193019999999997</v>
      </c>
      <c r="W199" s="60">
        <f t="shared" si="22"/>
        <v>0</v>
      </c>
    </row>
    <row r="200" spans="1:23" x14ac:dyDescent="0.35">
      <c r="A200" s="61"/>
      <c r="B200" s="55">
        <v>196</v>
      </c>
      <c r="C200" s="70" t="s">
        <v>822</v>
      </c>
      <c r="D200" s="129">
        <v>136192</v>
      </c>
      <c r="E200" s="128"/>
      <c r="F200" s="130">
        <v>139443</v>
      </c>
      <c r="G200" s="71">
        <v>46239</v>
      </c>
      <c r="H200" s="71" t="s">
        <v>241</v>
      </c>
      <c r="I200" s="56">
        <f t="shared" si="18"/>
        <v>1</v>
      </c>
      <c r="J200" s="71">
        <v>46239</v>
      </c>
      <c r="K200" s="56">
        <f t="shared" si="19"/>
        <v>1</v>
      </c>
      <c r="L200" s="71" t="s">
        <v>241</v>
      </c>
      <c r="M200" s="56">
        <f t="shared" si="20"/>
        <v>1</v>
      </c>
      <c r="N200" s="50" t="s">
        <v>384</v>
      </c>
      <c r="O200" s="50" t="s">
        <v>651</v>
      </c>
      <c r="P200" s="57" t="s">
        <v>53</v>
      </c>
      <c r="Q200" s="224">
        <v>314.5470845478261</v>
      </c>
      <c r="R200" s="224">
        <v>314.5470845478261</v>
      </c>
      <c r="S200" s="58">
        <f t="shared" si="23"/>
        <v>0</v>
      </c>
      <c r="T200" s="58"/>
      <c r="U200" s="58"/>
      <c r="V200" s="59">
        <f t="shared" si="21"/>
        <v>31.454708454782612</v>
      </c>
      <c r="W200" s="60">
        <f t="shared" si="22"/>
        <v>0</v>
      </c>
    </row>
    <row r="201" spans="1:23" x14ac:dyDescent="0.35">
      <c r="A201" s="61"/>
      <c r="B201" s="55">
        <v>197</v>
      </c>
      <c r="C201" s="70" t="s">
        <v>822</v>
      </c>
      <c r="D201" s="129">
        <v>136193</v>
      </c>
      <c r="E201" s="128"/>
      <c r="F201" s="130">
        <v>139446</v>
      </c>
      <c r="G201" s="71">
        <v>46239</v>
      </c>
      <c r="H201" s="71" t="s">
        <v>241</v>
      </c>
      <c r="I201" s="56">
        <f t="shared" si="18"/>
        <v>1</v>
      </c>
      <c r="J201" s="71">
        <v>46239</v>
      </c>
      <c r="K201" s="56">
        <f t="shared" si="19"/>
        <v>1</v>
      </c>
      <c r="L201" s="71" t="s">
        <v>241</v>
      </c>
      <c r="M201" s="56">
        <f t="shared" si="20"/>
        <v>1</v>
      </c>
      <c r="N201" s="50" t="s">
        <v>385</v>
      </c>
      <c r="O201" s="50" t="s">
        <v>688</v>
      </c>
      <c r="P201" s="57" t="s">
        <v>53</v>
      </c>
      <c r="Q201" s="224">
        <v>1483.695652173913</v>
      </c>
      <c r="R201" s="224">
        <v>1483.695652173913</v>
      </c>
      <c r="S201" s="58">
        <f t="shared" si="23"/>
        <v>0</v>
      </c>
      <c r="T201" s="58"/>
      <c r="U201" s="58"/>
      <c r="V201" s="59">
        <f t="shared" si="21"/>
        <v>148.36956521739131</v>
      </c>
      <c r="W201" s="60">
        <f t="shared" si="22"/>
        <v>0</v>
      </c>
    </row>
    <row r="202" spans="1:23" x14ac:dyDescent="0.35">
      <c r="A202" s="61"/>
      <c r="B202" s="55">
        <v>198</v>
      </c>
      <c r="C202" s="70" t="s">
        <v>822</v>
      </c>
      <c r="D202" s="129">
        <v>136198</v>
      </c>
      <c r="E202" s="128"/>
      <c r="F202" s="130">
        <v>139444</v>
      </c>
      <c r="G202" s="71">
        <v>46239</v>
      </c>
      <c r="H202" s="71" t="s">
        <v>256</v>
      </c>
      <c r="I202" s="56">
        <f t="shared" si="18"/>
        <v>2</v>
      </c>
      <c r="J202" s="71">
        <v>46240</v>
      </c>
      <c r="K202" s="56">
        <f t="shared" si="19"/>
        <v>1</v>
      </c>
      <c r="L202" s="71" t="s">
        <v>256</v>
      </c>
      <c r="M202" s="56">
        <f t="shared" si="20"/>
        <v>1</v>
      </c>
      <c r="N202" s="50" t="s">
        <v>293</v>
      </c>
      <c r="O202" s="50" t="s">
        <v>689</v>
      </c>
      <c r="P202" s="57" t="s">
        <v>53</v>
      </c>
      <c r="Q202" s="224">
        <v>543.47826086956525</v>
      </c>
      <c r="R202" s="224">
        <v>543.47826086956525</v>
      </c>
      <c r="S202" s="58">
        <f t="shared" si="23"/>
        <v>0</v>
      </c>
      <c r="T202" s="58"/>
      <c r="U202" s="58"/>
      <c r="V202" s="59">
        <f t="shared" si="21"/>
        <v>54.34782608695653</v>
      </c>
      <c r="W202" s="60">
        <f t="shared" si="22"/>
        <v>0</v>
      </c>
    </row>
    <row r="203" spans="1:23" x14ac:dyDescent="0.35">
      <c r="A203" s="61"/>
      <c r="B203" s="55">
        <v>199</v>
      </c>
      <c r="C203" s="70" t="s">
        <v>822</v>
      </c>
      <c r="D203" s="129">
        <v>136200</v>
      </c>
      <c r="E203" s="128"/>
      <c r="F203" s="130">
        <v>139422</v>
      </c>
      <c r="G203" s="71">
        <v>46239</v>
      </c>
      <c r="H203" s="71" t="s">
        <v>241</v>
      </c>
      <c r="I203" s="56">
        <f t="shared" si="18"/>
        <v>1</v>
      </c>
      <c r="J203" s="71">
        <v>46240</v>
      </c>
      <c r="K203" s="56">
        <f t="shared" si="19"/>
        <v>2</v>
      </c>
      <c r="L203" s="71" t="s">
        <v>258</v>
      </c>
      <c r="M203" s="56">
        <f t="shared" si="20"/>
        <v>3</v>
      </c>
      <c r="N203" s="50" t="s">
        <v>293</v>
      </c>
      <c r="O203" s="50" t="s">
        <v>690</v>
      </c>
      <c r="P203" s="57" t="s">
        <v>53</v>
      </c>
      <c r="Q203" s="224">
        <v>1521.7391304347825</v>
      </c>
      <c r="R203" s="224">
        <v>1521.7391304347825</v>
      </c>
      <c r="S203" s="58">
        <f t="shared" si="23"/>
        <v>0</v>
      </c>
      <c r="T203" s="58"/>
      <c r="U203" s="58"/>
      <c r="V203" s="59">
        <f t="shared" si="21"/>
        <v>152.17391304347825</v>
      </c>
      <c r="W203" s="60">
        <f t="shared" si="22"/>
        <v>0</v>
      </c>
    </row>
    <row r="204" spans="1:23" x14ac:dyDescent="0.35">
      <c r="A204" s="61"/>
      <c r="B204" s="55">
        <v>200</v>
      </c>
      <c r="C204" s="70" t="s">
        <v>822</v>
      </c>
      <c r="D204" s="129">
        <v>136250</v>
      </c>
      <c r="E204" s="128"/>
      <c r="F204" s="130">
        <v>139425</v>
      </c>
      <c r="G204" s="71">
        <v>46239</v>
      </c>
      <c r="H204" s="71" t="s">
        <v>255</v>
      </c>
      <c r="I204" s="56">
        <f t="shared" si="18"/>
        <v>3</v>
      </c>
      <c r="J204" s="71">
        <v>46244</v>
      </c>
      <c r="K204" s="56">
        <f t="shared" si="19"/>
        <v>2</v>
      </c>
      <c r="L204" s="71" t="s">
        <v>258</v>
      </c>
      <c r="M204" s="56">
        <f t="shared" si="20"/>
        <v>1</v>
      </c>
      <c r="N204" s="50" t="s">
        <v>386</v>
      </c>
      <c r="O204" s="50" t="s">
        <v>660</v>
      </c>
      <c r="P204" s="57" t="s">
        <v>53</v>
      </c>
      <c r="Q204" s="224">
        <v>196.08695652173913</v>
      </c>
      <c r="R204" s="224">
        <v>196.08695652173913</v>
      </c>
      <c r="S204" s="58">
        <f t="shared" si="23"/>
        <v>0</v>
      </c>
      <c r="T204" s="58"/>
      <c r="U204" s="58"/>
      <c r="V204" s="59">
        <f t="shared" si="21"/>
        <v>19.608695652173914</v>
      </c>
      <c r="W204" s="60">
        <f t="shared" si="22"/>
        <v>0</v>
      </c>
    </row>
    <row r="205" spans="1:23" x14ac:dyDescent="0.35">
      <c r="A205" s="61"/>
      <c r="B205" s="55">
        <v>201</v>
      </c>
      <c r="C205" s="70" t="s">
        <v>822</v>
      </c>
      <c r="D205" s="129">
        <v>136253</v>
      </c>
      <c r="E205" s="128"/>
      <c r="F205" s="130">
        <v>139434</v>
      </c>
      <c r="G205" s="71">
        <v>46239</v>
      </c>
      <c r="H205" s="71" t="s">
        <v>255</v>
      </c>
      <c r="I205" s="56">
        <f t="shared" si="18"/>
        <v>3</v>
      </c>
      <c r="J205" s="71">
        <v>46244</v>
      </c>
      <c r="K205" s="56">
        <f t="shared" si="19"/>
        <v>2</v>
      </c>
      <c r="L205" s="71" t="s">
        <v>258</v>
      </c>
      <c r="M205" s="56">
        <f t="shared" si="20"/>
        <v>1</v>
      </c>
      <c r="N205" s="50" t="s">
        <v>387</v>
      </c>
      <c r="O205" s="50" t="s">
        <v>691</v>
      </c>
      <c r="P205" s="57" t="s">
        <v>53</v>
      </c>
      <c r="Q205" s="224">
        <v>670.10869565217388</v>
      </c>
      <c r="R205" s="224">
        <v>670.10869565217388</v>
      </c>
      <c r="S205" s="58">
        <f t="shared" si="23"/>
        <v>0</v>
      </c>
      <c r="T205" s="58"/>
      <c r="U205" s="58"/>
      <c r="V205" s="59">
        <f t="shared" si="21"/>
        <v>67.010869565217391</v>
      </c>
      <c r="W205" s="60">
        <f t="shared" si="22"/>
        <v>0</v>
      </c>
    </row>
    <row r="206" spans="1:23" x14ac:dyDescent="0.35">
      <c r="A206" s="61"/>
      <c r="B206" s="55">
        <v>202</v>
      </c>
      <c r="C206" s="70" t="s">
        <v>822</v>
      </c>
      <c r="D206" s="129">
        <v>136295</v>
      </c>
      <c r="E206" s="128"/>
      <c r="F206" s="130">
        <v>139445</v>
      </c>
      <c r="G206" s="71">
        <v>46239</v>
      </c>
      <c r="H206" s="71" t="s">
        <v>252</v>
      </c>
      <c r="I206" s="56">
        <f t="shared" si="18"/>
        <v>6</v>
      </c>
      <c r="J206" s="71">
        <v>46247</v>
      </c>
      <c r="K206" s="56">
        <f t="shared" si="19"/>
        <v>2</v>
      </c>
      <c r="L206" s="71" t="s">
        <v>243</v>
      </c>
      <c r="M206" s="56">
        <f t="shared" si="20"/>
        <v>1</v>
      </c>
      <c r="N206" s="50" t="s">
        <v>293</v>
      </c>
      <c r="O206" s="50" t="s">
        <v>692</v>
      </c>
      <c r="P206" s="57" t="s">
        <v>53</v>
      </c>
      <c r="Q206" s="224">
        <v>2173.913043478261</v>
      </c>
      <c r="R206" s="224">
        <v>2173.913043478261</v>
      </c>
      <c r="S206" s="58">
        <f t="shared" si="23"/>
        <v>0</v>
      </c>
      <c r="T206" s="58"/>
      <c r="U206" s="58"/>
      <c r="V206" s="59">
        <f t="shared" si="21"/>
        <v>217.39130434782612</v>
      </c>
      <c r="W206" s="60">
        <f t="shared" si="22"/>
        <v>0</v>
      </c>
    </row>
    <row r="207" spans="1:23" x14ac:dyDescent="0.35">
      <c r="A207" s="61"/>
      <c r="B207" s="55">
        <v>203</v>
      </c>
      <c r="C207" s="70" t="s">
        <v>822</v>
      </c>
      <c r="D207" s="129">
        <v>136296</v>
      </c>
      <c r="E207" s="128"/>
      <c r="F207" s="130">
        <v>139441</v>
      </c>
      <c r="G207" s="71">
        <v>46239</v>
      </c>
      <c r="H207" s="71" t="s">
        <v>252</v>
      </c>
      <c r="I207" s="56">
        <f t="shared" si="18"/>
        <v>6</v>
      </c>
      <c r="J207" s="71">
        <v>46247</v>
      </c>
      <c r="K207" s="56">
        <f t="shared" si="19"/>
        <v>2</v>
      </c>
      <c r="L207" s="71" t="s">
        <v>243</v>
      </c>
      <c r="M207" s="56">
        <f t="shared" si="20"/>
        <v>1</v>
      </c>
      <c r="N207" s="50" t="s">
        <v>388</v>
      </c>
      <c r="O207" s="50" t="s">
        <v>693</v>
      </c>
      <c r="P207" s="57" t="s">
        <v>53</v>
      </c>
      <c r="Q207" s="224">
        <v>1086.9565217391305</v>
      </c>
      <c r="R207" s="224">
        <v>1086.9565217391305</v>
      </c>
      <c r="S207" s="58">
        <f t="shared" si="23"/>
        <v>0</v>
      </c>
      <c r="T207" s="58"/>
      <c r="U207" s="58"/>
      <c r="V207" s="59">
        <f t="shared" si="21"/>
        <v>108.69565217391306</v>
      </c>
      <c r="W207" s="60">
        <f t="shared" si="22"/>
        <v>0</v>
      </c>
    </row>
    <row r="208" spans="1:23" x14ac:dyDescent="0.35">
      <c r="A208" s="61"/>
      <c r="B208" s="55">
        <v>204</v>
      </c>
      <c r="C208" s="70" t="s">
        <v>822</v>
      </c>
      <c r="D208" s="129">
        <v>136297</v>
      </c>
      <c r="E208" s="128"/>
      <c r="F208" s="130">
        <v>139440</v>
      </c>
      <c r="G208" s="71">
        <v>46239</v>
      </c>
      <c r="H208" s="71" t="s">
        <v>252</v>
      </c>
      <c r="I208" s="56">
        <f t="shared" si="18"/>
        <v>6</v>
      </c>
      <c r="J208" s="71">
        <v>46247</v>
      </c>
      <c r="K208" s="56">
        <f t="shared" si="19"/>
        <v>2</v>
      </c>
      <c r="L208" s="71" t="s">
        <v>243</v>
      </c>
      <c r="M208" s="56">
        <f t="shared" si="20"/>
        <v>1</v>
      </c>
      <c r="N208" s="50" t="s">
        <v>389</v>
      </c>
      <c r="O208" s="50" t="s">
        <v>694</v>
      </c>
      <c r="P208" s="57" t="s">
        <v>53</v>
      </c>
      <c r="Q208" s="224">
        <v>652.17391304347825</v>
      </c>
      <c r="R208" s="224">
        <v>652.17391304347825</v>
      </c>
      <c r="S208" s="58">
        <f t="shared" si="23"/>
        <v>0</v>
      </c>
      <c r="T208" s="58"/>
      <c r="U208" s="58"/>
      <c r="V208" s="59">
        <f t="shared" si="21"/>
        <v>65.217391304347828</v>
      </c>
      <c r="W208" s="60">
        <f t="shared" si="22"/>
        <v>0</v>
      </c>
    </row>
    <row r="209" spans="1:23" x14ac:dyDescent="0.35">
      <c r="A209" s="61"/>
      <c r="B209" s="55">
        <v>205</v>
      </c>
      <c r="C209" s="70" t="s">
        <v>822</v>
      </c>
      <c r="D209" s="129">
        <v>136298</v>
      </c>
      <c r="E209" s="128"/>
      <c r="F209" s="130">
        <v>139438</v>
      </c>
      <c r="G209" s="71">
        <v>46239</v>
      </c>
      <c r="H209" s="71" t="s">
        <v>252</v>
      </c>
      <c r="I209" s="56">
        <f t="shared" si="18"/>
        <v>6</v>
      </c>
      <c r="J209" s="71">
        <v>46247</v>
      </c>
      <c r="K209" s="56">
        <f t="shared" si="19"/>
        <v>2</v>
      </c>
      <c r="L209" s="71" t="s">
        <v>243</v>
      </c>
      <c r="M209" s="56">
        <f t="shared" si="20"/>
        <v>1</v>
      </c>
      <c r="N209" s="50" t="s">
        <v>390</v>
      </c>
      <c r="O209" s="50" t="s">
        <v>639</v>
      </c>
      <c r="P209" s="57" t="s">
        <v>53</v>
      </c>
      <c r="Q209" s="224">
        <v>3369.5652173913045</v>
      </c>
      <c r="R209" s="224">
        <v>3369.5652173913045</v>
      </c>
      <c r="S209" s="58">
        <f t="shared" si="23"/>
        <v>0</v>
      </c>
      <c r="T209" s="58"/>
      <c r="U209" s="58"/>
      <c r="V209" s="59">
        <f t="shared" si="21"/>
        <v>336.95652173913049</v>
      </c>
      <c r="W209" s="60">
        <f t="shared" si="22"/>
        <v>0</v>
      </c>
    </row>
    <row r="210" spans="1:23" x14ac:dyDescent="0.35">
      <c r="A210" s="61"/>
      <c r="B210" s="55">
        <v>206</v>
      </c>
      <c r="C210" s="70" t="s">
        <v>822</v>
      </c>
      <c r="D210" s="129">
        <v>136299</v>
      </c>
      <c r="E210" s="128"/>
      <c r="F210" s="130">
        <v>139437</v>
      </c>
      <c r="G210" s="71">
        <v>46239</v>
      </c>
      <c r="H210" s="71" t="s">
        <v>252</v>
      </c>
      <c r="I210" s="56">
        <f t="shared" si="18"/>
        <v>6</v>
      </c>
      <c r="J210" s="71">
        <v>46247</v>
      </c>
      <c r="K210" s="56">
        <f t="shared" si="19"/>
        <v>2</v>
      </c>
      <c r="L210" s="71" t="s">
        <v>243</v>
      </c>
      <c r="M210" s="56">
        <f t="shared" si="20"/>
        <v>1</v>
      </c>
      <c r="N210" s="50" t="s">
        <v>391</v>
      </c>
      <c r="O210" s="50" t="s">
        <v>650</v>
      </c>
      <c r="P210" s="57" t="s">
        <v>53</v>
      </c>
      <c r="Q210" s="224">
        <v>534.78260869565213</v>
      </c>
      <c r="R210" s="224">
        <v>534.78260869565213</v>
      </c>
      <c r="S210" s="58">
        <f t="shared" si="23"/>
        <v>0</v>
      </c>
      <c r="T210" s="58"/>
      <c r="U210" s="58"/>
      <c r="V210" s="59">
        <f t="shared" si="21"/>
        <v>53.478260869565219</v>
      </c>
      <c r="W210" s="60">
        <f t="shared" si="22"/>
        <v>0</v>
      </c>
    </row>
    <row r="211" spans="1:23" ht="29" customHeight="1" x14ac:dyDescent="0.35">
      <c r="A211" s="61"/>
      <c r="B211" s="55">
        <v>207</v>
      </c>
      <c r="C211" s="70" t="s">
        <v>822</v>
      </c>
      <c r="D211" s="129">
        <v>136300</v>
      </c>
      <c r="E211" s="128"/>
      <c r="F211" s="130">
        <v>139436</v>
      </c>
      <c r="G211" s="71">
        <v>46239</v>
      </c>
      <c r="H211" s="71" t="s">
        <v>252</v>
      </c>
      <c r="I211" s="56">
        <f t="shared" si="18"/>
        <v>6</v>
      </c>
      <c r="J211" s="71">
        <v>46247</v>
      </c>
      <c r="K211" s="56">
        <f t="shared" si="19"/>
        <v>2</v>
      </c>
      <c r="L211" s="71" t="s">
        <v>243</v>
      </c>
      <c r="M211" s="56">
        <f t="shared" si="20"/>
        <v>1</v>
      </c>
      <c r="N211" s="72" t="s">
        <v>392</v>
      </c>
      <c r="O211" s="50" t="s">
        <v>695</v>
      </c>
      <c r="P211" s="57" t="s">
        <v>53</v>
      </c>
      <c r="Q211" s="224">
        <v>548.39782608695657</v>
      </c>
      <c r="R211" s="224">
        <v>548.39782608695657</v>
      </c>
      <c r="S211" s="58">
        <f t="shared" si="23"/>
        <v>0</v>
      </c>
      <c r="T211" s="58"/>
      <c r="U211" s="58"/>
      <c r="V211" s="59">
        <f t="shared" si="21"/>
        <v>54.839782608695657</v>
      </c>
      <c r="W211" s="60">
        <f t="shared" si="22"/>
        <v>0</v>
      </c>
    </row>
    <row r="212" spans="1:23" x14ac:dyDescent="0.35">
      <c r="A212" s="61"/>
      <c r="B212" s="55">
        <v>208</v>
      </c>
      <c r="C212" s="70" t="s">
        <v>822</v>
      </c>
      <c r="D212" s="129">
        <v>136301</v>
      </c>
      <c r="E212" s="128"/>
      <c r="F212" s="130">
        <v>139423</v>
      </c>
      <c r="G212" s="71">
        <v>46239</v>
      </c>
      <c r="H212" s="71" t="s">
        <v>252</v>
      </c>
      <c r="I212" s="56">
        <f t="shared" si="18"/>
        <v>6</v>
      </c>
      <c r="J212" s="71">
        <v>46247</v>
      </c>
      <c r="K212" s="56">
        <f t="shared" si="19"/>
        <v>2</v>
      </c>
      <c r="L212" s="71" t="s">
        <v>243</v>
      </c>
      <c r="M212" s="56">
        <f t="shared" si="20"/>
        <v>1</v>
      </c>
      <c r="N212" s="50" t="s">
        <v>393</v>
      </c>
      <c r="O212" s="50" t="s">
        <v>696</v>
      </c>
      <c r="P212" s="57" t="s">
        <v>53</v>
      </c>
      <c r="Q212" s="224">
        <v>1304.3478260869565</v>
      </c>
      <c r="R212" s="224">
        <v>1304.3478260869565</v>
      </c>
      <c r="S212" s="58">
        <f t="shared" si="23"/>
        <v>0</v>
      </c>
      <c r="T212" s="58"/>
      <c r="U212" s="58"/>
      <c r="V212" s="59">
        <f t="shared" si="21"/>
        <v>130.43478260869566</v>
      </c>
      <c r="W212" s="60">
        <f t="shared" si="22"/>
        <v>0</v>
      </c>
    </row>
    <row r="213" spans="1:23" x14ac:dyDescent="0.35">
      <c r="A213" s="61"/>
      <c r="B213" s="55">
        <v>209</v>
      </c>
      <c r="C213" s="70" t="s">
        <v>822</v>
      </c>
      <c r="D213" s="129">
        <v>136362</v>
      </c>
      <c r="E213" s="128"/>
      <c r="F213" s="130">
        <v>139426</v>
      </c>
      <c r="G213" s="71">
        <v>46239</v>
      </c>
      <c r="H213" s="71" t="s">
        <v>248</v>
      </c>
      <c r="I213" s="56">
        <f t="shared" si="18"/>
        <v>9</v>
      </c>
      <c r="J213" s="71">
        <v>46251</v>
      </c>
      <c r="K213" s="56">
        <f t="shared" si="19"/>
        <v>1</v>
      </c>
      <c r="L213" s="71" t="s">
        <v>264</v>
      </c>
      <c r="M213" s="56">
        <f t="shared" si="20"/>
        <v>8</v>
      </c>
      <c r="N213" s="50" t="s">
        <v>394</v>
      </c>
      <c r="O213" s="50" t="s">
        <v>697</v>
      </c>
      <c r="P213" s="57" t="s">
        <v>53</v>
      </c>
      <c r="Q213" s="224">
        <v>11722.826086956522</v>
      </c>
      <c r="R213" s="224">
        <v>11722.826086956522</v>
      </c>
      <c r="S213" s="58">
        <f t="shared" si="23"/>
        <v>0</v>
      </c>
      <c r="T213" s="58"/>
      <c r="U213" s="58"/>
      <c r="V213" s="59">
        <f t="shared" si="21"/>
        <v>1172.2826086956522</v>
      </c>
      <c r="W213" s="60">
        <f t="shared" si="22"/>
        <v>0</v>
      </c>
    </row>
    <row r="214" spans="1:23" x14ac:dyDescent="0.35">
      <c r="A214" s="61"/>
      <c r="B214" s="55">
        <v>210</v>
      </c>
      <c r="C214" s="70" t="s">
        <v>822</v>
      </c>
      <c r="D214" s="129">
        <v>136363</v>
      </c>
      <c r="E214" s="128"/>
      <c r="F214" s="130">
        <v>139431</v>
      </c>
      <c r="G214" s="71">
        <v>46239</v>
      </c>
      <c r="H214" s="71" t="s">
        <v>248</v>
      </c>
      <c r="I214" s="56">
        <f t="shared" si="18"/>
        <v>9</v>
      </c>
      <c r="J214" s="71">
        <v>46251</v>
      </c>
      <c r="K214" s="56">
        <f t="shared" si="19"/>
        <v>1</v>
      </c>
      <c r="L214" s="71" t="s">
        <v>248</v>
      </c>
      <c r="M214" s="56">
        <f t="shared" si="20"/>
        <v>1</v>
      </c>
      <c r="N214" s="50">
        <v>0</v>
      </c>
      <c r="O214" s="50" t="s">
        <v>672</v>
      </c>
      <c r="P214" s="57" t="s">
        <v>53</v>
      </c>
      <c r="Q214" s="224">
        <v>2320.7066999999997</v>
      </c>
      <c r="R214" s="224">
        <v>2320.7066999999997</v>
      </c>
      <c r="S214" s="58">
        <f t="shared" si="23"/>
        <v>0</v>
      </c>
      <c r="T214" s="58"/>
      <c r="U214" s="58"/>
      <c r="V214" s="59">
        <f t="shared" si="21"/>
        <v>232.07066999999998</v>
      </c>
      <c r="W214" s="60">
        <f t="shared" si="22"/>
        <v>0</v>
      </c>
    </row>
    <row r="215" spans="1:23" x14ac:dyDescent="0.35">
      <c r="A215" s="61"/>
      <c r="B215" s="55">
        <v>211</v>
      </c>
      <c r="C215" s="70" t="s">
        <v>822</v>
      </c>
      <c r="D215" s="129">
        <v>136488</v>
      </c>
      <c r="E215" s="128"/>
      <c r="F215" s="130">
        <v>139439</v>
      </c>
      <c r="G215" s="71">
        <v>46239</v>
      </c>
      <c r="H215" s="71" t="s">
        <v>257</v>
      </c>
      <c r="I215" s="56">
        <f t="shared" si="18"/>
        <v>14</v>
      </c>
      <c r="J215" s="71">
        <v>46260</v>
      </c>
      <c r="K215" s="56">
        <f t="shared" si="19"/>
        <v>3</v>
      </c>
      <c r="L215" s="71" t="s">
        <v>264</v>
      </c>
      <c r="M215" s="56">
        <f t="shared" si="20"/>
        <v>1</v>
      </c>
      <c r="N215" s="50">
        <v>0</v>
      </c>
      <c r="O215" s="50" t="s">
        <v>605</v>
      </c>
      <c r="P215" s="57" t="s">
        <v>53</v>
      </c>
      <c r="Q215" s="224">
        <v>147.82608695652175</v>
      </c>
      <c r="R215" s="224">
        <v>147.82608695652175</v>
      </c>
      <c r="S215" s="58">
        <f t="shared" si="23"/>
        <v>0</v>
      </c>
      <c r="T215" s="58"/>
      <c r="U215" s="58"/>
      <c r="V215" s="59">
        <f t="shared" si="21"/>
        <v>14.782608695652176</v>
      </c>
      <c r="W215" s="60">
        <f t="shared" si="22"/>
        <v>0</v>
      </c>
    </row>
    <row r="216" spans="1:23" x14ac:dyDescent="0.35">
      <c r="A216" s="61"/>
      <c r="B216" s="55">
        <v>212</v>
      </c>
      <c r="C216" s="70" t="s">
        <v>822</v>
      </c>
      <c r="D216" s="129">
        <v>136272</v>
      </c>
      <c r="E216" s="128"/>
      <c r="F216" s="130">
        <v>139461</v>
      </c>
      <c r="G216" s="71">
        <v>46240</v>
      </c>
      <c r="H216" s="71" t="s">
        <v>254</v>
      </c>
      <c r="I216" s="11">
        <f t="shared" si="18"/>
        <v>4</v>
      </c>
      <c r="J216" s="71">
        <v>46245</v>
      </c>
      <c r="K216" s="11">
        <f t="shared" si="19"/>
        <v>1</v>
      </c>
      <c r="L216" s="71" t="s">
        <v>269</v>
      </c>
      <c r="M216" s="11">
        <f t="shared" si="20"/>
        <v>17</v>
      </c>
      <c r="N216" s="50" t="s">
        <v>395</v>
      </c>
      <c r="O216" s="50" t="s">
        <v>679</v>
      </c>
      <c r="P216" s="57" t="s">
        <v>53</v>
      </c>
      <c r="Q216" s="224">
        <v>89789.7</v>
      </c>
      <c r="R216" s="224">
        <v>64135.5</v>
      </c>
      <c r="S216" s="58">
        <f t="shared" si="23"/>
        <v>25654.199999999997</v>
      </c>
      <c r="T216" s="58"/>
      <c r="U216" s="58"/>
      <c r="V216" s="59">
        <f t="shared" si="21"/>
        <v>8978.9699999999993</v>
      </c>
      <c r="W216" s="60">
        <f t="shared" si="22"/>
        <v>0.2857142857142857</v>
      </c>
    </row>
    <row r="217" spans="1:23" x14ac:dyDescent="0.35">
      <c r="A217" s="61"/>
      <c r="B217" s="55">
        <v>213</v>
      </c>
      <c r="C217" s="70" t="s">
        <v>822</v>
      </c>
      <c r="D217" s="129">
        <v>136226</v>
      </c>
      <c r="E217" s="128"/>
      <c r="F217" s="130">
        <v>139450</v>
      </c>
      <c r="G217" s="71">
        <v>46240</v>
      </c>
      <c r="H217" s="71" t="s">
        <v>255</v>
      </c>
      <c r="I217" s="11">
        <f t="shared" si="18"/>
        <v>2</v>
      </c>
      <c r="J217" s="71">
        <v>46241</v>
      </c>
      <c r="K217" s="11">
        <f t="shared" si="19"/>
        <v>1</v>
      </c>
      <c r="L217" s="71" t="s">
        <v>258</v>
      </c>
      <c r="M217" s="11">
        <f t="shared" si="20"/>
        <v>2</v>
      </c>
      <c r="N217" s="50" t="s">
        <v>396</v>
      </c>
      <c r="O217" s="50" t="s">
        <v>698</v>
      </c>
      <c r="P217" s="57" t="s">
        <v>53</v>
      </c>
      <c r="Q217" s="224">
        <v>2274383.8663299</v>
      </c>
      <c r="R217" s="224">
        <v>1220190.9734079</v>
      </c>
      <c r="S217" s="58">
        <f t="shared" si="23"/>
        <v>1054192.892922</v>
      </c>
      <c r="T217" s="58"/>
      <c r="U217" s="58"/>
      <c r="V217" s="59">
        <f t="shared" si="21"/>
        <v>227438.38663299</v>
      </c>
      <c r="W217" s="60">
        <f t="shared" si="22"/>
        <v>0.46350702206796657</v>
      </c>
    </row>
    <row r="218" spans="1:23" x14ac:dyDescent="0.35">
      <c r="A218" s="61"/>
      <c r="B218" s="55">
        <v>214</v>
      </c>
      <c r="C218" s="70" t="s">
        <v>822</v>
      </c>
      <c r="D218" s="129">
        <v>136235</v>
      </c>
      <c r="E218" s="128"/>
      <c r="F218" s="130">
        <v>139455</v>
      </c>
      <c r="G218" s="71">
        <v>46240</v>
      </c>
      <c r="H218" s="71" t="s">
        <v>256</v>
      </c>
      <c r="I218" s="11">
        <f t="shared" si="18"/>
        <v>1</v>
      </c>
      <c r="J218" s="71">
        <v>46244</v>
      </c>
      <c r="K218" s="11">
        <f t="shared" si="19"/>
        <v>3</v>
      </c>
      <c r="L218" s="71" t="s">
        <v>258</v>
      </c>
      <c r="M218" s="11">
        <f t="shared" si="20"/>
        <v>1</v>
      </c>
      <c r="N218" s="50">
        <v>0</v>
      </c>
      <c r="O218" s="50" t="s">
        <v>699</v>
      </c>
      <c r="P218" s="57" t="s">
        <v>53</v>
      </c>
      <c r="Q218" s="224">
        <v>5148</v>
      </c>
      <c r="R218" s="224">
        <v>5148</v>
      </c>
      <c r="S218" s="58">
        <f t="shared" si="23"/>
        <v>0</v>
      </c>
      <c r="T218" s="58"/>
      <c r="U218" s="58"/>
      <c r="V218" s="59">
        <f t="shared" si="21"/>
        <v>514.80000000000007</v>
      </c>
      <c r="W218" s="60">
        <f t="shared" si="22"/>
        <v>0</v>
      </c>
    </row>
    <row r="219" spans="1:23" x14ac:dyDescent="0.35">
      <c r="A219" s="61"/>
      <c r="B219" s="55">
        <v>215</v>
      </c>
      <c r="C219" s="70" t="s">
        <v>822</v>
      </c>
      <c r="D219" s="129">
        <v>136236</v>
      </c>
      <c r="E219" s="128"/>
      <c r="F219" s="130">
        <v>139462</v>
      </c>
      <c r="G219" s="71">
        <v>46240</v>
      </c>
      <c r="H219" s="71" t="s">
        <v>256</v>
      </c>
      <c r="I219" s="11">
        <f t="shared" si="18"/>
        <v>1</v>
      </c>
      <c r="J219" s="71">
        <v>46244</v>
      </c>
      <c r="K219" s="11">
        <f t="shared" si="19"/>
        <v>3</v>
      </c>
      <c r="L219" s="71" t="s">
        <v>258</v>
      </c>
      <c r="M219" s="11">
        <f t="shared" si="20"/>
        <v>1</v>
      </c>
      <c r="N219" s="50">
        <v>0</v>
      </c>
      <c r="O219" s="50" t="s">
        <v>699</v>
      </c>
      <c r="P219" s="57" t="s">
        <v>53</v>
      </c>
      <c r="Q219" s="224">
        <v>20483.78378378378</v>
      </c>
      <c r="R219" s="224">
        <v>20463.3</v>
      </c>
      <c r="S219" s="58">
        <f t="shared" si="23"/>
        <v>20.483783783780382</v>
      </c>
      <c r="T219" s="58"/>
      <c r="U219" s="58"/>
      <c r="V219" s="59">
        <f t="shared" si="21"/>
        <v>2048.3783783783779</v>
      </c>
      <c r="W219" s="60">
        <f t="shared" si="22"/>
        <v>9.9999999999983414E-4</v>
      </c>
    </row>
    <row r="220" spans="1:23" x14ac:dyDescent="0.35">
      <c r="A220" s="61"/>
      <c r="B220" s="55">
        <v>216</v>
      </c>
      <c r="C220" s="70" t="s">
        <v>822</v>
      </c>
      <c r="D220" s="129">
        <v>136215</v>
      </c>
      <c r="E220" s="128"/>
      <c r="F220" s="130">
        <v>139457</v>
      </c>
      <c r="G220" s="71">
        <v>46240</v>
      </c>
      <c r="H220" s="71" t="s">
        <v>256</v>
      </c>
      <c r="I220" s="11">
        <f t="shared" si="18"/>
        <v>1</v>
      </c>
      <c r="J220" s="71">
        <v>46240</v>
      </c>
      <c r="K220" s="11">
        <f t="shared" si="19"/>
        <v>1</v>
      </c>
      <c r="L220" s="71" t="s">
        <v>256</v>
      </c>
      <c r="M220" s="11">
        <f t="shared" si="20"/>
        <v>1</v>
      </c>
      <c r="N220" s="50">
        <v>0</v>
      </c>
      <c r="O220" s="50" t="s">
        <v>700</v>
      </c>
      <c r="P220" s="57" t="s">
        <v>53</v>
      </c>
      <c r="Q220" s="224">
        <v>3195.6521739130435</v>
      </c>
      <c r="R220" s="224">
        <v>3195.6521739130435</v>
      </c>
      <c r="S220" s="58">
        <f t="shared" si="23"/>
        <v>0</v>
      </c>
      <c r="T220" s="58"/>
      <c r="U220" s="58"/>
      <c r="V220" s="59">
        <f t="shared" si="21"/>
        <v>319.56521739130437</v>
      </c>
      <c r="W220" s="60">
        <f t="shared" si="22"/>
        <v>0</v>
      </c>
    </row>
    <row r="221" spans="1:23" x14ac:dyDescent="0.35">
      <c r="A221" s="61"/>
      <c r="B221" s="55">
        <v>217</v>
      </c>
      <c r="C221" s="70" t="s">
        <v>822</v>
      </c>
      <c r="D221" s="129">
        <v>136216</v>
      </c>
      <c r="E221" s="128"/>
      <c r="F221" s="130">
        <v>139451</v>
      </c>
      <c r="G221" s="71">
        <v>46240</v>
      </c>
      <c r="H221" s="71" t="s">
        <v>256</v>
      </c>
      <c r="I221" s="11">
        <f t="shared" si="18"/>
        <v>1</v>
      </c>
      <c r="J221" s="71">
        <v>46241</v>
      </c>
      <c r="K221" s="11">
        <f t="shared" si="19"/>
        <v>2</v>
      </c>
      <c r="L221" s="71" t="s">
        <v>255</v>
      </c>
      <c r="M221" s="11">
        <f t="shared" si="20"/>
        <v>1</v>
      </c>
      <c r="N221" s="50" t="s">
        <v>397</v>
      </c>
      <c r="O221" s="50" t="s">
        <v>701</v>
      </c>
      <c r="P221" s="57" t="s">
        <v>53</v>
      </c>
      <c r="Q221" s="224">
        <v>2381.0041304347824</v>
      </c>
      <c r="R221" s="224">
        <v>2381.0041304347824</v>
      </c>
      <c r="S221" s="58">
        <f t="shared" si="23"/>
        <v>0</v>
      </c>
      <c r="T221" s="58"/>
      <c r="U221" s="58"/>
      <c r="V221" s="59">
        <f t="shared" si="21"/>
        <v>238.10041304347826</v>
      </c>
      <c r="W221" s="60">
        <f t="shared" si="22"/>
        <v>0</v>
      </c>
    </row>
    <row r="222" spans="1:23" x14ac:dyDescent="0.35">
      <c r="A222" s="61"/>
      <c r="B222" s="55">
        <v>218</v>
      </c>
      <c r="C222" s="70" t="s">
        <v>822</v>
      </c>
      <c r="D222" s="129">
        <v>136217</v>
      </c>
      <c r="E222" s="128"/>
      <c r="F222" s="130">
        <v>139463</v>
      </c>
      <c r="G222" s="71">
        <v>46240</v>
      </c>
      <c r="H222" s="71" t="s">
        <v>256</v>
      </c>
      <c r="I222" s="11">
        <f t="shared" si="18"/>
        <v>1</v>
      </c>
      <c r="J222" s="71">
        <v>46241</v>
      </c>
      <c r="K222" s="11">
        <f t="shared" si="19"/>
        <v>2</v>
      </c>
      <c r="L222" s="71" t="s">
        <v>255</v>
      </c>
      <c r="M222" s="11">
        <f t="shared" si="20"/>
        <v>1</v>
      </c>
      <c r="N222" s="50" t="s">
        <v>398</v>
      </c>
      <c r="O222" s="50" t="s">
        <v>653</v>
      </c>
      <c r="P222" s="57" t="s">
        <v>53</v>
      </c>
      <c r="Q222" s="224">
        <v>75</v>
      </c>
      <c r="R222" s="224">
        <v>75</v>
      </c>
      <c r="S222" s="58">
        <f t="shared" si="23"/>
        <v>0</v>
      </c>
      <c r="T222" s="58"/>
      <c r="U222" s="58"/>
      <c r="V222" s="59">
        <f t="shared" si="21"/>
        <v>7.5</v>
      </c>
      <c r="W222" s="60">
        <f t="shared" si="22"/>
        <v>0</v>
      </c>
    </row>
    <row r="223" spans="1:23" x14ac:dyDescent="0.35">
      <c r="A223" s="61"/>
      <c r="B223" s="55">
        <v>219</v>
      </c>
      <c r="C223" s="70" t="s">
        <v>822</v>
      </c>
      <c r="D223" s="129">
        <v>136218</v>
      </c>
      <c r="E223" s="128"/>
      <c r="F223" s="130">
        <v>139464</v>
      </c>
      <c r="G223" s="71">
        <v>46240</v>
      </c>
      <c r="H223" s="71" t="s">
        <v>256</v>
      </c>
      <c r="I223" s="11">
        <f t="shared" si="18"/>
        <v>1</v>
      </c>
      <c r="J223" s="71">
        <v>46241</v>
      </c>
      <c r="K223" s="11">
        <f t="shared" si="19"/>
        <v>2</v>
      </c>
      <c r="L223" s="71" t="s">
        <v>255</v>
      </c>
      <c r="M223" s="11">
        <f t="shared" si="20"/>
        <v>1</v>
      </c>
      <c r="N223" s="50" t="s">
        <v>399</v>
      </c>
      <c r="O223" s="50" t="s">
        <v>605</v>
      </c>
      <c r="P223" s="57" t="s">
        <v>53</v>
      </c>
      <c r="Q223" s="224">
        <v>52078.630434782608</v>
      </c>
      <c r="R223" s="224">
        <v>52078.630434782608</v>
      </c>
      <c r="S223" s="58">
        <f t="shared" si="23"/>
        <v>0</v>
      </c>
      <c r="T223" s="58"/>
      <c r="U223" s="58"/>
      <c r="V223" s="59">
        <f t="shared" si="21"/>
        <v>5207.8630434782608</v>
      </c>
      <c r="W223" s="60">
        <f t="shared" si="22"/>
        <v>0</v>
      </c>
    </row>
    <row r="224" spans="1:23" x14ac:dyDescent="0.35">
      <c r="A224" s="61"/>
      <c r="B224" s="55">
        <v>220</v>
      </c>
      <c r="C224" s="70" t="s">
        <v>822</v>
      </c>
      <c r="D224" s="129">
        <v>136227</v>
      </c>
      <c r="E224" s="128"/>
      <c r="F224" s="130">
        <v>139448</v>
      </c>
      <c r="G224" s="71">
        <v>46240</v>
      </c>
      <c r="H224" s="71" t="s">
        <v>255</v>
      </c>
      <c r="I224" s="11">
        <f t="shared" si="18"/>
        <v>2</v>
      </c>
      <c r="J224" s="71">
        <v>46241</v>
      </c>
      <c r="K224" s="11">
        <f t="shared" si="19"/>
        <v>1</v>
      </c>
      <c r="L224" s="71" t="s">
        <v>255</v>
      </c>
      <c r="M224" s="11">
        <f t="shared" si="20"/>
        <v>1</v>
      </c>
      <c r="N224" s="50" t="s">
        <v>400</v>
      </c>
      <c r="O224" s="50" t="s">
        <v>702</v>
      </c>
      <c r="P224" s="57" t="s">
        <v>53</v>
      </c>
      <c r="Q224" s="224">
        <v>2400</v>
      </c>
      <c r="R224" s="224">
        <v>2400</v>
      </c>
      <c r="S224" s="58">
        <f t="shared" si="23"/>
        <v>0</v>
      </c>
      <c r="T224" s="58"/>
      <c r="U224" s="58"/>
      <c r="V224" s="59">
        <f t="shared" si="21"/>
        <v>240</v>
      </c>
      <c r="W224" s="60">
        <f t="shared" si="22"/>
        <v>0</v>
      </c>
    </row>
    <row r="225" spans="1:23" x14ac:dyDescent="0.35">
      <c r="A225" s="61"/>
      <c r="B225" s="55">
        <v>221</v>
      </c>
      <c r="C225" s="70" t="s">
        <v>822</v>
      </c>
      <c r="D225" s="129">
        <v>136245</v>
      </c>
      <c r="E225" s="128"/>
      <c r="F225" s="130">
        <v>139466</v>
      </c>
      <c r="G225" s="71">
        <v>46240</v>
      </c>
      <c r="H225" s="71" t="s">
        <v>258</v>
      </c>
      <c r="I225" s="11">
        <f t="shared" si="18"/>
        <v>3</v>
      </c>
      <c r="J225" s="71">
        <v>46244</v>
      </c>
      <c r="K225" s="11">
        <f t="shared" si="19"/>
        <v>1</v>
      </c>
      <c r="L225" s="71" t="s">
        <v>258</v>
      </c>
      <c r="M225" s="11">
        <f t="shared" si="20"/>
        <v>1</v>
      </c>
      <c r="N225" s="50">
        <v>0</v>
      </c>
      <c r="O225" s="50" t="s">
        <v>623</v>
      </c>
      <c r="P225" s="57" t="s">
        <v>53</v>
      </c>
      <c r="Q225" s="224">
        <v>35.869565217391305</v>
      </c>
      <c r="R225" s="224">
        <v>35.869565217391305</v>
      </c>
      <c r="S225" s="58">
        <f t="shared" si="23"/>
        <v>0</v>
      </c>
      <c r="T225" s="58"/>
      <c r="U225" s="58"/>
      <c r="V225" s="59">
        <f t="shared" si="21"/>
        <v>3.5869565217391308</v>
      </c>
      <c r="W225" s="60">
        <f t="shared" si="22"/>
        <v>0</v>
      </c>
    </row>
    <row r="226" spans="1:23" x14ac:dyDescent="0.35">
      <c r="A226" s="61"/>
      <c r="B226" s="55">
        <v>222</v>
      </c>
      <c r="C226" s="70" t="s">
        <v>822</v>
      </c>
      <c r="D226" s="129">
        <v>136246</v>
      </c>
      <c r="E226" s="128"/>
      <c r="F226" s="130">
        <v>139467</v>
      </c>
      <c r="G226" s="71">
        <v>46240</v>
      </c>
      <c r="H226" s="71" t="s">
        <v>258</v>
      </c>
      <c r="I226" s="11">
        <f t="shared" si="18"/>
        <v>3</v>
      </c>
      <c r="J226" s="71">
        <v>46244</v>
      </c>
      <c r="K226" s="11">
        <f t="shared" si="19"/>
        <v>1</v>
      </c>
      <c r="L226" s="71" t="s">
        <v>258</v>
      </c>
      <c r="M226" s="11">
        <f t="shared" si="20"/>
        <v>1</v>
      </c>
      <c r="N226" s="50">
        <v>0</v>
      </c>
      <c r="O226" s="50" t="s">
        <v>703</v>
      </c>
      <c r="P226" s="57" t="s">
        <v>53</v>
      </c>
      <c r="Q226" s="224">
        <v>391.30434782608694</v>
      </c>
      <c r="R226" s="224">
        <v>391.30434782608694</v>
      </c>
      <c r="S226" s="58">
        <f t="shared" si="23"/>
        <v>0</v>
      </c>
      <c r="T226" s="58"/>
      <c r="U226" s="58"/>
      <c r="V226" s="59">
        <f t="shared" si="21"/>
        <v>39.130434782608695</v>
      </c>
      <c r="W226" s="60">
        <f t="shared" si="22"/>
        <v>0</v>
      </c>
    </row>
    <row r="227" spans="1:23" x14ac:dyDescent="0.35">
      <c r="A227" s="61"/>
      <c r="B227" s="55">
        <v>223</v>
      </c>
      <c r="C227" s="70" t="s">
        <v>822</v>
      </c>
      <c r="D227" s="129">
        <v>136252</v>
      </c>
      <c r="E227" s="128"/>
      <c r="F227" s="130">
        <v>139452</v>
      </c>
      <c r="G227" s="71">
        <v>46240</v>
      </c>
      <c r="H227" s="71" t="s">
        <v>255</v>
      </c>
      <c r="I227" s="11">
        <f t="shared" si="18"/>
        <v>2</v>
      </c>
      <c r="J227" s="71">
        <v>46244</v>
      </c>
      <c r="K227" s="11">
        <f t="shared" si="19"/>
        <v>2</v>
      </c>
      <c r="L227" s="71" t="s">
        <v>258</v>
      </c>
      <c r="M227" s="11">
        <f t="shared" si="20"/>
        <v>1</v>
      </c>
      <c r="N227" s="50" t="s">
        <v>401</v>
      </c>
      <c r="O227" s="50" t="s">
        <v>704</v>
      </c>
      <c r="P227" s="57" t="s">
        <v>53</v>
      </c>
      <c r="Q227" s="224">
        <v>1177</v>
      </c>
      <c r="R227" s="224">
        <v>1177</v>
      </c>
      <c r="S227" s="58">
        <f t="shared" si="23"/>
        <v>0</v>
      </c>
      <c r="T227" s="58"/>
      <c r="U227" s="58"/>
      <c r="V227" s="59">
        <f t="shared" si="21"/>
        <v>117.7</v>
      </c>
      <c r="W227" s="60">
        <f t="shared" si="22"/>
        <v>0</v>
      </c>
    </row>
    <row r="228" spans="1:23" ht="43.5" customHeight="1" x14ac:dyDescent="0.35">
      <c r="A228" s="61"/>
      <c r="B228" s="55">
        <v>224</v>
      </c>
      <c r="C228" s="70" t="s">
        <v>822</v>
      </c>
      <c r="D228" s="129">
        <v>136261</v>
      </c>
      <c r="E228" s="128"/>
      <c r="F228" s="130">
        <v>139465</v>
      </c>
      <c r="G228" s="71">
        <v>46240</v>
      </c>
      <c r="H228" s="71" t="s">
        <v>255</v>
      </c>
      <c r="I228" s="11">
        <f t="shared" si="18"/>
        <v>2</v>
      </c>
      <c r="J228" s="71">
        <v>46244</v>
      </c>
      <c r="K228" s="11">
        <f t="shared" si="19"/>
        <v>2</v>
      </c>
      <c r="L228" s="71" t="s">
        <v>258</v>
      </c>
      <c r="M228" s="11">
        <f t="shared" si="20"/>
        <v>1</v>
      </c>
      <c r="N228" s="72" t="s">
        <v>402</v>
      </c>
      <c r="O228" s="50" t="s">
        <v>612</v>
      </c>
      <c r="P228" s="57" t="s">
        <v>53</v>
      </c>
      <c r="Q228" s="224">
        <v>2530.2079434782609</v>
      </c>
      <c r="R228" s="224">
        <v>2530.2079434782609</v>
      </c>
      <c r="S228" s="58">
        <f t="shared" si="23"/>
        <v>0</v>
      </c>
      <c r="T228" s="58"/>
      <c r="U228" s="58"/>
      <c r="V228" s="59">
        <f t="shared" si="21"/>
        <v>253.0207943478261</v>
      </c>
      <c r="W228" s="60">
        <f t="shared" si="22"/>
        <v>0</v>
      </c>
    </row>
    <row r="229" spans="1:23" x14ac:dyDescent="0.35">
      <c r="A229" s="61"/>
      <c r="B229" s="55">
        <v>225</v>
      </c>
      <c r="C229" s="70" t="s">
        <v>822</v>
      </c>
      <c r="D229" s="129">
        <v>136307</v>
      </c>
      <c r="E229" s="128"/>
      <c r="F229" s="130">
        <v>139454</v>
      </c>
      <c r="G229" s="71">
        <v>46240</v>
      </c>
      <c r="H229" s="71" t="s">
        <v>252</v>
      </c>
      <c r="I229" s="11">
        <f t="shared" si="18"/>
        <v>5</v>
      </c>
      <c r="J229" s="71">
        <v>46247</v>
      </c>
      <c r="K229" s="11">
        <f t="shared" si="19"/>
        <v>2</v>
      </c>
      <c r="L229" s="71" t="s">
        <v>243</v>
      </c>
      <c r="M229" s="11">
        <f t="shared" si="20"/>
        <v>1</v>
      </c>
      <c r="N229" s="50" t="s">
        <v>403</v>
      </c>
      <c r="O229" s="50" t="s">
        <v>628</v>
      </c>
      <c r="P229" s="57" t="s">
        <v>53</v>
      </c>
      <c r="Q229" s="224">
        <v>1217.6139130434783</v>
      </c>
      <c r="R229" s="224">
        <v>1217.6139130434783</v>
      </c>
      <c r="S229" s="58">
        <f t="shared" si="23"/>
        <v>0</v>
      </c>
      <c r="T229" s="58"/>
      <c r="U229" s="58"/>
      <c r="V229" s="59">
        <f t="shared" si="21"/>
        <v>121.76139130434784</v>
      </c>
      <c r="W229" s="60">
        <f t="shared" si="22"/>
        <v>0</v>
      </c>
    </row>
    <row r="230" spans="1:23" x14ac:dyDescent="0.35">
      <c r="A230" s="61"/>
      <c r="B230" s="55">
        <v>226</v>
      </c>
      <c r="C230" s="70" t="s">
        <v>822</v>
      </c>
      <c r="D230" s="129">
        <v>136308</v>
      </c>
      <c r="E230" s="128"/>
      <c r="F230" s="130">
        <v>139453</v>
      </c>
      <c r="G230" s="71">
        <v>46240</v>
      </c>
      <c r="H230" s="71" t="s">
        <v>252</v>
      </c>
      <c r="I230" s="11">
        <f t="shared" si="18"/>
        <v>5</v>
      </c>
      <c r="J230" s="71">
        <v>46247</v>
      </c>
      <c r="K230" s="11">
        <f t="shared" si="19"/>
        <v>2</v>
      </c>
      <c r="L230" s="71" t="s">
        <v>243</v>
      </c>
      <c r="M230" s="11">
        <f t="shared" si="20"/>
        <v>1</v>
      </c>
      <c r="N230" s="50" t="s">
        <v>404</v>
      </c>
      <c r="O230" s="50" t="s">
        <v>705</v>
      </c>
      <c r="P230" s="57" t="s">
        <v>53</v>
      </c>
      <c r="Q230" s="224">
        <v>130.43478260869566</v>
      </c>
      <c r="R230" s="224">
        <v>130.43478260869566</v>
      </c>
      <c r="S230" s="58">
        <f t="shared" si="23"/>
        <v>0</v>
      </c>
      <c r="T230" s="58"/>
      <c r="U230" s="58"/>
      <c r="V230" s="59">
        <f t="shared" si="21"/>
        <v>13.043478260869566</v>
      </c>
      <c r="W230" s="60">
        <f t="shared" si="22"/>
        <v>0</v>
      </c>
    </row>
    <row r="231" spans="1:23" x14ac:dyDescent="0.35">
      <c r="A231" s="61"/>
      <c r="B231" s="55">
        <v>227</v>
      </c>
      <c r="C231" s="70" t="s">
        <v>822</v>
      </c>
      <c r="D231" s="129">
        <v>136463</v>
      </c>
      <c r="E231" s="128"/>
      <c r="F231" s="130">
        <v>139449</v>
      </c>
      <c r="G231" s="71">
        <v>46240</v>
      </c>
      <c r="H231" s="71" t="s">
        <v>259</v>
      </c>
      <c r="I231" s="11">
        <f t="shared" si="18"/>
        <v>7</v>
      </c>
      <c r="J231" s="71">
        <v>46258</v>
      </c>
      <c r="K231" s="11">
        <f t="shared" si="19"/>
        <v>7</v>
      </c>
      <c r="L231" s="71" t="s">
        <v>257</v>
      </c>
      <c r="M231" s="11">
        <f t="shared" si="20"/>
        <v>1</v>
      </c>
      <c r="N231" s="50" t="s">
        <v>405</v>
      </c>
      <c r="O231" s="50" t="s">
        <v>615</v>
      </c>
      <c r="P231" s="57" t="s">
        <v>53</v>
      </c>
      <c r="Q231" s="224">
        <v>508.69565217391306</v>
      </c>
      <c r="R231" s="224">
        <v>508.69565217391306</v>
      </c>
      <c r="S231" s="58">
        <f t="shared" si="23"/>
        <v>0</v>
      </c>
      <c r="T231" s="58"/>
      <c r="U231" s="58"/>
      <c r="V231" s="59">
        <f t="shared" si="21"/>
        <v>50.869565217391312</v>
      </c>
      <c r="W231" s="60">
        <f t="shared" si="22"/>
        <v>0</v>
      </c>
    </row>
    <row r="232" spans="1:23" ht="29" customHeight="1" x14ac:dyDescent="0.35">
      <c r="A232" s="61"/>
      <c r="B232" s="55">
        <v>228</v>
      </c>
      <c r="C232" s="70" t="s">
        <v>822</v>
      </c>
      <c r="D232" s="129">
        <v>136507</v>
      </c>
      <c r="E232" s="128"/>
      <c r="F232" s="130">
        <v>139456</v>
      </c>
      <c r="G232" s="71">
        <v>46240</v>
      </c>
      <c r="H232" s="71" t="s">
        <v>258</v>
      </c>
      <c r="I232" s="11">
        <f t="shared" si="18"/>
        <v>3</v>
      </c>
      <c r="J232" s="71">
        <v>46261</v>
      </c>
      <c r="K232" s="11">
        <f t="shared" si="19"/>
        <v>14</v>
      </c>
      <c r="L232" s="71" t="s">
        <v>265</v>
      </c>
      <c r="M232" s="11">
        <f t="shared" si="20"/>
        <v>1</v>
      </c>
      <c r="N232" s="72" t="s">
        <v>406</v>
      </c>
      <c r="O232" s="50" t="s">
        <v>610</v>
      </c>
      <c r="P232" s="57" t="s">
        <v>53</v>
      </c>
      <c r="Q232" s="224">
        <v>2943.8407608695652</v>
      </c>
      <c r="R232" s="224">
        <v>2943.8407608695652</v>
      </c>
      <c r="S232" s="58">
        <f t="shared" si="23"/>
        <v>0</v>
      </c>
      <c r="T232" s="58"/>
      <c r="U232" s="58"/>
      <c r="V232" s="59">
        <f t="shared" si="21"/>
        <v>294.38407608695655</v>
      </c>
      <c r="W232" s="60">
        <f t="shared" si="22"/>
        <v>0</v>
      </c>
    </row>
    <row r="233" spans="1:23" x14ac:dyDescent="0.35">
      <c r="A233" s="61"/>
      <c r="B233" s="55">
        <v>229</v>
      </c>
      <c r="C233" s="70" t="s">
        <v>822</v>
      </c>
      <c r="D233" s="129">
        <v>136316</v>
      </c>
      <c r="E233" s="128"/>
      <c r="F233" s="130">
        <v>139478</v>
      </c>
      <c r="G233" s="71">
        <v>46241</v>
      </c>
      <c r="H233" s="71" t="s">
        <v>254</v>
      </c>
      <c r="I233" s="11">
        <f t="shared" si="18"/>
        <v>3</v>
      </c>
      <c r="J233" s="71">
        <v>46247</v>
      </c>
      <c r="K233" s="11">
        <f t="shared" si="19"/>
        <v>3</v>
      </c>
      <c r="L233" s="71" t="s">
        <v>243</v>
      </c>
      <c r="M233" s="11">
        <f t="shared" si="20"/>
        <v>1</v>
      </c>
      <c r="N233" s="50" t="s">
        <v>407</v>
      </c>
      <c r="O233" s="50" t="s">
        <v>706</v>
      </c>
      <c r="P233" s="57" t="s">
        <v>53</v>
      </c>
      <c r="Q233" s="224">
        <v>563.40123695652176</v>
      </c>
      <c r="R233" s="224">
        <v>524.09418695652164</v>
      </c>
      <c r="S233" s="58">
        <f t="shared" si="23"/>
        <v>39.307050000000118</v>
      </c>
      <c r="T233" s="58"/>
      <c r="U233" s="58"/>
      <c r="V233" s="59">
        <f t="shared" si="21"/>
        <v>56.340123695652181</v>
      </c>
      <c r="W233" s="60">
        <f t="shared" si="22"/>
        <v>6.976741870915254E-2</v>
      </c>
    </row>
    <row r="234" spans="1:23" x14ac:dyDescent="0.35">
      <c r="A234" s="61"/>
      <c r="B234" s="55">
        <v>230</v>
      </c>
      <c r="C234" s="70" t="s">
        <v>822</v>
      </c>
      <c r="D234" s="129">
        <v>136222</v>
      </c>
      <c r="E234" s="128"/>
      <c r="F234" s="130">
        <v>139469</v>
      </c>
      <c r="G234" s="71">
        <v>46241</v>
      </c>
      <c r="H234" s="71" t="s">
        <v>255</v>
      </c>
      <c r="I234" s="11">
        <f t="shared" si="18"/>
        <v>1</v>
      </c>
      <c r="J234" s="71">
        <v>46241</v>
      </c>
      <c r="K234" s="11">
        <f t="shared" si="19"/>
        <v>1</v>
      </c>
      <c r="L234" s="71" t="s">
        <v>255</v>
      </c>
      <c r="M234" s="11">
        <f t="shared" si="20"/>
        <v>1</v>
      </c>
      <c r="N234" s="50" t="s">
        <v>408</v>
      </c>
      <c r="O234" s="50" t="s">
        <v>707</v>
      </c>
      <c r="P234" s="57" t="s">
        <v>53</v>
      </c>
      <c r="Q234" s="224">
        <v>335.50724130434782</v>
      </c>
      <c r="R234" s="224">
        <v>335.50724130434782</v>
      </c>
      <c r="S234" s="58">
        <f t="shared" si="23"/>
        <v>0</v>
      </c>
      <c r="T234" s="58"/>
      <c r="U234" s="58"/>
      <c r="V234" s="59">
        <f t="shared" si="21"/>
        <v>33.55072413043478</v>
      </c>
      <c r="W234" s="60">
        <f t="shared" si="22"/>
        <v>0</v>
      </c>
    </row>
    <row r="235" spans="1:23" x14ac:dyDescent="0.35">
      <c r="A235" s="61"/>
      <c r="B235" s="55">
        <v>231</v>
      </c>
      <c r="C235" s="70" t="s">
        <v>822</v>
      </c>
      <c r="D235" s="129">
        <v>136223</v>
      </c>
      <c r="E235" s="128"/>
      <c r="F235" s="130">
        <v>139470</v>
      </c>
      <c r="G235" s="71">
        <v>46241</v>
      </c>
      <c r="H235" s="71" t="s">
        <v>255</v>
      </c>
      <c r="I235" s="11">
        <f t="shared" si="18"/>
        <v>1</v>
      </c>
      <c r="J235" s="71">
        <v>46241</v>
      </c>
      <c r="K235" s="11">
        <f t="shared" si="19"/>
        <v>1</v>
      </c>
      <c r="L235" s="71" t="s">
        <v>255</v>
      </c>
      <c r="M235" s="11">
        <f t="shared" si="20"/>
        <v>1</v>
      </c>
      <c r="N235" s="50" t="s">
        <v>409</v>
      </c>
      <c r="O235" s="50" t="s">
        <v>708</v>
      </c>
      <c r="P235" s="57" t="s">
        <v>53</v>
      </c>
      <c r="Q235" s="224">
        <v>12.5</v>
      </c>
      <c r="R235" s="224">
        <v>12.5</v>
      </c>
      <c r="S235" s="58">
        <f t="shared" si="23"/>
        <v>0</v>
      </c>
      <c r="T235" s="58"/>
      <c r="U235" s="58"/>
      <c r="V235" s="59">
        <f t="shared" si="21"/>
        <v>1.25</v>
      </c>
      <c r="W235" s="60">
        <f t="shared" si="22"/>
        <v>0</v>
      </c>
    </row>
    <row r="236" spans="1:23" ht="29" customHeight="1" x14ac:dyDescent="0.35">
      <c r="A236" s="61"/>
      <c r="B236" s="55">
        <v>232</v>
      </c>
      <c r="C236" s="70" t="s">
        <v>822</v>
      </c>
      <c r="D236" s="129">
        <v>136248</v>
      </c>
      <c r="E236" s="128"/>
      <c r="F236" s="130">
        <v>139486</v>
      </c>
      <c r="G236" s="71">
        <v>46241</v>
      </c>
      <c r="H236" s="71" t="s">
        <v>255</v>
      </c>
      <c r="I236" s="11">
        <f t="shared" si="18"/>
        <v>1</v>
      </c>
      <c r="J236" s="71">
        <v>46244</v>
      </c>
      <c r="K236" s="11">
        <f t="shared" si="19"/>
        <v>2</v>
      </c>
      <c r="L236" s="71" t="s">
        <v>258</v>
      </c>
      <c r="M236" s="11">
        <f t="shared" si="20"/>
        <v>1</v>
      </c>
      <c r="N236" s="72" t="s">
        <v>410</v>
      </c>
      <c r="O236" s="50" t="s">
        <v>709</v>
      </c>
      <c r="P236" s="57" t="s">
        <v>53</v>
      </c>
      <c r="Q236" s="224">
        <v>309.6521739130435</v>
      </c>
      <c r="R236" s="224">
        <v>309.6521739130435</v>
      </c>
      <c r="S236" s="58">
        <f t="shared" si="23"/>
        <v>0</v>
      </c>
      <c r="T236" s="58"/>
      <c r="U236" s="58"/>
      <c r="V236" s="59">
        <f t="shared" si="21"/>
        <v>30.96521739130435</v>
      </c>
      <c r="W236" s="60">
        <f t="shared" si="22"/>
        <v>0</v>
      </c>
    </row>
    <row r="237" spans="1:23" x14ac:dyDescent="0.35">
      <c r="A237" s="61"/>
      <c r="B237" s="55">
        <v>233</v>
      </c>
      <c r="C237" s="70" t="s">
        <v>822</v>
      </c>
      <c r="D237" s="129">
        <v>136249</v>
      </c>
      <c r="E237" s="128"/>
      <c r="F237" s="130">
        <v>139479</v>
      </c>
      <c r="G237" s="71">
        <v>46241</v>
      </c>
      <c r="H237" s="71" t="s">
        <v>258</v>
      </c>
      <c r="I237" s="11">
        <f t="shared" si="18"/>
        <v>2</v>
      </c>
      <c r="J237" s="71">
        <v>46244</v>
      </c>
      <c r="K237" s="11">
        <f t="shared" si="19"/>
        <v>1</v>
      </c>
      <c r="L237" s="71" t="s">
        <v>258</v>
      </c>
      <c r="M237" s="11">
        <f t="shared" si="20"/>
        <v>1</v>
      </c>
      <c r="N237" s="50" t="s">
        <v>411</v>
      </c>
      <c r="O237" s="50" t="s">
        <v>710</v>
      </c>
      <c r="P237" s="57" t="s">
        <v>53</v>
      </c>
      <c r="Q237" s="224">
        <v>36.521739130434781</v>
      </c>
      <c r="R237" s="224">
        <v>36.521739130434781</v>
      </c>
      <c r="S237" s="58">
        <f t="shared" si="23"/>
        <v>0</v>
      </c>
      <c r="T237" s="58"/>
      <c r="U237" s="58"/>
      <c r="V237" s="59">
        <f t="shared" si="21"/>
        <v>3.6521739130434785</v>
      </c>
      <c r="W237" s="60">
        <f t="shared" si="22"/>
        <v>0</v>
      </c>
    </row>
    <row r="238" spans="1:23" ht="29" customHeight="1" x14ac:dyDescent="0.35">
      <c r="A238" s="61"/>
      <c r="B238" s="55">
        <v>234</v>
      </c>
      <c r="C238" s="70" t="s">
        <v>822</v>
      </c>
      <c r="D238" s="129">
        <v>136254</v>
      </c>
      <c r="E238" s="128"/>
      <c r="F238" s="130">
        <v>139483</v>
      </c>
      <c r="G238" s="71">
        <v>46241</v>
      </c>
      <c r="H238" s="71" t="s">
        <v>255</v>
      </c>
      <c r="I238" s="11">
        <f t="shared" si="18"/>
        <v>1</v>
      </c>
      <c r="J238" s="71">
        <v>46244</v>
      </c>
      <c r="K238" s="11">
        <f t="shared" si="19"/>
        <v>2</v>
      </c>
      <c r="L238" s="71" t="s">
        <v>258</v>
      </c>
      <c r="M238" s="11">
        <f t="shared" si="20"/>
        <v>1</v>
      </c>
      <c r="N238" s="72" t="s">
        <v>412</v>
      </c>
      <c r="O238" s="50" t="s">
        <v>711</v>
      </c>
      <c r="P238" s="57" t="s">
        <v>53</v>
      </c>
      <c r="Q238" s="224">
        <v>934.78260869565213</v>
      </c>
      <c r="R238" s="224">
        <v>934.78260869565213</v>
      </c>
      <c r="S238" s="58">
        <f t="shared" si="23"/>
        <v>0</v>
      </c>
      <c r="T238" s="58"/>
      <c r="U238" s="58"/>
      <c r="V238" s="59">
        <f t="shared" si="21"/>
        <v>93.478260869565219</v>
      </c>
      <c r="W238" s="60">
        <f t="shared" si="22"/>
        <v>0</v>
      </c>
    </row>
    <row r="239" spans="1:23" x14ac:dyDescent="0.35">
      <c r="A239" s="61"/>
      <c r="B239" s="55">
        <v>235</v>
      </c>
      <c r="C239" s="70" t="s">
        <v>822</v>
      </c>
      <c r="D239" s="129">
        <v>136255</v>
      </c>
      <c r="E239" s="128"/>
      <c r="F239" s="130">
        <v>139482</v>
      </c>
      <c r="G239" s="71">
        <v>46241</v>
      </c>
      <c r="H239" s="71" t="s">
        <v>255</v>
      </c>
      <c r="I239" s="11">
        <f t="shared" si="18"/>
        <v>1</v>
      </c>
      <c r="J239" s="71">
        <v>46244</v>
      </c>
      <c r="K239" s="11">
        <f t="shared" si="19"/>
        <v>2</v>
      </c>
      <c r="L239" s="71" t="s">
        <v>258</v>
      </c>
      <c r="M239" s="11">
        <f t="shared" si="20"/>
        <v>1</v>
      </c>
      <c r="N239" s="50" t="s">
        <v>336</v>
      </c>
      <c r="O239" s="50" t="s">
        <v>654</v>
      </c>
      <c r="P239" s="57" t="s">
        <v>53</v>
      </c>
      <c r="Q239" s="224">
        <v>531.304347826087</v>
      </c>
      <c r="R239" s="224">
        <v>531.304347826087</v>
      </c>
      <c r="S239" s="58">
        <f t="shared" si="23"/>
        <v>0</v>
      </c>
      <c r="T239" s="58"/>
      <c r="U239" s="58"/>
      <c r="V239" s="59">
        <f t="shared" si="21"/>
        <v>53.130434782608702</v>
      </c>
      <c r="W239" s="60">
        <f t="shared" si="22"/>
        <v>0</v>
      </c>
    </row>
    <row r="240" spans="1:23" x14ac:dyDescent="0.35">
      <c r="A240" s="61"/>
      <c r="B240" s="55">
        <v>236</v>
      </c>
      <c r="C240" s="70" t="s">
        <v>822</v>
      </c>
      <c r="D240" s="129">
        <v>136256</v>
      </c>
      <c r="E240" s="128"/>
      <c r="F240" s="130">
        <v>139481</v>
      </c>
      <c r="G240" s="71">
        <v>46241</v>
      </c>
      <c r="H240" s="71" t="s">
        <v>255</v>
      </c>
      <c r="I240" s="11">
        <f t="shared" si="18"/>
        <v>1</v>
      </c>
      <c r="J240" s="71">
        <v>46244</v>
      </c>
      <c r="K240" s="11">
        <f t="shared" si="19"/>
        <v>2</v>
      </c>
      <c r="L240" s="71" t="s">
        <v>258</v>
      </c>
      <c r="M240" s="11">
        <f t="shared" si="20"/>
        <v>1</v>
      </c>
      <c r="N240" s="50" t="s">
        <v>413</v>
      </c>
      <c r="O240" s="50" t="s">
        <v>712</v>
      </c>
      <c r="P240" s="57" t="s">
        <v>53</v>
      </c>
      <c r="Q240" s="224">
        <v>163.04347826086956</v>
      </c>
      <c r="R240" s="224">
        <v>163.04347826086956</v>
      </c>
      <c r="S240" s="58">
        <f t="shared" si="23"/>
        <v>0</v>
      </c>
      <c r="T240" s="58"/>
      <c r="U240" s="58"/>
      <c r="V240" s="59">
        <f t="shared" si="21"/>
        <v>16.304347826086957</v>
      </c>
      <c r="W240" s="60">
        <f t="shared" si="22"/>
        <v>0</v>
      </c>
    </row>
    <row r="241" spans="1:23" x14ac:dyDescent="0.35">
      <c r="A241" s="61"/>
      <c r="B241" s="55">
        <v>237</v>
      </c>
      <c r="C241" s="70" t="s">
        <v>822</v>
      </c>
      <c r="D241" s="129">
        <v>136259</v>
      </c>
      <c r="E241" s="128"/>
      <c r="F241" s="130">
        <v>139475</v>
      </c>
      <c r="G241" s="71">
        <v>46241</v>
      </c>
      <c r="H241" s="71" t="s">
        <v>255</v>
      </c>
      <c r="I241" s="11">
        <f t="shared" si="18"/>
        <v>1</v>
      </c>
      <c r="J241" s="71">
        <v>46244</v>
      </c>
      <c r="K241" s="11">
        <f t="shared" si="19"/>
        <v>2</v>
      </c>
      <c r="L241" s="71" t="s">
        <v>258</v>
      </c>
      <c r="M241" s="11">
        <f t="shared" si="20"/>
        <v>1</v>
      </c>
      <c r="N241" s="50" t="s">
        <v>414</v>
      </c>
      <c r="O241" s="50" t="s">
        <v>643</v>
      </c>
      <c r="P241" s="57" t="s">
        <v>53</v>
      </c>
      <c r="Q241" s="224">
        <v>26.521738956521741</v>
      </c>
      <c r="R241" s="224">
        <v>26.521738956521741</v>
      </c>
      <c r="S241" s="58">
        <f t="shared" si="23"/>
        <v>0</v>
      </c>
      <c r="T241" s="58"/>
      <c r="U241" s="58"/>
      <c r="V241" s="59">
        <f t="shared" si="21"/>
        <v>2.6521738956521741</v>
      </c>
      <c r="W241" s="60">
        <f t="shared" si="22"/>
        <v>0</v>
      </c>
    </row>
    <row r="242" spans="1:23" x14ac:dyDescent="0.35">
      <c r="A242" s="61"/>
      <c r="B242" s="55">
        <v>238</v>
      </c>
      <c r="C242" s="70" t="s">
        <v>822</v>
      </c>
      <c r="D242" s="129">
        <v>136260</v>
      </c>
      <c r="E242" s="128"/>
      <c r="F242" s="130">
        <v>139471</v>
      </c>
      <c r="G242" s="71">
        <v>46241</v>
      </c>
      <c r="H242" s="71" t="s">
        <v>255</v>
      </c>
      <c r="I242" s="11">
        <f t="shared" si="18"/>
        <v>1</v>
      </c>
      <c r="J242" s="71">
        <v>46244</v>
      </c>
      <c r="K242" s="11">
        <f t="shared" si="19"/>
        <v>2</v>
      </c>
      <c r="L242" s="71" t="s">
        <v>258</v>
      </c>
      <c r="M242" s="11">
        <f t="shared" si="20"/>
        <v>1</v>
      </c>
      <c r="N242" s="50" t="s">
        <v>415</v>
      </c>
      <c r="O242" s="50" t="s">
        <v>713</v>
      </c>
      <c r="P242" s="57" t="s">
        <v>53</v>
      </c>
      <c r="Q242" s="224">
        <v>223.91304347826087</v>
      </c>
      <c r="R242" s="224">
        <v>223.91304347826087</v>
      </c>
      <c r="S242" s="58">
        <f t="shared" si="23"/>
        <v>0</v>
      </c>
      <c r="T242" s="58"/>
      <c r="U242" s="58"/>
      <c r="V242" s="59">
        <f t="shared" si="21"/>
        <v>22.39130434782609</v>
      </c>
      <c r="W242" s="60">
        <f t="shared" si="22"/>
        <v>0</v>
      </c>
    </row>
    <row r="243" spans="1:23" x14ac:dyDescent="0.35">
      <c r="A243" s="61"/>
      <c r="B243" s="55">
        <v>239</v>
      </c>
      <c r="C243" s="70" t="s">
        <v>822</v>
      </c>
      <c r="D243" s="129">
        <v>136264</v>
      </c>
      <c r="E243" s="128"/>
      <c r="F243" s="130">
        <v>139433</v>
      </c>
      <c r="G243" s="71">
        <v>46241</v>
      </c>
      <c r="H243" s="71" t="s">
        <v>254</v>
      </c>
      <c r="I243" s="11">
        <f t="shared" si="18"/>
        <v>3</v>
      </c>
      <c r="J243" s="71">
        <v>46245</v>
      </c>
      <c r="K243" s="11">
        <f t="shared" si="19"/>
        <v>1</v>
      </c>
      <c r="L243" s="71" t="s">
        <v>254</v>
      </c>
      <c r="M243" s="11">
        <f t="shared" si="20"/>
        <v>1</v>
      </c>
      <c r="N243" s="50" t="s">
        <v>416</v>
      </c>
      <c r="O243" s="50" t="s">
        <v>714</v>
      </c>
      <c r="P243" s="57" t="s">
        <v>53</v>
      </c>
      <c r="Q243" s="224">
        <v>39.130434782608695</v>
      </c>
      <c r="R243" s="224">
        <v>39.130434782608695</v>
      </c>
      <c r="S243" s="58">
        <f t="shared" si="23"/>
        <v>0</v>
      </c>
      <c r="T243" s="58"/>
      <c r="U243" s="58"/>
      <c r="V243" s="59">
        <f t="shared" si="21"/>
        <v>3.9130434782608696</v>
      </c>
      <c r="W243" s="60">
        <f t="shared" si="22"/>
        <v>0</v>
      </c>
    </row>
    <row r="244" spans="1:23" x14ac:dyDescent="0.35">
      <c r="A244" s="61"/>
      <c r="B244" s="55">
        <v>240</v>
      </c>
      <c r="C244" s="70" t="s">
        <v>822</v>
      </c>
      <c r="D244" s="129">
        <v>136265</v>
      </c>
      <c r="E244" s="128"/>
      <c r="F244" s="130">
        <v>139494</v>
      </c>
      <c r="G244" s="71">
        <v>46241</v>
      </c>
      <c r="H244" s="71" t="s">
        <v>254</v>
      </c>
      <c r="I244" s="11">
        <f t="shared" si="18"/>
        <v>3</v>
      </c>
      <c r="J244" s="71">
        <v>46245</v>
      </c>
      <c r="K244" s="11">
        <f t="shared" si="19"/>
        <v>1</v>
      </c>
      <c r="L244" s="71" t="s">
        <v>254</v>
      </c>
      <c r="M244" s="11">
        <f t="shared" si="20"/>
        <v>1</v>
      </c>
      <c r="N244" s="50" t="s">
        <v>417</v>
      </c>
      <c r="O244" s="50" t="s">
        <v>703</v>
      </c>
      <c r="P244" s="57" t="s">
        <v>53</v>
      </c>
      <c r="Q244" s="224">
        <v>290.60869565217394</v>
      </c>
      <c r="R244" s="224">
        <v>290.60869565217394</v>
      </c>
      <c r="S244" s="58">
        <f t="shared" si="23"/>
        <v>0</v>
      </c>
      <c r="T244" s="58"/>
      <c r="U244" s="58"/>
      <c r="V244" s="59">
        <f t="shared" si="21"/>
        <v>29.060869565217395</v>
      </c>
      <c r="W244" s="60">
        <f t="shared" si="22"/>
        <v>0</v>
      </c>
    </row>
    <row r="245" spans="1:23" x14ac:dyDescent="0.35">
      <c r="A245" s="61"/>
      <c r="B245" s="55">
        <v>241</v>
      </c>
      <c r="C245" s="70" t="s">
        <v>822</v>
      </c>
      <c r="D245" s="129">
        <v>136266</v>
      </c>
      <c r="E245" s="128"/>
      <c r="F245" s="130">
        <v>139477</v>
      </c>
      <c r="G245" s="71">
        <v>46241</v>
      </c>
      <c r="H245" s="71" t="s">
        <v>254</v>
      </c>
      <c r="I245" s="11">
        <f t="shared" si="18"/>
        <v>3</v>
      </c>
      <c r="J245" s="71">
        <v>46245</v>
      </c>
      <c r="K245" s="11">
        <f t="shared" si="19"/>
        <v>1</v>
      </c>
      <c r="L245" s="71" t="s">
        <v>254</v>
      </c>
      <c r="M245" s="11">
        <f t="shared" si="20"/>
        <v>1</v>
      </c>
      <c r="N245" s="50" t="s">
        <v>418</v>
      </c>
      <c r="O245" s="50" t="s">
        <v>715</v>
      </c>
      <c r="P245" s="57" t="s">
        <v>53</v>
      </c>
      <c r="Q245" s="224">
        <v>175850.91068863045</v>
      </c>
      <c r="R245" s="224">
        <v>175850.91068863045</v>
      </c>
      <c r="S245" s="58">
        <f t="shared" si="23"/>
        <v>0</v>
      </c>
      <c r="T245" s="58"/>
      <c r="U245" s="58"/>
      <c r="V245" s="59">
        <f t="shared" si="21"/>
        <v>17585.091068863047</v>
      </c>
      <c r="W245" s="60">
        <f t="shared" si="22"/>
        <v>0</v>
      </c>
    </row>
    <row r="246" spans="1:23" x14ac:dyDescent="0.35">
      <c r="A246" s="61"/>
      <c r="B246" s="55">
        <v>242</v>
      </c>
      <c r="C246" s="70" t="s">
        <v>822</v>
      </c>
      <c r="D246" s="129">
        <v>136267</v>
      </c>
      <c r="E246" s="128"/>
      <c r="F246" s="130">
        <v>139487</v>
      </c>
      <c r="G246" s="71">
        <v>46241</v>
      </c>
      <c r="H246" s="71" t="s">
        <v>254</v>
      </c>
      <c r="I246" s="11">
        <f t="shared" si="18"/>
        <v>3</v>
      </c>
      <c r="J246" s="71">
        <v>46245</v>
      </c>
      <c r="K246" s="11">
        <f t="shared" si="19"/>
        <v>1</v>
      </c>
      <c r="L246" s="71" t="s">
        <v>254</v>
      </c>
      <c r="M246" s="11">
        <f t="shared" si="20"/>
        <v>1</v>
      </c>
      <c r="N246" s="50" t="s">
        <v>419</v>
      </c>
      <c r="O246" s="50" t="s">
        <v>716</v>
      </c>
      <c r="P246" s="57" t="s">
        <v>53</v>
      </c>
      <c r="Q246" s="224">
        <v>70425.56</v>
      </c>
      <c r="R246" s="224">
        <v>70425.56</v>
      </c>
      <c r="S246" s="58">
        <f t="shared" si="23"/>
        <v>0</v>
      </c>
      <c r="T246" s="58"/>
      <c r="U246" s="58"/>
      <c r="V246" s="59">
        <f t="shared" si="21"/>
        <v>7042.5560000000005</v>
      </c>
      <c r="W246" s="60">
        <f t="shared" si="22"/>
        <v>0</v>
      </c>
    </row>
    <row r="247" spans="1:23" x14ac:dyDescent="0.35">
      <c r="A247" s="61"/>
      <c r="B247" s="55">
        <v>243</v>
      </c>
      <c r="C247" s="70" t="s">
        <v>822</v>
      </c>
      <c r="D247" s="129">
        <v>136279</v>
      </c>
      <c r="E247" s="128"/>
      <c r="F247" s="130">
        <v>139468</v>
      </c>
      <c r="G247" s="71">
        <v>46241</v>
      </c>
      <c r="H247" s="71" t="s">
        <v>252</v>
      </c>
      <c r="I247" s="11">
        <f t="shared" si="18"/>
        <v>4</v>
      </c>
      <c r="J247" s="71">
        <v>46246</v>
      </c>
      <c r="K247" s="11">
        <f t="shared" si="19"/>
        <v>1</v>
      </c>
      <c r="L247" s="71" t="s">
        <v>252</v>
      </c>
      <c r="M247" s="11">
        <f t="shared" si="20"/>
        <v>1</v>
      </c>
      <c r="N247" s="50" t="s">
        <v>420</v>
      </c>
      <c r="O247" s="50" t="s">
        <v>717</v>
      </c>
      <c r="P247" s="57" t="s">
        <v>53</v>
      </c>
      <c r="Q247" s="224">
        <v>1826.0869565217392</v>
      </c>
      <c r="R247" s="224">
        <v>1826.0869565217392</v>
      </c>
      <c r="S247" s="58">
        <f t="shared" si="23"/>
        <v>0</v>
      </c>
      <c r="T247" s="58"/>
      <c r="U247" s="58"/>
      <c r="V247" s="59">
        <f t="shared" si="21"/>
        <v>182.60869565217394</v>
      </c>
      <c r="W247" s="60">
        <f t="shared" si="22"/>
        <v>0</v>
      </c>
    </row>
    <row r="248" spans="1:23" x14ac:dyDescent="0.35">
      <c r="A248" s="61"/>
      <c r="B248" s="55">
        <v>244</v>
      </c>
      <c r="C248" s="70" t="s">
        <v>822</v>
      </c>
      <c r="D248" s="129">
        <v>136280</v>
      </c>
      <c r="E248" s="128"/>
      <c r="F248" s="130">
        <v>139490</v>
      </c>
      <c r="G248" s="71">
        <v>46241</v>
      </c>
      <c r="H248" s="71" t="s">
        <v>252</v>
      </c>
      <c r="I248" s="11">
        <f t="shared" si="18"/>
        <v>4</v>
      </c>
      <c r="J248" s="71">
        <v>46246</v>
      </c>
      <c r="K248" s="11">
        <f t="shared" si="19"/>
        <v>1</v>
      </c>
      <c r="L248" s="71" t="s">
        <v>252</v>
      </c>
      <c r="M248" s="11">
        <f t="shared" si="20"/>
        <v>1</v>
      </c>
      <c r="N248" s="50" t="s">
        <v>421</v>
      </c>
      <c r="O248" s="50" t="s">
        <v>634</v>
      </c>
      <c r="P248" s="57" t="s">
        <v>53</v>
      </c>
      <c r="Q248" s="224">
        <v>713.31521739130437</v>
      </c>
      <c r="R248" s="224">
        <v>713.31521739130437</v>
      </c>
      <c r="S248" s="58">
        <f t="shared" si="23"/>
        <v>0</v>
      </c>
      <c r="T248" s="58"/>
      <c r="U248" s="58"/>
      <c r="V248" s="59">
        <f t="shared" si="21"/>
        <v>71.331521739130437</v>
      </c>
      <c r="W248" s="60">
        <f t="shared" si="22"/>
        <v>0</v>
      </c>
    </row>
    <row r="249" spans="1:23" x14ac:dyDescent="0.35">
      <c r="A249" s="61"/>
      <c r="B249" s="55">
        <v>245</v>
      </c>
      <c r="C249" s="70" t="s">
        <v>822</v>
      </c>
      <c r="D249" s="129">
        <v>136293</v>
      </c>
      <c r="E249" s="128"/>
      <c r="F249" s="130">
        <v>139400</v>
      </c>
      <c r="G249" s="71">
        <v>46241</v>
      </c>
      <c r="H249" s="71" t="s">
        <v>252</v>
      </c>
      <c r="I249" s="11">
        <f t="shared" ref="I249:I312" si="24">IF(OR(H249="", G249=""), "", NETWORKDAYS(G249, H249))</f>
        <v>4</v>
      </c>
      <c r="J249" s="71">
        <v>46247</v>
      </c>
      <c r="K249" s="11">
        <f t="shared" ref="K249:K312" si="25">IF(OR(H249="", J249=""), "", NETWORKDAYS(H249, J249))</f>
        <v>2</v>
      </c>
      <c r="L249" s="71" t="s">
        <v>243</v>
      </c>
      <c r="M249" s="11">
        <f t="shared" ref="M249:M312" si="26">IF(OR(J249="", L249=""), "", NETWORKDAYS(J249, L249))</f>
        <v>1</v>
      </c>
      <c r="N249" s="50" t="s">
        <v>422</v>
      </c>
      <c r="O249" s="50" t="s">
        <v>718</v>
      </c>
      <c r="P249" s="57" t="s">
        <v>53</v>
      </c>
      <c r="Q249" s="224">
        <v>20777.22</v>
      </c>
      <c r="R249" s="224">
        <v>20777.22</v>
      </c>
      <c r="S249" s="58">
        <f t="shared" ref="S249:S312" si="27">Q249-R249</f>
        <v>0</v>
      </c>
      <c r="T249" s="58"/>
      <c r="U249" s="58"/>
      <c r="V249" s="59">
        <f t="shared" ref="V249:V312" si="28">IF(Q249="", "", Q249*10%)</f>
        <v>2077.7220000000002</v>
      </c>
      <c r="W249" s="60">
        <f t="shared" ref="W249:W312" si="29">IF(OR(Q249="", R249=""), "", (Q249- R249)/Q249)</f>
        <v>0</v>
      </c>
    </row>
    <row r="250" spans="1:23" x14ac:dyDescent="0.35">
      <c r="A250" s="61"/>
      <c r="B250" s="55">
        <v>246</v>
      </c>
      <c r="C250" s="70" t="s">
        <v>822</v>
      </c>
      <c r="D250" s="129">
        <v>136294</v>
      </c>
      <c r="E250" s="128"/>
      <c r="F250" s="130">
        <v>139398</v>
      </c>
      <c r="G250" s="71">
        <v>46241</v>
      </c>
      <c r="H250" s="71" t="s">
        <v>252</v>
      </c>
      <c r="I250" s="11">
        <f t="shared" si="24"/>
        <v>4</v>
      </c>
      <c r="J250" s="71">
        <v>46247</v>
      </c>
      <c r="K250" s="11">
        <f t="shared" si="25"/>
        <v>2</v>
      </c>
      <c r="L250" s="71" t="s">
        <v>243</v>
      </c>
      <c r="M250" s="11">
        <f t="shared" si="26"/>
        <v>1</v>
      </c>
      <c r="N250" s="50" t="s">
        <v>422</v>
      </c>
      <c r="O250" s="50" t="s">
        <v>641</v>
      </c>
      <c r="P250" s="57" t="s">
        <v>53</v>
      </c>
      <c r="Q250" s="224">
        <v>25554.347826086956</v>
      </c>
      <c r="R250" s="224">
        <v>25554.347826086956</v>
      </c>
      <c r="S250" s="58">
        <f t="shared" si="27"/>
        <v>0</v>
      </c>
      <c r="T250" s="58"/>
      <c r="U250" s="58"/>
      <c r="V250" s="59">
        <f t="shared" si="28"/>
        <v>2555.434782608696</v>
      </c>
      <c r="W250" s="60">
        <f t="shared" si="29"/>
        <v>0</v>
      </c>
    </row>
    <row r="251" spans="1:23" x14ac:dyDescent="0.35">
      <c r="A251" s="61"/>
      <c r="B251" s="55">
        <v>247</v>
      </c>
      <c r="C251" s="70" t="s">
        <v>822</v>
      </c>
      <c r="D251" s="129">
        <v>136304</v>
      </c>
      <c r="E251" s="128"/>
      <c r="F251" s="130">
        <v>139485</v>
      </c>
      <c r="G251" s="71">
        <v>46241</v>
      </c>
      <c r="H251" s="71" t="s">
        <v>252</v>
      </c>
      <c r="I251" s="11">
        <f t="shared" si="24"/>
        <v>4</v>
      </c>
      <c r="J251" s="71">
        <v>46247</v>
      </c>
      <c r="K251" s="11">
        <f t="shared" si="25"/>
        <v>2</v>
      </c>
      <c r="L251" s="71" t="s">
        <v>243</v>
      </c>
      <c r="M251" s="11">
        <f t="shared" si="26"/>
        <v>1</v>
      </c>
      <c r="N251" s="50" t="s">
        <v>423</v>
      </c>
      <c r="O251" s="50" t="s">
        <v>719</v>
      </c>
      <c r="P251" s="57" t="s">
        <v>53</v>
      </c>
      <c r="Q251" s="224">
        <v>1608.695652173913</v>
      </c>
      <c r="R251" s="224">
        <v>1608.695652173913</v>
      </c>
      <c r="S251" s="58">
        <f t="shared" si="27"/>
        <v>0</v>
      </c>
      <c r="T251" s="58"/>
      <c r="U251" s="58"/>
      <c r="V251" s="59">
        <f t="shared" si="28"/>
        <v>160.86956521739131</v>
      </c>
      <c r="W251" s="60">
        <f t="shared" si="29"/>
        <v>0</v>
      </c>
    </row>
    <row r="252" spans="1:23" x14ac:dyDescent="0.35">
      <c r="A252" s="61"/>
      <c r="B252" s="55">
        <v>248</v>
      </c>
      <c r="C252" s="70" t="s">
        <v>822</v>
      </c>
      <c r="D252" s="129">
        <v>136305</v>
      </c>
      <c r="E252" s="128"/>
      <c r="F252" s="130">
        <v>139473</v>
      </c>
      <c r="G252" s="71">
        <v>46241</v>
      </c>
      <c r="H252" s="71" t="s">
        <v>252</v>
      </c>
      <c r="I252" s="11">
        <f t="shared" si="24"/>
        <v>4</v>
      </c>
      <c r="J252" s="71">
        <v>46247</v>
      </c>
      <c r="K252" s="11">
        <f t="shared" si="25"/>
        <v>2</v>
      </c>
      <c r="L252" s="71" t="s">
        <v>243</v>
      </c>
      <c r="M252" s="11">
        <f t="shared" si="26"/>
        <v>1</v>
      </c>
      <c r="N252" s="50" t="s">
        <v>293</v>
      </c>
      <c r="O252" s="50" t="s">
        <v>720</v>
      </c>
      <c r="P252" s="57" t="s">
        <v>53</v>
      </c>
      <c r="Q252" s="224">
        <v>434.78260869565219</v>
      </c>
      <c r="R252" s="224">
        <v>434.78260869565219</v>
      </c>
      <c r="S252" s="58">
        <f t="shared" si="27"/>
        <v>0</v>
      </c>
      <c r="T252" s="58"/>
      <c r="U252" s="58"/>
      <c r="V252" s="59">
        <f t="shared" si="28"/>
        <v>43.478260869565219</v>
      </c>
      <c r="W252" s="60">
        <f t="shared" si="29"/>
        <v>0</v>
      </c>
    </row>
    <row r="253" spans="1:23" x14ac:dyDescent="0.35">
      <c r="A253" s="61"/>
      <c r="B253" s="55">
        <v>249</v>
      </c>
      <c r="C253" s="70" t="s">
        <v>822</v>
      </c>
      <c r="D253" s="129">
        <v>136306</v>
      </c>
      <c r="E253" s="128"/>
      <c r="F253" s="130">
        <v>139472</v>
      </c>
      <c r="G253" s="71">
        <v>46241</v>
      </c>
      <c r="H253" s="71" t="s">
        <v>252</v>
      </c>
      <c r="I253" s="11">
        <f t="shared" si="24"/>
        <v>4</v>
      </c>
      <c r="J253" s="71">
        <v>46247</v>
      </c>
      <c r="K253" s="11">
        <f t="shared" si="25"/>
        <v>2</v>
      </c>
      <c r="L253" s="71" t="s">
        <v>243</v>
      </c>
      <c r="M253" s="11">
        <f t="shared" si="26"/>
        <v>1</v>
      </c>
      <c r="N253" s="50" t="s">
        <v>293</v>
      </c>
      <c r="O253" s="50" t="s">
        <v>721</v>
      </c>
      <c r="P253" s="57" t="s">
        <v>53</v>
      </c>
      <c r="Q253" s="224">
        <v>652.17391304347825</v>
      </c>
      <c r="R253" s="224">
        <v>652.17391304347825</v>
      </c>
      <c r="S253" s="58">
        <f t="shared" si="27"/>
        <v>0</v>
      </c>
      <c r="T253" s="58"/>
      <c r="U253" s="58"/>
      <c r="V253" s="59">
        <f t="shared" si="28"/>
        <v>65.217391304347828</v>
      </c>
      <c r="W253" s="60">
        <f t="shared" si="29"/>
        <v>0</v>
      </c>
    </row>
    <row r="254" spans="1:23" ht="29" customHeight="1" x14ac:dyDescent="0.35">
      <c r="A254" s="61"/>
      <c r="B254" s="55">
        <v>250</v>
      </c>
      <c r="C254" s="70" t="s">
        <v>822</v>
      </c>
      <c r="D254" s="129">
        <v>136311</v>
      </c>
      <c r="E254" s="128"/>
      <c r="F254" s="130">
        <v>139474</v>
      </c>
      <c r="G254" s="71">
        <v>46241</v>
      </c>
      <c r="H254" s="71" t="s">
        <v>254</v>
      </c>
      <c r="I254" s="11">
        <f t="shared" si="24"/>
        <v>3</v>
      </c>
      <c r="J254" s="71">
        <v>46247</v>
      </c>
      <c r="K254" s="11">
        <f t="shared" si="25"/>
        <v>3</v>
      </c>
      <c r="L254" s="71" t="s">
        <v>243</v>
      </c>
      <c r="M254" s="11">
        <f t="shared" si="26"/>
        <v>1</v>
      </c>
      <c r="N254" s="72" t="s">
        <v>424</v>
      </c>
      <c r="O254" s="50" t="s">
        <v>656</v>
      </c>
      <c r="P254" s="57" t="s">
        <v>53</v>
      </c>
      <c r="Q254" s="224">
        <v>1282.608695652174</v>
      </c>
      <c r="R254" s="224">
        <v>1282.608695652174</v>
      </c>
      <c r="S254" s="58">
        <f t="shared" si="27"/>
        <v>0</v>
      </c>
      <c r="T254" s="58"/>
      <c r="U254" s="58"/>
      <c r="V254" s="59">
        <f t="shared" si="28"/>
        <v>128.2608695652174</v>
      </c>
      <c r="W254" s="60">
        <f t="shared" si="29"/>
        <v>0</v>
      </c>
    </row>
    <row r="255" spans="1:23" x14ac:dyDescent="0.35">
      <c r="A255" s="61"/>
      <c r="B255" s="55">
        <v>251</v>
      </c>
      <c r="C255" s="70" t="s">
        <v>822</v>
      </c>
      <c r="D255" s="129">
        <v>136325</v>
      </c>
      <c r="E255" s="128"/>
      <c r="F255" s="130">
        <v>139480</v>
      </c>
      <c r="G255" s="71">
        <v>46241</v>
      </c>
      <c r="H255" s="71" t="s">
        <v>259</v>
      </c>
      <c r="I255" s="11">
        <f t="shared" si="24"/>
        <v>6</v>
      </c>
      <c r="J255" s="71">
        <v>46248</v>
      </c>
      <c r="K255" s="11">
        <f t="shared" si="25"/>
        <v>1</v>
      </c>
      <c r="L255" s="71" t="s">
        <v>259</v>
      </c>
      <c r="M255" s="11">
        <f t="shared" si="26"/>
        <v>1</v>
      </c>
      <c r="N255" s="50" t="s">
        <v>425</v>
      </c>
      <c r="O255" s="50" t="s">
        <v>709</v>
      </c>
      <c r="P255" s="57" t="s">
        <v>53</v>
      </c>
      <c r="Q255" s="224">
        <v>506.45652173913044</v>
      </c>
      <c r="R255" s="224">
        <v>506.45652173913044</v>
      </c>
      <c r="S255" s="58">
        <f t="shared" si="27"/>
        <v>0</v>
      </c>
      <c r="T255" s="58"/>
      <c r="U255" s="58"/>
      <c r="V255" s="59">
        <f t="shared" si="28"/>
        <v>50.645652173913049</v>
      </c>
      <c r="W255" s="60">
        <f t="shared" si="29"/>
        <v>0</v>
      </c>
    </row>
    <row r="256" spans="1:23" x14ac:dyDescent="0.35">
      <c r="A256" s="61"/>
      <c r="B256" s="55">
        <v>252</v>
      </c>
      <c r="C256" s="70" t="s">
        <v>822</v>
      </c>
      <c r="D256" s="129">
        <v>136357</v>
      </c>
      <c r="E256" s="128"/>
      <c r="F256" s="130">
        <v>139493</v>
      </c>
      <c r="G256" s="71">
        <v>46241</v>
      </c>
      <c r="H256" s="71" t="s">
        <v>248</v>
      </c>
      <c r="I256" s="11">
        <f t="shared" si="24"/>
        <v>7</v>
      </c>
      <c r="J256" s="71">
        <v>46251</v>
      </c>
      <c r="K256" s="11">
        <f t="shared" si="25"/>
        <v>1</v>
      </c>
      <c r="L256" s="71" t="s">
        <v>253</v>
      </c>
      <c r="M256" s="11">
        <f t="shared" si="26"/>
        <v>2</v>
      </c>
      <c r="N256" s="50" t="s">
        <v>426</v>
      </c>
      <c r="O256" s="50" t="s">
        <v>722</v>
      </c>
      <c r="P256" s="57" t="s">
        <v>53</v>
      </c>
      <c r="Q256" s="224">
        <v>10237.5</v>
      </c>
      <c r="R256" s="224">
        <v>10237.5</v>
      </c>
      <c r="S256" s="58">
        <f t="shared" si="27"/>
        <v>0</v>
      </c>
      <c r="T256" s="58"/>
      <c r="U256" s="58"/>
      <c r="V256" s="59">
        <f t="shared" si="28"/>
        <v>1023.75</v>
      </c>
      <c r="W256" s="60">
        <f t="shared" si="29"/>
        <v>0</v>
      </c>
    </row>
    <row r="257" spans="1:23" x14ac:dyDescent="0.35">
      <c r="A257" s="61"/>
      <c r="B257" s="55">
        <v>253</v>
      </c>
      <c r="C257" s="70" t="s">
        <v>822</v>
      </c>
      <c r="D257" s="129">
        <v>136358</v>
      </c>
      <c r="E257" s="128"/>
      <c r="F257" s="130">
        <v>139492</v>
      </c>
      <c r="G257" s="71">
        <v>46241</v>
      </c>
      <c r="H257" s="71" t="s">
        <v>248</v>
      </c>
      <c r="I257" s="11">
        <f t="shared" si="24"/>
        <v>7</v>
      </c>
      <c r="J257" s="71">
        <v>46251</v>
      </c>
      <c r="K257" s="11">
        <f t="shared" si="25"/>
        <v>1</v>
      </c>
      <c r="L257" s="71" t="s">
        <v>248</v>
      </c>
      <c r="M257" s="11">
        <f t="shared" si="26"/>
        <v>1</v>
      </c>
      <c r="N257" s="50" t="s">
        <v>426</v>
      </c>
      <c r="O257" s="50" t="s">
        <v>722</v>
      </c>
      <c r="P257" s="57" t="s">
        <v>53</v>
      </c>
      <c r="Q257" s="224">
        <v>11375.090999999999</v>
      </c>
      <c r="R257" s="224">
        <v>11375.090999999999</v>
      </c>
      <c r="S257" s="58">
        <f t="shared" si="27"/>
        <v>0</v>
      </c>
      <c r="T257" s="58"/>
      <c r="U257" s="58"/>
      <c r="V257" s="59">
        <f t="shared" si="28"/>
        <v>1137.5091</v>
      </c>
      <c r="W257" s="60">
        <f t="shared" si="29"/>
        <v>0</v>
      </c>
    </row>
    <row r="258" spans="1:23" x14ac:dyDescent="0.35">
      <c r="A258" s="61"/>
      <c r="B258" s="55">
        <v>254</v>
      </c>
      <c r="C258" s="70" t="s">
        <v>822</v>
      </c>
      <c r="D258" s="129">
        <v>136359</v>
      </c>
      <c r="E258" s="128"/>
      <c r="F258" s="130">
        <v>139491</v>
      </c>
      <c r="G258" s="71">
        <v>46241</v>
      </c>
      <c r="H258" s="71" t="s">
        <v>248</v>
      </c>
      <c r="I258" s="11">
        <f t="shared" si="24"/>
        <v>7</v>
      </c>
      <c r="J258" s="71">
        <v>46251</v>
      </c>
      <c r="K258" s="11">
        <f t="shared" si="25"/>
        <v>1</v>
      </c>
      <c r="L258" s="71" t="s">
        <v>248</v>
      </c>
      <c r="M258" s="11">
        <f t="shared" si="26"/>
        <v>1</v>
      </c>
      <c r="N258" s="50" t="s">
        <v>426</v>
      </c>
      <c r="O258" s="50" t="s">
        <v>722</v>
      </c>
      <c r="P258" s="57" t="s">
        <v>53</v>
      </c>
      <c r="Q258" s="224">
        <v>11375.090999999999</v>
      </c>
      <c r="R258" s="224">
        <v>11375.090999999999</v>
      </c>
      <c r="S258" s="58">
        <f t="shared" si="27"/>
        <v>0</v>
      </c>
      <c r="T258" s="58"/>
      <c r="U258" s="58"/>
      <c r="V258" s="59">
        <f t="shared" si="28"/>
        <v>1137.5091</v>
      </c>
      <c r="W258" s="60">
        <f t="shared" si="29"/>
        <v>0</v>
      </c>
    </row>
    <row r="259" spans="1:23" x14ac:dyDescent="0.35">
      <c r="A259" s="61"/>
      <c r="B259" s="55">
        <v>255</v>
      </c>
      <c r="C259" s="70" t="s">
        <v>822</v>
      </c>
      <c r="D259" s="129">
        <v>136368</v>
      </c>
      <c r="E259" s="128"/>
      <c r="F259" s="130">
        <v>139484</v>
      </c>
      <c r="G259" s="71">
        <v>46241</v>
      </c>
      <c r="H259" s="71" t="s">
        <v>253</v>
      </c>
      <c r="I259" s="11">
        <f t="shared" si="24"/>
        <v>8</v>
      </c>
      <c r="J259" s="71">
        <v>46252</v>
      </c>
      <c r="K259" s="11">
        <f t="shared" si="25"/>
        <v>1</v>
      </c>
      <c r="L259" s="71" t="s">
        <v>253</v>
      </c>
      <c r="M259" s="11">
        <f t="shared" si="26"/>
        <v>1</v>
      </c>
      <c r="N259" s="50" t="s">
        <v>427</v>
      </c>
      <c r="O259" s="50" t="s">
        <v>723</v>
      </c>
      <c r="P259" s="57" t="s">
        <v>53</v>
      </c>
      <c r="Q259" s="224">
        <v>114.12173913043478</v>
      </c>
      <c r="R259" s="224">
        <v>114.12173913043478</v>
      </c>
      <c r="S259" s="58">
        <f t="shared" si="27"/>
        <v>0</v>
      </c>
      <c r="T259" s="58"/>
      <c r="U259" s="58"/>
      <c r="V259" s="59">
        <f t="shared" si="28"/>
        <v>11.412173913043478</v>
      </c>
      <c r="W259" s="60">
        <f t="shared" si="29"/>
        <v>0</v>
      </c>
    </row>
    <row r="260" spans="1:23" x14ac:dyDescent="0.35">
      <c r="A260" s="61"/>
      <c r="B260" s="55">
        <v>256</v>
      </c>
      <c r="C260" s="70" t="s">
        <v>822</v>
      </c>
      <c r="D260" s="129">
        <v>136375</v>
      </c>
      <c r="E260" s="128"/>
      <c r="F260" s="130">
        <v>139489</v>
      </c>
      <c r="G260" s="71">
        <v>46241</v>
      </c>
      <c r="H260" s="71" t="s">
        <v>253</v>
      </c>
      <c r="I260" s="11">
        <f t="shared" si="24"/>
        <v>8</v>
      </c>
      <c r="J260" s="71">
        <v>46252</v>
      </c>
      <c r="K260" s="11">
        <f t="shared" si="25"/>
        <v>1</v>
      </c>
      <c r="L260" s="71" t="s">
        <v>253</v>
      </c>
      <c r="M260" s="11">
        <f t="shared" si="26"/>
        <v>1</v>
      </c>
      <c r="N260" s="50" t="s">
        <v>428</v>
      </c>
      <c r="O260" s="50" t="s">
        <v>724</v>
      </c>
      <c r="P260" s="57" t="s">
        <v>53</v>
      </c>
      <c r="Q260" s="224">
        <v>2437.891304347826</v>
      </c>
      <c r="R260" s="224">
        <v>2437.891304347826</v>
      </c>
      <c r="S260" s="58">
        <f t="shared" si="27"/>
        <v>0</v>
      </c>
      <c r="T260" s="58"/>
      <c r="U260" s="58"/>
      <c r="V260" s="59">
        <f t="shared" si="28"/>
        <v>243.78913043478261</v>
      </c>
      <c r="W260" s="60">
        <f t="shared" si="29"/>
        <v>0</v>
      </c>
    </row>
    <row r="261" spans="1:23" ht="29" customHeight="1" x14ac:dyDescent="0.35">
      <c r="A261" s="61"/>
      <c r="B261" s="55">
        <v>257</v>
      </c>
      <c r="C261" s="70" t="s">
        <v>822</v>
      </c>
      <c r="D261" s="129">
        <v>136247</v>
      </c>
      <c r="E261" s="128"/>
      <c r="F261" s="130">
        <v>139501</v>
      </c>
      <c r="G261" s="71">
        <v>46244</v>
      </c>
      <c r="H261" s="71" t="s">
        <v>258</v>
      </c>
      <c r="I261" s="11">
        <f t="shared" si="24"/>
        <v>1</v>
      </c>
      <c r="J261" s="71">
        <v>46244</v>
      </c>
      <c r="K261" s="11">
        <f t="shared" si="25"/>
        <v>1</v>
      </c>
      <c r="L261" s="71" t="s">
        <v>258</v>
      </c>
      <c r="M261" s="11">
        <f t="shared" si="26"/>
        <v>1</v>
      </c>
      <c r="N261" s="72">
        <v>0</v>
      </c>
      <c r="O261" s="50" t="s">
        <v>709</v>
      </c>
      <c r="P261" s="57" t="s">
        <v>53</v>
      </c>
      <c r="Q261" s="224">
        <v>663.82608695652175</v>
      </c>
      <c r="R261" s="224">
        <v>663.82608695652175</v>
      </c>
      <c r="S261" s="58">
        <f t="shared" si="27"/>
        <v>0</v>
      </c>
      <c r="T261" s="58"/>
      <c r="U261" s="58"/>
      <c r="V261" s="59">
        <f t="shared" si="28"/>
        <v>66.382608695652181</v>
      </c>
      <c r="W261" s="60">
        <f t="shared" si="29"/>
        <v>0</v>
      </c>
    </row>
    <row r="262" spans="1:23" x14ac:dyDescent="0.35">
      <c r="A262" s="61"/>
      <c r="B262" s="55">
        <v>258</v>
      </c>
      <c r="C262" s="70" t="s">
        <v>822</v>
      </c>
      <c r="D262" s="129">
        <v>136268</v>
      </c>
      <c r="E262" s="128"/>
      <c r="F262" s="130">
        <v>139506</v>
      </c>
      <c r="G262" s="71">
        <v>46244</v>
      </c>
      <c r="H262" s="71" t="s">
        <v>254</v>
      </c>
      <c r="I262" s="11">
        <f t="shared" si="24"/>
        <v>2</v>
      </c>
      <c r="J262" s="71">
        <v>46245</v>
      </c>
      <c r="K262" s="11">
        <f t="shared" si="25"/>
        <v>1</v>
      </c>
      <c r="L262" s="71" t="s">
        <v>254</v>
      </c>
      <c r="M262" s="11">
        <f t="shared" si="26"/>
        <v>1</v>
      </c>
      <c r="N262" s="50" t="s">
        <v>429</v>
      </c>
      <c r="O262" s="50" t="s">
        <v>715</v>
      </c>
      <c r="P262" s="57" t="s">
        <v>53</v>
      </c>
      <c r="Q262" s="224">
        <v>14990.874782608696</v>
      </c>
      <c r="R262" s="224">
        <v>14990.874782608696</v>
      </c>
      <c r="S262" s="58">
        <f t="shared" si="27"/>
        <v>0</v>
      </c>
      <c r="T262" s="58"/>
      <c r="U262" s="58"/>
      <c r="V262" s="59">
        <f t="shared" si="28"/>
        <v>1499.0874782608698</v>
      </c>
      <c r="W262" s="60">
        <f t="shared" si="29"/>
        <v>0</v>
      </c>
    </row>
    <row r="263" spans="1:23" x14ac:dyDescent="0.35">
      <c r="A263" s="61"/>
      <c r="B263" s="55">
        <v>259</v>
      </c>
      <c r="C263" s="70" t="s">
        <v>822</v>
      </c>
      <c r="D263" s="129">
        <v>136269</v>
      </c>
      <c r="E263" s="128"/>
      <c r="F263" s="130">
        <v>139514</v>
      </c>
      <c r="G263" s="71">
        <v>46244</v>
      </c>
      <c r="H263" s="71" t="s">
        <v>254</v>
      </c>
      <c r="I263" s="11">
        <f t="shared" si="24"/>
        <v>2</v>
      </c>
      <c r="J263" s="71">
        <v>46245</v>
      </c>
      <c r="K263" s="11">
        <f t="shared" si="25"/>
        <v>1</v>
      </c>
      <c r="L263" s="71" t="s">
        <v>254</v>
      </c>
      <c r="M263" s="11">
        <f t="shared" si="26"/>
        <v>1</v>
      </c>
      <c r="N263" s="50" t="s">
        <v>430</v>
      </c>
      <c r="O263" s="50" t="s">
        <v>714</v>
      </c>
      <c r="P263" s="57" t="s">
        <v>53</v>
      </c>
      <c r="Q263" s="224">
        <v>13.043478260869565</v>
      </c>
      <c r="R263" s="224">
        <v>13.043478260869565</v>
      </c>
      <c r="S263" s="58">
        <f t="shared" si="27"/>
        <v>0</v>
      </c>
      <c r="T263" s="58"/>
      <c r="U263" s="58"/>
      <c r="V263" s="59">
        <f t="shared" si="28"/>
        <v>1.3043478260869565</v>
      </c>
      <c r="W263" s="60">
        <f t="shared" si="29"/>
        <v>0</v>
      </c>
    </row>
    <row r="264" spans="1:23" x14ac:dyDescent="0.35">
      <c r="A264" s="61"/>
      <c r="B264" s="55">
        <v>260</v>
      </c>
      <c r="C264" s="70" t="s">
        <v>822</v>
      </c>
      <c r="D264" s="129">
        <v>136270</v>
      </c>
      <c r="E264" s="128"/>
      <c r="F264" s="130">
        <v>139504</v>
      </c>
      <c r="G264" s="71">
        <v>46244</v>
      </c>
      <c r="H264" s="71" t="s">
        <v>254</v>
      </c>
      <c r="I264" s="11">
        <f t="shared" si="24"/>
        <v>2</v>
      </c>
      <c r="J264" s="71">
        <v>46245</v>
      </c>
      <c r="K264" s="11">
        <f t="shared" si="25"/>
        <v>1</v>
      </c>
      <c r="L264" s="71" t="s">
        <v>254</v>
      </c>
      <c r="M264" s="11">
        <f t="shared" si="26"/>
        <v>1</v>
      </c>
      <c r="N264" s="50" t="s">
        <v>431</v>
      </c>
      <c r="O264" s="50" t="s">
        <v>709</v>
      </c>
      <c r="P264" s="57" t="s">
        <v>53</v>
      </c>
      <c r="Q264" s="224">
        <v>49.108695652173914</v>
      </c>
      <c r="R264" s="224">
        <v>49.108695652173914</v>
      </c>
      <c r="S264" s="58">
        <f t="shared" si="27"/>
        <v>0</v>
      </c>
      <c r="T264" s="58"/>
      <c r="U264" s="58"/>
      <c r="V264" s="59">
        <f t="shared" si="28"/>
        <v>4.9108695652173919</v>
      </c>
      <c r="W264" s="60">
        <f t="shared" si="29"/>
        <v>0</v>
      </c>
    </row>
    <row r="265" spans="1:23" ht="29" customHeight="1" x14ac:dyDescent="0.35">
      <c r="A265" s="61"/>
      <c r="B265" s="55">
        <v>261</v>
      </c>
      <c r="C265" s="70" t="s">
        <v>822</v>
      </c>
      <c r="D265" s="12">
        <v>136312</v>
      </c>
      <c r="E265" s="128"/>
      <c r="F265" s="12">
        <v>139499</v>
      </c>
      <c r="G265" s="71">
        <v>46244</v>
      </c>
      <c r="H265" s="71" t="s">
        <v>254</v>
      </c>
      <c r="I265" s="11">
        <f t="shared" si="24"/>
        <v>2</v>
      </c>
      <c r="J265" s="71">
        <v>46247</v>
      </c>
      <c r="K265" s="11">
        <f t="shared" si="25"/>
        <v>3</v>
      </c>
      <c r="L265" s="71" t="s">
        <v>243</v>
      </c>
      <c r="M265" s="11">
        <f t="shared" si="26"/>
        <v>1</v>
      </c>
      <c r="N265" s="12" t="s">
        <v>432</v>
      </c>
      <c r="O265" s="12" t="s">
        <v>725</v>
      </c>
      <c r="P265" s="57" t="s">
        <v>53</v>
      </c>
      <c r="Q265" s="224">
        <v>7.6076956521739136</v>
      </c>
      <c r="R265" s="224">
        <v>7.6076956521739136</v>
      </c>
      <c r="S265" s="58">
        <f t="shared" si="27"/>
        <v>0</v>
      </c>
      <c r="T265" s="58"/>
      <c r="U265" s="58"/>
      <c r="V265" s="59">
        <f t="shared" si="28"/>
        <v>0.76076956521739136</v>
      </c>
      <c r="W265" s="60">
        <f t="shared" si="29"/>
        <v>0</v>
      </c>
    </row>
    <row r="266" spans="1:23" ht="29" customHeight="1" x14ac:dyDescent="0.35">
      <c r="A266" s="61"/>
      <c r="B266" s="55">
        <v>262</v>
      </c>
      <c r="C266" s="70" t="s">
        <v>822</v>
      </c>
      <c r="D266" s="12">
        <v>136317</v>
      </c>
      <c r="E266" s="128"/>
      <c r="F266" s="12">
        <v>139500</v>
      </c>
      <c r="G266" s="71">
        <v>46244</v>
      </c>
      <c r="H266" s="71" t="s">
        <v>254</v>
      </c>
      <c r="I266" s="11">
        <f t="shared" si="24"/>
        <v>2</v>
      </c>
      <c r="J266" s="71">
        <v>46247</v>
      </c>
      <c r="K266" s="11">
        <f t="shared" si="25"/>
        <v>3</v>
      </c>
      <c r="L266" s="71" t="s">
        <v>243</v>
      </c>
      <c r="M266" s="11">
        <f t="shared" si="26"/>
        <v>1</v>
      </c>
      <c r="N266" s="12" t="s">
        <v>433</v>
      </c>
      <c r="O266" s="12" t="s">
        <v>664</v>
      </c>
      <c r="P266" s="57" t="s">
        <v>53</v>
      </c>
      <c r="Q266" s="224">
        <v>82.388695652173908</v>
      </c>
      <c r="R266" s="224">
        <v>82.388695652173908</v>
      </c>
      <c r="S266" s="58">
        <f t="shared" si="27"/>
        <v>0</v>
      </c>
      <c r="T266" s="58"/>
      <c r="U266" s="58"/>
      <c r="V266" s="59">
        <f t="shared" si="28"/>
        <v>8.2388695652173904</v>
      </c>
      <c r="W266" s="60">
        <f t="shared" si="29"/>
        <v>0</v>
      </c>
    </row>
    <row r="267" spans="1:23" ht="29" customHeight="1" x14ac:dyDescent="0.35">
      <c r="A267" s="61"/>
      <c r="B267" s="55">
        <v>263</v>
      </c>
      <c r="C267" s="70" t="s">
        <v>822</v>
      </c>
      <c r="D267" s="12">
        <v>136323</v>
      </c>
      <c r="E267" s="128"/>
      <c r="F267" s="12">
        <v>139498</v>
      </c>
      <c r="G267" s="71">
        <v>46244</v>
      </c>
      <c r="H267" s="71" t="s">
        <v>243</v>
      </c>
      <c r="I267" s="11">
        <f t="shared" si="24"/>
        <v>4</v>
      </c>
      <c r="J267" s="71">
        <v>46248</v>
      </c>
      <c r="K267" s="11">
        <f t="shared" si="25"/>
        <v>2</v>
      </c>
      <c r="L267" s="71" t="s">
        <v>259</v>
      </c>
      <c r="M267" s="11">
        <f t="shared" si="26"/>
        <v>1</v>
      </c>
      <c r="N267" s="12" t="s">
        <v>434</v>
      </c>
      <c r="O267" s="12" t="s">
        <v>622</v>
      </c>
      <c r="P267" s="57" t="s">
        <v>53</v>
      </c>
      <c r="Q267" s="224">
        <v>934.78260869565213</v>
      </c>
      <c r="R267" s="224">
        <v>934.78260869565213</v>
      </c>
      <c r="S267" s="58">
        <f t="shared" si="27"/>
        <v>0</v>
      </c>
      <c r="T267" s="58"/>
      <c r="U267" s="58"/>
      <c r="V267" s="59">
        <f t="shared" si="28"/>
        <v>93.478260869565219</v>
      </c>
      <c r="W267" s="60">
        <f t="shared" si="29"/>
        <v>0</v>
      </c>
    </row>
    <row r="268" spans="1:23" ht="29" customHeight="1" x14ac:dyDescent="0.35">
      <c r="A268" s="61"/>
      <c r="B268" s="55">
        <v>264</v>
      </c>
      <c r="C268" s="70" t="s">
        <v>822</v>
      </c>
      <c r="D268" s="12">
        <v>136324</v>
      </c>
      <c r="E268" s="128"/>
      <c r="F268" s="12">
        <v>139502</v>
      </c>
      <c r="G268" s="71">
        <v>46244</v>
      </c>
      <c r="H268" s="71" t="s">
        <v>243</v>
      </c>
      <c r="I268" s="11">
        <f t="shared" si="24"/>
        <v>4</v>
      </c>
      <c r="J268" s="71">
        <v>46248</v>
      </c>
      <c r="K268" s="11">
        <f t="shared" si="25"/>
        <v>2</v>
      </c>
      <c r="L268" s="71" t="s">
        <v>259</v>
      </c>
      <c r="M268" s="11">
        <f t="shared" si="26"/>
        <v>1</v>
      </c>
      <c r="N268" s="12" t="s">
        <v>435</v>
      </c>
      <c r="O268" s="12" t="s">
        <v>622</v>
      </c>
      <c r="P268" s="57" t="s">
        <v>53</v>
      </c>
      <c r="Q268" s="224">
        <v>1877.1739130434783</v>
      </c>
      <c r="R268" s="224">
        <v>1877.1739130434783</v>
      </c>
      <c r="S268" s="58">
        <f t="shared" si="27"/>
        <v>0</v>
      </c>
      <c r="T268" s="58"/>
      <c r="U268" s="58"/>
      <c r="V268" s="59">
        <f t="shared" si="28"/>
        <v>187.71739130434784</v>
      </c>
      <c r="W268" s="60">
        <f t="shared" si="29"/>
        <v>0</v>
      </c>
    </row>
    <row r="269" spans="1:23" ht="29" customHeight="1" x14ac:dyDescent="0.35">
      <c r="A269" s="61"/>
      <c r="B269" s="55">
        <v>265</v>
      </c>
      <c r="C269" s="70" t="s">
        <v>822</v>
      </c>
      <c r="D269" s="12">
        <v>136330</v>
      </c>
      <c r="E269" s="128"/>
      <c r="F269" s="12">
        <v>139503</v>
      </c>
      <c r="G269" s="71">
        <v>46244</v>
      </c>
      <c r="H269" s="71" t="s">
        <v>243</v>
      </c>
      <c r="I269" s="11">
        <f t="shared" si="24"/>
        <v>4</v>
      </c>
      <c r="J269" s="71">
        <v>46251</v>
      </c>
      <c r="K269" s="11">
        <f t="shared" si="25"/>
        <v>3</v>
      </c>
      <c r="L269" s="71" t="s">
        <v>248</v>
      </c>
      <c r="M269" s="11">
        <f t="shared" si="26"/>
        <v>1</v>
      </c>
      <c r="N269" s="12" t="s">
        <v>436</v>
      </c>
      <c r="O269" s="12" t="s">
        <v>726</v>
      </c>
      <c r="P269" s="57" t="s">
        <v>53</v>
      </c>
      <c r="Q269" s="224">
        <v>572.71852173913044</v>
      </c>
      <c r="R269" s="224">
        <v>572.71852173913044</v>
      </c>
      <c r="S269" s="58">
        <f t="shared" si="27"/>
        <v>0</v>
      </c>
      <c r="T269" s="58"/>
      <c r="U269" s="58"/>
      <c r="V269" s="59">
        <f t="shared" si="28"/>
        <v>57.271852173913047</v>
      </c>
      <c r="W269" s="60">
        <f t="shared" si="29"/>
        <v>0</v>
      </c>
    </row>
    <row r="270" spans="1:23" ht="29" customHeight="1" x14ac:dyDescent="0.35">
      <c r="A270" s="61"/>
      <c r="B270" s="55">
        <v>266</v>
      </c>
      <c r="C270" s="70" t="s">
        <v>822</v>
      </c>
      <c r="D270" s="12">
        <v>136331</v>
      </c>
      <c r="E270" s="128"/>
      <c r="F270" s="12">
        <v>139507</v>
      </c>
      <c r="G270" s="71">
        <v>46244</v>
      </c>
      <c r="H270" s="71" t="s">
        <v>243</v>
      </c>
      <c r="I270" s="11">
        <f t="shared" si="24"/>
        <v>4</v>
      </c>
      <c r="J270" s="71">
        <v>46251</v>
      </c>
      <c r="K270" s="11">
        <f t="shared" si="25"/>
        <v>3</v>
      </c>
      <c r="L270" s="71" t="s">
        <v>248</v>
      </c>
      <c r="M270" s="11">
        <f t="shared" si="26"/>
        <v>1</v>
      </c>
      <c r="N270" s="12" t="s">
        <v>437</v>
      </c>
      <c r="O270" s="12" t="s">
        <v>727</v>
      </c>
      <c r="P270" s="57" t="s">
        <v>53</v>
      </c>
      <c r="Q270" s="224">
        <v>5398.5507260869563</v>
      </c>
      <c r="R270" s="224">
        <v>5398.5507260869563</v>
      </c>
      <c r="S270" s="58">
        <f t="shared" si="27"/>
        <v>0</v>
      </c>
      <c r="T270" s="58"/>
      <c r="U270" s="58"/>
      <c r="V270" s="59">
        <f t="shared" si="28"/>
        <v>539.85507260869565</v>
      </c>
      <c r="W270" s="60">
        <f t="shared" si="29"/>
        <v>0</v>
      </c>
    </row>
    <row r="271" spans="1:23" ht="29" customHeight="1" x14ac:dyDescent="0.35">
      <c r="A271" s="61"/>
      <c r="B271" s="55">
        <v>267</v>
      </c>
      <c r="C271" s="70" t="s">
        <v>822</v>
      </c>
      <c r="D271" s="12">
        <v>136340</v>
      </c>
      <c r="E271" s="128"/>
      <c r="F271" s="12">
        <v>139497</v>
      </c>
      <c r="G271" s="71">
        <v>46244</v>
      </c>
      <c r="H271" s="71" t="s">
        <v>259</v>
      </c>
      <c r="I271" s="11">
        <f t="shared" si="24"/>
        <v>5</v>
      </c>
      <c r="J271" s="71">
        <v>46251</v>
      </c>
      <c r="K271" s="11">
        <f t="shared" si="25"/>
        <v>2</v>
      </c>
      <c r="L271" s="71" t="s">
        <v>248</v>
      </c>
      <c r="M271" s="11">
        <f t="shared" si="26"/>
        <v>1</v>
      </c>
      <c r="N271" s="12" t="s">
        <v>438</v>
      </c>
      <c r="O271" s="12" t="s">
        <v>612</v>
      </c>
      <c r="P271" s="57" t="s">
        <v>53</v>
      </c>
      <c r="Q271" s="224">
        <v>206.95652173913044</v>
      </c>
      <c r="R271" s="224">
        <v>206.95652173913044</v>
      </c>
      <c r="S271" s="58">
        <f t="shared" si="27"/>
        <v>0</v>
      </c>
      <c r="T271" s="58"/>
      <c r="U271" s="58"/>
      <c r="V271" s="59">
        <f t="shared" si="28"/>
        <v>20.695652173913047</v>
      </c>
      <c r="W271" s="60">
        <f t="shared" si="29"/>
        <v>0</v>
      </c>
    </row>
    <row r="272" spans="1:23" ht="29" customHeight="1" x14ac:dyDescent="0.35">
      <c r="A272" s="61"/>
      <c r="B272" s="55">
        <v>268</v>
      </c>
      <c r="C272" s="70" t="s">
        <v>822</v>
      </c>
      <c r="D272" s="12">
        <v>136342</v>
      </c>
      <c r="E272" s="128"/>
      <c r="F272" s="12">
        <v>139505</v>
      </c>
      <c r="G272" s="71">
        <v>46244</v>
      </c>
      <c r="H272" s="71" t="s">
        <v>259</v>
      </c>
      <c r="I272" s="11">
        <f t="shared" si="24"/>
        <v>5</v>
      </c>
      <c r="J272" s="71">
        <v>46251</v>
      </c>
      <c r="K272" s="11">
        <f t="shared" si="25"/>
        <v>2</v>
      </c>
      <c r="L272" s="71" t="s">
        <v>248</v>
      </c>
      <c r="M272" s="11">
        <f t="shared" si="26"/>
        <v>1</v>
      </c>
      <c r="N272" s="12" t="s">
        <v>439</v>
      </c>
      <c r="O272" s="12" t="s">
        <v>728</v>
      </c>
      <c r="P272" s="57" t="s">
        <v>53</v>
      </c>
      <c r="Q272" s="273">
        <v>645.6521739130435</v>
      </c>
      <c r="R272" s="273">
        <v>645.6521739130435</v>
      </c>
      <c r="S272" s="58">
        <f t="shared" si="27"/>
        <v>0</v>
      </c>
      <c r="T272" s="58"/>
      <c r="U272" s="58"/>
      <c r="V272" s="59">
        <f t="shared" si="28"/>
        <v>64.565217391304358</v>
      </c>
      <c r="W272" s="60">
        <f t="shared" si="29"/>
        <v>0</v>
      </c>
    </row>
    <row r="273" spans="1:23" ht="29" customHeight="1" x14ac:dyDescent="0.35">
      <c r="A273" s="61"/>
      <c r="B273" s="55">
        <v>269</v>
      </c>
      <c r="C273" s="70" t="s">
        <v>822</v>
      </c>
      <c r="D273" s="12">
        <v>136346</v>
      </c>
      <c r="E273" s="128"/>
      <c r="F273" s="12">
        <v>139496</v>
      </c>
      <c r="G273" s="71">
        <v>46244</v>
      </c>
      <c r="H273" s="71" t="s">
        <v>259</v>
      </c>
      <c r="I273" s="11">
        <f t="shared" si="24"/>
        <v>5</v>
      </c>
      <c r="J273" s="71">
        <v>46251</v>
      </c>
      <c r="K273" s="11">
        <f t="shared" si="25"/>
        <v>2</v>
      </c>
      <c r="L273" s="71" t="s">
        <v>248</v>
      </c>
      <c r="M273" s="11">
        <f t="shared" si="26"/>
        <v>1</v>
      </c>
      <c r="N273" s="12" t="s">
        <v>440</v>
      </c>
      <c r="O273" s="12" t="s">
        <v>605</v>
      </c>
      <c r="P273" s="57" t="s">
        <v>53</v>
      </c>
      <c r="Q273" s="224">
        <v>189.13043478260869</v>
      </c>
      <c r="R273" s="224">
        <v>189.13043478260869</v>
      </c>
      <c r="S273" s="58">
        <f t="shared" si="27"/>
        <v>0</v>
      </c>
      <c r="T273" s="58"/>
      <c r="U273" s="58"/>
      <c r="V273" s="59">
        <f t="shared" si="28"/>
        <v>18.913043478260871</v>
      </c>
      <c r="W273" s="60">
        <f t="shared" si="29"/>
        <v>0</v>
      </c>
    </row>
    <row r="274" spans="1:23" ht="29" customHeight="1" x14ac:dyDescent="0.35">
      <c r="A274" s="61"/>
      <c r="B274" s="55">
        <v>270</v>
      </c>
      <c r="C274" s="70" t="s">
        <v>822</v>
      </c>
      <c r="D274" s="12">
        <v>136348</v>
      </c>
      <c r="E274" s="128"/>
      <c r="F274" s="12">
        <v>139495</v>
      </c>
      <c r="G274" s="71">
        <v>46244</v>
      </c>
      <c r="H274" s="71" t="s">
        <v>259</v>
      </c>
      <c r="I274" s="11">
        <f t="shared" si="24"/>
        <v>5</v>
      </c>
      <c r="J274" s="71">
        <v>46251</v>
      </c>
      <c r="K274" s="11">
        <f t="shared" si="25"/>
        <v>2</v>
      </c>
      <c r="L274" s="71" t="s">
        <v>248</v>
      </c>
      <c r="M274" s="11">
        <f t="shared" si="26"/>
        <v>1</v>
      </c>
      <c r="N274" s="12" t="s">
        <v>440</v>
      </c>
      <c r="O274" s="12" t="s">
        <v>605</v>
      </c>
      <c r="P274" s="57" t="s">
        <v>53</v>
      </c>
      <c r="Q274" s="224">
        <v>170.86956521739131</v>
      </c>
      <c r="R274" s="224">
        <v>170.86956521739131</v>
      </c>
      <c r="S274" s="58">
        <f t="shared" si="27"/>
        <v>0</v>
      </c>
      <c r="T274" s="58"/>
      <c r="U274" s="58"/>
      <c r="V274" s="59">
        <f t="shared" si="28"/>
        <v>17.086956521739133</v>
      </c>
      <c r="W274" s="60">
        <f t="shared" si="29"/>
        <v>0</v>
      </c>
    </row>
    <row r="275" spans="1:23" ht="29" customHeight="1" x14ac:dyDescent="0.35">
      <c r="A275" s="61"/>
      <c r="B275" s="55">
        <v>271</v>
      </c>
      <c r="C275" s="70" t="s">
        <v>822</v>
      </c>
      <c r="D275" s="12">
        <v>136350</v>
      </c>
      <c r="E275" s="128"/>
      <c r="F275" s="12">
        <v>139510</v>
      </c>
      <c r="G275" s="71">
        <v>46244</v>
      </c>
      <c r="H275" s="71" t="s">
        <v>248</v>
      </c>
      <c r="I275" s="11">
        <f t="shared" si="24"/>
        <v>6</v>
      </c>
      <c r="J275" s="71">
        <v>46251</v>
      </c>
      <c r="K275" s="11">
        <f t="shared" si="25"/>
        <v>1</v>
      </c>
      <c r="L275" s="71" t="s">
        <v>248</v>
      </c>
      <c r="M275" s="11">
        <f t="shared" si="26"/>
        <v>1</v>
      </c>
      <c r="N275" s="12" t="s">
        <v>441</v>
      </c>
      <c r="O275" s="12" t="s">
        <v>729</v>
      </c>
      <c r="P275" s="57" t="s">
        <v>53</v>
      </c>
      <c r="Q275" s="224">
        <v>117.39130434782609</v>
      </c>
      <c r="R275" s="224">
        <v>117.39130434782609</v>
      </c>
      <c r="S275" s="58">
        <f t="shared" si="27"/>
        <v>0</v>
      </c>
      <c r="T275" s="58"/>
      <c r="U275" s="58"/>
      <c r="V275" s="59">
        <f t="shared" si="28"/>
        <v>11.739130434782609</v>
      </c>
      <c r="W275" s="60">
        <f t="shared" si="29"/>
        <v>0</v>
      </c>
    </row>
    <row r="276" spans="1:23" ht="29" customHeight="1" x14ac:dyDescent="0.35">
      <c r="A276" s="61"/>
      <c r="B276" s="55">
        <v>272</v>
      </c>
      <c r="C276" s="70" t="s">
        <v>822</v>
      </c>
      <c r="D276" s="12">
        <v>136367</v>
      </c>
      <c r="E276" s="128"/>
      <c r="F276" s="12">
        <v>139508</v>
      </c>
      <c r="G276" s="71">
        <v>46244</v>
      </c>
      <c r="H276" s="71" t="s">
        <v>253</v>
      </c>
      <c r="I276" s="11">
        <f t="shared" si="24"/>
        <v>7</v>
      </c>
      <c r="J276" s="71">
        <v>46252</v>
      </c>
      <c r="K276" s="11">
        <f t="shared" si="25"/>
        <v>1</v>
      </c>
      <c r="L276" s="71" t="s">
        <v>253</v>
      </c>
      <c r="M276" s="11">
        <f t="shared" si="26"/>
        <v>1</v>
      </c>
      <c r="N276" s="12">
        <v>0</v>
      </c>
      <c r="O276" s="12" t="s">
        <v>615</v>
      </c>
      <c r="P276" s="57" t="s">
        <v>53</v>
      </c>
      <c r="Q276" s="224">
        <v>81.521739130434781</v>
      </c>
      <c r="R276" s="224">
        <v>81.521739130434781</v>
      </c>
      <c r="S276" s="58">
        <f t="shared" si="27"/>
        <v>0</v>
      </c>
      <c r="T276" s="58"/>
      <c r="U276" s="58"/>
      <c r="V276" s="59">
        <f t="shared" si="28"/>
        <v>8.1521739130434785</v>
      </c>
      <c r="W276" s="60">
        <f t="shared" si="29"/>
        <v>0</v>
      </c>
    </row>
    <row r="277" spans="1:23" ht="29" customHeight="1" x14ac:dyDescent="0.35">
      <c r="A277" s="61"/>
      <c r="B277" s="55">
        <v>273</v>
      </c>
      <c r="C277" s="70" t="s">
        <v>822</v>
      </c>
      <c r="D277" s="12">
        <v>136369</v>
      </c>
      <c r="E277" s="128"/>
      <c r="F277" s="12">
        <v>139509</v>
      </c>
      <c r="G277" s="71">
        <v>46244</v>
      </c>
      <c r="H277" s="71" t="s">
        <v>253</v>
      </c>
      <c r="I277" s="11">
        <f t="shared" si="24"/>
        <v>7</v>
      </c>
      <c r="J277" s="71">
        <v>46252</v>
      </c>
      <c r="K277" s="11">
        <f t="shared" si="25"/>
        <v>1</v>
      </c>
      <c r="L277" s="71" t="s">
        <v>253</v>
      </c>
      <c r="M277" s="11">
        <f t="shared" si="26"/>
        <v>1</v>
      </c>
      <c r="N277" s="12">
        <v>0</v>
      </c>
      <c r="O277" s="12" t="s">
        <v>730</v>
      </c>
      <c r="P277" s="57" t="s">
        <v>53</v>
      </c>
      <c r="Q277" s="224">
        <v>43.478260869565219</v>
      </c>
      <c r="R277" s="224">
        <v>43.478260869565219</v>
      </c>
      <c r="S277" s="58">
        <f t="shared" si="27"/>
        <v>0</v>
      </c>
      <c r="T277" s="58"/>
      <c r="U277" s="58"/>
      <c r="V277" s="59">
        <f t="shared" si="28"/>
        <v>4.3478260869565224</v>
      </c>
      <c r="W277" s="60">
        <f t="shared" si="29"/>
        <v>0</v>
      </c>
    </row>
    <row r="278" spans="1:23" ht="29" customHeight="1" x14ac:dyDescent="0.35">
      <c r="A278" s="61"/>
      <c r="B278" s="55">
        <v>274</v>
      </c>
      <c r="C278" s="70" t="s">
        <v>822</v>
      </c>
      <c r="D278" s="12">
        <v>136412</v>
      </c>
      <c r="E278" s="128"/>
      <c r="F278" s="12">
        <v>139511</v>
      </c>
      <c r="G278" s="71">
        <v>46244</v>
      </c>
      <c r="H278" s="71" t="s">
        <v>259</v>
      </c>
      <c r="I278" s="11">
        <f t="shared" si="24"/>
        <v>5</v>
      </c>
      <c r="J278" s="71">
        <v>46254</v>
      </c>
      <c r="K278" s="11">
        <f t="shared" si="25"/>
        <v>5</v>
      </c>
      <c r="L278" s="71" t="s">
        <v>263</v>
      </c>
      <c r="M278" s="11">
        <f t="shared" si="26"/>
        <v>1</v>
      </c>
      <c r="N278" s="12" t="s">
        <v>442</v>
      </c>
      <c r="O278" s="12" t="s">
        <v>617</v>
      </c>
      <c r="P278" s="57" t="s">
        <v>53</v>
      </c>
      <c r="Q278" s="224">
        <v>2447.391304347826</v>
      </c>
      <c r="R278" s="224">
        <v>2447.391304347826</v>
      </c>
      <c r="S278" s="58">
        <f t="shared" si="27"/>
        <v>0</v>
      </c>
      <c r="T278" s="58"/>
      <c r="U278" s="58"/>
      <c r="V278" s="59">
        <f t="shared" si="28"/>
        <v>244.73913043478262</v>
      </c>
      <c r="W278" s="60">
        <f t="shared" si="29"/>
        <v>0</v>
      </c>
    </row>
    <row r="279" spans="1:23" ht="29" customHeight="1" x14ac:dyDescent="0.35">
      <c r="A279" s="61"/>
      <c r="B279" s="55">
        <v>275</v>
      </c>
      <c r="C279" s="70" t="s">
        <v>822</v>
      </c>
      <c r="D279" s="12">
        <v>136414</v>
      </c>
      <c r="E279" s="128"/>
      <c r="F279" s="12">
        <v>139512</v>
      </c>
      <c r="G279" s="71">
        <v>46244</v>
      </c>
      <c r="H279" s="71" t="s">
        <v>248</v>
      </c>
      <c r="I279" s="11">
        <f t="shared" si="24"/>
        <v>6</v>
      </c>
      <c r="J279" s="71">
        <v>46254</v>
      </c>
      <c r="K279" s="11">
        <f t="shared" si="25"/>
        <v>4</v>
      </c>
      <c r="L279" s="71" t="s">
        <v>263</v>
      </c>
      <c r="M279" s="11">
        <f t="shared" si="26"/>
        <v>1</v>
      </c>
      <c r="N279" s="12" t="s">
        <v>443</v>
      </c>
      <c r="O279" s="12" t="s">
        <v>731</v>
      </c>
      <c r="P279" s="57" t="s">
        <v>53</v>
      </c>
      <c r="Q279" s="224">
        <v>86.956521739130437</v>
      </c>
      <c r="R279" s="224">
        <v>86.956521739130437</v>
      </c>
      <c r="S279" s="58">
        <f t="shared" si="27"/>
        <v>0</v>
      </c>
      <c r="T279" s="58"/>
      <c r="U279" s="58"/>
      <c r="V279" s="59">
        <f t="shared" si="28"/>
        <v>8.6956521739130448</v>
      </c>
      <c r="W279" s="60">
        <f t="shared" si="29"/>
        <v>0</v>
      </c>
    </row>
    <row r="280" spans="1:23" ht="29" customHeight="1" x14ac:dyDescent="0.35">
      <c r="A280" s="61"/>
      <c r="B280" s="55">
        <v>276</v>
      </c>
      <c r="C280" s="70" t="s">
        <v>822</v>
      </c>
      <c r="D280" s="12">
        <v>136273</v>
      </c>
      <c r="E280" s="128"/>
      <c r="F280" s="12">
        <v>139538</v>
      </c>
      <c r="G280" s="71">
        <v>46245</v>
      </c>
      <c r="H280" s="71" t="s">
        <v>252</v>
      </c>
      <c r="I280" s="11">
        <f t="shared" si="24"/>
        <v>2</v>
      </c>
      <c r="J280" s="71">
        <v>46246</v>
      </c>
      <c r="K280" s="11">
        <f t="shared" si="25"/>
        <v>1</v>
      </c>
      <c r="L280" s="71" t="s">
        <v>252</v>
      </c>
      <c r="M280" s="11">
        <f t="shared" si="26"/>
        <v>1</v>
      </c>
      <c r="N280" s="12">
        <v>0</v>
      </c>
      <c r="O280" s="12" t="s">
        <v>732</v>
      </c>
      <c r="P280" s="57" t="s">
        <v>53</v>
      </c>
      <c r="Q280" s="224">
        <v>2391.304347826087</v>
      </c>
      <c r="R280" s="224">
        <v>2391.304347826087</v>
      </c>
      <c r="S280" s="58">
        <f t="shared" si="27"/>
        <v>0</v>
      </c>
      <c r="T280" s="58"/>
      <c r="U280" s="58"/>
      <c r="V280" s="59">
        <f t="shared" si="28"/>
        <v>239.13043478260872</v>
      </c>
      <c r="W280" s="60">
        <f t="shared" si="29"/>
        <v>0</v>
      </c>
    </row>
    <row r="281" spans="1:23" ht="29" customHeight="1" x14ac:dyDescent="0.35">
      <c r="A281" s="61"/>
      <c r="B281" s="55">
        <v>277</v>
      </c>
      <c r="C281" s="70" t="s">
        <v>822</v>
      </c>
      <c r="D281" s="12">
        <v>136274</v>
      </c>
      <c r="E281" s="128"/>
      <c r="F281" s="12">
        <v>139523</v>
      </c>
      <c r="G281" s="71">
        <v>46245</v>
      </c>
      <c r="H281" s="71" t="s">
        <v>252</v>
      </c>
      <c r="I281" s="11">
        <f t="shared" si="24"/>
        <v>2</v>
      </c>
      <c r="J281" s="71">
        <v>46246</v>
      </c>
      <c r="K281" s="11">
        <f t="shared" si="25"/>
        <v>1</v>
      </c>
      <c r="L281" s="71" t="s">
        <v>252</v>
      </c>
      <c r="M281" s="11">
        <f t="shared" si="26"/>
        <v>1</v>
      </c>
      <c r="N281" s="12" t="s">
        <v>444</v>
      </c>
      <c r="O281" s="12" t="s">
        <v>733</v>
      </c>
      <c r="P281" s="57" t="s">
        <v>53</v>
      </c>
      <c r="Q281" s="224">
        <v>130.43478260869566</v>
      </c>
      <c r="R281" s="224">
        <v>130.43478260869566</v>
      </c>
      <c r="S281" s="58">
        <f t="shared" si="27"/>
        <v>0</v>
      </c>
      <c r="T281" s="58"/>
      <c r="U281" s="58"/>
      <c r="V281" s="59">
        <f t="shared" si="28"/>
        <v>13.043478260869566</v>
      </c>
      <c r="W281" s="60">
        <f t="shared" si="29"/>
        <v>0</v>
      </c>
    </row>
    <row r="282" spans="1:23" ht="29" customHeight="1" x14ac:dyDescent="0.35">
      <c r="A282" s="61"/>
      <c r="B282" s="55">
        <v>278</v>
      </c>
      <c r="C282" s="70" t="s">
        <v>822</v>
      </c>
      <c r="D282" s="12">
        <v>136275</v>
      </c>
      <c r="E282" s="128"/>
      <c r="F282" s="12">
        <v>139542</v>
      </c>
      <c r="G282" s="71">
        <v>46245</v>
      </c>
      <c r="H282" s="71" t="s">
        <v>252</v>
      </c>
      <c r="I282" s="11">
        <f t="shared" si="24"/>
        <v>2</v>
      </c>
      <c r="J282" s="71">
        <v>46246</v>
      </c>
      <c r="K282" s="11">
        <f t="shared" si="25"/>
        <v>1</v>
      </c>
      <c r="L282" s="71" t="s">
        <v>252</v>
      </c>
      <c r="M282" s="11">
        <f t="shared" si="26"/>
        <v>1</v>
      </c>
      <c r="N282" s="12" t="s">
        <v>445</v>
      </c>
      <c r="O282" s="12" t="s">
        <v>734</v>
      </c>
      <c r="P282" s="57" t="s">
        <v>53</v>
      </c>
      <c r="Q282" s="224">
        <v>117.11893878260871</v>
      </c>
      <c r="R282" s="224">
        <v>117.11893878260871</v>
      </c>
      <c r="S282" s="58">
        <f t="shared" si="27"/>
        <v>0</v>
      </c>
      <c r="T282" s="58"/>
      <c r="U282" s="58"/>
      <c r="V282" s="59">
        <f t="shared" si="28"/>
        <v>11.711893878260872</v>
      </c>
      <c r="W282" s="60">
        <f t="shared" si="29"/>
        <v>0</v>
      </c>
    </row>
    <row r="283" spans="1:23" ht="29" customHeight="1" x14ac:dyDescent="0.35">
      <c r="A283" s="61"/>
      <c r="B283" s="55">
        <v>279</v>
      </c>
      <c r="C283" s="70" t="s">
        <v>822</v>
      </c>
      <c r="D283" s="12">
        <v>136276</v>
      </c>
      <c r="E283" s="128"/>
      <c r="F283" s="12">
        <v>139447</v>
      </c>
      <c r="G283" s="71">
        <v>46245</v>
      </c>
      <c r="H283" s="71" t="s">
        <v>252</v>
      </c>
      <c r="I283" s="11">
        <f t="shared" si="24"/>
        <v>2</v>
      </c>
      <c r="J283" s="71">
        <v>46246</v>
      </c>
      <c r="K283" s="11">
        <f t="shared" si="25"/>
        <v>1</v>
      </c>
      <c r="L283" s="71" t="s">
        <v>252</v>
      </c>
      <c r="M283" s="11">
        <f t="shared" si="26"/>
        <v>1</v>
      </c>
      <c r="N283" s="12" t="s">
        <v>446</v>
      </c>
      <c r="O283" s="12" t="s">
        <v>735</v>
      </c>
      <c r="P283" s="57" t="s">
        <v>53</v>
      </c>
      <c r="Q283" s="224">
        <v>9990</v>
      </c>
      <c r="R283" s="224">
        <v>9990</v>
      </c>
      <c r="S283" s="58">
        <f t="shared" si="27"/>
        <v>0</v>
      </c>
      <c r="T283" s="58"/>
      <c r="U283" s="58"/>
      <c r="V283" s="59">
        <f t="shared" si="28"/>
        <v>999</v>
      </c>
      <c r="W283" s="60">
        <f t="shared" si="29"/>
        <v>0</v>
      </c>
    </row>
    <row r="284" spans="1:23" ht="29" customHeight="1" x14ac:dyDescent="0.35">
      <c r="A284" s="61"/>
      <c r="B284" s="55">
        <v>280</v>
      </c>
      <c r="C284" s="70" t="s">
        <v>822</v>
      </c>
      <c r="D284" s="12">
        <v>136277</v>
      </c>
      <c r="E284" s="128"/>
      <c r="F284" s="12">
        <v>139543</v>
      </c>
      <c r="G284" s="71">
        <v>46245</v>
      </c>
      <c r="H284" s="71" t="s">
        <v>252</v>
      </c>
      <c r="I284" s="11">
        <f t="shared" si="24"/>
        <v>2</v>
      </c>
      <c r="J284" s="71">
        <v>46246</v>
      </c>
      <c r="K284" s="11">
        <f t="shared" si="25"/>
        <v>1</v>
      </c>
      <c r="L284" s="71" t="s">
        <v>252</v>
      </c>
      <c r="M284" s="11">
        <f t="shared" si="26"/>
        <v>1</v>
      </c>
      <c r="N284" s="12" t="s">
        <v>447</v>
      </c>
      <c r="O284" s="12" t="s">
        <v>736</v>
      </c>
      <c r="P284" s="57" t="s">
        <v>53</v>
      </c>
      <c r="Q284" s="224">
        <v>32608.695652173912</v>
      </c>
      <c r="R284" s="224">
        <v>32608.695652173912</v>
      </c>
      <c r="S284" s="58">
        <f t="shared" si="27"/>
        <v>0</v>
      </c>
      <c r="T284" s="58"/>
      <c r="U284" s="58"/>
      <c r="V284" s="59">
        <f t="shared" si="28"/>
        <v>3260.8695652173915</v>
      </c>
      <c r="W284" s="60">
        <f t="shared" si="29"/>
        <v>0</v>
      </c>
    </row>
    <row r="285" spans="1:23" ht="29" customHeight="1" x14ac:dyDescent="0.35">
      <c r="A285" s="61"/>
      <c r="B285" s="55">
        <v>281</v>
      </c>
      <c r="C285" s="70" t="s">
        <v>822</v>
      </c>
      <c r="D285" s="12">
        <v>136319</v>
      </c>
      <c r="E285" s="128"/>
      <c r="F285" s="12">
        <v>139541</v>
      </c>
      <c r="G285" s="71">
        <v>46245</v>
      </c>
      <c r="H285" s="71" t="s">
        <v>243</v>
      </c>
      <c r="I285" s="11">
        <f t="shared" si="24"/>
        <v>3</v>
      </c>
      <c r="J285" s="71">
        <v>46248</v>
      </c>
      <c r="K285" s="11">
        <f t="shared" si="25"/>
        <v>2</v>
      </c>
      <c r="L285" s="71" t="s">
        <v>259</v>
      </c>
      <c r="M285" s="11">
        <f t="shared" si="26"/>
        <v>1</v>
      </c>
      <c r="N285" s="12" t="s">
        <v>448</v>
      </c>
      <c r="O285" s="12" t="s">
        <v>709</v>
      </c>
      <c r="P285" s="57" t="s">
        <v>53</v>
      </c>
      <c r="Q285" s="224">
        <v>450.76086956521738</v>
      </c>
      <c r="R285" s="224">
        <v>450.76086956521738</v>
      </c>
      <c r="S285" s="58">
        <f t="shared" si="27"/>
        <v>0</v>
      </c>
      <c r="T285" s="58"/>
      <c r="U285" s="58"/>
      <c r="V285" s="59">
        <f t="shared" si="28"/>
        <v>45.076086956521742</v>
      </c>
      <c r="W285" s="60">
        <f t="shared" si="29"/>
        <v>0</v>
      </c>
    </row>
    <row r="286" spans="1:23" ht="29" customHeight="1" x14ac:dyDescent="0.35">
      <c r="A286" s="61"/>
      <c r="B286" s="55">
        <v>282</v>
      </c>
      <c r="C286" s="70" t="s">
        <v>822</v>
      </c>
      <c r="D286" s="12">
        <v>136333</v>
      </c>
      <c r="E286" s="128"/>
      <c r="F286" s="12">
        <v>139528</v>
      </c>
      <c r="G286" s="71">
        <v>46245</v>
      </c>
      <c r="H286" s="71" t="s">
        <v>243</v>
      </c>
      <c r="I286" s="11">
        <f t="shared" si="24"/>
        <v>3</v>
      </c>
      <c r="J286" s="71">
        <v>46251</v>
      </c>
      <c r="K286" s="11">
        <f t="shared" si="25"/>
        <v>3</v>
      </c>
      <c r="L286" s="71" t="s">
        <v>248</v>
      </c>
      <c r="M286" s="11">
        <f t="shared" si="26"/>
        <v>1</v>
      </c>
      <c r="N286" s="12" t="s">
        <v>449</v>
      </c>
      <c r="O286" s="12" t="s">
        <v>655</v>
      </c>
      <c r="P286" s="57" t="s">
        <v>53</v>
      </c>
      <c r="Q286" s="224">
        <v>1364.7824217391303</v>
      </c>
      <c r="R286" s="224">
        <v>1364.7824217391303</v>
      </c>
      <c r="S286" s="58">
        <f t="shared" si="27"/>
        <v>0</v>
      </c>
      <c r="T286" s="58"/>
      <c r="U286" s="58"/>
      <c r="V286" s="59">
        <f t="shared" si="28"/>
        <v>136.47824217391303</v>
      </c>
      <c r="W286" s="60">
        <f t="shared" si="29"/>
        <v>0</v>
      </c>
    </row>
    <row r="287" spans="1:23" ht="29" customHeight="1" x14ac:dyDescent="0.35">
      <c r="A287" s="61"/>
      <c r="B287" s="55">
        <v>283</v>
      </c>
      <c r="C287" s="70" t="s">
        <v>822</v>
      </c>
      <c r="D287" s="12">
        <v>136334</v>
      </c>
      <c r="E287" s="128"/>
      <c r="F287" s="12">
        <v>139534</v>
      </c>
      <c r="G287" s="71">
        <v>46245</v>
      </c>
      <c r="H287" s="71" t="s">
        <v>243</v>
      </c>
      <c r="I287" s="11">
        <f t="shared" si="24"/>
        <v>3</v>
      </c>
      <c r="J287" s="71">
        <v>46251</v>
      </c>
      <c r="K287" s="11">
        <f t="shared" si="25"/>
        <v>3</v>
      </c>
      <c r="L287" s="71" t="s">
        <v>248</v>
      </c>
      <c r="M287" s="11">
        <f t="shared" si="26"/>
        <v>1</v>
      </c>
      <c r="N287" s="12" t="s">
        <v>450</v>
      </c>
      <c r="O287" s="12" t="s">
        <v>737</v>
      </c>
      <c r="P287" s="57" t="s">
        <v>53</v>
      </c>
      <c r="Q287" s="224">
        <v>934.78260869565213</v>
      </c>
      <c r="R287" s="224">
        <v>934.78260869565213</v>
      </c>
      <c r="S287" s="58">
        <f t="shared" si="27"/>
        <v>0</v>
      </c>
      <c r="T287" s="58"/>
      <c r="U287" s="58"/>
      <c r="V287" s="59">
        <f t="shared" si="28"/>
        <v>93.478260869565219</v>
      </c>
      <c r="W287" s="60">
        <f t="shared" si="29"/>
        <v>0</v>
      </c>
    </row>
    <row r="288" spans="1:23" ht="29" customHeight="1" x14ac:dyDescent="0.35">
      <c r="A288" s="61"/>
      <c r="B288" s="55">
        <v>284</v>
      </c>
      <c r="C288" s="70" t="s">
        <v>822</v>
      </c>
      <c r="D288" s="12">
        <v>136338</v>
      </c>
      <c r="E288" s="128"/>
      <c r="F288" s="12">
        <v>139548</v>
      </c>
      <c r="G288" s="71">
        <v>46245</v>
      </c>
      <c r="H288" s="71" t="s">
        <v>259</v>
      </c>
      <c r="I288" s="11">
        <f t="shared" si="24"/>
        <v>4</v>
      </c>
      <c r="J288" s="71">
        <v>46251</v>
      </c>
      <c r="K288" s="11">
        <f t="shared" si="25"/>
        <v>2</v>
      </c>
      <c r="L288" s="71" t="s">
        <v>248</v>
      </c>
      <c r="M288" s="11">
        <f t="shared" si="26"/>
        <v>1</v>
      </c>
      <c r="N288" s="12" t="s">
        <v>451</v>
      </c>
      <c r="O288" s="12" t="s">
        <v>709</v>
      </c>
      <c r="P288" s="57" t="s">
        <v>53</v>
      </c>
      <c r="Q288" s="224">
        <v>434.63043478260869</v>
      </c>
      <c r="R288" s="224">
        <v>434.63043478260869</v>
      </c>
      <c r="S288" s="58">
        <f t="shared" si="27"/>
        <v>0</v>
      </c>
      <c r="T288" s="58"/>
      <c r="U288" s="58"/>
      <c r="V288" s="59">
        <f t="shared" si="28"/>
        <v>43.463043478260872</v>
      </c>
      <c r="W288" s="60">
        <f t="shared" si="29"/>
        <v>0</v>
      </c>
    </row>
    <row r="289" spans="1:23" ht="29" customHeight="1" x14ac:dyDescent="0.35">
      <c r="A289" s="61"/>
      <c r="B289" s="55">
        <v>285</v>
      </c>
      <c r="C289" s="70" t="s">
        <v>822</v>
      </c>
      <c r="D289" s="12">
        <v>136343</v>
      </c>
      <c r="E289" s="128"/>
      <c r="F289" s="12">
        <v>139522</v>
      </c>
      <c r="G289" s="71">
        <v>46245</v>
      </c>
      <c r="H289" s="71" t="s">
        <v>259</v>
      </c>
      <c r="I289" s="11">
        <f t="shared" si="24"/>
        <v>4</v>
      </c>
      <c r="J289" s="71">
        <v>46251</v>
      </c>
      <c r="K289" s="11">
        <f t="shared" si="25"/>
        <v>2</v>
      </c>
      <c r="L289" s="71" t="s">
        <v>248</v>
      </c>
      <c r="M289" s="11">
        <f t="shared" si="26"/>
        <v>1</v>
      </c>
      <c r="N289" s="12" t="s">
        <v>452</v>
      </c>
      <c r="O289" s="12" t="s">
        <v>623</v>
      </c>
      <c r="P289" s="57" t="s">
        <v>53</v>
      </c>
      <c r="Q289" s="224">
        <v>12065.217391304348</v>
      </c>
      <c r="R289" s="224">
        <v>12065.217391304348</v>
      </c>
      <c r="S289" s="58">
        <f t="shared" si="27"/>
        <v>0</v>
      </c>
      <c r="T289" s="58"/>
      <c r="U289" s="58"/>
      <c r="V289" s="59">
        <f t="shared" si="28"/>
        <v>1206.5217391304348</v>
      </c>
      <c r="W289" s="60">
        <f t="shared" si="29"/>
        <v>0</v>
      </c>
    </row>
    <row r="290" spans="1:23" ht="29" customHeight="1" x14ac:dyDescent="0.35">
      <c r="A290" s="61"/>
      <c r="B290" s="55">
        <v>286</v>
      </c>
      <c r="C290" s="70" t="s">
        <v>822</v>
      </c>
      <c r="D290" s="12">
        <v>136344</v>
      </c>
      <c r="E290" s="128"/>
      <c r="F290" s="12">
        <v>139521</v>
      </c>
      <c r="G290" s="71">
        <v>46245</v>
      </c>
      <c r="H290" s="71" t="s">
        <v>259</v>
      </c>
      <c r="I290" s="11">
        <f t="shared" si="24"/>
        <v>4</v>
      </c>
      <c r="J290" s="71">
        <v>46251</v>
      </c>
      <c r="K290" s="11">
        <f t="shared" si="25"/>
        <v>2</v>
      </c>
      <c r="L290" s="71" t="s">
        <v>248</v>
      </c>
      <c r="M290" s="11">
        <f t="shared" si="26"/>
        <v>1</v>
      </c>
      <c r="N290" s="12" t="s">
        <v>412</v>
      </c>
      <c r="O290" s="12" t="s">
        <v>641</v>
      </c>
      <c r="P290" s="57" t="s">
        <v>53</v>
      </c>
      <c r="Q290" s="224">
        <v>2515.0652173913045</v>
      </c>
      <c r="R290" s="224">
        <v>2515.0652173913045</v>
      </c>
      <c r="S290" s="58">
        <f t="shared" si="27"/>
        <v>0</v>
      </c>
      <c r="T290" s="58"/>
      <c r="U290" s="58"/>
      <c r="V290" s="59">
        <f t="shared" si="28"/>
        <v>251.50652173913045</v>
      </c>
      <c r="W290" s="60">
        <f t="shared" si="29"/>
        <v>0</v>
      </c>
    </row>
    <row r="291" spans="1:23" ht="29" customHeight="1" x14ac:dyDescent="0.35">
      <c r="A291" s="61"/>
      <c r="B291" s="55">
        <v>287</v>
      </c>
      <c r="C291" s="70" t="s">
        <v>822</v>
      </c>
      <c r="D291" s="12">
        <v>136345</v>
      </c>
      <c r="E291" s="128"/>
      <c r="F291" s="12">
        <v>139525</v>
      </c>
      <c r="G291" s="71">
        <v>46245</v>
      </c>
      <c r="H291" s="71" t="s">
        <v>259</v>
      </c>
      <c r="I291" s="11">
        <f t="shared" si="24"/>
        <v>4</v>
      </c>
      <c r="J291" s="71">
        <v>46251</v>
      </c>
      <c r="K291" s="11">
        <f t="shared" si="25"/>
        <v>2</v>
      </c>
      <c r="L291" s="71" t="s">
        <v>248</v>
      </c>
      <c r="M291" s="11">
        <f t="shared" si="26"/>
        <v>1</v>
      </c>
      <c r="N291" s="12" t="s">
        <v>453</v>
      </c>
      <c r="O291" s="12" t="s">
        <v>641</v>
      </c>
      <c r="P291" s="57" t="s">
        <v>53</v>
      </c>
      <c r="Q291" s="224">
        <v>36.956521739130437</v>
      </c>
      <c r="R291" s="224">
        <v>36.956521739130437</v>
      </c>
      <c r="S291" s="58">
        <f t="shared" si="27"/>
        <v>0</v>
      </c>
      <c r="T291" s="58"/>
      <c r="U291" s="58"/>
      <c r="V291" s="59">
        <f t="shared" si="28"/>
        <v>3.6956521739130439</v>
      </c>
      <c r="W291" s="60">
        <f t="shared" si="29"/>
        <v>0</v>
      </c>
    </row>
    <row r="292" spans="1:23" ht="29" customHeight="1" x14ac:dyDescent="0.35">
      <c r="A292" s="61"/>
      <c r="B292" s="55">
        <v>288</v>
      </c>
      <c r="C292" s="70" t="s">
        <v>822</v>
      </c>
      <c r="D292" s="12">
        <v>136347</v>
      </c>
      <c r="E292" s="128"/>
      <c r="F292" s="12">
        <v>139547</v>
      </c>
      <c r="G292" s="71">
        <v>46245</v>
      </c>
      <c r="H292" s="71" t="s">
        <v>259</v>
      </c>
      <c r="I292" s="11">
        <f t="shared" si="24"/>
        <v>4</v>
      </c>
      <c r="J292" s="71">
        <v>46251</v>
      </c>
      <c r="K292" s="11">
        <f t="shared" si="25"/>
        <v>2</v>
      </c>
      <c r="L292" s="71" t="s">
        <v>248</v>
      </c>
      <c r="M292" s="11">
        <f t="shared" si="26"/>
        <v>1</v>
      </c>
      <c r="N292" s="12" t="s">
        <v>454</v>
      </c>
      <c r="O292" s="12" t="s">
        <v>605</v>
      </c>
      <c r="P292" s="57" t="s">
        <v>53</v>
      </c>
      <c r="Q292" s="224">
        <v>354.78260869565219</v>
      </c>
      <c r="R292" s="224">
        <v>354.78260869565219</v>
      </c>
      <c r="S292" s="58">
        <f t="shared" si="27"/>
        <v>0</v>
      </c>
      <c r="T292" s="58"/>
      <c r="U292" s="58"/>
      <c r="V292" s="59">
        <f t="shared" si="28"/>
        <v>35.478260869565219</v>
      </c>
      <c r="W292" s="60">
        <f t="shared" si="29"/>
        <v>0</v>
      </c>
    </row>
    <row r="293" spans="1:23" ht="29" customHeight="1" x14ac:dyDescent="0.35">
      <c r="A293" s="61"/>
      <c r="B293" s="55">
        <v>289</v>
      </c>
      <c r="C293" s="70" t="s">
        <v>822</v>
      </c>
      <c r="D293" s="12">
        <v>136349</v>
      </c>
      <c r="E293" s="128"/>
      <c r="F293" s="12">
        <v>139524</v>
      </c>
      <c r="G293" s="71">
        <v>46245</v>
      </c>
      <c r="H293" s="71" t="s">
        <v>259</v>
      </c>
      <c r="I293" s="11">
        <f t="shared" si="24"/>
        <v>4</v>
      </c>
      <c r="J293" s="71">
        <v>46251</v>
      </c>
      <c r="K293" s="11">
        <f t="shared" si="25"/>
        <v>2</v>
      </c>
      <c r="L293" s="71" t="s">
        <v>248</v>
      </c>
      <c r="M293" s="11">
        <f t="shared" si="26"/>
        <v>1</v>
      </c>
      <c r="N293" s="12" t="s">
        <v>453</v>
      </c>
      <c r="O293" s="12" t="s">
        <v>634</v>
      </c>
      <c r="P293" s="57" t="s">
        <v>53</v>
      </c>
      <c r="Q293" s="224">
        <v>307.78985434782612</v>
      </c>
      <c r="R293" s="224">
        <v>307.78985434782612</v>
      </c>
      <c r="S293" s="58">
        <f t="shared" si="27"/>
        <v>0</v>
      </c>
      <c r="T293" s="58"/>
      <c r="U293" s="58"/>
      <c r="V293" s="59">
        <f t="shared" si="28"/>
        <v>30.778985434782612</v>
      </c>
      <c r="W293" s="60">
        <f t="shared" si="29"/>
        <v>0</v>
      </c>
    </row>
    <row r="294" spans="1:23" ht="29" customHeight="1" x14ac:dyDescent="0.35">
      <c r="A294" s="61"/>
      <c r="B294" s="55">
        <v>290</v>
      </c>
      <c r="C294" s="70" t="s">
        <v>822</v>
      </c>
      <c r="D294" s="12">
        <v>136352</v>
      </c>
      <c r="E294" s="128"/>
      <c r="F294" s="12">
        <v>139518</v>
      </c>
      <c r="G294" s="71">
        <v>46245</v>
      </c>
      <c r="H294" s="201" t="s">
        <v>259</v>
      </c>
      <c r="I294" s="11">
        <f t="shared" si="24"/>
        <v>4</v>
      </c>
      <c r="J294" s="71">
        <v>46251</v>
      </c>
      <c r="K294" s="11">
        <f t="shared" si="25"/>
        <v>2</v>
      </c>
      <c r="L294" s="71" t="s">
        <v>248</v>
      </c>
      <c r="M294" s="11">
        <f t="shared" si="26"/>
        <v>1</v>
      </c>
      <c r="N294" s="12" t="s">
        <v>452</v>
      </c>
      <c r="O294" s="12" t="s">
        <v>641</v>
      </c>
      <c r="P294" s="57" t="s">
        <v>53</v>
      </c>
      <c r="Q294" s="224">
        <v>2515.0652173913045</v>
      </c>
      <c r="R294" s="224">
        <v>2515.0652173913045</v>
      </c>
      <c r="S294" s="58">
        <f t="shared" si="27"/>
        <v>0</v>
      </c>
      <c r="T294" s="58"/>
      <c r="U294" s="58"/>
      <c r="V294" s="59">
        <f t="shared" si="28"/>
        <v>251.50652173913045</v>
      </c>
      <c r="W294" s="60">
        <f t="shared" si="29"/>
        <v>0</v>
      </c>
    </row>
    <row r="295" spans="1:23" ht="29" customHeight="1" x14ac:dyDescent="0.35">
      <c r="A295" s="61"/>
      <c r="B295" s="55">
        <v>291</v>
      </c>
      <c r="C295" s="70" t="s">
        <v>822</v>
      </c>
      <c r="D295" s="12">
        <v>136353</v>
      </c>
      <c r="E295" s="128"/>
      <c r="F295" s="12">
        <v>139532</v>
      </c>
      <c r="G295" s="71">
        <v>46245</v>
      </c>
      <c r="H295" s="71" t="s">
        <v>243</v>
      </c>
      <c r="I295" s="11">
        <f t="shared" si="24"/>
        <v>3</v>
      </c>
      <c r="J295" s="71">
        <v>46251</v>
      </c>
      <c r="K295" s="11">
        <f t="shared" si="25"/>
        <v>3</v>
      </c>
      <c r="L295" s="71" t="s">
        <v>248</v>
      </c>
      <c r="M295" s="11">
        <f t="shared" si="26"/>
        <v>1</v>
      </c>
      <c r="N295" s="12" t="s">
        <v>455</v>
      </c>
      <c r="O295" s="12" t="s">
        <v>655</v>
      </c>
      <c r="P295" s="57" t="s">
        <v>53</v>
      </c>
      <c r="Q295" s="224">
        <v>1407.3911239130434</v>
      </c>
      <c r="R295" s="224">
        <v>1407.3911239130434</v>
      </c>
      <c r="S295" s="58">
        <f t="shared" si="27"/>
        <v>0</v>
      </c>
      <c r="T295" s="58"/>
      <c r="U295" s="58"/>
      <c r="V295" s="59">
        <f t="shared" si="28"/>
        <v>140.73911239130436</v>
      </c>
      <c r="W295" s="60">
        <f t="shared" si="29"/>
        <v>0</v>
      </c>
    </row>
    <row r="296" spans="1:23" ht="29" customHeight="1" x14ac:dyDescent="0.35">
      <c r="A296" s="61"/>
      <c r="B296" s="55">
        <v>292</v>
      </c>
      <c r="C296" s="70" t="s">
        <v>822</v>
      </c>
      <c r="D296" s="12">
        <v>136370</v>
      </c>
      <c r="E296" s="128"/>
      <c r="F296" s="12">
        <v>139526</v>
      </c>
      <c r="G296" s="71">
        <v>46245</v>
      </c>
      <c r="H296" s="71" t="s">
        <v>253</v>
      </c>
      <c r="I296" s="11">
        <f t="shared" si="24"/>
        <v>6</v>
      </c>
      <c r="J296" s="71">
        <v>46252</v>
      </c>
      <c r="K296" s="11">
        <f t="shared" si="25"/>
        <v>1</v>
      </c>
      <c r="L296" s="71" t="s">
        <v>253</v>
      </c>
      <c r="M296" s="11">
        <f t="shared" si="26"/>
        <v>1</v>
      </c>
      <c r="N296" s="12" t="s">
        <v>456</v>
      </c>
      <c r="O296" s="12" t="s">
        <v>641</v>
      </c>
      <c r="P296" s="57" t="s">
        <v>53</v>
      </c>
      <c r="Q296" s="224">
        <v>4260.869565217391</v>
      </c>
      <c r="R296" s="224">
        <v>4260.869565217391</v>
      </c>
      <c r="S296" s="58">
        <f t="shared" si="27"/>
        <v>0</v>
      </c>
      <c r="T296" s="58"/>
      <c r="U296" s="58"/>
      <c r="V296" s="59">
        <f t="shared" si="28"/>
        <v>426.08695652173913</v>
      </c>
      <c r="W296" s="60">
        <f t="shared" si="29"/>
        <v>0</v>
      </c>
    </row>
    <row r="297" spans="1:23" ht="29" customHeight="1" x14ac:dyDescent="0.35">
      <c r="A297" s="61"/>
      <c r="B297" s="55">
        <v>293</v>
      </c>
      <c r="C297" s="70" t="s">
        <v>822</v>
      </c>
      <c r="D297" s="12">
        <v>136371</v>
      </c>
      <c r="E297" s="128"/>
      <c r="F297" s="12">
        <v>139535</v>
      </c>
      <c r="G297" s="71">
        <v>46245</v>
      </c>
      <c r="H297" s="71" t="s">
        <v>253</v>
      </c>
      <c r="I297" s="11">
        <f t="shared" si="24"/>
        <v>6</v>
      </c>
      <c r="J297" s="71">
        <v>46252</v>
      </c>
      <c r="K297" s="11">
        <f t="shared" si="25"/>
        <v>1</v>
      </c>
      <c r="L297" s="71" t="s">
        <v>253</v>
      </c>
      <c r="M297" s="11">
        <f t="shared" si="26"/>
        <v>1</v>
      </c>
      <c r="N297" s="12">
        <v>0</v>
      </c>
      <c r="O297" s="12" t="s">
        <v>738</v>
      </c>
      <c r="P297" s="57" t="s">
        <v>53</v>
      </c>
      <c r="Q297" s="224">
        <v>90.579713043478264</v>
      </c>
      <c r="R297" s="224">
        <v>90.579713043478264</v>
      </c>
      <c r="S297" s="58">
        <f t="shared" si="27"/>
        <v>0</v>
      </c>
      <c r="T297" s="58"/>
      <c r="U297" s="58"/>
      <c r="V297" s="59">
        <f t="shared" si="28"/>
        <v>9.0579713043478272</v>
      </c>
      <c r="W297" s="60">
        <f t="shared" si="29"/>
        <v>0</v>
      </c>
    </row>
    <row r="298" spans="1:23" ht="29" customHeight="1" x14ac:dyDescent="0.35">
      <c r="A298" s="61"/>
      <c r="B298" s="55">
        <v>294</v>
      </c>
      <c r="C298" s="70" t="s">
        <v>822</v>
      </c>
      <c r="D298" s="12">
        <v>136422</v>
      </c>
      <c r="E298" s="128"/>
      <c r="F298" s="12">
        <v>139536</v>
      </c>
      <c r="G298" s="71">
        <v>46245</v>
      </c>
      <c r="H298" s="71" t="s">
        <v>248</v>
      </c>
      <c r="I298" s="11">
        <f t="shared" si="24"/>
        <v>5</v>
      </c>
      <c r="J298" s="71">
        <v>46254</v>
      </c>
      <c r="K298" s="11">
        <f t="shared" si="25"/>
        <v>4</v>
      </c>
      <c r="L298" s="71" t="s">
        <v>263</v>
      </c>
      <c r="M298" s="11">
        <f t="shared" si="26"/>
        <v>1</v>
      </c>
      <c r="N298" s="12" t="s">
        <v>457</v>
      </c>
      <c r="O298" s="12" t="s">
        <v>739</v>
      </c>
      <c r="P298" s="57" t="s">
        <v>53</v>
      </c>
      <c r="Q298" s="224">
        <v>1004.3478260869565</v>
      </c>
      <c r="R298" s="224">
        <v>1004.3478260869565</v>
      </c>
      <c r="S298" s="58">
        <f t="shared" si="27"/>
        <v>0</v>
      </c>
      <c r="T298" s="58"/>
      <c r="U298" s="58"/>
      <c r="V298" s="59">
        <f t="shared" si="28"/>
        <v>100.43478260869566</v>
      </c>
      <c r="W298" s="60">
        <f t="shared" si="29"/>
        <v>0</v>
      </c>
    </row>
    <row r="299" spans="1:23" ht="29" customHeight="1" x14ac:dyDescent="0.35">
      <c r="A299" s="61"/>
      <c r="B299" s="55">
        <v>295</v>
      </c>
      <c r="C299" s="70" t="s">
        <v>822</v>
      </c>
      <c r="D299" s="12">
        <v>136423</v>
      </c>
      <c r="E299" s="128"/>
      <c r="F299" s="12">
        <v>139539</v>
      </c>
      <c r="G299" s="71">
        <v>46245</v>
      </c>
      <c r="H299" s="71" t="s">
        <v>248</v>
      </c>
      <c r="I299" s="11">
        <f t="shared" si="24"/>
        <v>5</v>
      </c>
      <c r="J299" s="71">
        <v>46254</v>
      </c>
      <c r="K299" s="11">
        <f t="shared" si="25"/>
        <v>4</v>
      </c>
      <c r="L299" s="71" t="s">
        <v>263</v>
      </c>
      <c r="M299" s="11">
        <f t="shared" si="26"/>
        <v>1</v>
      </c>
      <c r="N299" s="12" t="s">
        <v>458</v>
      </c>
      <c r="O299" s="12" t="s">
        <v>633</v>
      </c>
      <c r="P299" s="57" t="s">
        <v>53</v>
      </c>
      <c r="Q299" s="224">
        <v>34.782608695652172</v>
      </c>
      <c r="R299" s="224">
        <v>34.782608695652172</v>
      </c>
      <c r="S299" s="58">
        <f t="shared" si="27"/>
        <v>0</v>
      </c>
      <c r="T299" s="58"/>
      <c r="U299" s="58"/>
      <c r="V299" s="59">
        <f t="shared" si="28"/>
        <v>3.4782608695652173</v>
      </c>
      <c r="W299" s="60">
        <f t="shared" si="29"/>
        <v>0</v>
      </c>
    </row>
    <row r="300" spans="1:23" ht="29" customHeight="1" x14ac:dyDescent="0.35">
      <c r="A300" s="61"/>
      <c r="B300" s="55">
        <v>296</v>
      </c>
      <c r="C300" s="70" t="s">
        <v>822</v>
      </c>
      <c r="D300" s="12">
        <v>136434</v>
      </c>
      <c r="E300" s="128"/>
      <c r="F300" s="12">
        <v>139520</v>
      </c>
      <c r="G300" s="71">
        <v>46245</v>
      </c>
      <c r="H300" s="71" t="s">
        <v>248</v>
      </c>
      <c r="I300" s="11">
        <f t="shared" si="24"/>
        <v>5</v>
      </c>
      <c r="J300" s="71">
        <v>46254</v>
      </c>
      <c r="K300" s="11">
        <f t="shared" si="25"/>
        <v>4</v>
      </c>
      <c r="L300" s="71" t="s">
        <v>263</v>
      </c>
      <c r="M300" s="11">
        <f t="shared" si="26"/>
        <v>1</v>
      </c>
      <c r="N300" s="12" t="s">
        <v>459</v>
      </c>
      <c r="O300" s="12" t="s">
        <v>671</v>
      </c>
      <c r="P300" s="57" t="s">
        <v>53</v>
      </c>
      <c r="Q300" s="224">
        <v>1144.2306521739131</v>
      </c>
      <c r="R300" s="224">
        <v>1144.2306521739131</v>
      </c>
      <c r="S300" s="58">
        <f t="shared" si="27"/>
        <v>0</v>
      </c>
      <c r="T300" s="58"/>
      <c r="U300" s="58"/>
      <c r="V300" s="59">
        <f t="shared" si="28"/>
        <v>114.42306521739131</v>
      </c>
      <c r="W300" s="60">
        <f t="shared" si="29"/>
        <v>0</v>
      </c>
    </row>
    <row r="301" spans="1:23" ht="29" customHeight="1" x14ac:dyDescent="0.35">
      <c r="A301" s="61"/>
      <c r="B301" s="55">
        <v>297</v>
      </c>
      <c r="C301" s="70" t="s">
        <v>822</v>
      </c>
      <c r="D301" s="12">
        <v>136435</v>
      </c>
      <c r="E301" s="128"/>
      <c r="F301" s="12">
        <v>139540</v>
      </c>
      <c r="G301" s="71">
        <v>46245</v>
      </c>
      <c r="H301" s="71" t="s">
        <v>248</v>
      </c>
      <c r="I301" s="11">
        <f t="shared" si="24"/>
        <v>5</v>
      </c>
      <c r="J301" s="71">
        <v>46254</v>
      </c>
      <c r="K301" s="11">
        <f t="shared" si="25"/>
        <v>4</v>
      </c>
      <c r="L301" s="71" t="s">
        <v>263</v>
      </c>
      <c r="M301" s="11">
        <f t="shared" si="26"/>
        <v>1</v>
      </c>
      <c r="N301" s="12" t="s">
        <v>460</v>
      </c>
      <c r="O301" s="12" t="s">
        <v>740</v>
      </c>
      <c r="P301" s="57" t="s">
        <v>53</v>
      </c>
      <c r="Q301" s="224">
        <v>1369.5652173913043</v>
      </c>
      <c r="R301" s="224">
        <v>1369.5652173913043</v>
      </c>
      <c r="S301" s="58">
        <f t="shared" si="27"/>
        <v>0</v>
      </c>
      <c r="T301" s="58"/>
      <c r="U301" s="58"/>
      <c r="V301" s="59">
        <f t="shared" si="28"/>
        <v>136.95652173913044</v>
      </c>
      <c r="W301" s="60">
        <f t="shared" si="29"/>
        <v>0</v>
      </c>
    </row>
    <row r="302" spans="1:23" ht="29" customHeight="1" x14ac:dyDescent="0.35">
      <c r="A302" s="61"/>
      <c r="B302" s="55">
        <v>298</v>
      </c>
      <c r="C302" s="70" t="s">
        <v>822</v>
      </c>
      <c r="D302" s="12">
        <v>136436</v>
      </c>
      <c r="E302" s="128"/>
      <c r="F302" s="12">
        <v>139531</v>
      </c>
      <c r="G302" s="71">
        <v>46245</v>
      </c>
      <c r="H302" s="71" t="s">
        <v>248</v>
      </c>
      <c r="I302" s="11">
        <f t="shared" si="24"/>
        <v>5</v>
      </c>
      <c r="J302" s="71">
        <v>46254</v>
      </c>
      <c r="K302" s="11">
        <f t="shared" si="25"/>
        <v>4</v>
      </c>
      <c r="L302" s="71" t="s">
        <v>263</v>
      </c>
      <c r="M302" s="11">
        <f t="shared" si="26"/>
        <v>1</v>
      </c>
      <c r="N302" s="12" t="s">
        <v>293</v>
      </c>
      <c r="O302" s="12" t="s">
        <v>741</v>
      </c>
      <c r="P302" s="57" t="s">
        <v>53</v>
      </c>
      <c r="Q302" s="224">
        <v>434.78260869565219</v>
      </c>
      <c r="R302" s="224">
        <v>434.78260869565219</v>
      </c>
      <c r="S302" s="58">
        <f t="shared" si="27"/>
        <v>0</v>
      </c>
      <c r="T302" s="58"/>
      <c r="U302" s="58"/>
      <c r="V302" s="59">
        <f t="shared" si="28"/>
        <v>43.478260869565219</v>
      </c>
      <c r="W302" s="60">
        <f t="shared" si="29"/>
        <v>0</v>
      </c>
    </row>
    <row r="303" spans="1:23" ht="29" customHeight="1" x14ac:dyDescent="0.35">
      <c r="A303" s="61"/>
      <c r="B303" s="55">
        <v>299</v>
      </c>
      <c r="C303" s="70" t="s">
        <v>822</v>
      </c>
      <c r="D303" s="12">
        <v>136438</v>
      </c>
      <c r="E303" s="128"/>
      <c r="F303" s="12">
        <v>139533</v>
      </c>
      <c r="G303" s="71">
        <v>46245</v>
      </c>
      <c r="H303" s="71" t="s">
        <v>248</v>
      </c>
      <c r="I303" s="11">
        <f t="shared" si="24"/>
        <v>5</v>
      </c>
      <c r="J303" s="71">
        <v>46254</v>
      </c>
      <c r="K303" s="11">
        <f t="shared" si="25"/>
        <v>4</v>
      </c>
      <c r="L303" s="71" t="s">
        <v>263</v>
      </c>
      <c r="M303" s="11">
        <f t="shared" si="26"/>
        <v>1</v>
      </c>
      <c r="N303" s="12" t="s">
        <v>293</v>
      </c>
      <c r="O303" s="12" t="s">
        <v>742</v>
      </c>
      <c r="P303" s="57" t="s">
        <v>53</v>
      </c>
      <c r="Q303" s="224">
        <v>652.17391304347825</v>
      </c>
      <c r="R303" s="224">
        <v>652.17391304347825</v>
      </c>
      <c r="S303" s="58">
        <f t="shared" si="27"/>
        <v>0</v>
      </c>
      <c r="T303" s="58"/>
      <c r="U303" s="58"/>
      <c r="V303" s="59">
        <f t="shared" si="28"/>
        <v>65.217391304347828</v>
      </c>
      <c r="W303" s="60">
        <f t="shared" si="29"/>
        <v>0</v>
      </c>
    </row>
    <row r="304" spans="1:23" ht="29" customHeight="1" x14ac:dyDescent="0.35">
      <c r="A304" s="61"/>
      <c r="B304" s="55">
        <v>300</v>
      </c>
      <c r="C304" s="70" t="s">
        <v>822</v>
      </c>
      <c r="D304" s="12">
        <v>136489</v>
      </c>
      <c r="E304" s="128"/>
      <c r="F304" s="12">
        <v>139515</v>
      </c>
      <c r="G304" s="71">
        <v>46245</v>
      </c>
      <c r="H304" s="71" t="s">
        <v>257</v>
      </c>
      <c r="I304" s="11">
        <f t="shared" si="24"/>
        <v>10</v>
      </c>
      <c r="J304" s="71">
        <v>46260</v>
      </c>
      <c r="K304" s="11">
        <f t="shared" si="25"/>
        <v>3</v>
      </c>
      <c r="L304" s="71" t="s">
        <v>264</v>
      </c>
      <c r="M304" s="11">
        <f t="shared" si="26"/>
        <v>1</v>
      </c>
      <c r="N304" s="12">
        <v>0</v>
      </c>
      <c r="O304" s="12" t="s">
        <v>605</v>
      </c>
      <c r="P304" s="57" t="s">
        <v>53</v>
      </c>
      <c r="Q304" s="224">
        <v>293.96086956521737</v>
      </c>
      <c r="R304" s="224">
        <v>293.96086956521737</v>
      </c>
      <c r="S304" s="58">
        <f t="shared" si="27"/>
        <v>0</v>
      </c>
      <c r="T304" s="58"/>
      <c r="U304" s="58"/>
      <c r="V304" s="59">
        <f t="shared" si="28"/>
        <v>29.396086956521739</v>
      </c>
      <c r="W304" s="60">
        <f t="shared" si="29"/>
        <v>0</v>
      </c>
    </row>
    <row r="305" spans="1:23" ht="29" customHeight="1" x14ac:dyDescent="0.35">
      <c r="A305" s="61"/>
      <c r="B305" s="55">
        <v>301</v>
      </c>
      <c r="C305" s="70" t="s">
        <v>822</v>
      </c>
      <c r="D305" s="12">
        <v>136490</v>
      </c>
      <c r="E305" s="128"/>
      <c r="F305" s="12">
        <v>139516</v>
      </c>
      <c r="G305" s="71">
        <v>46245</v>
      </c>
      <c r="H305" s="71" t="s">
        <v>257</v>
      </c>
      <c r="I305" s="11">
        <f t="shared" si="24"/>
        <v>10</v>
      </c>
      <c r="J305" s="71">
        <v>46260</v>
      </c>
      <c r="K305" s="11">
        <f t="shared" si="25"/>
        <v>3</v>
      </c>
      <c r="L305" s="71" t="s">
        <v>264</v>
      </c>
      <c r="M305" s="11">
        <f t="shared" si="26"/>
        <v>1</v>
      </c>
      <c r="N305" s="12">
        <v>0</v>
      </c>
      <c r="O305" s="12" t="s">
        <v>605</v>
      </c>
      <c r="P305" s="57" t="s">
        <v>53</v>
      </c>
      <c r="Q305" s="224">
        <v>85.058333332608697</v>
      </c>
      <c r="R305" s="224">
        <v>85.058333332608697</v>
      </c>
      <c r="S305" s="58">
        <f t="shared" si="27"/>
        <v>0</v>
      </c>
      <c r="T305" s="58"/>
      <c r="U305" s="58"/>
      <c r="V305" s="59">
        <f t="shared" si="28"/>
        <v>8.5058333332608704</v>
      </c>
      <c r="W305" s="60">
        <f t="shared" si="29"/>
        <v>0</v>
      </c>
    </row>
    <row r="306" spans="1:23" ht="29" customHeight="1" x14ac:dyDescent="0.35">
      <c r="A306" s="61"/>
      <c r="B306" s="55">
        <v>302</v>
      </c>
      <c r="C306" s="70" t="s">
        <v>822</v>
      </c>
      <c r="D306" s="12">
        <v>136491</v>
      </c>
      <c r="E306" s="128"/>
      <c r="F306" s="12">
        <v>139517</v>
      </c>
      <c r="G306" s="71">
        <v>46245</v>
      </c>
      <c r="H306" s="71" t="s">
        <v>257</v>
      </c>
      <c r="I306" s="11">
        <f t="shared" si="24"/>
        <v>10</v>
      </c>
      <c r="J306" s="71">
        <v>46260</v>
      </c>
      <c r="K306" s="11">
        <f t="shared" si="25"/>
        <v>3</v>
      </c>
      <c r="L306" s="71" t="s">
        <v>264</v>
      </c>
      <c r="M306" s="11">
        <f t="shared" si="26"/>
        <v>1</v>
      </c>
      <c r="N306" s="12">
        <v>0</v>
      </c>
      <c r="O306" s="12" t="s">
        <v>605</v>
      </c>
      <c r="P306" s="57" t="s">
        <v>53</v>
      </c>
      <c r="Q306" s="224">
        <v>407.08695652173913</v>
      </c>
      <c r="R306" s="224">
        <v>407.08695652173913</v>
      </c>
      <c r="S306" s="58">
        <f t="shared" si="27"/>
        <v>0</v>
      </c>
      <c r="T306" s="58"/>
      <c r="U306" s="58"/>
      <c r="V306" s="59">
        <f t="shared" si="28"/>
        <v>40.708695652173915</v>
      </c>
      <c r="W306" s="60">
        <f t="shared" si="29"/>
        <v>0</v>
      </c>
    </row>
    <row r="307" spans="1:23" ht="29" customHeight="1" x14ac:dyDescent="0.35">
      <c r="A307" s="61"/>
      <c r="B307" s="55">
        <v>303</v>
      </c>
      <c r="C307" s="70" t="s">
        <v>822</v>
      </c>
      <c r="D307" s="12">
        <v>136492</v>
      </c>
      <c r="E307" s="128"/>
      <c r="F307" s="12">
        <v>139519</v>
      </c>
      <c r="G307" s="71">
        <v>46245</v>
      </c>
      <c r="H307" s="71" t="s">
        <v>257</v>
      </c>
      <c r="I307" s="11">
        <f t="shared" si="24"/>
        <v>10</v>
      </c>
      <c r="J307" s="71">
        <v>46260</v>
      </c>
      <c r="K307" s="11">
        <f t="shared" si="25"/>
        <v>3</v>
      </c>
      <c r="L307" s="71" t="s">
        <v>264</v>
      </c>
      <c r="M307" s="11">
        <f t="shared" si="26"/>
        <v>1</v>
      </c>
      <c r="N307" s="12">
        <v>0</v>
      </c>
      <c r="O307" s="12" t="s">
        <v>612</v>
      </c>
      <c r="P307" s="57" t="s">
        <v>53</v>
      </c>
      <c r="Q307" s="224">
        <v>571.36956521739125</v>
      </c>
      <c r="R307" s="224">
        <v>571.36956521739125</v>
      </c>
      <c r="S307" s="58">
        <f t="shared" si="27"/>
        <v>0</v>
      </c>
      <c r="T307" s="58"/>
      <c r="U307" s="58"/>
      <c r="V307" s="59">
        <f t="shared" si="28"/>
        <v>57.13695652173913</v>
      </c>
      <c r="W307" s="60">
        <f t="shared" si="29"/>
        <v>0</v>
      </c>
    </row>
    <row r="308" spans="1:23" ht="29" customHeight="1" x14ac:dyDescent="0.35">
      <c r="A308" s="61"/>
      <c r="B308" s="55">
        <v>304</v>
      </c>
      <c r="C308" s="70" t="s">
        <v>822</v>
      </c>
      <c r="D308" s="12">
        <v>136278</v>
      </c>
      <c r="E308" s="128"/>
      <c r="F308" s="12">
        <v>139567</v>
      </c>
      <c r="G308" s="71">
        <v>46246</v>
      </c>
      <c r="H308" s="71" t="s">
        <v>252</v>
      </c>
      <c r="I308" s="11">
        <f t="shared" si="24"/>
        <v>1</v>
      </c>
      <c r="J308" s="71">
        <v>46246</v>
      </c>
      <c r="K308" s="11">
        <f t="shared" si="25"/>
        <v>1</v>
      </c>
      <c r="L308" s="71" t="s">
        <v>243</v>
      </c>
      <c r="M308" s="11">
        <f t="shared" si="26"/>
        <v>2</v>
      </c>
      <c r="N308" s="12" t="s">
        <v>461</v>
      </c>
      <c r="O308" s="12" t="s">
        <v>743</v>
      </c>
      <c r="P308" s="57" t="s">
        <v>53</v>
      </c>
      <c r="Q308" s="224">
        <v>232453.52590579781</v>
      </c>
      <c r="R308" s="224">
        <v>232453.52590579781</v>
      </c>
      <c r="S308" s="58">
        <f t="shared" si="27"/>
        <v>0</v>
      </c>
      <c r="T308" s="58"/>
      <c r="U308" s="58"/>
      <c r="V308" s="59">
        <f t="shared" si="28"/>
        <v>23245.352590579783</v>
      </c>
      <c r="W308" s="60">
        <f t="shared" si="29"/>
        <v>0</v>
      </c>
    </row>
    <row r="309" spans="1:23" ht="29" customHeight="1" x14ac:dyDescent="0.35">
      <c r="A309" s="61"/>
      <c r="B309" s="55">
        <v>305</v>
      </c>
      <c r="C309" s="70" t="s">
        <v>822</v>
      </c>
      <c r="D309" s="12">
        <v>136281</v>
      </c>
      <c r="E309" s="128"/>
      <c r="F309" s="12">
        <v>139568</v>
      </c>
      <c r="G309" s="71">
        <v>46246</v>
      </c>
      <c r="H309" s="71" t="s">
        <v>252</v>
      </c>
      <c r="I309" s="11">
        <f t="shared" si="24"/>
        <v>1</v>
      </c>
      <c r="J309" s="71">
        <v>46246</v>
      </c>
      <c r="K309" s="11">
        <f t="shared" si="25"/>
        <v>1</v>
      </c>
      <c r="L309" s="71" t="s">
        <v>252</v>
      </c>
      <c r="M309" s="11">
        <f t="shared" si="26"/>
        <v>1</v>
      </c>
      <c r="N309" s="12">
        <v>0</v>
      </c>
      <c r="O309" s="12" t="s">
        <v>709</v>
      </c>
      <c r="P309" s="57" t="s">
        <v>53</v>
      </c>
      <c r="Q309" s="273">
        <v>206.56521739130434</v>
      </c>
      <c r="R309" s="273">
        <v>206.56521739130434</v>
      </c>
      <c r="S309" s="58">
        <f t="shared" si="27"/>
        <v>0</v>
      </c>
      <c r="T309" s="58"/>
      <c r="U309" s="58"/>
      <c r="V309" s="59">
        <f t="shared" si="28"/>
        <v>20.656521739130437</v>
      </c>
      <c r="W309" s="60">
        <f t="shared" si="29"/>
        <v>0</v>
      </c>
    </row>
    <row r="310" spans="1:23" ht="29" customHeight="1" x14ac:dyDescent="0.35">
      <c r="A310" s="61"/>
      <c r="B310" s="55">
        <v>306</v>
      </c>
      <c r="C310" s="70" t="s">
        <v>822</v>
      </c>
      <c r="D310" s="12">
        <v>136282</v>
      </c>
      <c r="E310" s="128"/>
      <c r="F310" s="12">
        <v>139569</v>
      </c>
      <c r="G310" s="71">
        <v>46246</v>
      </c>
      <c r="H310" s="71" t="s">
        <v>252</v>
      </c>
      <c r="I310" s="11">
        <f t="shared" si="24"/>
        <v>1</v>
      </c>
      <c r="J310" s="71">
        <v>46246</v>
      </c>
      <c r="K310" s="11">
        <f t="shared" si="25"/>
        <v>1</v>
      </c>
      <c r="L310" s="71" t="s">
        <v>252</v>
      </c>
      <c r="M310" s="11">
        <f t="shared" si="26"/>
        <v>1</v>
      </c>
      <c r="N310" s="12" t="s">
        <v>462</v>
      </c>
      <c r="O310" s="12" t="s">
        <v>744</v>
      </c>
      <c r="P310" s="57" t="s">
        <v>53</v>
      </c>
      <c r="Q310" s="224">
        <v>489.13043478260869</v>
      </c>
      <c r="R310" s="224">
        <v>489.13043478260869</v>
      </c>
      <c r="S310" s="58">
        <f t="shared" si="27"/>
        <v>0</v>
      </c>
      <c r="T310" s="58"/>
      <c r="U310" s="58"/>
      <c r="V310" s="59">
        <f t="shared" si="28"/>
        <v>48.913043478260875</v>
      </c>
      <c r="W310" s="60">
        <f t="shared" si="29"/>
        <v>0</v>
      </c>
    </row>
    <row r="311" spans="1:23" ht="29" customHeight="1" x14ac:dyDescent="0.35">
      <c r="A311" s="61"/>
      <c r="B311" s="55">
        <v>307</v>
      </c>
      <c r="C311" s="70" t="s">
        <v>822</v>
      </c>
      <c r="D311" s="12">
        <v>136283</v>
      </c>
      <c r="E311" s="128"/>
      <c r="F311" s="12">
        <v>139585</v>
      </c>
      <c r="G311" s="71">
        <v>46246</v>
      </c>
      <c r="H311" s="71" t="s">
        <v>243</v>
      </c>
      <c r="I311" s="11">
        <f t="shared" si="24"/>
        <v>2</v>
      </c>
      <c r="J311" s="71">
        <v>46247</v>
      </c>
      <c r="K311" s="11">
        <f t="shared" si="25"/>
        <v>1</v>
      </c>
      <c r="L311" s="71" t="s">
        <v>243</v>
      </c>
      <c r="M311" s="11">
        <f t="shared" si="26"/>
        <v>1</v>
      </c>
      <c r="N311" s="12">
        <v>0</v>
      </c>
      <c r="O311" s="12" t="s">
        <v>709</v>
      </c>
      <c r="P311" s="57" t="s">
        <v>53</v>
      </c>
      <c r="Q311" s="224">
        <v>244.02173913043478</v>
      </c>
      <c r="R311" s="224">
        <v>244.02173913043478</v>
      </c>
      <c r="S311" s="58">
        <f t="shared" si="27"/>
        <v>0</v>
      </c>
      <c r="T311" s="58"/>
      <c r="U311" s="58"/>
      <c r="V311" s="59">
        <f t="shared" si="28"/>
        <v>24.40217391304348</v>
      </c>
      <c r="W311" s="60">
        <f t="shared" si="29"/>
        <v>0</v>
      </c>
    </row>
    <row r="312" spans="1:23" ht="29" customHeight="1" x14ac:dyDescent="0.35">
      <c r="A312" s="61"/>
      <c r="B312" s="55">
        <v>308</v>
      </c>
      <c r="C312" s="70" t="s">
        <v>822</v>
      </c>
      <c r="D312" s="12">
        <v>136327</v>
      </c>
      <c r="E312" s="128"/>
      <c r="F312" s="12">
        <v>139551</v>
      </c>
      <c r="G312" s="71">
        <v>46246</v>
      </c>
      <c r="H312" s="71" t="s">
        <v>243</v>
      </c>
      <c r="I312" s="11">
        <f t="shared" si="24"/>
        <v>2</v>
      </c>
      <c r="J312" s="71">
        <v>46251</v>
      </c>
      <c r="K312" s="11">
        <f t="shared" si="25"/>
        <v>3</v>
      </c>
      <c r="L312" s="71" t="s">
        <v>248</v>
      </c>
      <c r="M312" s="11">
        <f t="shared" si="26"/>
        <v>1</v>
      </c>
      <c r="N312" s="12" t="s">
        <v>463</v>
      </c>
      <c r="O312" s="12" t="s">
        <v>745</v>
      </c>
      <c r="P312" s="57" t="s">
        <v>53</v>
      </c>
      <c r="Q312" s="224">
        <v>46.956521739130437</v>
      </c>
      <c r="R312" s="224">
        <v>46.956521739130437</v>
      </c>
      <c r="S312" s="58">
        <f t="shared" si="27"/>
        <v>0</v>
      </c>
      <c r="T312" s="58"/>
      <c r="U312" s="58"/>
      <c r="V312" s="59">
        <f t="shared" si="28"/>
        <v>4.6956521739130439</v>
      </c>
      <c r="W312" s="60">
        <f t="shared" si="29"/>
        <v>0</v>
      </c>
    </row>
    <row r="313" spans="1:23" ht="29" customHeight="1" x14ac:dyDescent="0.35">
      <c r="A313" s="61"/>
      <c r="B313" s="55">
        <v>309</v>
      </c>
      <c r="C313" s="70" t="s">
        <v>822</v>
      </c>
      <c r="D313" s="12">
        <v>136335</v>
      </c>
      <c r="E313" s="128"/>
      <c r="F313" s="12">
        <v>139556</v>
      </c>
      <c r="G313" s="71">
        <v>46246</v>
      </c>
      <c r="H313" s="71" t="s">
        <v>243</v>
      </c>
      <c r="I313" s="11">
        <f t="shared" ref="I313:I376" si="30">IF(OR(H313="", G313=""), "", NETWORKDAYS(G313, H313))</f>
        <v>2</v>
      </c>
      <c r="J313" s="71">
        <v>46251</v>
      </c>
      <c r="K313" s="11">
        <f t="shared" ref="K313:K376" si="31">IF(OR(H313="", J313=""), "", NETWORKDAYS(H313, J313))</f>
        <v>3</v>
      </c>
      <c r="L313" s="71" t="s">
        <v>248</v>
      </c>
      <c r="M313" s="11">
        <f t="shared" ref="M313:M376" si="32">IF(OR(J313="", L313=""), "", NETWORKDAYS(J313, L313))</f>
        <v>1</v>
      </c>
      <c r="N313" s="12" t="s">
        <v>464</v>
      </c>
      <c r="O313" s="12" t="s">
        <v>622</v>
      </c>
      <c r="P313" s="57" t="s">
        <v>53</v>
      </c>
      <c r="Q313" s="224">
        <v>1303.2608695652175</v>
      </c>
      <c r="R313" s="224">
        <v>1303.2608695652175</v>
      </c>
      <c r="S313" s="58">
        <f t="shared" ref="S313:S376" si="33">Q313-R313</f>
        <v>0</v>
      </c>
      <c r="T313" s="58"/>
      <c r="U313" s="58"/>
      <c r="V313" s="59">
        <f t="shared" ref="V313:V376" si="34">IF(Q313="", "", Q313*10%)</f>
        <v>130.32608695652175</v>
      </c>
      <c r="W313" s="60">
        <f t="shared" ref="W313:W376" si="35">IF(OR(Q313="", R313=""), "", (Q313- R313)/Q313)</f>
        <v>0</v>
      </c>
    </row>
    <row r="314" spans="1:23" ht="29" customHeight="1" x14ac:dyDescent="0.35">
      <c r="A314" s="61"/>
      <c r="B314" s="55">
        <v>310</v>
      </c>
      <c r="C314" s="70" t="s">
        <v>822</v>
      </c>
      <c r="D314" s="12">
        <v>136336</v>
      </c>
      <c r="E314" s="128"/>
      <c r="F314" s="12">
        <v>139564</v>
      </c>
      <c r="G314" s="71">
        <v>46246</v>
      </c>
      <c r="H314" s="71" t="s">
        <v>243</v>
      </c>
      <c r="I314" s="11">
        <f t="shared" si="30"/>
        <v>2</v>
      </c>
      <c r="J314" s="71">
        <v>46251</v>
      </c>
      <c r="K314" s="11">
        <f t="shared" si="31"/>
        <v>3</v>
      </c>
      <c r="L314" s="71" t="s">
        <v>248</v>
      </c>
      <c r="M314" s="11">
        <f t="shared" si="32"/>
        <v>1</v>
      </c>
      <c r="N314" s="12" t="s">
        <v>465</v>
      </c>
      <c r="O314" s="12" t="s">
        <v>605</v>
      </c>
      <c r="P314" s="57" t="s">
        <v>53</v>
      </c>
      <c r="Q314" s="224">
        <v>1257.7771739130435</v>
      </c>
      <c r="R314" s="224">
        <v>1257.7771739130435</v>
      </c>
      <c r="S314" s="58">
        <f t="shared" si="33"/>
        <v>0</v>
      </c>
      <c r="T314" s="58"/>
      <c r="U314" s="58"/>
      <c r="V314" s="59">
        <f t="shared" si="34"/>
        <v>125.77771739130435</v>
      </c>
      <c r="W314" s="60">
        <f t="shared" si="35"/>
        <v>0</v>
      </c>
    </row>
    <row r="315" spans="1:23" ht="29" customHeight="1" x14ac:dyDescent="0.35">
      <c r="A315" s="61"/>
      <c r="B315" s="55">
        <v>311</v>
      </c>
      <c r="C315" s="70" t="s">
        <v>822</v>
      </c>
      <c r="D315" s="12">
        <v>136337</v>
      </c>
      <c r="E315" s="128"/>
      <c r="F315" s="12">
        <v>139563</v>
      </c>
      <c r="G315" s="71">
        <v>46246</v>
      </c>
      <c r="H315" s="71" t="s">
        <v>243</v>
      </c>
      <c r="I315" s="11">
        <f t="shared" si="30"/>
        <v>2</v>
      </c>
      <c r="J315" s="71">
        <v>46251</v>
      </c>
      <c r="K315" s="11">
        <f t="shared" si="31"/>
        <v>3</v>
      </c>
      <c r="L315" s="71" t="s">
        <v>248</v>
      </c>
      <c r="M315" s="11">
        <f t="shared" si="32"/>
        <v>1</v>
      </c>
      <c r="N315" s="12" t="s">
        <v>466</v>
      </c>
      <c r="O315" s="12" t="s">
        <v>746</v>
      </c>
      <c r="P315" s="57" t="s">
        <v>53</v>
      </c>
      <c r="Q315" s="224">
        <v>440.21739130434781</v>
      </c>
      <c r="R315" s="224">
        <v>440.21739130434781</v>
      </c>
      <c r="S315" s="58">
        <f t="shared" si="33"/>
        <v>0</v>
      </c>
      <c r="T315" s="58"/>
      <c r="U315" s="58"/>
      <c r="V315" s="59">
        <f t="shared" si="34"/>
        <v>44.021739130434781</v>
      </c>
      <c r="W315" s="60">
        <f t="shared" si="35"/>
        <v>0</v>
      </c>
    </row>
    <row r="316" spans="1:23" ht="29" customHeight="1" x14ac:dyDescent="0.35">
      <c r="A316" s="61"/>
      <c r="B316" s="55">
        <v>312</v>
      </c>
      <c r="C316" s="70" t="s">
        <v>822</v>
      </c>
      <c r="D316" s="12">
        <v>136339</v>
      </c>
      <c r="E316" s="128"/>
      <c r="F316" s="12">
        <v>139558</v>
      </c>
      <c r="G316" s="71">
        <v>46246</v>
      </c>
      <c r="H316" s="71" t="s">
        <v>248</v>
      </c>
      <c r="I316" s="11">
        <f t="shared" si="30"/>
        <v>4</v>
      </c>
      <c r="J316" s="71">
        <v>46251</v>
      </c>
      <c r="K316" s="11">
        <f t="shared" si="31"/>
        <v>1</v>
      </c>
      <c r="L316" s="71" t="s">
        <v>248</v>
      </c>
      <c r="M316" s="11">
        <f t="shared" si="32"/>
        <v>1</v>
      </c>
      <c r="N316" s="12" t="s">
        <v>467</v>
      </c>
      <c r="O316" s="12" t="s">
        <v>747</v>
      </c>
      <c r="P316" s="57" t="s">
        <v>53</v>
      </c>
      <c r="Q316" s="224">
        <v>6604.347826086957</v>
      </c>
      <c r="R316" s="224">
        <v>6604.347826086957</v>
      </c>
      <c r="S316" s="58">
        <f t="shared" si="33"/>
        <v>0</v>
      </c>
      <c r="T316" s="58"/>
      <c r="U316" s="58"/>
      <c r="V316" s="59">
        <f t="shared" si="34"/>
        <v>660.43478260869574</v>
      </c>
      <c r="W316" s="60">
        <f t="shared" si="35"/>
        <v>0</v>
      </c>
    </row>
    <row r="317" spans="1:23" ht="29" customHeight="1" x14ac:dyDescent="0.35">
      <c r="A317" s="61"/>
      <c r="B317" s="55">
        <v>313</v>
      </c>
      <c r="C317" s="70" t="s">
        <v>822</v>
      </c>
      <c r="D317" s="12">
        <v>136341</v>
      </c>
      <c r="E317" s="128"/>
      <c r="F317" s="12">
        <v>139561</v>
      </c>
      <c r="G317" s="71">
        <v>46246</v>
      </c>
      <c r="H317" s="71" t="s">
        <v>248</v>
      </c>
      <c r="I317" s="11">
        <f t="shared" si="30"/>
        <v>4</v>
      </c>
      <c r="J317" s="71">
        <v>46251</v>
      </c>
      <c r="K317" s="11">
        <f t="shared" si="31"/>
        <v>1</v>
      </c>
      <c r="L317" s="71" t="s">
        <v>248</v>
      </c>
      <c r="M317" s="11">
        <f t="shared" si="32"/>
        <v>1</v>
      </c>
      <c r="N317" s="12" t="s">
        <v>468</v>
      </c>
      <c r="O317" s="12" t="s">
        <v>643</v>
      </c>
      <c r="P317" s="57" t="s">
        <v>53</v>
      </c>
      <c r="Q317" s="224">
        <v>119644</v>
      </c>
      <c r="R317" s="224">
        <v>119644</v>
      </c>
      <c r="S317" s="58">
        <f t="shared" si="33"/>
        <v>0</v>
      </c>
      <c r="T317" s="58"/>
      <c r="U317" s="58"/>
      <c r="V317" s="59">
        <f t="shared" si="34"/>
        <v>11964.400000000001</v>
      </c>
      <c r="W317" s="60">
        <f t="shared" si="35"/>
        <v>0</v>
      </c>
    </row>
    <row r="318" spans="1:23" ht="29" customHeight="1" x14ac:dyDescent="0.35">
      <c r="A318" s="61"/>
      <c r="B318" s="55">
        <v>314</v>
      </c>
      <c r="C318" s="70" t="s">
        <v>822</v>
      </c>
      <c r="D318" s="12">
        <v>136351</v>
      </c>
      <c r="E318" s="128"/>
      <c r="F318" s="12">
        <v>139588</v>
      </c>
      <c r="G318" s="71">
        <v>46246</v>
      </c>
      <c r="H318" s="71" t="s">
        <v>243</v>
      </c>
      <c r="I318" s="11">
        <f t="shared" si="30"/>
        <v>2</v>
      </c>
      <c r="J318" s="71">
        <v>46251</v>
      </c>
      <c r="K318" s="11">
        <f t="shared" si="31"/>
        <v>3</v>
      </c>
      <c r="L318" s="71" t="s">
        <v>248</v>
      </c>
      <c r="M318" s="11">
        <f t="shared" si="32"/>
        <v>1</v>
      </c>
      <c r="N318" s="12" t="s">
        <v>469</v>
      </c>
      <c r="O318" s="12" t="s">
        <v>649</v>
      </c>
      <c r="P318" s="57" t="s">
        <v>53</v>
      </c>
      <c r="Q318" s="224">
        <v>1191.1304347826087</v>
      </c>
      <c r="R318" s="224">
        <v>1191.1304347826087</v>
      </c>
      <c r="S318" s="58">
        <f t="shared" si="33"/>
        <v>0</v>
      </c>
      <c r="T318" s="58"/>
      <c r="U318" s="58"/>
      <c r="V318" s="59">
        <f t="shared" si="34"/>
        <v>119.11304347826088</v>
      </c>
      <c r="W318" s="60">
        <f t="shared" si="35"/>
        <v>0</v>
      </c>
    </row>
    <row r="319" spans="1:23" ht="29" customHeight="1" x14ac:dyDescent="0.35">
      <c r="A319" s="61"/>
      <c r="B319" s="55">
        <v>315</v>
      </c>
      <c r="C319" s="70" t="s">
        <v>822</v>
      </c>
      <c r="D319" s="12">
        <v>136372</v>
      </c>
      <c r="E319" s="128"/>
      <c r="F319" s="12">
        <v>139552</v>
      </c>
      <c r="G319" s="71">
        <v>46246</v>
      </c>
      <c r="H319" s="71" t="s">
        <v>253</v>
      </c>
      <c r="I319" s="11">
        <f t="shared" si="30"/>
        <v>5</v>
      </c>
      <c r="J319" s="71">
        <v>46252</v>
      </c>
      <c r="K319" s="11">
        <f t="shared" si="31"/>
        <v>1</v>
      </c>
      <c r="L319" s="71" t="s">
        <v>253</v>
      </c>
      <c r="M319" s="11">
        <f t="shared" si="32"/>
        <v>1</v>
      </c>
      <c r="N319" s="12">
        <v>0</v>
      </c>
      <c r="O319" s="12" t="s">
        <v>605</v>
      </c>
      <c r="P319" s="57" t="s">
        <v>53</v>
      </c>
      <c r="Q319" s="224">
        <v>199.56521739130434</v>
      </c>
      <c r="R319" s="224">
        <v>199.56521739130434</v>
      </c>
      <c r="S319" s="58">
        <f t="shared" si="33"/>
        <v>0</v>
      </c>
      <c r="T319" s="58"/>
      <c r="U319" s="58"/>
      <c r="V319" s="59">
        <f t="shared" si="34"/>
        <v>19.956521739130437</v>
      </c>
      <c r="W319" s="60">
        <f t="shared" si="35"/>
        <v>0</v>
      </c>
    </row>
    <row r="320" spans="1:23" ht="29" customHeight="1" x14ac:dyDescent="0.35">
      <c r="A320" s="61"/>
      <c r="B320" s="55">
        <v>316</v>
      </c>
      <c r="C320" s="70" t="s">
        <v>822</v>
      </c>
      <c r="D320" s="12">
        <v>136373</v>
      </c>
      <c r="E320" s="128"/>
      <c r="F320" s="12">
        <v>139554</v>
      </c>
      <c r="G320" s="71">
        <v>46246</v>
      </c>
      <c r="H320" s="71" t="s">
        <v>253</v>
      </c>
      <c r="I320" s="11">
        <f t="shared" si="30"/>
        <v>5</v>
      </c>
      <c r="J320" s="71">
        <v>46252</v>
      </c>
      <c r="K320" s="11">
        <f t="shared" si="31"/>
        <v>1</v>
      </c>
      <c r="L320" s="71" t="s">
        <v>253</v>
      </c>
      <c r="M320" s="11">
        <f t="shared" si="32"/>
        <v>1</v>
      </c>
      <c r="N320" s="12">
        <v>0</v>
      </c>
      <c r="O320" s="12" t="s">
        <v>748</v>
      </c>
      <c r="P320" s="57" t="s">
        <v>53</v>
      </c>
      <c r="Q320" s="224">
        <v>429.94565217391306</v>
      </c>
      <c r="R320" s="224">
        <v>429.94565217391306</v>
      </c>
      <c r="S320" s="58">
        <f t="shared" si="33"/>
        <v>0</v>
      </c>
      <c r="T320" s="58"/>
      <c r="U320" s="58"/>
      <c r="V320" s="59">
        <f t="shared" si="34"/>
        <v>42.994565217391312</v>
      </c>
      <c r="W320" s="60">
        <f t="shared" si="35"/>
        <v>0</v>
      </c>
    </row>
    <row r="321" spans="1:23" ht="29" customHeight="1" x14ac:dyDescent="0.35">
      <c r="A321" s="61"/>
      <c r="B321" s="55">
        <v>317</v>
      </c>
      <c r="C321" s="70" t="s">
        <v>822</v>
      </c>
      <c r="D321" s="12">
        <v>136377</v>
      </c>
      <c r="E321" s="128"/>
      <c r="F321" s="12">
        <v>139553</v>
      </c>
      <c r="G321" s="71">
        <v>46246</v>
      </c>
      <c r="H321" s="71" t="s">
        <v>253</v>
      </c>
      <c r="I321" s="11">
        <f t="shared" si="30"/>
        <v>5</v>
      </c>
      <c r="J321" s="71">
        <v>46252</v>
      </c>
      <c r="K321" s="11">
        <f t="shared" si="31"/>
        <v>1</v>
      </c>
      <c r="L321" s="71" t="s">
        <v>253</v>
      </c>
      <c r="M321" s="11">
        <f t="shared" si="32"/>
        <v>1</v>
      </c>
      <c r="N321" s="12">
        <v>0</v>
      </c>
      <c r="O321" s="12" t="s">
        <v>622</v>
      </c>
      <c r="P321" s="57" t="s">
        <v>53</v>
      </c>
      <c r="Q321" s="224">
        <v>434.78260869565219</v>
      </c>
      <c r="R321" s="224">
        <v>434.78260869565219</v>
      </c>
      <c r="S321" s="58">
        <f t="shared" si="33"/>
        <v>0</v>
      </c>
      <c r="T321" s="58"/>
      <c r="U321" s="58"/>
      <c r="V321" s="59">
        <f t="shared" si="34"/>
        <v>43.478260869565219</v>
      </c>
      <c r="W321" s="60">
        <f t="shared" si="35"/>
        <v>0</v>
      </c>
    </row>
    <row r="322" spans="1:23" ht="29" customHeight="1" x14ac:dyDescent="0.35">
      <c r="A322" s="61"/>
      <c r="B322" s="55">
        <v>318</v>
      </c>
      <c r="C322" s="70" t="s">
        <v>822</v>
      </c>
      <c r="D322" s="12">
        <v>136379</v>
      </c>
      <c r="E322" s="128"/>
      <c r="F322" s="12">
        <v>139571</v>
      </c>
      <c r="G322" s="71">
        <v>46246</v>
      </c>
      <c r="H322" s="71" t="s">
        <v>248</v>
      </c>
      <c r="I322" s="11">
        <f t="shared" si="30"/>
        <v>4</v>
      </c>
      <c r="J322" s="71">
        <v>46252</v>
      </c>
      <c r="K322" s="11">
        <f t="shared" si="31"/>
        <v>2</v>
      </c>
      <c r="L322" s="71" t="s">
        <v>253</v>
      </c>
      <c r="M322" s="11">
        <f t="shared" si="32"/>
        <v>1</v>
      </c>
      <c r="N322" s="12" t="s">
        <v>470</v>
      </c>
      <c r="O322" s="12" t="s">
        <v>660</v>
      </c>
      <c r="P322" s="57" t="s">
        <v>53</v>
      </c>
      <c r="Q322" s="224">
        <v>1054.3478260869565</v>
      </c>
      <c r="R322" s="224">
        <v>1054.3478260869565</v>
      </c>
      <c r="S322" s="58">
        <f t="shared" si="33"/>
        <v>0</v>
      </c>
      <c r="T322" s="58"/>
      <c r="U322" s="58"/>
      <c r="V322" s="59">
        <f t="shared" si="34"/>
        <v>105.43478260869566</v>
      </c>
      <c r="W322" s="60">
        <f t="shared" si="35"/>
        <v>0</v>
      </c>
    </row>
    <row r="323" spans="1:23" ht="29" customHeight="1" x14ac:dyDescent="0.35">
      <c r="A323" s="61"/>
      <c r="B323" s="55">
        <v>319</v>
      </c>
      <c r="C323" s="70" t="s">
        <v>822</v>
      </c>
      <c r="D323" s="12">
        <v>136380</v>
      </c>
      <c r="E323" s="128"/>
      <c r="F323" s="12">
        <v>139575</v>
      </c>
      <c r="G323" s="71">
        <v>46246</v>
      </c>
      <c r="H323" s="71" t="s">
        <v>248</v>
      </c>
      <c r="I323" s="11">
        <f t="shared" si="30"/>
        <v>4</v>
      </c>
      <c r="J323" s="71">
        <v>46252</v>
      </c>
      <c r="K323" s="11">
        <f t="shared" si="31"/>
        <v>2</v>
      </c>
      <c r="L323" s="71" t="s">
        <v>253</v>
      </c>
      <c r="M323" s="11">
        <f t="shared" si="32"/>
        <v>1</v>
      </c>
      <c r="N323" s="12" t="s">
        <v>471</v>
      </c>
      <c r="O323" s="12" t="s">
        <v>749</v>
      </c>
      <c r="P323" s="57" t="s">
        <v>53</v>
      </c>
      <c r="Q323" s="224">
        <v>1108.695652173913</v>
      </c>
      <c r="R323" s="224">
        <v>1108.695652173913</v>
      </c>
      <c r="S323" s="58">
        <f t="shared" si="33"/>
        <v>0</v>
      </c>
      <c r="T323" s="58"/>
      <c r="U323" s="58"/>
      <c r="V323" s="59">
        <f t="shared" si="34"/>
        <v>110.86956521739131</v>
      </c>
      <c r="W323" s="60">
        <f t="shared" si="35"/>
        <v>0</v>
      </c>
    </row>
    <row r="324" spans="1:23" ht="29" customHeight="1" x14ac:dyDescent="0.35">
      <c r="A324" s="61"/>
      <c r="B324" s="55">
        <v>320</v>
      </c>
      <c r="C324" s="70" t="s">
        <v>822</v>
      </c>
      <c r="D324" s="12">
        <v>136381</v>
      </c>
      <c r="E324" s="128"/>
      <c r="F324" s="12">
        <v>139572</v>
      </c>
      <c r="G324" s="71">
        <v>46246</v>
      </c>
      <c r="H324" s="71" t="s">
        <v>248</v>
      </c>
      <c r="I324" s="11">
        <f t="shared" si="30"/>
        <v>4</v>
      </c>
      <c r="J324" s="71">
        <v>46252</v>
      </c>
      <c r="K324" s="11">
        <f t="shared" si="31"/>
        <v>2</v>
      </c>
      <c r="L324" s="71" t="s">
        <v>253</v>
      </c>
      <c r="M324" s="11">
        <f t="shared" si="32"/>
        <v>1</v>
      </c>
      <c r="N324" s="12" t="s">
        <v>472</v>
      </c>
      <c r="O324" s="12" t="s">
        <v>660</v>
      </c>
      <c r="P324" s="57" t="s">
        <v>53</v>
      </c>
      <c r="Q324" s="224">
        <v>1054.3478260869565</v>
      </c>
      <c r="R324" s="224">
        <v>1054.3478260869565</v>
      </c>
      <c r="S324" s="58">
        <f t="shared" si="33"/>
        <v>0</v>
      </c>
      <c r="T324" s="58"/>
      <c r="U324" s="58"/>
      <c r="V324" s="59">
        <f t="shared" si="34"/>
        <v>105.43478260869566</v>
      </c>
      <c r="W324" s="60">
        <f t="shared" si="35"/>
        <v>0</v>
      </c>
    </row>
    <row r="325" spans="1:23" ht="29" customHeight="1" x14ac:dyDescent="0.35">
      <c r="A325" s="61"/>
      <c r="B325" s="55">
        <v>321</v>
      </c>
      <c r="C325" s="70" t="s">
        <v>822</v>
      </c>
      <c r="D325" s="12">
        <v>136382</v>
      </c>
      <c r="E325" s="128"/>
      <c r="F325" s="12">
        <v>139576</v>
      </c>
      <c r="G325" s="71">
        <v>46246</v>
      </c>
      <c r="H325" s="71" t="s">
        <v>248</v>
      </c>
      <c r="I325" s="11">
        <f t="shared" si="30"/>
        <v>4</v>
      </c>
      <c r="J325" s="71">
        <v>46252</v>
      </c>
      <c r="K325" s="11">
        <f t="shared" si="31"/>
        <v>2</v>
      </c>
      <c r="L325" s="71" t="s">
        <v>253</v>
      </c>
      <c r="M325" s="11">
        <f t="shared" si="32"/>
        <v>1</v>
      </c>
      <c r="N325" s="12" t="s">
        <v>473</v>
      </c>
      <c r="O325" s="12" t="s">
        <v>609</v>
      </c>
      <c r="P325" s="57" t="s">
        <v>53</v>
      </c>
      <c r="Q325" s="224">
        <v>1069.0217391304348</v>
      </c>
      <c r="R325" s="224">
        <v>1069.0217391304348</v>
      </c>
      <c r="S325" s="58">
        <f t="shared" si="33"/>
        <v>0</v>
      </c>
      <c r="T325" s="58"/>
      <c r="U325" s="58"/>
      <c r="V325" s="59">
        <f t="shared" si="34"/>
        <v>106.90217391304348</v>
      </c>
      <c r="W325" s="60">
        <f t="shared" si="35"/>
        <v>0</v>
      </c>
    </row>
    <row r="326" spans="1:23" ht="29" customHeight="1" x14ac:dyDescent="0.35">
      <c r="A326" s="61"/>
      <c r="B326" s="55">
        <v>322</v>
      </c>
      <c r="C326" s="70" t="s">
        <v>822</v>
      </c>
      <c r="D326" s="12">
        <v>136383</v>
      </c>
      <c r="E326" s="128"/>
      <c r="F326" s="12">
        <v>139578</v>
      </c>
      <c r="G326" s="71">
        <v>46246</v>
      </c>
      <c r="H326" s="71" t="s">
        <v>248</v>
      </c>
      <c r="I326" s="11">
        <f t="shared" si="30"/>
        <v>4</v>
      </c>
      <c r="J326" s="71">
        <v>46252</v>
      </c>
      <c r="K326" s="11">
        <f t="shared" si="31"/>
        <v>2</v>
      </c>
      <c r="L326" s="71" t="s">
        <v>253</v>
      </c>
      <c r="M326" s="11">
        <f t="shared" si="32"/>
        <v>1</v>
      </c>
      <c r="N326" s="12" t="s">
        <v>474</v>
      </c>
      <c r="O326" s="12" t="s">
        <v>609</v>
      </c>
      <c r="P326" s="57" t="s">
        <v>53</v>
      </c>
      <c r="Q326" s="224">
        <v>1602.1739130434783</v>
      </c>
      <c r="R326" s="224">
        <v>1602.1739130434783</v>
      </c>
      <c r="S326" s="58">
        <f t="shared" si="33"/>
        <v>0</v>
      </c>
      <c r="T326" s="58"/>
      <c r="U326" s="58"/>
      <c r="V326" s="59">
        <f t="shared" si="34"/>
        <v>160.21739130434784</v>
      </c>
      <c r="W326" s="60">
        <f t="shared" si="35"/>
        <v>0</v>
      </c>
    </row>
    <row r="327" spans="1:23" ht="29" customHeight="1" x14ac:dyDescent="0.35">
      <c r="A327" s="61"/>
      <c r="B327" s="55">
        <v>323</v>
      </c>
      <c r="C327" s="70" t="s">
        <v>822</v>
      </c>
      <c r="D327" s="12">
        <v>136384</v>
      </c>
      <c r="E327" s="128"/>
      <c r="F327" s="12">
        <v>139580</v>
      </c>
      <c r="G327" s="71">
        <v>46246</v>
      </c>
      <c r="H327" s="71" t="s">
        <v>248</v>
      </c>
      <c r="I327" s="11">
        <f t="shared" si="30"/>
        <v>4</v>
      </c>
      <c r="J327" s="71">
        <v>46252</v>
      </c>
      <c r="K327" s="11">
        <f t="shared" si="31"/>
        <v>2</v>
      </c>
      <c r="L327" s="71" t="s">
        <v>253</v>
      </c>
      <c r="M327" s="11">
        <f t="shared" si="32"/>
        <v>1</v>
      </c>
      <c r="N327" s="12" t="s">
        <v>475</v>
      </c>
      <c r="O327" s="12" t="s">
        <v>609</v>
      </c>
      <c r="P327" s="57" t="s">
        <v>53</v>
      </c>
      <c r="Q327" s="224">
        <v>1758.695652173913</v>
      </c>
      <c r="R327" s="224">
        <v>1758.695652173913</v>
      </c>
      <c r="S327" s="58">
        <f t="shared" si="33"/>
        <v>0</v>
      </c>
      <c r="T327" s="58"/>
      <c r="U327" s="58"/>
      <c r="V327" s="59">
        <f t="shared" si="34"/>
        <v>175.86956521739131</v>
      </c>
      <c r="W327" s="60">
        <f t="shared" si="35"/>
        <v>0</v>
      </c>
    </row>
    <row r="328" spans="1:23" ht="29" customHeight="1" x14ac:dyDescent="0.35">
      <c r="A328" s="61"/>
      <c r="B328" s="55">
        <v>324</v>
      </c>
      <c r="C328" s="70" t="s">
        <v>822</v>
      </c>
      <c r="D328" s="12">
        <v>136385</v>
      </c>
      <c r="E328" s="128"/>
      <c r="F328" s="12">
        <v>139573</v>
      </c>
      <c r="G328" s="71">
        <v>46246</v>
      </c>
      <c r="H328" s="71" t="s">
        <v>248</v>
      </c>
      <c r="I328" s="11">
        <f t="shared" si="30"/>
        <v>4</v>
      </c>
      <c r="J328" s="71">
        <v>46252</v>
      </c>
      <c r="K328" s="11">
        <f t="shared" si="31"/>
        <v>2</v>
      </c>
      <c r="L328" s="71" t="s">
        <v>253</v>
      </c>
      <c r="M328" s="11">
        <f t="shared" si="32"/>
        <v>1</v>
      </c>
      <c r="N328" s="12" t="s">
        <v>476</v>
      </c>
      <c r="O328" s="12" t="s">
        <v>660</v>
      </c>
      <c r="P328" s="57" t="s">
        <v>53</v>
      </c>
      <c r="Q328" s="224">
        <v>1054.3478260869565</v>
      </c>
      <c r="R328" s="224">
        <v>1054.3478260869565</v>
      </c>
      <c r="S328" s="58">
        <f t="shared" si="33"/>
        <v>0</v>
      </c>
      <c r="T328" s="58"/>
      <c r="U328" s="58"/>
      <c r="V328" s="59">
        <f t="shared" si="34"/>
        <v>105.43478260869566</v>
      </c>
      <c r="W328" s="60">
        <f t="shared" si="35"/>
        <v>0</v>
      </c>
    </row>
    <row r="329" spans="1:23" ht="29" customHeight="1" x14ac:dyDescent="0.35">
      <c r="A329" s="61"/>
      <c r="B329" s="55">
        <v>325</v>
      </c>
      <c r="C329" s="70" t="s">
        <v>822</v>
      </c>
      <c r="D329" s="12">
        <v>136386</v>
      </c>
      <c r="E329" s="128"/>
      <c r="F329" s="12">
        <v>139570</v>
      </c>
      <c r="G329" s="71">
        <v>46246</v>
      </c>
      <c r="H329" s="71" t="s">
        <v>248</v>
      </c>
      <c r="I329" s="11">
        <f t="shared" si="30"/>
        <v>4</v>
      </c>
      <c r="J329" s="71">
        <v>46252</v>
      </c>
      <c r="K329" s="11">
        <f t="shared" si="31"/>
        <v>2</v>
      </c>
      <c r="L329" s="71" t="s">
        <v>253</v>
      </c>
      <c r="M329" s="11">
        <f t="shared" si="32"/>
        <v>1</v>
      </c>
      <c r="N329" s="12" t="s">
        <v>477</v>
      </c>
      <c r="O329" s="12" t="s">
        <v>691</v>
      </c>
      <c r="P329" s="57" t="s">
        <v>53</v>
      </c>
      <c r="Q329" s="224">
        <v>259.45652173913044</v>
      </c>
      <c r="R329" s="224">
        <v>259.45652173913044</v>
      </c>
      <c r="S329" s="58">
        <f t="shared" si="33"/>
        <v>0</v>
      </c>
      <c r="T329" s="58"/>
      <c r="U329" s="58"/>
      <c r="V329" s="59">
        <f t="shared" si="34"/>
        <v>25.945652173913047</v>
      </c>
      <c r="W329" s="60">
        <f t="shared" si="35"/>
        <v>0</v>
      </c>
    </row>
    <row r="330" spans="1:23" ht="29" customHeight="1" x14ac:dyDescent="0.35">
      <c r="A330" s="61"/>
      <c r="B330" s="55">
        <v>326</v>
      </c>
      <c r="C330" s="70" t="s">
        <v>822</v>
      </c>
      <c r="D330" s="12">
        <v>136416</v>
      </c>
      <c r="E330" s="128"/>
      <c r="F330" s="12">
        <v>139555</v>
      </c>
      <c r="G330" s="71">
        <v>46246</v>
      </c>
      <c r="H330" s="71" t="s">
        <v>248</v>
      </c>
      <c r="I330" s="11">
        <f t="shared" si="30"/>
        <v>4</v>
      </c>
      <c r="J330" s="71">
        <v>46254</v>
      </c>
      <c r="K330" s="11">
        <f t="shared" si="31"/>
        <v>4</v>
      </c>
      <c r="L330" s="71" t="s">
        <v>263</v>
      </c>
      <c r="M330" s="11">
        <f t="shared" si="32"/>
        <v>1</v>
      </c>
      <c r="N330" s="12" t="s">
        <v>458</v>
      </c>
      <c r="O330" s="12" t="s">
        <v>750</v>
      </c>
      <c r="P330" s="57" t="s">
        <v>53</v>
      </c>
      <c r="Q330" s="224">
        <v>88.043478260869563</v>
      </c>
      <c r="R330" s="224">
        <v>88.043478260869563</v>
      </c>
      <c r="S330" s="58">
        <f t="shared" si="33"/>
        <v>0</v>
      </c>
      <c r="T330" s="58"/>
      <c r="U330" s="58"/>
      <c r="V330" s="59">
        <f t="shared" si="34"/>
        <v>8.804347826086957</v>
      </c>
      <c r="W330" s="60">
        <f t="shared" si="35"/>
        <v>0</v>
      </c>
    </row>
    <row r="331" spans="1:23" ht="29" customHeight="1" x14ac:dyDescent="0.35">
      <c r="A331" s="61"/>
      <c r="B331" s="55">
        <v>327</v>
      </c>
      <c r="C331" s="70" t="s">
        <v>822</v>
      </c>
      <c r="D331" s="12">
        <v>136424</v>
      </c>
      <c r="E331" s="128"/>
      <c r="F331" s="12">
        <v>139557</v>
      </c>
      <c r="G331" s="71">
        <v>46246</v>
      </c>
      <c r="H331" s="71" t="s">
        <v>248</v>
      </c>
      <c r="I331" s="11">
        <f t="shared" si="30"/>
        <v>4</v>
      </c>
      <c r="J331" s="71">
        <v>46254</v>
      </c>
      <c r="K331" s="11">
        <f t="shared" si="31"/>
        <v>4</v>
      </c>
      <c r="L331" s="71" t="s">
        <v>265</v>
      </c>
      <c r="M331" s="11">
        <f t="shared" si="32"/>
        <v>6</v>
      </c>
      <c r="N331" s="12" t="s">
        <v>478</v>
      </c>
      <c r="O331" s="12" t="s">
        <v>751</v>
      </c>
      <c r="P331" s="57" t="s">
        <v>53</v>
      </c>
      <c r="Q331" s="224">
        <v>55293.570652173912</v>
      </c>
      <c r="R331" s="224">
        <v>55293.570652173912</v>
      </c>
      <c r="S331" s="58">
        <f t="shared" si="33"/>
        <v>0</v>
      </c>
      <c r="T331" s="58"/>
      <c r="U331" s="58"/>
      <c r="V331" s="59">
        <f t="shared" si="34"/>
        <v>5529.3570652173912</v>
      </c>
      <c r="W331" s="60">
        <f t="shared" si="35"/>
        <v>0</v>
      </c>
    </row>
    <row r="332" spans="1:23" ht="29" customHeight="1" x14ac:dyDescent="0.35">
      <c r="A332" s="61"/>
      <c r="B332" s="55">
        <v>328</v>
      </c>
      <c r="C332" s="70" t="s">
        <v>822</v>
      </c>
      <c r="D332" s="12">
        <v>136426</v>
      </c>
      <c r="E332" s="128"/>
      <c r="F332" s="12">
        <v>139559</v>
      </c>
      <c r="G332" s="71">
        <v>46246</v>
      </c>
      <c r="H332" s="71" t="s">
        <v>248</v>
      </c>
      <c r="I332" s="11">
        <f t="shared" si="30"/>
        <v>4</v>
      </c>
      <c r="J332" s="71">
        <v>46254</v>
      </c>
      <c r="K332" s="11">
        <f t="shared" si="31"/>
        <v>4</v>
      </c>
      <c r="L332" s="71" t="s">
        <v>263</v>
      </c>
      <c r="M332" s="11">
        <f t="shared" si="32"/>
        <v>1</v>
      </c>
      <c r="N332" s="12" t="s">
        <v>479</v>
      </c>
      <c r="O332" s="12" t="s">
        <v>701</v>
      </c>
      <c r="P332" s="57" t="s">
        <v>53</v>
      </c>
      <c r="Q332" s="224">
        <v>1739.1304347826087</v>
      </c>
      <c r="R332" s="224">
        <v>1739.1304347826087</v>
      </c>
      <c r="S332" s="58">
        <f t="shared" si="33"/>
        <v>0</v>
      </c>
      <c r="T332" s="58"/>
      <c r="U332" s="58"/>
      <c r="V332" s="59">
        <f t="shared" si="34"/>
        <v>173.91304347826087</v>
      </c>
      <c r="W332" s="60">
        <f t="shared" si="35"/>
        <v>0</v>
      </c>
    </row>
    <row r="333" spans="1:23" ht="29" customHeight="1" x14ac:dyDescent="0.35">
      <c r="A333" s="61"/>
      <c r="B333" s="55">
        <v>329</v>
      </c>
      <c r="C333" s="70" t="s">
        <v>822</v>
      </c>
      <c r="D333" s="12">
        <v>136427</v>
      </c>
      <c r="E333" s="128"/>
      <c r="F333" s="12">
        <v>139566</v>
      </c>
      <c r="G333" s="71">
        <v>46246</v>
      </c>
      <c r="H333" s="71" t="s">
        <v>248</v>
      </c>
      <c r="I333" s="11">
        <f t="shared" si="30"/>
        <v>4</v>
      </c>
      <c r="J333" s="71">
        <v>46254</v>
      </c>
      <c r="K333" s="11">
        <f t="shared" si="31"/>
        <v>4</v>
      </c>
      <c r="L333" s="71" t="s">
        <v>263</v>
      </c>
      <c r="M333" s="11">
        <f t="shared" si="32"/>
        <v>1</v>
      </c>
      <c r="N333" s="12" t="s">
        <v>480</v>
      </c>
      <c r="O333" s="12" t="s">
        <v>752</v>
      </c>
      <c r="P333" s="57" t="s">
        <v>53</v>
      </c>
      <c r="Q333" s="224">
        <v>57815.217391304344</v>
      </c>
      <c r="R333" s="224">
        <v>57815.217391304344</v>
      </c>
      <c r="S333" s="58">
        <f t="shared" si="33"/>
        <v>0</v>
      </c>
      <c r="T333" s="58"/>
      <c r="U333" s="58"/>
      <c r="V333" s="59">
        <f t="shared" si="34"/>
        <v>5781.521739130435</v>
      </c>
      <c r="W333" s="60">
        <f t="shared" si="35"/>
        <v>0</v>
      </c>
    </row>
    <row r="334" spans="1:23" ht="29" customHeight="1" x14ac:dyDescent="0.35">
      <c r="A334" s="61"/>
      <c r="B334" s="55">
        <v>330</v>
      </c>
      <c r="C334" s="70" t="s">
        <v>822</v>
      </c>
      <c r="D334" s="12">
        <v>136432</v>
      </c>
      <c r="E334" s="128"/>
      <c r="F334" s="12">
        <v>139574</v>
      </c>
      <c r="G334" s="71">
        <v>46246</v>
      </c>
      <c r="H334" s="71" t="s">
        <v>248</v>
      </c>
      <c r="I334" s="11">
        <f t="shared" si="30"/>
        <v>4</v>
      </c>
      <c r="J334" s="71">
        <v>46254</v>
      </c>
      <c r="K334" s="11">
        <f t="shared" si="31"/>
        <v>4</v>
      </c>
      <c r="L334" s="71" t="s">
        <v>263</v>
      </c>
      <c r="M334" s="11">
        <f t="shared" si="32"/>
        <v>1</v>
      </c>
      <c r="N334" s="12" t="s">
        <v>481</v>
      </c>
      <c r="O334" s="12" t="s">
        <v>753</v>
      </c>
      <c r="P334" s="57" t="s">
        <v>53</v>
      </c>
      <c r="Q334" s="224">
        <v>88.260869565217391</v>
      </c>
      <c r="R334" s="224">
        <v>88.260869565217391</v>
      </c>
      <c r="S334" s="58">
        <f t="shared" si="33"/>
        <v>0</v>
      </c>
      <c r="T334" s="58"/>
      <c r="U334" s="58"/>
      <c r="V334" s="59">
        <f t="shared" si="34"/>
        <v>8.8260869565217401</v>
      </c>
      <c r="W334" s="60">
        <f t="shared" si="35"/>
        <v>0</v>
      </c>
    </row>
    <row r="335" spans="1:23" ht="29" customHeight="1" x14ac:dyDescent="0.35">
      <c r="A335" s="61"/>
      <c r="B335" s="55">
        <v>331</v>
      </c>
      <c r="C335" s="70" t="s">
        <v>822</v>
      </c>
      <c r="D335" s="12">
        <v>136437</v>
      </c>
      <c r="E335" s="128"/>
      <c r="F335" s="12">
        <v>139560</v>
      </c>
      <c r="G335" s="71">
        <v>46246</v>
      </c>
      <c r="H335" s="71" t="s">
        <v>248</v>
      </c>
      <c r="I335" s="11">
        <f t="shared" si="30"/>
        <v>4</v>
      </c>
      <c r="J335" s="71">
        <v>46254</v>
      </c>
      <c r="K335" s="11">
        <f t="shared" si="31"/>
        <v>4</v>
      </c>
      <c r="L335" s="71" t="s">
        <v>263</v>
      </c>
      <c r="M335" s="11">
        <f t="shared" si="32"/>
        <v>1</v>
      </c>
      <c r="N335" s="12" t="s">
        <v>482</v>
      </c>
      <c r="O335" s="12" t="s">
        <v>712</v>
      </c>
      <c r="P335" s="57" t="s">
        <v>53</v>
      </c>
      <c r="Q335" s="224">
        <v>192.19565217391303</v>
      </c>
      <c r="R335" s="224">
        <v>192.19565217391303</v>
      </c>
      <c r="S335" s="58">
        <f t="shared" si="33"/>
        <v>0</v>
      </c>
      <c r="T335" s="58"/>
      <c r="U335" s="58"/>
      <c r="V335" s="59">
        <f t="shared" si="34"/>
        <v>19.219565217391306</v>
      </c>
      <c r="W335" s="60">
        <f t="shared" si="35"/>
        <v>0</v>
      </c>
    </row>
    <row r="336" spans="1:23" ht="29" customHeight="1" x14ac:dyDescent="0.35">
      <c r="A336" s="61"/>
      <c r="B336" s="55">
        <v>332</v>
      </c>
      <c r="C336" s="70" t="s">
        <v>822</v>
      </c>
      <c r="D336" s="12">
        <v>136439</v>
      </c>
      <c r="E336" s="128"/>
      <c r="F336" s="12">
        <v>139565</v>
      </c>
      <c r="G336" s="71">
        <v>46246</v>
      </c>
      <c r="H336" s="71" t="s">
        <v>248</v>
      </c>
      <c r="I336" s="11">
        <f t="shared" si="30"/>
        <v>4</v>
      </c>
      <c r="J336" s="71">
        <v>46254</v>
      </c>
      <c r="K336" s="11">
        <f t="shared" si="31"/>
        <v>4</v>
      </c>
      <c r="L336" s="71" t="s">
        <v>263</v>
      </c>
      <c r="M336" s="11">
        <f t="shared" si="32"/>
        <v>1</v>
      </c>
      <c r="N336" s="12" t="s">
        <v>293</v>
      </c>
      <c r="O336" s="12" t="s">
        <v>754</v>
      </c>
      <c r="P336" s="57" t="s">
        <v>53</v>
      </c>
      <c r="Q336" s="224">
        <v>1086.9565217391305</v>
      </c>
      <c r="R336" s="224">
        <v>1086.9565217391305</v>
      </c>
      <c r="S336" s="58">
        <f t="shared" si="33"/>
        <v>0</v>
      </c>
      <c r="T336" s="58"/>
      <c r="U336" s="58"/>
      <c r="V336" s="59">
        <f t="shared" si="34"/>
        <v>108.69565217391306</v>
      </c>
      <c r="W336" s="60">
        <f t="shared" si="35"/>
        <v>0</v>
      </c>
    </row>
    <row r="337" spans="1:23" ht="29" customHeight="1" x14ac:dyDescent="0.35">
      <c r="A337" s="61"/>
      <c r="B337" s="55">
        <v>333</v>
      </c>
      <c r="C337" s="70" t="s">
        <v>822</v>
      </c>
      <c r="D337" s="12">
        <v>136440</v>
      </c>
      <c r="E337" s="128"/>
      <c r="F337" s="12">
        <v>139562</v>
      </c>
      <c r="G337" s="71">
        <v>46246</v>
      </c>
      <c r="H337" s="71" t="s">
        <v>248</v>
      </c>
      <c r="I337" s="11">
        <f t="shared" si="30"/>
        <v>4</v>
      </c>
      <c r="J337" s="71">
        <v>46254</v>
      </c>
      <c r="K337" s="11">
        <f t="shared" si="31"/>
        <v>4</v>
      </c>
      <c r="L337" s="71" t="s">
        <v>263</v>
      </c>
      <c r="M337" s="11">
        <f t="shared" si="32"/>
        <v>1</v>
      </c>
      <c r="N337" s="12" t="s">
        <v>293</v>
      </c>
      <c r="O337" s="12" t="s">
        <v>755</v>
      </c>
      <c r="P337" s="57" t="s">
        <v>53</v>
      </c>
      <c r="Q337" s="224">
        <v>1739.1304347826087</v>
      </c>
      <c r="R337" s="224">
        <v>1739.1304347826087</v>
      </c>
      <c r="S337" s="58">
        <f t="shared" si="33"/>
        <v>0</v>
      </c>
      <c r="T337" s="58"/>
      <c r="U337" s="58"/>
      <c r="V337" s="59">
        <f t="shared" si="34"/>
        <v>173.91304347826087</v>
      </c>
      <c r="W337" s="60">
        <f t="shared" si="35"/>
        <v>0</v>
      </c>
    </row>
    <row r="338" spans="1:23" ht="29" customHeight="1" x14ac:dyDescent="0.35">
      <c r="A338" s="61"/>
      <c r="B338" s="55">
        <v>334</v>
      </c>
      <c r="C338" s="70" t="s">
        <v>822</v>
      </c>
      <c r="D338" s="12">
        <v>136441</v>
      </c>
      <c r="E338" s="128"/>
      <c r="F338" s="12">
        <v>139583</v>
      </c>
      <c r="G338" s="71">
        <v>46246</v>
      </c>
      <c r="H338" s="71" t="s">
        <v>248</v>
      </c>
      <c r="I338" s="11">
        <f t="shared" si="30"/>
        <v>4</v>
      </c>
      <c r="J338" s="71">
        <v>46254</v>
      </c>
      <c r="K338" s="11">
        <f t="shared" si="31"/>
        <v>4</v>
      </c>
      <c r="L338" s="71" t="s">
        <v>265</v>
      </c>
      <c r="M338" s="11">
        <f t="shared" si="32"/>
        <v>6</v>
      </c>
      <c r="N338" s="12" t="s">
        <v>293</v>
      </c>
      <c r="O338" s="12" t="s">
        <v>756</v>
      </c>
      <c r="P338" s="57" t="s">
        <v>53</v>
      </c>
      <c r="Q338" s="224">
        <v>1739.1304347826087</v>
      </c>
      <c r="R338" s="224">
        <v>1739.1304347826087</v>
      </c>
      <c r="S338" s="58">
        <f t="shared" si="33"/>
        <v>0</v>
      </c>
      <c r="T338" s="58"/>
      <c r="U338" s="58"/>
      <c r="V338" s="59">
        <f t="shared" si="34"/>
        <v>173.91304347826087</v>
      </c>
      <c r="W338" s="60">
        <f t="shared" si="35"/>
        <v>0</v>
      </c>
    </row>
    <row r="339" spans="1:23" ht="29" customHeight="1" x14ac:dyDescent="0.35">
      <c r="A339" s="61"/>
      <c r="B339" s="55">
        <v>335</v>
      </c>
      <c r="C339" s="70" t="s">
        <v>822</v>
      </c>
      <c r="D339" s="12">
        <v>136513</v>
      </c>
      <c r="E339" s="128"/>
      <c r="F339" s="12">
        <v>139577</v>
      </c>
      <c r="G339" s="71">
        <v>46246</v>
      </c>
      <c r="H339" s="71" t="s">
        <v>257</v>
      </c>
      <c r="I339" s="11">
        <f t="shared" si="30"/>
        <v>9</v>
      </c>
      <c r="J339" s="71">
        <v>46261</v>
      </c>
      <c r="K339" s="11">
        <f t="shared" si="31"/>
        <v>4</v>
      </c>
      <c r="L339" s="71" t="s">
        <v>265</v>
      </c>
      <c r="M339" s="11">
        <f t="shared" si="32"/>
        <v>1</v>
      </c>
      <c r="N339" s="12" t="s">
        <v>483</v>
      </c>
      <c r="O339" s="12" t="s">
        <v>757</v>
      </c>
      <c r="P339" s="57" t="s">
        <v>53</v>
      </c>
      <c r="Q339" s="224">
        <v>29.347826086956523</v>
      </c>
      <c r="R339" s="224">
        <v>29.347826086956523</v>
      </c>
      <c r="S339" s="58">
        <f t="shared" si="33"/>
        <v>0</v>
      </c>
      <c r="T339" s="58"/>
      <c r="U339" s="58"/>
      <c r="V339" s="59">
        <f t="shared" si="34"/>
        <v>2.9347826086956523</v>
      </c>
      <c r="W339" s="60">
        <f t="shared" si="35"/>
        <v>0</v>
      </c>
    </row>
    <row r="340" spans="1:23" ht="29" customHeight="1" x14ac:dyDescent="0.35">
      <c r="A340" s="61"/>
      <c r="B340" s="55">
        <v>336</v>
      </c>
      <c r="C340" s="70" t="s">
        <v>822</v>
      </c>
      <c r="D340" s="12">
        <v>136519</v>
      </c>
      <c r="E340" s="128"/>
      <c r="F340" s="12">
        <v>139586</v>
      </c>
      <c r="G340" s="71">
        <v>46246</v>
      </c>
      <c r="H340" s="71" t="s">
        <v>257</v>
      </c>
      <c r="I340" s="11">
        <f t="shared" si="30"/>
        <v>9</v>
      </c>
      <c r="J340" s="71">
        <v>46261</v>
      </c>
      <c r="K340" s="11">
        <f t="shared" si="31"/>
        <v>4</v>
      </c>
      <c r="L340" s="71" t="s">
        <v>265</v>
      </c>
      <c r="M340" s="11">
        <f t="shared" si="32"/>
        <v>1</v>
      </c>
      <c r="N340" s="12" t="s">
        <v>484</v>
      </c>
      <c r="O340" s="12" t="s">
        <v>622</v>
      </c>
      <c r="P340" s="57" t="s">
        <v>53</v>
      </c>
      <c r="Q340" s="224">
        <v>108.69565217391305</v>
      </c>
      <c r="R340" s="224">
        <v>108.69565217391305</v>
      </c>
      <c r="S340" s="58">
        <f t="shared" si="33"/>
        <v>0</v>
      </c>
      <c r="T340" s="58"/>
      <c r="U340" s="58"/>
      <c r="V340" s="59">
        <f t="shared" si="34"/>
        <v>10.869565217391305</v>
      </c>
      <c r="W340" s="60">
        <f t="shared" si="35"/>
        <v>0</v>
      </c>
    </row>
    <row r="341" spans="1:23" ht="29" customHeight="1" x14ac:dyDescent="0.35">
      <c r="A341" s="61"/>
      <c r="B341" s="55">
        <v>337</v>
      </c>
      <c r="C341" s="70" t="s">
        <v>822</v>
      </c>
      <c r="D341" s="12">
        <v>136538</v>
      </c>
      <c r="E341" s="128"/>
      <c r="F341" s="12">
        <v>139584</v>
      </c>
      <c r="G341" s="71">
        <v>46246</v>
      </c>
      <c r="H341" s="71" t="s">
        <v>257</v>
      </c>
      <c r="I341" s="11">
        <f t="shared" si="30"/>
        <v>9</v>
      </c>
      <c r="J341" s="71">
        <v>46262</v>
      </c>
      <c r="K341" s="11">
        <f t="shared" si="31"/>
        <v>5</v>
      </c>
      <c r="L341" s="71" t="s">
        <v>266</v>
      </c>
      <c r="M341" s="11">
        <f t="shared" si="32"/>
        <v>1</v>
      </c>
      <c r="N341" s="12" t="s">
        <v>485</v>
      </c>
      <c r="O341" s="12" t="s">
        <v>758</v>
      </c>
      <c r="P341" s="57" t="s">
        <v>53</v>
      </c>
      <c r="Q341" s="224">
        <v>100</v>
      </c>
      <c r="R341" s="224">
        <v>100</v>
      </c>
      <c r="S341" s="58">
        <f t="shared" si="33"/>
        <v>0</v>
      </c>
      <c r="T341" s="58"/>
      <c r="U341" s="58"/>
      <c r="V341" s="59">
        <f t="shared" si="34"/>
        <v>10</v>
      </c>
      <c r="W341" s="60">
        <f t="shared" si="35"/>
        <v>0</v>
      </c>
    </row>
    <row r="342" spans="1:23" ht="29" customHeight="1" x14ac:dyDescent="0.35">
      <c r="A342" s="61"/>
      <c r="B342" s="55">
        <v>338</v>
      </c>
      <c r="C342" s="70" t="s">
        <v>822</v>
      </c>
      <c r="D342" s="12">
        <v>136539</v>
      </c>
      <c r="E342" s="128"/>
      <c r="F342" s="12">
        <v>139582</v>
      </c>
      <c r="G342" s="71">
        <v>46246</v>
      </c>
      <c r="H342" s="71" t="s">
        <v>257</v>
      </c>
      <c r="I342" s="11">
        <f t="shared" si="30"/>
        <v>9</v>
      </c>
      <c r="J342" s="71">
        <v>46262</v>
      </c>
      <c r="K342" s="11">
        <f t="shared" si="31"/>
        <v>5</v>
      </c>
      <c r="L342" s="71" t="s">
        <v>266</v>
      </c>
      <c r="M342" s="11">
        <f t="shared" si="32"/>
        <v>1</v>
      </c>
      <c r="N342" s="12" t="s">
        <v>486</v>
      </c>
      <c r="O342" s="12" t="s">
        <v>759</v>
      </c>
      <c r="P342" s="57" t="s">
        <v>53</v>
      </c>
      <c r="Q342" s="224">
        <v>217.39130434782609</v>
      </c>
      <c r="R342" s="224">
        <v>217.39130434782609</v>
      </c>
      <c r="S342" s="58">
        <f t="shared" si="33"/>
        <v>0</v>
      </c>
      <c r="T342" s="58"/>
      <c r="U342" s="58"/>
      <c r="V342" s="59">
        <f t="shared" si="34"/>
        <v>21.739130434782609</v>
      </c>
      <c r="W342" s="60">
        <f t="shared" si="35"/>
        <v>0</v>
      </c>
    </row>
    <row r="343" spans="1:23" ht="29" customHeight="1" x14ac:dyDescent="0.35">
      <c r="A343" s="61"/>
      <c r="B343" s="55">
        <v>339</v>
      </c>
      <c r="C343" s="70" t="s">
        <v>822</v>
      </c>
      <c r="D343" s="12">
        <v>136483</v>
      </c>
      <c r="E343" s="128"/>
      <c r="F343" s="12">
        <v>139618</v>
      </c>
      <c r="G343" s="71">
        <v>46247</v>
      </c>
      <c r="H343" s="71" t="s">
        <v>260</v>
      </c>
      <c r="I343" s="11">
        <f t="shared" si="30"/>
        <v>9</v>
      </c>
      <c r="J343" s="71">
        <v>46259</v>
      </c>
      <c r="K343" s="11">
        <f t="shared" si="31"/>
        <v>1</v>
      </c>
      <c r="L343" s="71" t="s">
        <v>260</v>
      </c>
      <c r="M343" s="11">
        <f t="shared" si="32"/>
        <v>1</v>
      </c>
      <c r="N343" s="12" t="s">
        <v>487</v>
      </c>
      <c r="O343" s="12" t="s">
        <v>609</v>
      </c>
      <c r="P343" s="57" t="s">
        <v>53</v>
      </c>
      <c r="Q343" s="224">
        <v>1351.8</v>
      </c>
      <c r="R343" s="224">
        <v>1175.4782608695652</v>
      </c>
      <c r="S343" s="58">
        <f t="shared" si="33"/>
        <v>176.32173913043471</v>
      </c>
      <c r="T343" s="58"/>
      <c r="U343" s="58"/>
      <c r="V343" s="59">
        <f t="shared" si="34"/>
        <v>135.18</v>
      </c>
      <c r="W343" s="60">
        <f t="shared" si="35"/>
        <v>0.13043478260869559</v>
      </c>
    </row>
    <row r="344" spans="1:23" ht="29" customHeight="1" x14ac:dyDescent="0.35">
      <c r="A344" s="61"/>
      <c r="B344" s="55">
        <v>340</v>
      </c>
      <c r="C344" s="70" t="s">
        <v>822</v>
      </c>
      <c r="D344" s="12">
        <v>136404</v>
      </c>
      <c r="E344" s="128"/>
      <c r="F344" s="12">
        <v>139596</v>
      </c>
      <c r="G344" s="71">
        <v>46247</v>
      </c>
      <c r="H344" s="71" t="s">
        <v>248</v>
      </c>
      <c r="I344" s="11">
        <f t="shared" si="30"/>
        <v>3</v>
      </c>
      <c r="J344" s="71">
        <v>46253</v>
      </c>
      <c r="K344" s="11">
        <f t="shared" si="31"/>
        <v>3</v>
      </c>
      <c r="L344" s="71" t="s">
        <v>261</v>
      </c>
      <c r="M344" s="11">
        <f t="shared" si="32"/>
        <v>1</v>
      </c>
      <c r="N344" s="12" t="s">
        <v>488</v>
      </c>
      <c r="O344" s="12" t="s">
        <v>623</v>
      </c>
      <c r="P344" s="57" t="s">
        <v>53</v>
      </c>
      <c r="Q344" s="224">
        <v>4634.4143478260867</v>
      </c>
      <c r="R344" s="224">
        <v>3838.9463043478263</v>
      </c>
      <c r="S344" s="58">
        <f t="shared" si="33"/>
        <v>795.46804347826037</v>
      </c>
      <c r="T344" s="58"/>
      <c r="U344" s="58"/>
      <c r="V344" s="59">
        <f t="shared" si="34"/>
        <v>463.44143478260867</v>
      </c>
      <c r="W344" s="60">
        <f t="shared" si="35"/>
        <v>0.17164370377271054</v>
      </c>
    </row>
    <row r="345" spans="1:23" ht="29" customHeight="1" x14ac:dyDescent="0.35">
      <c r="A345" s="61"/>
      <c r="B345" s="55">
        <v>341</v>
      </c>
      <c r="C345" s="70" t="s">
        <v>822</v>
      </c>
      <c r="D345" s="12">
        <v>136408</v>
      </c>
      <c r="E345" s="128"/>
      <c r="F345" s="12">
        <v>139609</v>
      </c>
      <c r="G345" s="71">
        <v>46247</v>
      </c>
      <c r="H345" s="71" t="s">
        <v>248</v>
      </c>
      <c r="I345" s="11">
        <f t="shared" si="30"/>
        <v>3</v>
      </c>
      <c r="J345" s="71">
        <v>46253</v>
      </c>
      <c r="K345" s="11">
        <f t="shared" si="31"/>
        <v>3</v>
      </c>
      <c r="L345" s="71" t="s">
        <v>261</v>
      </c>
      <c r="M345" s="11">
        <f t="shared" si="32"/>
        <v>1</v>
      </c>
      <c r="N345" s="12" t="s">
        <v>489</v>
      </c>
      <c r="O345" s="12" t="s">
        <v>623</v>
      </c>
      <c r="P345" s="57" t="s">
        <v>53</v>
      </c>
      <c r="Q345" s="224">
        <v>69613.104782608701</v>
      </c>
      <c r="R345" s="224">
        <v>57632.639347826087</v>
      </c>
      <c r="S345" s="58">
        <f t="shared" si="33"/>
        <v>11980.465434782614</v>
      </c>
      <c r="T345" s="58"/>
      <c r="U345" s="58"/>
      <c r="V345" s="59">
        <f t="shared" si="34"/>
        <v>6961.3104782608707</v>
      </c>
      <c r="W345" s="60">
        <f t="shared" si="35"/>
        <v>0.17210071971643576</v>
      </c>
    </row>
    <row r="346" spans="1:23" ht="29" customHeight="1" x14ac:dyDescent="0.35">
      <c r="A346" s="61"/>
      <c r="B346" s="55">
        <v>342</v>
      </c>
      <c r="C346" s="70" t="s">
        <v>822</v>
      </c>
      <c r="D346" s="12">
        <v>136387</v>
      </c>
      <c r="E346" s="128"/>
      <c r="F346" s="12">
        <v>139601</v>
      </c>
      <c r="G346" s="71">
        <v>46247</v>
      </c>
      <c r="H346" s="71" t="s">
        <v>248</v>
      </c>
      <c r="I346" s="11">
        <f t="shared" si="30"/>
        <v>3</v>
      </c>
      <c r="J346" s="71">
        <v>46252</v>
      </c>
      <c r="K346" s="11">
        <f t="shared" si="31"/>
        <v>2</v>
      </c>
      <c r="L346" s="71" t="s">
        <v>253</v>
      </c>
      <c r="M346" s="11">
        <f t="shared" si="32"/>
        <v>1</v>
      </c>
      <c r="N346" s="12" t="s">
        <v>490</v>
      </c>
      <c r="O346" s="12" t="s">
        <v>623</v>
      </c>
      <c r="P346" s="57" t="s">
        <v>53</v>
      </c>
      <c r="Q346" s="224">
        <v>178640.18</v>
      </c>
      <c r="R346" s="224">
        <v>145189.65521739129</v>
      </c>
      <c r="S346" s="58">
        <f t="shared" si="33"/>
        <v>33450.5247826087</v>
      </c>
      <c r="T346" s="58"/>
      <c r="U346" s="58"/>
      <c r="V346" s="59">
        <f t="shared" si="34"/>
        <v>17864.018</v>
      </c>
      <c r="W346" s="60">
        <f t="shared" si="35"/>
        <v>0.18725084570900399</v>
      </c>
    </row>
    <row r="347" spans="1:23" ht="29" customHeight="1" x14ac:dyDescent="0.35">
      <c r="A347" s="61"/>
      <c r="B347" s="55">
        <v>343</v>
      </c>
      <c r="C347" s="70" t="s">
        <v>822</v>
      </c>
      <c r="D347" s="12">
        <v>136391</v>
      </c>
      <c r="E347" s="128"/>
      <c r="F347" s="12">
        <v>139597</v>
      </c>
      <c r="G347" s="71">
        <v>46247</v>
      </c>
      <c r="H347" s="71" t="s">
        <v>248</v>
      </c>
      <c r="I347" s="11">
        <f t="shared" si="30"/>
        <v>3</v>
      </c>
      <c r="J347" s="71">
        <v>46253</v>
      </c>
      <c r="K347" s="11">
        <f t="shared" si="31"/>
        <v>3</v>
      </c>
      <c r="L347" s="71" t="s">
        <v>261</v>
      </c>
      <c r="M347" s="11">
        <f t="shared" si="32"/>
        <v>1</v>
      </c>
      <c r="N347" s="12" t="s">
        <v>491</v>
      </c>
      <c r="O347" s="12" t="s">
        <v>661</v>
      </c>
      <c r="P347" s="57" t="s">
        <v>53</v>
      </c>
      <c r="Q347" s="224">
        <v>85739.877826086959</v>
      </c>
      <c r="R347" s="224">
        <v>66782.982391304351</v>
      </c>
      <c r="S347" s="58">
        <f t="shared" si="33"/>
        <v>18956.895434782607</v>
      </c>
      <c r="T347" s="58"/>
      <c r="U347" s="58"/>
      <c r="V347" s="59">
        <f t="shared" si="34"/>
        <v>8573.9877826086959</v>
      </c>
      <c r="W347" s="60">
        <f t="shared" si="35"/>
        <v>0.22109776588712188</v>
      </c>
    </row>
    <row r="348" spans="1:23" ht="29" customHeight="1" x14ac:dyDescent="0.35">
      <c r="A348" s="61"/>
      <c r="B348" s="55">
        <v>344</v>
      </c>
      <c r="C348" s="70" t="s">
        <v>822</v>
      </c>
      <c r="D348" s="12">
        <v>136390</v>
      </c>
      <c r="E348" s="128"/>
      <c r="F348" s="12">
        <v>139608</v>
      </c>
      <c r="G348" s="71">
        <v>46247</v>
      </c>
      <c r="H348" s="71" t="s">
        <v>248</v>
      </c>
      <c r="I348" s="11">
        <f t="shared" si="30"/>
        <v>3</v>
      </c>
      <c r="J348" s="71">
        <v>46253</v>
      </c>
      <c r="K348" s="11">
        <f t="shared" si="31"/>
        <v>3</v>
      </c>
      <c r="L348" s="71" t="s">
        <v>261</v>
      </c>
      <c r="M348" s="11">
        <f t="shared" si="32"/>
        <v>1</v>
      </c>
      <c r="N348" s="12" t="s">
        <v>492</v>
      </c>
      <c r="O348" s="12" t="s">
        <v>623</v>
      </c>
      <c r="P348" s="57" t="s">
        <v>53</v>
      </c>
      <c r="Q348" s="224">
        <v>44518.483043478263</v>
      </c>
      <c r="R348" s="224">
        <v>29976.632826086956</v>
      </c>
      <c r="S348" s="58">
        <f t="shared" si="33"/>
        <v>14541.850217391308</v>
      </c>
      <c r="T348" s="58"/>
      <c r="U348" s="58"/>
      <c r="V348" s="59">
        <f t="shared" si="34"/>
        <v>4451.8483043478263</v>
      </c>
      <c r="W348" s="60">
        <f t="shared" si="35"/>
        <v>0.32664747815394435</v>
      </c>
    </row>
    <row r="349" spans="1:23" ht="29" customHeight="1" x14ac:dyDescent="0.35">
      <c r="A349" s="61"/>
      <c r="B349" s="55">
        <v>345</v>
      </c>
      <c r="C349" s="70" t="s">
        <v>822</v>
      </c>
      <c r="D349" s="12">
        <v>136320</v>
      </c>
      <c r="E349" s="128"/>
      <c r="F349" s="12">
        <v>139593</v>
      </c>
      <c r="G349" s="71">
        <v>46247</v>
      </c>
      <c r="H349" s="71" t="s">
        <v>243</v>
      </c>
      <c r="I349" s="11">
        <f t="shared" si="30"/>
        <v>1</v>
      </c>
      <c r="J349" s="71">
        <v>46248</v>
      </c>
      <c r="K349" s="11">
        <f t="shared" si="31"/>
        <v>2</v>
      </c>
      <c r="L349" s="71" t="s">
        <v>259</v>
      </c>
      <c r="M349" s="11">
        <f t="shared" si="32"/>
        <v>1</v>
      </c>
      <c r="N349" s="12" t="s">
        <v>493</v>
      </c>
      <c r="O349" s="12" t="s">
        <v>760</v>
      </c>
      <c r="P349" s="57" t="s">
        <v>53</v>
      </c>
      <c r="Q349" s="224">
        <v>975600.00000000012</v>
      </c>
      <c r="R349" s="224">
        <v>975600.00000000012</v>
      </c>
      <c r="S349" s="58">
        <f t="shared" si="33"/>
        <v>0</v>
      </c>
      <c r="T349" s="58"/>
      <c r="U349" s="58"/>
      <c r="V349" s="59">
        <f t="shared" si="34"/>
        <v>97560.000000000015</v>
      </c>
      <c r="W349" s="60">
        <f t="shared" si="35"/>
        <v>0</v>
      </c>
    </row>
    <row r="350" spans="1:23" ht="29" customHeight="1" x14ac:dyDescent="0.35">
      <c r="A350" s="61"/>
      <c r="B350" s="55">
        <v>346</v>
      </c>
      <c r="C350" s="70" t="s">
        <v>822</v>
      </c>
      <c r="D350" s="12">
        <v>136321</v>
      </c>
      <c r="E350" s="128"/>
      <c r="F350" s="12">
        <v>139592</v>
      </c>
      <c r="G350" s="71">
        <v>46247</v>
      </c>
      <c r="H350" s="71" t="s">
        <v>243</v>
      </c>
      <c r="I350" s="11">
        <f t="shared" si="30"/>
        <v>1</v>
      </c>
      <c r="J350" s="71">
        <v>46248</v>
      </c>
      <c r="K350" s="11">
        <f t="shared" si="31"/>
        <v>2</v>
      </c>
      <c r="L350" s="71" t="s">
        <v>259</v>
      </c>
      <c r="M350" s="11">
        <f t="shared" si="32"/>
        <v>1</v>
      </c>
      <c r="N350" s="12" t="s">
        <v>494</v>
      </c>
      <c r="O350" s="12" t="s">
        <v>760</v>
      </c>
      <c r="P350" s="57" t="s">
        <v>53</v>
      </c>
      <c r="Q350" s="224">
        <v>709320</v>
      </c>
      <c r="R350" s="224">
        <v>709320</v>
      </c>
      <c r="S350" s="58">
        <f t="shared" si="33"/>
        <v>0</v>
      </c>
      <c r="T350" s="58"/>
      <c r="U350" s="58"/>
      <c r="V350" s="59">
        <f t="shared" si="34"/>
        <v>70932</v>
      </c>
      <c r="W350" s="60">
        <f t="shared" si="35"/>
        <v>0</v>
      </c>
    </row>
    <row r="351" spans="1:23" ht="29" customHeight="1" x14ac:dyDescent="0.35">
      <c r="A351" s="61"/>
      <c r="B351" s="55">
        <v>347</v>
      </c>
      <c r="C351" s="70" t="s">
        <v>822</v>
      </c>
      <c r="D351" s="12">
        <v>136328</v>
      </c>
      <c r="E351" s="128"/>
      <c r="F351" s="12">
        <v>139611</v>
      </c>
      <c r="G351" s="71">
        <v>46247</v>
      </c>
      <c r="H351" s="71" t="s">
        <v>248</v>
      </c>
      <c r="I351" s="11">
        <f t="shared" si="30"/>
        <v>3</v>
      </c>
      <c r="J351" s="71">
        <v>46251</v>
      </c>
      <c r="K351" s="11">
        <f t="shared" si="31"/>
        <v>1</v>
      </c>
      <c r="L351" s="71" t="s">
        <v>248</v>
      </c>
      <c r="M351" s="11">
        <f t="shared" si="32"/>
        <v>1</v>
      </c>
      <c r="N351" s="12" t="s">
        <v>495</v>
      </c>
      <c r="O351" s="12" t="s">
        <v>681</v>
      </c>
      <c r="P351" s="57" t="s">
        <v>53</v>
      </c>
      <c r="Q351" s="224">
        <v>2260.8695652173915</v>
      </c>
      <c r="R351" s="224">
        <v>2260.8695652173915</v>
      </c>
      <c r="S351" s="58">
        <f t="shared" si="33"/>
        <v>0</v>
      </c>
      <c r="T351" s="58"/>
      <c r="U351" s="58"/>
      <c r="V351" s="59">
        <f t="shared" si="34"/>
        <v>226.08695652173915</v>
      </c>
      <c r="W351" s="60">
        <f t="shared" si="35"/>
        <v>0</v>
      </c>
    </row>
    <row r="352" spans="1:23" ht="29" customHeight="1" x14ac:dyDescent="0.35">
      <c r="A352" s="61"/>
      <c r="B352" s="55">
        <v>348</v>
      </c>
      <c r="C352" s="70" t="s">
        <v>822</v>
      </c>
      <c r="D352" s="12">
        <v>136329</v>
      </c>
      <c r="E352" s="128"/>
      <c r="F352" s="12">
        <v>139590</v>
      </c>
      <c r="G352" s="71">
        <v>46247</v>
      </c>
      <c r="H352" s="71" t="s">
        <v>248</v>
      </c>
      <c r="I352" s="11">
        <f t="shared" si="30"/>
        <v>3</v>
      </c>
      <c r="J352" s="71">
        <v>46251</v>
      </c>
      <c r="K352" s="11">
        <f t="shared" si="31"/>
        <v>1</v>
      </c>
      <c r="L352" s="71" t="s">
        <v>248</v>
      </c>
      <c r="M352" s="11">
        <f t="shared" si="32"/>
        <v>1</v>
      </c>
      <c r="N352" s="12" t="s">
        <v>496</v>
      </c>
      <c r="O352" s="12" t="s">
        <v>761</v>
      </c>
      <c r="P352" s="57" t="s">
        <v>53</v>
      </c>
      <c r="Q352" s="224">
        <v>1565.2173913043478</v>
      </c>
      <c r="R352" s="224">
        <v>1565.2173913043478</v>
      </c>
      <c r="S352" s="58">
        <f t="shared" si="33"/>
        <v>0</v>
      </c>
      <c r="T352" s="58"/>
      <c r="U352" s="58"/>
      <c r="V352" s="59">
        <f t="shared" si="34"/>
        <v>156.52173913043478</v>
      </c>
      <c r="W352" s="60">
        <f t="shared" si="35"/>
        <v>0</v>
      </c>
    </row>
    <row r="353" spans="1:23" ht="29" customHeight="1" x14ac:dyDescent="0.35">
      <c r="A353" s="61"/>
      <c r="B353" s="55">
        <v>349</v>
      </c>
      <c r="C353" s="70" t="s">
        <v>822</v>
      </c>
      <c r="D353" s="12">
        <v>136378</v>
      </c>
      <c r="E353" s="128"/>
      <c r="F353" s="12">
        <v>139595</v>
      </c>
      <c r="G353" s="71">
        <v>46247</v>
      </c>
      <c r="H353" s="71" t="s">
        <v>253</v>
      </c>
      <c r="I353" s="11">
        <f t="shared" si="30"/>
        <v>4</v>
      </c>
      <c r="J353" s="71">
        <v>46252</v>
      </c>
      <c r="K353" s="11">
        <f t="shared" si="31"/>
        <v>1</v>
      </c>
      <c r="L353" s="71" t="s">
        <v>253</v>
      </c>
      <c r="M353" s="11">
        <f t="shared" si="32"/>
        <v>1</v>
      </c>
      <c r="N353" s="12" t="s">
        <v>497</v>
      </c>
      <c r="O353" s="12" t="s">
        <v>643</v>
      </c>
      <c r="P353" s="57" t="s">
        <v>53</v>
      </c>
      <c r="Q353" s="224">
        <v>778</v>
      </c>
      <c r="R353" s="224">
        <v>778</v>
      </c>
      <c r="S353" s="58">
        <f t="shared" si="33"/>
        <v>0</v>
      </c>
      <c r="T353" s="58"/>
      <c r="U353" s="58"/>
      <c r="V353" s="59">
        <f t="shared" si="34"/>
        <v>77.800000000000011</v>
      </c>
      <c r="W353" s="60">
        <f t="shared" si="35"/>
        <v>0</v>
      </c>
    </row>
    <row r="354" spans="1:23" ht="29" customHeight="1" x14ac:dyDescent="0.35">
      <c r="A354" s="61"/>
      <c r="B354" s="55">
        <v>350</v>
      </c>
      <c r="C354" s="70" t="s">
        <v>822</v>
      </c>
      <c r="D354" s="12">
        <v>136393</v>
      </c>
      <c r="E354" s="128"/>
      <c r="F354" s="12">
        <v>139613</v>
      </c>
      <c r="G354" s="71">
        <v>46247</v>
      </c>
      <c r="H354" s="71" t="s">
        <v>248</v>
      </c>
      <c r="I354" s="11">
        <f t="shared" si="30"/>
        <v>3</v>
      </c>
      <c r="J354" s="71">
        <v>46253</v>
      </c>
      <c r="K354" s="11">
        <f t="shared" si="31"/>
        <v>3</v>
      </c>
      <c r="L354" s="71" t="s">
        <v>261</v>
      </c>
      <c r="M354" s="11">
        <f t="shared" si="32"/>
        <v>1</v>
      </c>
      <c r="N354" s="12" t="s">
        <v>498</v>
      </c>
      <c r="O354" s="12" t="s">
        <v>762</v>
      </c>
      <c r="P354" s="57" t="s">
        <v>53</v>
      </c>
      <c r="Q354" s="224">
        <v>4110.8621739130431</v>
      </c>
      <c r="R354" s="224">
        <v>4110.8621739130431</v>
      </c>
      <c r="S354" s="58">
        <f t="shared" si="33"/>
        <v>0</v>
      </c>
      <c r="T354" s="58"/>
      <c r="U354" s="58"/>
      <c r="V354" s="59">
        <f t="shared" si="34"/>
        <v>411.08621739130433</v>
      </c>
      <c r="W354" s="60">
        <f t="shared" si="35"/>
        <v>0</v>
      </c>
    </row>
    <row r="355" spans="1:23" ht="29" customHeight="1" x14ac:dyDescent="0.35">
      <c r="A355" s="61"/>
      <c r="B355" s="55">
        <v>351</v>
      </c>
      <c r="C355" s="70" t="s">
        <v>822</v>
      </c>
      <c r="D355" s="12">
        <v>136395</v>
      </c>
      <c r="E355" s="128"/>
      <c r="F355" s="12">
        <v>139616</v>
      </c>
      <c r="G355" s="71">
        <v>46247</v>
      </c>
      <c r="H355" s="71" t="s">
        <v>248</v>
      </c>
      <c r="I355" s="11">
        <f t="shared" si="30"/>
        <v>3</v>
      </c>
      <c r="J355" s="71">
        <v>46253</v>
      </c>
      <c r="K355" s="11">
        <f t="shared" si="31"/>
        <v>3</v>
      </c>
      <c r="L355" s="71" t="s">
        <v>261</v>
      </c>
      <c r="M355" s="11">
        <f t="shared" si="32"/>
        <v>1</v>
      </c>
      <c r="N355" s="12" t="s">
        <v>499</v>
      </c>
      <c r="O355" s="12" t="s">
        <v>642</v>
      </c>
      <c r="P355" s="57" t="s">
        <v>53</v>
      </c>
      <c r="Q355" s="224">
        <v>24540.727391304346</v>
      </c>
      <c r="R355" s="224">
        <v>24540.727391304346</v>
      </c>
      <c r="S355" s="58">
        <f t="shared" si="33"/>
        <v>0</v>
      </c>
      <c r="T355" s="58"/>
      <c r="U355" s="58"/>
      <c r="V355" s="59">
        <f t="shared" si="34"/>
        <v>2454.0727391304349</v>
      </c>
      <c r="W355" s="60">
        <f t="shared" si="35"/>
        <v>0</v>
      </c>
    </row>
    <row r="356" spans="1:23" ht="29" customHeight="1" x14ac:dyDescent="0.35">
      <c r="A356" s="61"/>
      <c r="B356" s="55">
        <v>352</v>
      </c>
      <c r="C356" s="70" t="s">
        <v>822</v>
      </c>
      <c r="D356" s="12">
        <v>136400</v>
      </c>
      <c r="E356" s="128"/>
      <c r="F356" s="12">
        <v>139617</v>
      </c>
      <c r="G356" s="71">
        <v>46247</v>
      </c>
      <c r="H356" s="71" t="s">
        <v>248</v>
      </c>
      <c r="I356" s="11">
        <f t="shared" si="30"/>
        <v>3</v>
      </c>
      <c r="J356" s="71">
        <v>46253</v>
      </c>
      <c r="K356" s="11">
        <f t="shared" si="31"/>
        <v>3</v>
      </c>
      <c r="L356" s="71" t="s">
        <v>261</v>
      </c>
      <c r="M356" s="11">
        <f t="shared" si="32"/>
        <v>1</v>
      </c>
      <c r="N356" s="12" t="s">
        <v>500</v>
      </c>
      <c r="O356" s="12" t="s">
        <v>642</v>
      </c>
      <c r="P356" s="57" t="s">
        <v>53</v>
      </c>
      <c r="Q356" s="224">
        <v>26020.584565217392</v>
      </c>
      <c r="R356" s="224">
        <v>26020.584565217392</v>
      </c>
      <c r="S356" s="58">
        <f t="shared" si="33"/>
        <v>0</v>
      </c>
      <c r="T356" s="58"/>
      <c r="U356" s="58"/>
      <c r="V356" s="59">
        <f t="shared" si="34"/>
        <v>2602.0584565217396</v>
      </c>
      <c r="W356" s="60">
        <f t="shared" si="35"/>
        <v>0</v>
      </c>
    </row>
    <row r="357" spans="1:23" ht="29" customHeight="1" x14ac:dyDescent="0.35">
      <c r="A357" s="61"/>
      <c r="B357" s="55">
        <v>353</v>
      </c>
      <c r="C357" s="70" t="s">
        <v>822</v>
      </c>
      <c r="D357" s="12">
        <v>136406</v>
      </c>
      <c r="E357" s="128"/>
      <c r="F357" s="12">
        <v>139610</v>
      </c>
      <c r="G357" s="71">
        <v>46247</v>
      </c>
      <c r="H357" s="71" t="s">
        <v>248</v>
      </c>
      <c r="I357" s="11">
        <f t="shared" si="30"/>
        <v>3</v>
      </c>
      <c r="J357" s="71">
        <v>46253</v>
      </c>
      <c r="K357" s="11">
        <f t="shared" si="31"/>
        <v>3</v>
      </c>
      <c r="L357" s="71" t="s">
        <v>261</v>
      </c>
      <c r="M357" s="11">
        <f t="shared" si="32"/>
        <v>1</v>
      </c>
      <c r="N357" s="12" t="s">
        <v>501</v>
      </c>
      <c r="O357" s="12" t="s">
        <v>763</v>
      </c>
      <c r="P357" s="57" t="s">
        <v>53</v>
      </c>
      <c r="Q357" s="224">
        <v>22171.739130434784</v>
      </c>
      <c r="R357" s="224">
        <v>22171.739130434784</v>
      </c>
      <c r="S357" s="58">
        <f t="shared" si="33"/>
        <v>0</v>
      </c>
      <c r="T357" s="58"/>
      <c r="U357" s="58"/>
      <c r="V357" s="59">
        <f t="shared" si="34"/>
        <v>2217.1739130434785</v>
      </c>
      <c r="W357" s="60">
        <f t="shared" si="35"/>
        <v>0</v>
      </c>
    </row>
    <row r="358" spans="1:23" ht="29" customHeight="1" x14ac:dyDescent="0.35">
      <c r="A358" s="61"/>
      <c r="B358" s="55">
        <v>354</v>
      </c>
      <c r="C358" s="70" t="s">
        <v>822</v>
      </c>
      <c r="D358" s="12">
        <v>136429</v>
      </c>
      <c r="E358" s="128"/>
      <c r="F358" s="12">
        <v>139589</v>
      </c>
      <c r="G358" s="71">
        <v>46247</v>
      </c>
      <c r="H358" s="71" t="s">
        <v>248</v>
      </c>
      <c r="I358" s="11">
        <f t="shared" si="30"/>
        <v>3</v>
      </c>
      <c r="J358" s="71">
        <v>46254</v>
      </c>
      <c r="K358" s="11">
        <f t="shared" si="31"/>
        <v>4</v>
      </c>
      <c r="L358" s="71" t="s">
        <v>263</v>
      </c>
      <c r="M358" s="11">
        <f t="shared" si="32"/>
        <v>1</v>
      </c>
      <c r="N358" s="12" t="s">
        <v>502</v>
      </c>
      <c r="O358" s="12" t="s">
        <v>747</v>
      </c>
      <c r="P358" s="57" t="s">
        <v>53</v>
      </c>
      <c r="Q358" s="224">
        <v>3260.8695652173915</v>
      </c>
      <c r="R358" s="224">
        <v>3260.8695652173915</v>
      </c>
      <c r="S358" s="58">
        <f t="shared" si="33"/>
        <v>0</v>
      </c>
      <c r="T358" s="58"/>
      <c r="U358" s="58"/>
      <c r="V358" s="59">
        <f t="shared" si="34"/>
        <v>326.08695652173918</v>
      </c>
      <c r="W358" s="60">
        <f t="shared" si="35"/>
        <v>0</v>
      </c>
    </row>
    <row r="359" spans="1:23" ht="29" customHeight="1" x14ac:dyDescent="0.35">
      <c r="A359" s="61"/>
      <c r="B359" s="55">
        <v>355</v>
      </c>
      <c r="C359" s="70" t="s">
        <v>822</v>
      </c>
      <c r="D359" s="12">
        <v>136430</v>
      </c>
      <c r="E359" s="128"/>
      <c r="F359" s="12">
        <v>139591</v>
      </c>
      <c r="G359" s="71">
        <v>46247</v>
      </c>
      <c r="H359" s="71" t="s">
        <v>248</v>
      </c>
      <c r="I359" s="11">
        <f t="shared" si="30"/>
        <v>3</v>
      </c>
      <c r="J359" s="71">
        <v>46254</v>
      </c>
      <c r="K359" s="11">
        <f t="shared" si="31"/>
        <v>4</v>
      </c>
      <c r="L359" s="71" t="s">
        <v>263</v>
      </c>
      <c r="M359" s="11">
        <f t="shared" si="32"/>
        <v>1</v>
      </c>
      <c r="N359" s="12" t="s">
        <v>503</v>
      </c>
      <c r="O359" s="12" t="s">
        <v>764</v>
      </c>
      <c r="P359" s="57" t="s">
        <v>53</v>
      </c>
      <c r="Q359" s="224">
        <v>11739.130434782608</v>
      </c>
      <c r="R359" s="224">
        <v>11739.130434782608</v>
      </c>
      <c r="S359" s="58">
        <f t="shared" si="33"/>
        <v>0</v>
      </c>
      <c r="T359" s="58"/>
      <c r="U359" s="58"/>
      <c r="V359" s="59">
        <f t="shared" si="34"/>
        <v>1173.9130434782608</v>
      </c>
      <c r="W359" s="60">
        <f t="shared" si="35"/>
        <v>0</v>
      </c>
    </row>
    <row r="360" spans="1:23" ht="29" customHeight="1" x14ac:dyDescent="0.35">
      <c r="A360" s="61"/>
      <c r="B360" s="55">
        <v>356</v>
      </c>
      <c r="C360" s="70" t="s">
        <v>822</v>
      </c>
      <c r="D360" s="12">
        <v>136431</v>
      </c>
      <c r="E360" s="128"/>
      <c r="F360" s="12">
        <v>139607</v>
      </c>
      <c r="G360" s="71">
        <v>46247</v>
      </c>
      <c r="H360" s="71" t="s">
        <v>248</v>
      </c>
      <c r="I360" s="11">
        <f t="shared" si="30"/>
        <v>3</v>
      </c>
      <c r="J360" s="71">
        <v>46254</v>
      </c>
      <c r="K360" s="11">
        <f t="shared" si="31"/>
        <v>4</v>
      </c>
      <c r="L360" s="71" t="s">
        <v>263</v>
      </c>
      <c r="M360" s="11">
        <f t="shared" si="32"/>
        <v>1</v>
      </c>
      <c r="N360" s="12" t="s">
        <v>504</v>
      </c>
      <c r="O360" s="12" t="s">
        <v>765</v>
      </c>
      <c r="P360" s="57" t="s">
        <v>53</v>
      </c>
      <c r="Q360" s="224">
        <v>2173.913043478261</v>
      </c>
      <c r="R360" s="224">
        <v>2173.913043478261</v>
      </c>
      <c r="S360" s="58">
        <f t="shared" si="33"/>
        <v>0</v>
      </c>
      <c r="T360" s="58"/>
      <c r="U360" s="58"/>
      <c r="V360" s="59">
        <f t="shared" si="34"/>
        <v>217.39130434782612</v>
      </c>
      <c r="W360" s="60">
        <f t="shared" si="35"/>
        <v>0</v>
      </c>
    </row>
    <row r="361" spans="1:23" ht="29" customHeight="1" x14ac:dyDescent="0.35">
      <c r="A361" s="61"/>
      <c r="B361" s="55">
        <v>357</v>
      </c>
      <c r="C361" s="70" t="s">
        <v>822</v>
      </c>
      <c r="D361" s="12">
        <v>136433</v>
      </c>
      <c r="E361" s="128"/>
      <c r="F361" s="12">
        <v>139602</v>
      </c>
      <c r="G361" s="71">
        <v>46247</v>
      </c>
      <c r="H361" s="71" t="s">
        <v>248</v>
      </c>
      <c r="I361" s="11">
        <f t="shared" si="30"/>
        <v>3</v>
      </c>
      <c r="J361" s="71">
        <v>46254</v>
      </c>
      <c r="K361" s="11">
        <f t="shared" si="31"/>
        <v>4</v>
      </c>
      <c r="L361" s="71" t="s">
        <v>263</v>
      </c>
      <c r="M361" s="11">
        <f t="shared" si="32"/>
        <v>1</v>
      </c>
      <c r="N361" s="12" t="s">
        <v>505</v>
      </c>
      <c r="O361" s="12" t="s">
        <v>766</v>
      </c>
      <c r="P361" s="57" t="s">
        <v>53</v>
      </c>
      <c r="Q361" s="224">
        <v>2608.695652173913</v>
      </c>
      <c r="R361" s="224">
        <v>2608.695652173913</v>
      </c>
      <c r="S361" s="58">
        <f t="shared" si="33"/>
        <v>0</v>
      </c>
      <c r="T361" s="58"/>
      <c r="U361" s="58"/>
      <c r="V361" s="59">
        <f t="shared" si="34"/>
        <v>260.86956521739131</v>
      </c>
      <c r="W361" s="60">
        <f t="shared" si="35"/>
        <v>0</v>
      </c>
    </row>
    <row r="362" spans="1:23" ht="29" customHeight="1" x14ac:dyDescent="0.35">
      <c r="A362" s="61"/>
      <c r="B362" s="55">
        <v>358</v>
      </c>
      <c r="C362" s="70" t="s">
        <v>822</v>
      </c>
      <c r="D362" s="12">
        <v>136442</v>
      </c>
      <c r="E362" s="128"/>
      <c r="F362" s="12">
        <v>139612</v>
      </c>
      <c r="G362" s="71">
        <v>46247</v>
      </c>
      <c r="H362" s="71" t="s">
        <v>248</v>
      </c>
      <c r="I362" s="11">
        <f t="shared" si="30"/>
        <v>3</v>
      </c>
      <c r="J362" s="71">
        <v>46254</v>
      </c>
      <c r="K362" s="11">
        <f t="shared" si="31"/>
        <v>4</v>
      </c>
      <c r="L362" s="71" t="s">
        <v>263</v>
      </c>
      <c r="M362" s="11">
        <f t="shared" si="32"/>
        <v>1</v>
      </c>
      <c r="N362" s="12" t="s">
        <v>506</v>
      </c>
      <c r="O362" s="12" t="s">
        <v>767</v>
      </c>
      <c r="P362" s="57" t="s">
        <v>53</v>
      </c>
      <c r="Q362" s="224">
        <v>1304.3478260869565</v>
      </c>
      <c r="R362" s="224">
        <v>1304.3478260869565</v>
      </c>
      <c r="S362" s="58">
        <f t="shared" si="33"/>
        <v>0</v>
      </c>
      <c r="T362" s="58"/>
      <c r="U362" s="58"/>
      <c r="V362" s="59">
        <f t="shared" si="34"/>
        <v>130.43478260869566</v>
      </c>
      <c r="W362" s="60">
        <f t="shared" si="35"/>
        <v>0</v>
      </c>
    </row>
    <row r="363" spans="1:23" ht="29" customHeight="1" x14ac:dyDescent="0.35">
      <c r="A363" s="61"/>
      <c r="B363" s="55">
        <v>359</v>
      </c>
      <c r="C363" s="70" t="s">
        <v>822</v>
      </c>
      <c r="D363" s="12">
        <v>136443</v>
      </c>
      <c r="E363" s="128"/>
      <c r="F363" s="12">
        <v>139614</v>
      </c>
      <c r="G363" s="71">
        <v>46247</v>
      </c>
      <c r="H363" s="71" t="s">
        <v>248</v>
      </c>
      <c r="I363" s="11">
        <f t="shared" si="30"/>
        <v>3</v>
      </c>
      <c r="J363" s="71">
        <v>46254</v>
      </c>
      <c r="K363" s="11">
        <f t="shared" si="31"/>
        <v>4</v>
      </c>
      <c r="L363" s="71" t="s">
        <v>263</v>
      </c>
      <c r="M363" s="11">
        <f t="shared" si="32"/>
        <v>1</v>
      </c>
      <c r="N363" s="12" t="s">
        <v>507</v>
      </c>
      <c r="O363" s="12" t="s">
        <v>768</v>
      </c>
      <c r="P363" s="57" t="s">
        <v>53</v>
      </c>
      <c r="Q363" s="224">
        <v>3878.2608695652175</v>
      </c>
      <c r="R363" s="224">
        <v>3878.2608695652175</v>
      </c>
      <c r="S363" s="58">
        <f t="shared" si="33"/>
        <v>0</v>
      </c>
      <c r="T363" s="58"/>
      <c r="U363" s="58"/>
      <c r="V363" s="59">
        <f t="shared" si="34"/>
        <v>387.82608695652175</v>
      </c>
      <c r="W363" s="60">
        <f t="shared" si="35"/>
        <v>0</v>
      </c>
    </row>
    <row r="364" spans="1:23" ht="29" customHeight="1" x14ac:dyDescent="0.35">
      <c r="A364" s="61"/>
      <c r="B364" s="55">
        <v>360</v>
      </c>
      <c r="C364" s="70" t="s">
        <v>822</v>
      </c>
      <c r="D364" s="12">
        <v>136444</v>
      </c>
      <c r="E364" s="128"/>
      <c r="F364" s="12">
        <v>139615</v>
      </c>
      <c r="G364" s="71">
        <v>46247</v>
      </c>
      <c r="H364" s="71" t="s">
        <v>248</v>
      </c>
      <c r="I364" s="11">
        <f t="shared" si="30"/>
        <v>3</v>
      </c>
      <c r="J364" s="71">
        <v>46254</v>
      </c>
      <c r="K364" s="11">
        <f t="shared" si="31"/>
        <v>4</v>
      </c>
      <c r="L364" s="71" t="s">
        <v>263</v>
      </c>
      <c r="M364" s="11">
        <f t="shared" si="32"/>
        <v>1</v>
      </c>
      <c r="N364" s="12" t="s">
        <v>508</v>
      </c>
      <c r="O364" s="12" t="s">
        <v>667</v>
      </c>
      <c r="P364" s="57" t="s">
        <v>53</v>
      </c>
      <c r="Q364" s="224">
        <v>869.56521739130437</v>
      </c>
      <c r="R364" s="224">
        <v>869.56521739130437</v>
      </c>
      <c r="S364" s="58">
        <f t="shared" si="33"/>
        <v>0</v>
      </c>
      <c r="T364" s="58"/>
      <c r="U364" s="58"/>
      <c r="V364" s="59">
        <f t="shared" si="34"/>
        <v>86.956521739130437</v>
      </c>
      <c r="W364" s="60">
        <f t="shared" si="35"/>
        <v>0</v>
      </c>
    </row>
    <row r="365" spans="1:23" ht="29" customHeight="1" x14ac:dyDescent="0.35">
      <c r="A365" s="61"/>
      <c r="B365" s="55">
        <v>361</v>
      </c>
      <c r="C365" s="70" t="s">
        <v>822</v>
      </c>
      <c r="D365" s="12">
        <v>136518</v>
      </c>
      <c r="E365" s="128"/>
      <c r="F365" s="12">
        <v>139599</v>
      </c>
      <c r="G365" s="71">
        <v>46247</v>
      </c>
      <c r="H365" s="71" t="s">
        <v>257</v>
      </c>
      <c r="I365" s="11">
        <f t="shared" si="30"/>
        <v>8</v>
      </c>
      <c r="J365" s="71">
        <v>46261</v>
      </c>
      <c r="K365" s="11">
        <f t="shared" si="31"/>
        <v>4</v>
      </c>
      <c r="L365" s="71" t="s">
        <v>265</v>
      </c>
      <c r="M365" s="11">
        <f t="shared" si="32"/>
        <v>1</v>
      </c>
      <c r="N365" s="12" t="s">
        <v>509</v>
      </c>
      <c r="O365" s="12" t="s">
        <v>769</v>
      </c>
      <c r="P365" s="57" t="s">
        <v>53</v>
      </c>
      <c r="Q365" s="224">
        <v>150</v>
      </c>
      <c r="R365" s="224">
        <v>150</v>
      </c>
      <c r="S365" s="58">
        <f t="shared" si="33"/>
        <v>0</v>
      </c>
      <c r="T365" s="58"/>
      <c r="U365" s="58"/>
      <c r="V365" s="59">
        <f t="shared" si="34"/>
        <v>15</v>
      </c>
      <c r="W365" s="60">
        <f t="shared" si="35"/>
        <v>0</v>
      </c>
    </row>
    <row r="366" spans="1:23" ht="29" customHeight="1" x14ac:dyDescent="0.35">
      <c r="A366" s="61"/>
      <c r="B366" s="55">
        <v>362</v>
      </c>
      <c r="C366" s="70" t="s">
        <v>822</v>
      </c>
      <c r="D366" s="12">
        <v>136479</v>
      </c>
      <c r="E366" s="128"/>
      <c r="F366" s="12">
        <v>139635</v>
      </c>
      <c r="G366" s="71">
        <v>46248</v>
      </c>
      <c r="H366" s="71" t="s">
        <v>260</v>
      </c>
      <c r="I366" s="11">
        <f t="shared" si="30"/>
        <v>8</v>
      </c>
      <c r="J366" s="71">
        <v>46259</v>
      </c>
      <c r="K366" s="11">
        <f t="shared" si="31"/>
        <v>1</v>
      </c>
      <c r="L366" s="71" t="s">
        <v>260</v>
      </c>
      <c r="M366" s="11">
        <f t="shared" si="32"/>
        <v>1</v>
      </c>
      <c r="N366" s="12" t="s">
        <v>510</v>
      </c>
      <c r="O366" s="12" t="s">
        <v>770</v>
      </c>
      <c r="P366" s="57" t="s">
        <v>53</v>
      </c>
      <c r="Q366" s="224">
        <v>1227.1434782608696</v>
      </c>
      <c r="R366" s="224">
        <v>943.95652173913038</v>
      </c>
      <c r="S366" s="58">
        <f t="shared" si="33"/>
        <v>283.18695652173926</v>
      </c>
      <c r="T366" s="58"/>
      <c r="U366" s="58"/>
      <c r="V366" s="59">
        <f t="shared" si="34"/>
        <v>122.71434782608696</v>
      </c>
      <c r="W366" s="60">
        <f t="shared" si="35"/>
        <v>0.23076923076923087</v>
      </c>
    </row>
    <row r="367" spans="1:23" ht="29" customHeight="1" x14ac:dyDescent="0.35">
      <c r="A367" s="61"/>
      <c r="B367" s="55">
        <v>363</v>
      </c>
      <c r="C367" s="70" t="s">
        <v>822</v>
      </c>
      <c r="D367" s="12">
        <v>136481</v>
      </c>
      <c r="E367" s="128"/>
      <c r="F367" s="12">
        <v>139636</v>
      </c>
      <c r="G367" s="71">
        <v>46248</v>
      </c>
      <c r="H367" s="71" t="s">
        <v>260</v>
      </c>
      <c r="I367" s="11">
        <f t="shared" si="30"/>
        <v>8</v>
      </c>
      <c r="J367" s="71">
        <v>46259</v>
      </c>
      <c r="K367" s="11">
        <f t="shared" si="31"/>
        <v>1</v>
      </c>
      <c r="L367" s="71" t="s">
        <v>260</v>
      </c>
      <c r="M367" s="11">
        <f t="shared" si="32"/>
        <v>1</v>
      </c>
      <c r="N367" s="12" t="s">
        <v>511</v>
      </c>
      <c r="O367" s="12" t="s">
        <v>770</v>
      </c>
      <c r="P367" s="57" t="s">
        <v>53</v>
      </c>
      <c r="Q367" s="224">
        <v>1260.3782608695651</v>
      </c>
      <c r="R367" s="224">
        <v>969.52173913043475</v>
      </c>
      <c r="S367" s="58">
        <f t="shared" si="33"/>
        <v>290.85652173913036</v>
      </c>
      <c r="T367" s="58"/>
      <c r="U367" s="58"/>
      <c r="V367" s="59">
        <f t="shared" si="34"/>
        <v>126.03782608695651</v>
      </c>
      <c r="W367" s="60">
        <f t="shared" si="35"/>
        <v>0.23076923076923073</v>
      </c>
    </row>
    <row r="368" spans="1:23" ht="29" customHeight="1" x14ac:dyDescent="0.35">
      <c r="A368" s="61"/>
      <c r="B368" s="55">
        <v>364</v>
      </c>
      <c r="C368" s="70" t="s">
        <v>822</v>
      </c>
      <c r="D368" s="12">
        <v>136480</v>
      </c>
      <c r="E368" s="128"/>
      <c r="F368" s="12">
        <v>139637</v>
      </c>
      <c r="G368" s="71">
        <v>46248</v>
      </c>
      <c r="H368" s="71" t="s">
        <v>260</v>
      </c>
      <c r="I368" s="11">
        <f t="shared" si="30"/>
        <v>8</v>
      </c>
      <c r="J368" s="71">
        <v>46259</v>
      </c>
      <c r="K368" s="11">
        <f t="shared" si="31"/>
        <v>1</v>
      </c>
      <c r="L368" s="71" t="s">
        <v>260</v>
      </c>
      <c r="M368" s="11">
        <f t="shared" si="32"/>
        <v>1</v>
      </c>
      <c r="N368" s="12" t="s">
        <v>512</v>
      </c>
      <c r="O368" s="12" t="s">
        <v>770</v>
      </c>
      <c r="P368" s="57" t="s">
        <v>53</v>
      </c>
      <c r="Q368" s="224">
        <v>1160.4717391304348</v>
      </c>
      <c r="R368" s="224">
        <v>859.60869565217388</v>
      </c>
      <c r="S368" s="58">
        <f t="shared" si="33"/>
        <v>300.86304347826092</v>
      </c>
      <c r="T368" s="58"/>
      <c r="U368" s="58"/>
      <c r="V368" s="59">
        <f t="shared" si="34"/>
        <v>116.04717391304348</v>
      </c>
      <c r="W368" s="60">
        <f t="shared" si="35"/>
        <v>0.2592592592592593</v>
      </c>
    </row>
    <row r="369" spans="1:23" ht="29" customHeight="1" x14ac:dyDescent="0.35">
      <c r="A369" s="61"/>
      <c r="B369" s="55">
        <v>365</v>
      </c>
      <c r="C369" s="70" t="s">
        <v>822</v>
      </c>
      <c r="D369" s="12">
        <v>136354</v>
      </c>
      <c r="E369" s="128"/>
      <c r="F369" s="12">
        <v>139623</v>
      </c>
      <c r="G369" s="71">
        <v>46248</v>
      </c>
      <c r="H369" s="71" t="s">
        <v>259</v>
      </c>
      <c r="I369" s="11">
        <f t="shared" si="30"/>
        <v>1</v>
      </c>
      <c r="J369" s="71">
        <v>46251</v>
      </c>
      <c r="K369" s="11">
        <f t="shared" si="31"/>
        <v>2</v>
      </c>
      <c r="L369" s="71" t="s">
        <v>248</v>
      </c>
      <c r="M369" s="11">
        <f t="shared" si="32"/>
        <v>1</v>
      </c>
      <c r="N369" s="12" t="s">
        <v>513</v>
      </c>
      <c r="O369" s="12" t="s">
        <v>649</v>
      </c>
      <c r="P369" s="57" t="s">
        <v>53</v>
      </c>
      <c r="Q369" s="224">
        <v>331826.08695652173</v>
      </c>
      <c r="R369" s="224">
        <v>331826.08695652173</v>
      </c>
      <c r="S369" s="58">
        <f t="shared" si="33"/>
        <v>0</v>
      </c>
      <c r="T369" s="58"/>
      <c r="U369" s="58"/>
      <c r="V369" s="59">
        <f t="shared" si="34"/>
        <v>33182.608695652176</v>
      </c>
      <c r="W369" s="60">
        <f t="shared" si="35"/>
        <v>0</v>
      </c>
    </row>
    <row r="370" spans="1:23" ht="29" customHeight="1" x14ac:dyDescent="0.35">
      <c r="A370" s="61"/>
      <c r="B370" s="55">
        <v>366</v>
      </c>
      <c r="C370" s="70" t="s">
        <v>822</v>
      </c>
      <c r="D370" s="12">
        <v>136355</v>
      </c>
      <c r="E370" s="128"/>
      <c r="F370" s="12">
        <v>139624</v>
      </c>
      <c r="G370" s="71">
        <v>46248</v>
      </c>
      <c r="H370" s="71" t="s">
        <v>259</v>
      </c>
      <c r="I370" s="11">
        <f t="shared" si="30"/>
        <v>1</v>
      </c>
      <c r="J370" s="71">
        <v>46251</v>
      </c>
      <c r="K370" s="11">
        <f t="shared" si="31"/>
        <v>2</v>
      </c>
      <c r="L370" s="71" t="s">
        <v>248</v>
      </c>
      <c r="M370" s="11">
        <f t="shared" si="32"/>
        <v>1</v>
      </c>
      <c r="N370" s="12" t="s">
        <v>514</v>
      </c>
      <c r="O370" s="12" t="s">
        <v>649</v>
      </c>
      <c r="P370" s="57" t="s">
        <v>53</v>
      </c>
      <c r="Q370" s="224">
        <v>90260.869565217392</v>
      </c>
      <c r="R370" s="224">
        <v>90260.869565217392</v>
      </c>
      <c r="S370" s="58">
        <f t="shared" si="33"/>
        <v>0</v>
      </c>
      <c r="T370" s="58"/>
      <c r="U370" s="58"/>
      <c r="V370" s="59">
        <f t="shared" si="34"/>
        <v>9026.0869565217399</v>
      </c>
      <c r="W370" s="60">
        <f t="shared" si="35"/>
        <v>0</v>
      </c>
    </row>
    <row r="371" spans="1:23" ht="29" customHeight="1" x14ac:dyDescent="0.35">
      <c r="A371" s="61"/>
      <c r="B371" s="55">
        <v>367</v>
      </c>
      <c r="C371" s="70" t="s">
        <v>822</v>
      </c>
      <c r="D371" s="12">
        <v>136356</v>
      </c>
      <c r="E371" s="128"/>
      <c r="F371" s="12">
        <v>139625</v>
      </c>
      <c r="G371" s="71">
        <v>46248</v>
      </c>
      <c r="H371" s="71" t="s">
        <v>259</v>
      </c>
      <c r="I371" s="11">
        <f t="shared" si="30"/>
        <v>1</v>
      </c>
      <c r="J371" s="71">
        <v>46251</v>
      </c>
      <c r="K371" s="11">
        <f t="shared" si="31"/>
        <v>2</v>
      </c>
      <c r="L371" s="71" t="s">
        <v>248</v>
      </c>
      <c r="M371" s="11">
        <f t="shared" si="32"/>
        <v>1</v>
      </c>
      <c r="N371" s="12" t="s">
        <v>515</v>
      </c>
      <c r="O371" s="12" t="s">
        <v>771</v>
      </c>
      <c r="P371" s="57" t="s">
        <v>53</v>
      </c>
      <c r="Q371" s="224">
        <v>214539.13043478262</v>
      </c>
      <c r="R371" s="224">
        <v>214539.13043478262</v>
      </c>
      <c r="S371" s="58">
        <f t="shared" si="33"/>
        <v>0</v>
      </c>
      <c r="T371" s="58"/>
      <c r="U371" s="58"/>
      <c r="V371" s="59">
        <f t="shared" si="34"/>
        <v>21453.913043478264</v>
      </c>
      <c r="W371" s="60">
        <f t="shared" si="35"/>
        <v>0</v>
      </c>
    </row>
    <row r="372" spans="1:23" ht="29" customHeight="1" x14ac:dyDescent="0.35">
      <c r="A372" s="61"/>
      <c r="B372" s="55">
        <v>368</v>
      </c>
      <c r="C372" s="70" t="s">
        <v>822</v>
      </c>
      <c r="D372" s="12">
        <v>136364</v>
      </c>
      <c r="E372" s="128"/>
      <c r="F372" s="12">
        <v>139641</v>
      </c>
      <c r="G372" s="71">
        <v>46248</v>
      </c>
      <c r="H372" s="71" t="s">
        <v>253</v>
      </c>
      <c r="I372" s="11">
        <f t="shared" si="30"/>
        <v>3</v>
      </c>
      <c r="J372" s="71">
        <v>46252</v>
      </c>
      <c r="K372" s="11">
        <f t="shared" si="31"/>
        <v>1</v>
      </c>
      <c r="L372" s="71" t="s">
        <v>253</v>
      </c>
      <c r="M372" s="11">
        <f t="shared" si="32"/>
        <v>1</v>
      </c>
      <c r="N372" s="12" t="s">
        <v>516</v>
      </c>
      <c r="O372" s="12" t="s">
        <v>772</v>
      </c>
      <c r="P372" s="57" t="s">
        <v>53</v>
      </c>
      <c r="Q372" s="224">
        <v>140.03025652173915</v>
      </c>
      <c r="R372" s="224">
        <v>140.03025652173915</v>
      </c>
      <c r="S372" s="58">
        <f t="shared" si="33"/>
        <v>0</v>
      </c>
      <c r="T372" s="58"/>
      <c r="U372" s="58"/>
      <c r="V372" s="59">
        <f t="shared" si="34"/>
        <v>14.003025652173916</v>
      </c>
      <c r="W372" s="60">
        <f t="shared" si="35"/>
        <v>0</v>
      </c>
    </row>
    <row r="373" spans="1:23" ht="29" customHeight="1" x14ac:dyDescent="0.35">
      <c r="A373" s="61"/>
      <c r="B373" s="55">
        <v>369</v>
      </c>
      <c r="C373" s="70" t="s">
        <v>822</v>
      </c>
      <c r="D373" s="12">
        <v>136394</v>
      </c>
      <c r="E373" s="128"/>
      <c r="F373" s="12">
        <v>139631</v>
      </c>
      <c r="G373" s="71">
        <v>46248</v>
      </c>
      <c r="H373" s="71" t="s">
        <v>248</v>
      </c>
      <c r="I373" s="11">
        <f t="shared" si="30"/>
        <v>2</v>
      </c>
      <c r="J373" s="71">
        <v>46253</v>
      </c>
      <c r="K373" s="11">
        <f t="shared" si="31"/>
        <v>3</v>
      </c>
      <c r="L373" s="71" t="s">
        <v>261</v>
      </c>
      <c r="M373" s="11">
        <f t="shared" si="32"/>
        <v>1</v>
      </c>
      <c r="N373" s="12" t="s">
        <v>517</v>
      </c>
      <c r="O373" s="12" t="s">
        <v>642</v>
      </c>
      <c r="P373" s="57" t="s">
        <v>53</v>
      </c>
      <c r="Q373" s="224">
        <v>37937.945217391301</v>
      </c>
      <c r="R373" s="224">
        <v>37937.945217391301</v>
      </c>
      <c r="S373" s="58">
        <f t="shared" si="33"/>
        <v>0</v>
      </c>
      <c r="T373" s="58"/>
      <c r="U373" s="58"/>
      <c r="V373" s="59">
        <f t="shared" si="34"/>
        <v>3793.7945217391302</v>
      </c>
      <c r="W373" s="60">
        <f t="shared" si="35"/>
        <v>0</v>
      </c>
    </row>
    <row r="374" spans="1:23" ht="29" customHeight="1" x14ac:dyDescent="0.35">
      <c r="A374" s="61"/>
      <c r="B374" s="55">
        <v>370</v>
      </c>
      <c r="C374" s="70" t="s">
        <v>822</v>
      </c>
      <c r="D374" s="12">
        <v>136396</v>
      </c>
      <c r="E374" s="128"/>
      <c r="F374" s="12">
        <v>139633</v>
      </c>
      <c r="G374" s="71">
        <v>46248</v>
      </c>
      <c r="H374" s="71" t="s">
        <v>248</v>
      </c>
      <c r="I374" s="11">
        <f t="shared" si="30"/>
        <v>2</v>
      </c>
      <c r="J374" s="71">
        <v>46253</v>
      </c>
      <c r="K374" s="11">
        <f t="shared" si="31"/>
        <v>3</v>
      </c>
      <c r="L374" s="71" t="s">
        <v>261</v>
      </c>
      <c r="M374" s="11">
        <f t="shared" si="32"/>
        <v>1</v>
      </c>
      <c r="N374" s="12" t="s">
        <v>518</v>
      </c>
      <c r="O374" s="12" t="s">
        <v>642</v>
      </c>
      <c r="P374" s="57" t="s">
        <v>53</v>
      </c>
      <c r="Q374" s="224">
        <v>6233.1865217391305</v>
      </c>
      <c r="R374" s="224">
        <v>6233.1865217391305</v>
      </c>
      <c r="S374" s="58">
        <f t="shared" si="33"/>
        <v>0</v>
      </c>
      <c r="T374" s="58"/>
      <c r="U374" s="58"/>
      <c r="V374" s="59">
        <f t="shared" si="34"/>
        <v>623.31865217391305</v>
      </c>
      <c r="W374" s="60">
        <f t="shared" si="35"/>
        <v>0</v>
      </c>
    </row>
    <row r="375" spans="1:23" ht="29" customHeight="1" x14ac:dyDescent="0.35">
      <c r="A375" s="61"/>
      <c r="B375" s="55">
        <v>371</v>
      </c>
      <c r="C375" s="70" t="s">
        <v>822</v>
      </c>
      <c r="D375" s="12">
        <v>136397</v>
      </c>
      <c r="E375" s="128"/>
      <c r="F375" s="12">
        <v>139619</v>
      </c>
      <c r="G375" s="71">
        <v>46248</v>
      </c>
      <c r="H375" s="71" t="s">
        <v>248</v>
      </c>
      <c r="I375" s="11">
        <f t="shared" si="30"/>
        <v>2</v>
      </c>
      <c r="J375" s="71">
        <v>46253</v>
      </c>
      <c r="K375" s="11">
        <f t="shared" si="31"/>
        <v>3</v>
      </c>
      <c r="L375" s="71" t="s">
        <v>261</v>
      </c>
      <c r="M375" s="11">
        <f t="shared" si="32"/>
        <v>1</v>
      </c>
      <c r="N375" s="12" t="s">
        <v>519</v>
      </c>
      <c r="O375" s="12" t="s">
        <v>642</v>
      </c>
      <c r="P375" s="57" t="s">
        <v>53</v>
      </c>
      <c r="Q375" s="224">
        <v>22134.737173913043</v>
      </c>
      <c r="R375" s="224">
        <v>22134.737173913043</v>
      </c>
      <c r="S375" s="58">
        <f t="shared" si="33"/>
        <v>0</v>
      </c>
      <c r="T375" s="58"/>
      <c r="U375" s="58"/>
      <c r="V375" s="59">
        <f t="shared" si="34"/>
        <v>2213.4737173913045</v>
      </c>
      <c r="W375" s="60">
        <f t="shared" si="35"/>
        <v>0</v>
      </c>
    </row>
    <row r="376" spans="1:23" ht="29" customHeight="1" x14ac:dyDescent="0.35">
      <c r="A376" s="61"/>
      <c r="B376" s="55">
        <v>372</v>
      </c>
      <c r="C376" s="70" t="s">
        <v>822</v>
      </c>
      <c r="D376" s="12">
        <v>136398</v>
      </c>
      <c r="E376" s="128"/>
      <c r="F376" s="12">
        <v>139634</v>
      </c>
      <c r="G376" s="71">
        <v>46248</v>
      </c>
      <c r="H376" s="71" t="s">
        <v>248</v>
      </c>
      <c r="I376" s="11">
        <f t="shared" si="30"/>
        <v>2</v>
      </c>
      <c r="J376" s="71">
        <v>46253</v>
      </c>
      <c r="K376" s="11">
        <f t="shared" si="31"/>
        <v>3</v>
      </c>
      <c r="L376" s="71" t="s">
        <v>261</v>
      </c>
      <c r="M376" s="11">
        <f t="shared" si="32"/>
        <v>1</v>
      </c>
      <c r="N376" s="12" t="s">
        <v>520</v>
      </c>
      <c r="O376" s="12" t="s">
        <v>642</v>
      </c>
      <c r="P376" s="57" t="s">
        <v>53</v>
      </c>
      <c r="Q376" s="224">
        <v>26971.918260869566</v>
      </c>
      <c r="R376" s="224">
        <v>26971.918260869566</v>
      </c>
      <c r="S376" s="58">
        <f t="shared" si="33"/>
        <v>0</v>
      </c>
      <c r="T376" s="58"/>
      <c r="U376" s="58"/>
      <c r="V376" s="59">
        <f t="shared" si="34"/>
        <v>2697.191826086957</v>
      </c>
      <c r="W376" s="60">
        <f t="shared" si="35"/>
        <v>0</v>
      </c>
    </row>
    <row r="377" spans="1:23" ht="29" customHeight="1" x14ac:dyDescent="0.35">
      <c r="A377" s="61"/>
      <c r="B377" s="55">
        <v>373</v>
      </c>
      <c r="C377" s="70" t="s">
        <v>822</v>
      </c>
      <c r="D377" s="12">
        <v>136399</v>
      </c>
      <c r="E377" s="128"/>
      <c r="F377" s="12">
        <v>139621</v>
      </c>
      <c r="G377" s="71">
        <v>46248</v>
      </c>
      <c r="H377" s="71" t="s">
        <v>248</v>
      </c>
      <c r="I377" s="11">
        <f t="shared" ref="I377:I440" si="36">IF(OR(H377="", G377=""), "", NETWORKDAYS(G377, H377))</f>
        <v>2</v>
      </c>
      <c r="J377" s="71">
        <v>46253</v>
      </c>
      <c r="K377" s="11">
        <f t="shared" ref="K377:K440" si="37">IF(OR(H377="", J377=""), "", NETWORKDAYS(H377, J377))</f>
        <v>3</v>
      </c>
      <c r="L377" s="71" t="s">
        <v>261</v>
      </c>
      <c r="M377" s="11">
        <f t="shared" ref="M377:M440" si="38">IF(OR(J377="", L377=""), "", NETWORKDAYS(J377, L377))</f>
        <v>1</v>
      </c>
      <c r="N377" s="12" t="s">
        <v>521</v>
      </c>
      <c r="O377" s="12" t="s">
        <v>762</v>
      </c>
      <c r="P377" s="57" t="s">
        <v>53</v>
      </c>
      <c r="Q377" s="224">
        <v>21734.747826086958</v>
      </c>
      <c r="R377" s="224">
        <v>21734.747826086958</v>
      </c>
      <c r="S377" s="58">
        <f t="shared" ref="S377:S440" si="39">Q377-R377</f>
        <v>0</v>
      </c>
      <c r="T377" s="58"/>
      <c r="U377" s="58"/>
      <c r="V377" s="59">
        <f t="shared" ref="V377:V440" si="40">IF(Q377="", "", Q377*10%)</f>
        <v>2173.4747826086959</v>
      </c>
      <c r="W377" s="60">
        <f t="shared" ref="W377:W440" si="41">IF(OR(Q377="", R377=""), "", (Q377- R377)/Q377)</f>
        <v>0</v>
      </c>
    </row>
    <row r="378" spans="1:23" ht="29" customHeight="1" x14ac:dyDescent="0.35">
      <c r="A378" s="61"/>
      <c r="B378" s="55">
        <v>374</v>
      </c>
      <c r="C378" s="70" t="s">
        <v>822</v>
      </c>
      <c r="D378" s="12">
        <v>136402</v>
      </c>
      <c r="E378" s="128"/>
      <c r="F378" s="12">
        <v>139632</v>
      </c>
      <c r="G378" s="71">
        <v>46248</v>
      </c>
      <c r="H378" s="71" t="s">
        <v>248</v>
      </c>
      <c r="I378" s="11">
        <f t="shared" si="36"/>
        <v>2</v>
      </c>
      <c r="J378" s="71">
        <v>46253</v>
      </c>
      <c r="K378" s="11">
        <f t="shared" si="37"/>
        <v>3</v>
      </c>
      <c r="L378" s="71" t="s">
        <v>261</v>
      </c>
      <c r="M378" s="11">
        <f t="shared" si="38"/>
        <v>1</v>
      </c>
      <c r="N378" s="12" t="s">
        <v>522</v>
      </c>
      <c r="O378" s="12" t="s">
        <v>642</v>
      </c>
      <c r="P378" s="57" t="s">
        <v>53</v>
      </c>
      <c r="Q378" s="224">
        <v>6220.1791304347826</v>
      </c>
      <c r="R378" s="224">
        <v>6220.1791304347826</v>
      </c>
      <c r="S378" s="58">
        <f t="shared" si="39"/>
        <v>0</v>
      </c>
      <c r="T378" s="58"/>
      <c r="U378" s="58"/>
      <c r="V378" s="59">
        <f t="shared" si="40"/>
        <v>622.0179130434783</v>
      </c>
      <c r="W378" s="60">
        <f t="shared" si="41"/>
        <v>0</v>
      </c>
    </row>
    <row r="379" spans="1:23" ht="29" customHeight="1" x14ac:dyDescent="0.35">
      <c r="A379" s="61"/>
      <c r="B379" s="55">
        <v>375</v>
      </c>
      <c r="C379" s="70" t="s">
        <v>822</v>
      </c>
      <c r="D379" s="12">
        <v>136407</v>
      </c>
      <c r="E379" s="128"/>
      <c r="F379" s="12">
        <v>139629</v>
      </c>
      <c r="G379" s="71">
        <v>46248</v>
      </c>
      <c r="H379" s="71" t="s">
        <v>248</v>
      </c>
      <c r="I379" s="11">
        <f t="shared" si="36"/>
        <v>2</v>
      </c>
      <c r="J379" s="71">
        <v>46253</v>
      </c>
      <c r="K379" s="11">
        <f t="shared" si="37"/>
        <v>3</v>
      </c>
      <c r="L379" s="71" t="s">
        <v>261</v>
      </c>
      <c r="M379" s="11">
        <f t="shared" si="38"/>
        <v>1</v>
      </c>
      <c r="N379" s="12" t="s">
        <v>523</v>
      </c>
      <c r="O379" s="12" t="s">
        <v>642</v>
      </c>
      <c r="P379" s="57" t="s">
        <v>53</v>
      </c>
      <c r="Q379" s="224">
        <v>7777.5169565217393</v>
      </c>
      <c r="R379" s="224">
        <v>7777.5169565217393</v>
      </c>
      <c r="S379" s="58">
        <f t="shared" si="39"/>
        <v>0</v>
      </c>
      <c r="T379" s="58"/>
      <c r="U379" s="58"/>
      <c r="V379" s="59">
        <f t="shared" si="40"/>
        <v>777.75169565217402</v>
      </c>
      <c r="W379" s="60">
        <f t="shared" si="41"/>
        <v>0</v>
      </c>
    </row>
    <row r="380" spans="1:23" ht="29" customHeight="1" x14ac:dyDescent="0.35">
      <c r="A380" s="61"/>
      <c r="B380" s="55">
        <v>376</v>
      </c>
      <c r="C380" s="70" t="s">
        <v>822</v>
      </c>
      <c r="D380" s="12">
        <v>136409</v>
      </c>
      <c r="E380" s="128"/>
      <c r="F380" s="12">
        <v>139630</v>
      </c>
      <c r="G380" s="71">
        <v>46248</v>
      </c>
      <c r="H380" s="71" t="s">
        <v>261</v>
      </c>
      <c r="I380" s="11">
        <f t="shared" si="36"/>
        <v>4</v>
      </c>
      <c r="J380" s="71">
        <v>46253</v>
      </c>
      <c r="K380" s="11">
        <f t="shared" si="37"/>
        <v>1</v>
      </c>
      <c r="L380" s="71" t="s">
        <v>261</v>
      </c>
      <c r="M380" s="11">
        <f t="shared" si="38"/>
        <v>1</v>
      </c>
      <c r="N380" s="12" t="s">
        <v>524</v>
      </c>
      <c r="O380" s="12" t="s">
        <v>656</v>
      </c>
      <c r="P380" s="57" t="s">
        <v>53</v>
      </c>
      <c r="Q380" s="224">
        <v>3043.478260869565</v>
      </c>
      <c r="R380" s="224">
        <v>3043.478260869565</v>
      </c>
      <c r="S380" s="58">
        <f t="shared" si="39"/>
        <v>0</v>
      </c>
      <c r="T380" s="58"/>
      <c r="U380" s="58"/>
      <c r="V380" s="59">
        <f t="shared" si="40"/>
        <v>304.3478260869565</v>
      </c>
      <c r="W380" s="60">
        <f t="shared" si="41"/>
        <v>0</v>
      </c>
    </row>
    <row r="381" spans="1:23" ht="29" customHeight="1" x14ac:dyDescent="0.35">
      <c r="A381" s="61"/>
      <c r="B381" s="55">
        <v>377</v>
      </c>
      <c r="C381" s="70" t="s">
        <v>822</v>
      </c>
      <c r="D381" s="12">
        <v>136445</v>
      </c>
      <c r="E381" s="128"/>
      <c r="F381" s="12">
        <v>139622</v>
      </c>
      <c r="G381" s="71">
        <v>46248</v>
      </c>
      <c r="H381" s="71" t="s">
        <v>253</v>
      </c>
      <c r="I381" s="11">
        <f t="shared" si="36"/>
        <v>3</v>
      </c>
      <c r="J381" s="71">
        <v>46254</v>
      </c>
      <c r="K381" s="11">
        <f t="shared" si="37"/>
        <v>3</v>
      </c>
      <c r="L381" s="71" t="s">
        <v>263</v>
      </c>
      <c r="M381" s="11">
        <f t="shared" si="38"/>
        <v>1</v>
      </c>
      <c r="N381" s="12" t="s">
        <v>525</v>
      </c>
      <c r="O381" s="12" t="s">
        <v>641</v>
      </c>
      <c r="P381" s="57" t="s">
        <v>53</v>
      </c>
      <c r="Q381" s="224">
        <v>8478.2608695652179</v>
      </c>
      <c r="R381" s="224">
        <v>8478.2608695652179</v>
      </c>
      <c r="S381" s="58">
        <f t="shared" si="39"/>
        <v>0</v>
      </c>
      <c r="T381" s="58"/>
      <c r="U381" s="58"/>
      <c r="V381" s="59">
        <f t="shared" si="40"/>
        <v>847.82608695652186</v>
      </c>
      <c r="W381" s="60">
        <f t="shared" si="41"/>
        <v>0</v>
      </c>
    </row>
    <row r="382" spans="1:23" ht="29" customHeight="1" x14ac:dyDescent="0.35">
      <c r="A382" s="61"/>
      <c r="B382" s="55">
        <v>378</v>
      </c>
      <c r="C382" s="70" t="s">
        <v>822</v>
      </c>
      <c r="D382" s="12">
        <v>136446</v>
      </c>
      <c r="E382" s="128"/>
      <c r="F382" s="12">
        <v>139640</v>
      </c>
      <c r="G382" s="71">
        <v>46248</v>
      </c>
      <c r="H382" s="71" t="s">
        <v>253</v>
      </c>
      <c r="I382" s="11">
        <f t="shared" si="36"/>
        <v>3</v>
      </c>
      <c r="J382" s="71">
        <v>46254</v>
      </c>
      <c r="K382" s="11">
        <f t="shared" si="37"/>
        <v>3</v>
      </c>
      <c r="L382" s="71" t="s">
        <v>263</v>
      </c>
      <c r="M382" s="11">
        <f t="shared" si="38"/>
        <v>1</v>
      </c>
      <c r="N382" s="12" t="s">
        <v>526</v>
      </c>
      <c r="O382" s="12" t="s">
        <v>773</v>
      </c>
      <c r="P382" s="57" t="s">
        <v>53</v>
      </c>
      <c r="Q382" s="224">
        <v>4347.826086956522</v>
      </c>
      <c r="R382" s="224">
        <v>4347.826086956522</v>
      </c>
      <c r="S382" s="58">
        <f t="shared" si="39"/>
        <v>0</v>
      </c>
      <c r="T382" s="58"/>
      <c r="U382" s="58"/>
      <c r="V382" s="59">
        <f t="shared" si="40"/>
        <v>434.78260869565224</v>
      </c>
      <c r="W382" s="60">
        <f t="shared" si="41"/>
        <v>0</v>
      </c>
    </row>
    <row r="383" spans="1:23" ht="29" customHeight="1" x14ac:dyDescent="0.35">
      <c r="A383" s="61"/>
      <c r="B383" s="55">
        <v>379</v>
      </c>
      <c r="C383" s="70" t="s">
        <v>822</v>
      </c>
      <c r="D383" s="12">
        <v>136451</v>
      </c>
      <c r="E383" s="128"/>
      <c r="F383" s="12">
        <v>139642</v>
      </c>
      <c r="G383" s="71">
        <v>46248</v>
      </c>
      <c r="H383" s="71" t="s">
        <v>262</v>
      </c>
      <c r="I383" s="11">
        <f t="shared" si="36"/>
        <v>6</v>
      </c>
      <c r="J383" s="71">
        <v>46255</v>
      </c>
      <c r="K383" s="11">
        <f t="shared" si="37"/>
        <v>1</v>
      </c>
      <c r="L383" s="71" t="s">
        <v>262</v>
      </c>
      <c r="M383" s="11">
        <f t="shared" si="38"/>
        <v>1</v>
      </c>
      <c r="N383" s="12" t="s">
        <v>527</v>
      </c>
      <c r="O383" s="12" t="s">
        <v>774</v>
      </c>
      <c r="P383" s="57" t="s">
        <v>53</v>
      </c>
      <c r="Q383" s="224">
        <v>6956.521739130435</v>
      </c>
      <c r="R383" s="224">
        <v>6956.521739130435</v>
      </c>
      <c r="S383" s="58">
        <f t="shared" si="39"/>
        <v>0</v>
      </c>
      <c r="T383" s="58"/>
      <c r="U383" s="58"/>
      <c r="V383" s="59">
        <f t="shared" si="40"/>
        <v>695.6521739130435</v>
      </c>
      <c r="W383" s="60">
        <f t="shared" si="41"/>
        <v>0</v>
      </c>
    </row>
    <row r="384" spans="1:23" ht="29" customHeight="1" x14ac:dyDescent="0.35">
      <c r="A384" s="61"/>
      <c r="B384" s="55">
        <v>380</v>
      </c>
      <c r="C384" s="70" t="s">
        <v>822</v>
      </c>
      <c r="D384" s="12">
        <v>136453</v>
      </c>
      <c r="E384" s="128"/>
      <c r="F384" s="12">
        <v>139643</v>
      </c>
      <c r="G384" s="71">
        <v>46248</v>
      </c>
      <c r="H384" s="71" t="s">
        <v>262</v>
      </c>
      <c r="I384" s="11">
        <f t="shared" si="36"/>
        <v>6</v>
      </c>
      <c r="J384" s="71">
        <v>46255</v>
      </c>
      <c r="K384" s="11">
        <f t="shared" si="37"/>
        <v>1</v>
      </c>
      <c r="L384" s="71" t="s">
        <v>262</v>
      </c>
      <c r="M384" s="11">
        <f t="shared" si="38"/>
        <v>1</v>
      </c>
      <c r="N384" s="12" t="s">
        <v>528</v>
      </c>
      <c r="O384" s="12" t="s">
        <v>691</v>
      </c>
      <c r="P384" s="57" t="s">
        <v>53</v>
      </c>
      <c r="Q384" s="224">
        <v>1495.108695652174</v>
      </c>
      <c r="R384" s="224">
        <v>1495.108695652174</v>
      </c>
      <c r="S384" s="58">
        <f t="shared" si="39"/>
        <v>0</v>
      </c>
      <c r="T384" s="58"/>
      <c r="U384" s="58"/>
      <c r="V384" s="59">
        <f t="shared" si="40"/>
        <v>149.5108695652174</v>
      </c>
      <c r="W384" s="60">
        <f t="shared" si="41"/>
        <v>0</v>
      </c>
    </row>
    <row r="385" spans="1:23" ht="29" customHeight="1" x14ac:dyDescent="0.35">
      <c r="A385" s="61"/>
      <c r="B385" s="55">
        <v>381</v>
      </c>
      <c r="C385" s="70" t="s">
        <v>822</v>
      </c>
      <c r="D385" s="12">
        <v>136462</v>
      </c>
      <c r="E385" s="128"/>
      <c r="F385" s="12">
        <v>139628</v>
      </c>
      <c r="G385" s="71">
        <v>46248</v>
      </c>
      <c r="H385" s="71" t="s">
        <v>253</v>
      </c>
      <c r="I385" s="11">
        <f t="shared" si="36"/>
        <v>3</v>
      </c>
      <c r="J385" s="71">
        <v>46258</v>
      </c>
      <c r="K385" s="11">
        <f t="shared" si="37"/>
        <v>5</v>
      </c>
      <c r="L385" s="71" t="s">
        <v>257</v>
      </c>
      <c r="M385" s="11">
        <f t="shared" si="38"/>
        <v>1</v>
      </c>
      <c r="N385" s="12" t="s">
        <v>529</v>
      </c>
      <c r="O385" s="12" t="s">
        <v>775</v>
      </c>
      <c r="P385" s="57" t="s">
        <v>53</v>
      </c>
      <c r="Q385" s="224">
        <v>4347.826086956522</v>
      </c>
      <c r="R385" s="224">
        <v>4347.826086956522</v>
      </c>
      <c r="S385" s="58">
        <f t="shared" si="39"/>
        <v>0</v>
      </c>
      <c r="T385" s="58"/>
      <c r="U385" s="58"/>
      <c r="V385" s="59">
        <f t="shared" si="40"/>
        <v>434.78260869565224</v>
      </c>
      <c r="W385" s="60">
        <f t="shared" si="41"/>
        <v>0</v>
      </c>
    </row>
    <row r="386" spans="1:23" ht="29" customHeight="1" x14ac:dyDescent="0.35">
      <c r="A386" s="61"/>
      <c r="B386" s="55">
        <v>382</v>
      </c>
      <c r="C386" s="70" t="s">
        <v>822</v>
      </c>
      <c r="D386" s="12">
        <v>136389</v>
      </c>
      <c r="E386" s="128"/>
      <c r="F386" s="12">
        <v>139649</v>
      </c>
      <c r="G386" s="71">
        <v>46251</v>
      </c>
      <c r="H386" s="71" t="s">
        <v>253</v>
      </c>
      <c r="I386" s="11">
        <f t="shared" si="36"/>
        <v>2</v>
      </c>
      <c r="J386" s="71">
        <v>46253</v>
      </c>
      <c r="K386" s="11">
        <f t="shared" si="37"/>
        <v>2</v>
      </c>
      <c r="L386" s="71" t="s">
        <v>261</v>
      </c>
      <c r="M386" s="11">
        <f t="shared" si="38"/>
        <v>1</v>
      </c>
      <c r="N386" s="12" t="s">
        <v>530</v>
      </c>
      <c r="O386" s="12" t="s">
        <v>776</v>
      </c>
      <c r="P386" s="57" t="s">
        <v>53</v>
      </c>
      <c r="Q386" s="224">
        <v>3967603.9000000008</v>
      </c>
      <c r="R386" s="224">
        <v>3911723.8000000007</v>
      </c>
      <c r="S386" s="58">
        <f t="shared" si="39"/>
        <v>55880.100000000093</v>
      </c>
      <c r="T386" s="58"/>
      <c r="U386" s="58"/>
      <c r="V386" s="59">
        <f t="shared" si="40"/>
        <v>396760.39000000013</v>
      </c>
      <c r="W386" s="60">
        <f t="shared" si="41"/>
        <v>1.4084092416584246E-2</v>
      </c>
    </row>
    <row r="387" spans="1:23" ht="29" customHeight="1" x14ac:dyDescent="0.35">
      <c r="A387" s="61"/>
      <c r="B387" s="55">
        <v>383</v>
      </c>
      <c r="C387" s="70" t="s">
        <v>822</v>
      </c>
      <c r="D387" s="12">
        <v>136461</v>
      </c>
      <c r="E387" s="128"/>
      <c r="F387" s="12">
        <v>139660</v>
      </c>
      <c r="G387" s="71">
        <v>46251</v>
      </c>
      <c r="H387" s="71" t="s">
        <v>263</v>
      </c>
      <c r="I387" s="11">
        <f t="shared" si="36"/>
        <v>4</v>
      </c>
      <c r="J387" s="71">
        <v>46258</v>
      </c>
      <c r="K387" s="11">
        <f t="shared" si="37"/>
        <v>3</v>
      </c>
      <c r="L387" s="71" t="s">
        <v>257</v>
      </c>
      <c r="M387" s="11">
        <f t="shared" si="38"/>
        <v>1</v>
      </c>
      <c r="N387" s="12" t="s">
        <v>531</v>
      </c>
      <c r="O387" s="12" t="s">
        <v>629</v>
      </c>
      <c r="P387" s="57" t="s">
        <v>53</v>
      </c>
      <c r="Q387" s="224">
        <v>1216.304347826087</v>
      </c>
      <c r="R387" s="224">
        <v>1216.304347826087</v>
      </c>
      <c r="S387" s="58">
        <f t="shared" si="39"/>
        <v>0</v>
      </c>
      <c r="T387" s="58"/>
      <c r="U387" s="58"/>
      <c r="V387" s="59">
        <f t="shared" si="40"/>
        <v>121.6304347826087</v>
      </c>
      <c r="W387" s="60">
        <f t="shared" si="41"/>
        <v>0</v>
      </c>
    </row>
    <row r="388" spans="1:23" ht="29" customHeight="1" x14ac:dyDescent="0.35">
      <c r="A388" s="61"/>
      <c r="B388" s="55">
        <v>384</v>
      </c>
      <c r="C388" s="70" t="s">
        <v>822</v>
      </c>
      <c r="D388" s="12">
        <v>136326</v>
      </c>
      <c r="E388" s="128"/>
      <c r="F388" s="12">
        <v>139647</v>
      </c>
      <c r="G388" s="71">
        <v>46251</v>
      </c>
      <c r="H388" s="71" t="s">
        <v>248</v>
      </c>
      <c r="I388" s="11">
        <f t="shared" si="36"/>
        <v>1</v>
      </c>
      <c r="J388" s="71">
        <v>46251</v>
      </c>
      <c r="K388" s="11">
        <f t="shared" si="37"/>
        <v>1</v>
      </c>
      <c r="L388" s="71" t="s">
        <v>248</v>
      </c>
      <c r="M388" s="11">
        <f t="shared" si="38"/>
        <v>1</v>
      </c>
      <c r="N388" s="12" t="s">
        <v>532</v>
      </c>
      <c r="O388" s="12" t="s">
        <v>777</v>
      </c>
      <c r="P388" s="57" t="s">
        <v>53</v>
      </c>
      <c r="Q388" s="224">
        <v>68.913043478260875</v>
      </c>
      <c r="R388" s="224">
        <v>68.913043478260875</v>
      </c>
      <c r="S388" s="58">
        <f t="shared" si="39"/>
        <v>0</v>
      </c>
      <c r="T388" s="58"/>
      <c r="U388" s="58"/>
      <c r="V388" s="59">
        <f t="shared" si="40"/>
        <v>6.8913043478260878</v>
      </c>
      <c r="W388" s="60">
        <f t="shared" si="41"/>
        <v>0</v>
      </c>
    </row>
    <row r="389" spans="1:23" ht="29" customHeight="1" x14ac:dyDescent="0.35">
      <c r="A389" s="61"/>
      <c r="B389" s="55">
        <v>385</v>
      </c>
      <c r="C389" s="70" t="s">
        <v>822</v>
      </c>
      <c r="D389" s="12">
        <v>136332</v>
      </c>
      <c r="E389" s="128"/>
      <c r="F389" s="12">
        <v>139650</v>
      </c>
      <c r="G389" s="71">
        <v>46251</v>
      </c>
      <c r="H389" s="71" t="s">
        <v>248</v>
      </c>
      <c r="I389" s="11">
        <f t="shared" si="36"/>
        <v>1</v>
      </c>
      <c r="J389" s="71">
        <v>46251</v>
      </c>
      <c r="K389" s="11">
        <f t="shared" si="37"/>
        <v>1</v>
      </c>
      <c r="L389" s="71" t="s">
        <v>248</v>
      </c>
      <c r="M389" s="11">
        <f t="shared" si="38"/>
        <v>1</v>
      </c>
      <c r="N389" s="12">
        <v>0</v>
      </c>
      <c r="O389" s="12" t="s">
        <v>778</v>
      </c>
      <c r="P389" s="57" t="s">
        <v>53</v>
      </c>
      <c r="Q389" s="224">
        <v>228.04347826086956</v>
      </c>
      <c r="R389" s="224">
        <v>228.04347826086956</v>
      </c>
      <c r="S389" s="58">
        <f t="shared" si="39"/>
        <v>0</v>
      </c>
      <c r="T389" s="58"/>
      <c r="U389" s="58"/>
      <c r="V389" s="59">
        <f t="shared" si="40"/>
        <v>22.804347826086957</v>
      </c>
      <c r="W389" s="60">
        <f t="shared" si="41"/>
        <v>0</v>
      </c>
    </row>
    <row r="390" spans="1:23" ht="29" customHeight="1" x14ac:dyDescent="0.35">
      <c r="A390" s="61"/>
      <c r="B390" s="55">
        <v>386</v>
      </c>
      <c r="C390" s="70" t="s">
        <v>822</v>
      </c>
      <c r="D390" s="12">
        <v>136392</v>
      </c>
      <c r="E390" s="128"/>
      <c r="F390" s="12">
        <v>139651</v>
      </c>
      <c r="G390" s="71">
        <v>46251</v>
      </c>
      <c r="H390" s="71" t="s">
        <v>253</v>
      </c>
      <c r="I390" s="11">
        <f t="shared" si="36"/>
        <v>2</v>
      </c>
      <c r="J390" s="71">
        <v>46253</v>
      </c>
      <c r="K390" s="11">
        <f t="shared" si="37"/>
        <v>2</v>
      </c>
      <c r="L390" s="71" t="s">
        <v>261</v>
      </c>
      <c r="M390" s="11">
        <f t="shared" si="38"/>
        <v>1</v>
      </c>
      <c r="N390" s="12" t="s">
        <v>530</v>
      </c>
      <c r="O390" s="12" t="s">
        <v>760</v>
      </c>
      <c r="P390" s="57" t="s">
        <v>53</v>
      </c>
      <c r="Q390" s="224">
        <v>290400</v>
      </c>
      <c r="R390" s="224">
        <v>290400</v>
      </c>
      <c r="S390" s="58">
        <f t="shared" si="39"/>
        <v>0</v>
      </c>
      <c r="T390" s="58"/>
      <c r="U390" s="58"/>
      <c r="V390" s="59">
        <f t="shared" si="40"/>
        <v>29040</v>
      </c>
      <c r="W390" s="60">
        <f t="shared" si="41"/>
        <v>0</v>
      </c>
    </row>
    <row r="391" spans="1:23" ht="29" customHeight="1" x14ac:dyDescent="0.35">
      <c r="A391" s="61"/>
      <c r="B391" s="55">
        <v>387</v>
      </c>
      <c r="C391" s="70" t="s">
        <v>822</v>
      </c>
      <c r="D391" s="12">
        <v>136403</v>
      </c>
      <c r="E391" s="128"/>
      <c r="F391" s="12">
        <v>139656</v>
      </c>
      <c r="G391" s="71">
        <v>46251</v>
      </c>
      <c r="H391" s="71" t="s">
        <v>261</v>
      </c>
      <c r="I391" s="11">
        <f t="shared" si="36"/>
        <v>3</v>
      </c>
      <c r="J391" s="71">
        <v>46253</v>
      </c>
      <c r="K391" s="11">
        <f t="shared" si="37"/>
        <v>1</v>
      </c>
      <c r="L391" s="71" t="s">
        <v>261</v>
      </c>
      <c r="M391" s="11">
        <f t="shared" si="38"/>
        <v>1</v>
      </c>
      <c r="N391" s="12" t="s">
        <v>533</v>
      </c>
      <c r="O391" s="12" t="s">
        <v>779</v>
      </c>
      <c r="P391" s="57" t="s">
        <v>53</v>
      </c>
      <c r="Q391" s="224">
        <v>28.260869565217391</v>
      </c>
      <c r="R391" s="224">
        <v>28.260869565217391</v>
      </c>
      <c r="S391" s="58">
        <f t="shared" si="39"/>
        <v>0</v>
      </c>
      <c r="T391" s="58"/>
      <c r="U391" s="58"/>
      <c r="V391" s="59">
        <f t="shared" si="40"/>
        <v>2.8260869565217392</v>
      </c>
      <c r="W391" s="60">
        <f t="shared" si="41"/>
        <v>0</v>
      </c>
    </row>
    <row r="392" spans="1:23" ht="29" customHeight="1" x14ac:dyDescent="0.35">
      <c r="A392" s="61"/>
      <c r="B392" s="55">
        <v>388</v>
      </c>
      <c r="C392" s="70" t="s">
        <v>822</v>
      </c>
      <c r="D392" s="12">
        <v>136411</v>
      </c>
      <c r="E392" s="128"/>
      <c r="F392" s="12">
        <v>139657</v>
      </c>
      <c r="G392" s="71">
        <v>46251</v>
      </c>
      <c r="H392" s="71" t="s">
        <v>261</v>
      </c>
      <c r="I392" s="11">
        <f t="shared" si="36"/>
        <v>3</v>
      </c>
      <c r="J392" s="71">
        <v>46253</v>
      </c>
      <c r="K392" s="11">
        <f t="shared" si="37"/>
        <v>1</v>
      </c>
      <c r="L392" s="71" t="s">
        <v>261</v>
      </c>
      <c r="M392" s="11">
        <f t="shared" si="38"/>
        <v>1</v>
      </c>
      <c r="N392" s="12" t="s">
        <v>534</v>
      </c>
      <c r="O392" s="12" t="s">
        <v>780</v>
      </c>
      <c r="P392" s="57" t="s">
        <v>53</v>
      </c>
      <c r="Q392" s="224">
        <v>55600</v>
      </c>
      <c r="R392" s="224">
        <v>55600</v>
      </c>
      <c r="S392" s="58">
        <f t="shared" si="39"/>
        <v>0</v>
      </c>
      <c r="T392" s="58"/>
      <c r="U392" s="58"/>
      <c r="V392" s="59">
        <f t="shared" si="40"/>
        <v>5560</v>
      </c>
      <c r="W392" s="60">
        <f t="shared" si="41"/>
        <v>0</v>
      </c>
    </row>
    <row r="393" spans="1:23" ht="29" customHeight="1" x14ac:dyDescent="0.35">
      <c r="A393" s="61"/>
      <c r="B393" s="55">
        <v>389</v>
      </c>
      <c r="C393" s="70" t="s">
        <v>822</v>
      </c>
      <c r="D393" s="12">
        <v>136413</v>
      </c>
      <c r="E393" s="128"/>
      <c r="F393" s="12">
        <v>139662</v>
      </c>
      <c r="G393" s="71">
        <v>46251</v>
      </c>
      <c r="H393" s="71" t="s">
        <v>253</v>
      </c>
      <c r="I393" s="11">
        <f t="shared" si="36"/>
        <v>2</v>
      </c>
      <c r="J393" s="71">
        <v>46254</v>
      </c>
      <c r="K393" s="11">
        <f t="shared" si="37"/>
        <v>3</v>
      </c>
      <c r="L393" s="71" t="s">
        <v>263</v>
      </c>
      <c r="M393" s="11">
        <f t="shared" si="38"/>
        <v>1</v>
      </c>
      <c r="N393" s="12" t="s">
        <v>535</v>
      </c>
      <c r="O393" s="12" t="s">
        <v>632</v>
      </c>
      <c r="P393" s="57" t="s">
        <v>53</v>
      </c>
      <c r="Q393" s="224">
        <v>1628.6232608695652</v>
      </c>
      <c r="R393" s="224">
        <v>1628.6232608695652</v>
      </c>
      <c r="S393" s="58">
        <f t="shared" si="39"/>
        <v>0</v>
      </c>
      <c r="T393" s="58"/>
      <c r="U393" s="58"/>
      <c r="V393" s="59">
        <f t="shared" si="40"/>
        <v>162.86232608695653</v>
      </c>
      <c r="W393" s="60">
        <f t="shared" si="41"/>
        <v>0</v>
      </c>
    </row>
    <row r="394" spans="1:23" ht="29" customHeight="1" x14ac:dyDescent="0.35">
      <c r="A394" s="61"/>
      <c r="B394" s="55">
        <v>390</v>
      </c>
      <c r="C394" s="70" t="s">
        <v>822</v>
      </c>
      <c r="D394" s="12">
        <v>136447</v>
      </c>
      <c r="E394" s="128"/>
      <c r="F394" s="12">
        <v>139654</v>
      </c>
      <c r="G394" s="71">
        <v>46251</v>
      </c>
      <c r="H394" s="71" t="s">
        <v>253</v>
      </c>
      <c r="I394" s="11">
        <f t="shared" si="36"/>
        <v>2</v>
      </c>
      <c r="J394" s="71">
        <v>46254</v>
      </c>
      <c r="K394" s="11">
        <f t="shared" si="37"/>
        <v>3</v>
      </c>
      <c r="L394" s="71" t="s">
        <v>263</v>
      </c>
      <c r="M394" s="11">
        <f t="shared" si="38"/>
        <v>1</v>
      </c>
      <c r="N394" s="12" t="s">
        <v>536</v>
      </c>
      <c r="O394" s="12" t="s">
        <v>781</v>
      </c>
      <c r="P394" s="57" t="s">
        <v>53</v>
      </c>
      <c r="Q394" s="224">
        <v>6521.739130434783</v>
      </c>
      <c r="R394" s="224">
        <v>6521.739130434783</v>
      </c>
      <c r="S394" s="58">
        <f t="shared" si="39"/>
        <v>0</v>
      </c>
      <c r="T394" s="58"/>
      <c r="U394" s="58"/>
      <c r="V394" s="59">
        <f t="shared" si="40"/>
        <v>652.17391304347836</v>
      </c>
      <c r="W394" s="60">
        <f t="shared" si="41"/>
        <v>0</v>
      </c>
    </row>
    <row r="395" spans="1:23" ht="29" customHeight="1" x14ac:dyDescent="0.35">
      <c r="A395" s="61"/>
      <c r="B395" s="55">
        <v>391</v>
      </c>
      <c r="C395" s="70" t="s">
        <v>822</v>
      </c>
      <c r="D395" s="12">
        <v>136448</v>
      </c>
      <c r="E395" s="128"/>
      <c r="F395" s="12">
        <v>139652</v>
      </c>
      <c r="G395" s="71">
        <v>46251</v>
      </c>
      <c r="H395" s="71" t="s">
        <v>253</v>
      </c>
      <c r="I395" s="11">
        <f t="shared" si="36"/>
        <v>2</v>
      </c>
      <c r="J395" s="71">
        <v>46254</v>
      </c>
      <c r="K395" s="11">
        <f t="shared" si="37"/>
        <v>3</v>
      </c>
      <c r="L395" s="71" t="s">
        <v>265</v>
      </c>
      <c r="M395" s="11">
        <f t="shared" si="38"/>
        <v>6</v>
      </c>
      <c r="N395" s="12" t="s">
        <v>537</v>
      </c>
      <c r="O395" s="12" t="s">
        <v>782</v>
      </c>
      <c r="P395" s="57" t="s">
        <v>53</v>
      </c>
      <c r="Q395" s="224">
        <v>978.26086956521738</v>
      </c>
      <c r="R395" s="224">
        <v>978.26086956521738</v>
      </c>
      <c r="S395" s="58">
        <f t="shared" si="39"/>
        <v>0</v>
      </c>
      <c r="T395" s="58"/>
      <c r="U395" s="58"/>
      <c r="V395" s="59">
        <f t="shared" si="40"/>
        <v>97.826086956521749</v>
      </c>
      <c r="W395" s="60">
        <f t="shared" si="41"/>
        <v>0</v>
      </c>
    </row>
    <row r="396" spans="1:23" ht="29" customHeight="1" x14ac:dyDescent="0.35">
      <c r="A396" s="61"/>
      <c r="B396" s="55">
        <v>392</v>
      </c>
      <c r="C396" s="70" t="s">
        <v>822</v>
      </c>
      <c r="D396" s="12">
        <v>136460</v>
      </c>
      <c r="E396" s="128"/>
      <c r="F396" s="12">
        <v>139661</v>
      </c>
      <c r="G396" s="71">
        <v>46251</v>
      </c>
      <c r="H396" s="71" t="s">
        <v>253</v>
      </c>
      <c r="I396" s="11">
        <f t="shared" si="36"/>
        <v>2</v>
      </c>
      <c r="J396" s="71">
        <v>46258</v>
      </c>
      <c r="K396" s="11">
        <f t="shared" si="37"/>
        <v>5</v>
      </c>
      <c r="L396" s="71" t="s">
        <v>257</v>
      </c>
      <c r="M396" s="11">
        <f t="shared" si="38"/>
        <v>1</v>
      </c>
      <c r="N396" s="12" t="s">
        <v>538</v>
      </c>
      <c r="O396" s="12" t="s">
        <v>605</v>
      </c>
      <c r="P396" s="57" t="s">
        <v>53</v>
      </c>
      <c r="Q396" s="224">
        <v>4739.086956521739</v>
      </c>
      <c r="R396" s="224">
        <v>4739.086956521739</v>
      </c>
      <c r="S396" s="58">
        <f t="shared" si="39"/>
        <v>0</v>
      </c>
      <c r="T396" s="58"/>
      <c r="U396" s="58"/>
      <c r="V396" s="59">
        <f t="shared" si="40"/>
        <v>473.90869565217395</v>
      </c>
      <c r="W396" s="60">
        <f t="shared" si="41"/>
        <v>0</v>
      </c>
    </row>
    <row r="397" spans="1:23" ht="29" customHeight="1" x14ac:dyDescent="0.35">
      <c r="A397" s="61"/>
      <c r="B397" s="55">
        <v>393</v>
      </c>
      <c r="C397" s="70" t="s">
        <v>822</v>
      </c>
      <c r="D397" s="12">
        <v>136474</v>
      </c>
      <c r="E397" s="128"/>
      <c r="F397" s="12">
        <v>139658</v>
      </c>
      <c r="G397" s="71">
        <v>46251</v>
      </c>
      <c r="H397" s="71" t="s">
        <v>263</v>
      </c>
      <c r="I397" s="11">
        <f t="shared" si="36"/>
        <v>4</v>
      </c>
      <c r="J397" s="71">
        <v>46258</v>
      </c>
      <c r="K397" s="11">
        <f t="shared" si="37"/>
        <v>3</v>
      </c>
      <c r="L397" s="71" t="s">
        <v>257</v>
      </c>
      <c r="M397" s="11">
        <f t="shared" si="38"/>
        <v>1</v>
      </c>
      <c r="N397" s="12" t="s">
        <v>539</v>
      </c>
      <c r="O397" s="12" t="s">
        <v>616</v>
      </c>
      <c r="P397" s="57" t="s">
        <v>53</v>
      </c>
      <c r="Q397" s="224">
        <v>139.89130434782609</v>
      </c>
      <c r="R397" s="224">
        <v>139.89130434782609</v>
      </c>
      <c r="S397" s="58">
        <f t="shared" si="39"/>
        <v>0</v>
      </c>
      <c r="T397" s="58"/>
      <c r="U397" s="58"/>
      <c r="V397" s="59">
        <f t="shared" si="40"/>
        <v>13.989130434782609</v>
      </c>
      <c r="W397" s="60">
        <f t="shared" si="41"/>
        <v>0</v>
      </c>
    </row>
    <row r="398" spans="1:23" ht="29" customHeight="1" x14ac:dyDescent="0.35">
      <c r="A398" s="61"/>
      <c r="B398" s="55">
        <v>394</v>
      </c>
      <c r="C398" s="70" t="s">
        <v>822</v>
      </c>
      <c r="D398" s="12">
        <v>136482</v>
      </c>
      <c r="E398" s="128"/>
      <c r="F398" s="12">
        <v>139648</v>
      </c>
      <c r="G398" s="71">
        <v>46251</v>
      </c>
      <c r="H398" s="71" t="s">
        <v>260</v>
      </c>
      <c r="I398" s="11">
        <f t="shared" si="36"/>
        <v>7</v>
      </c>
      <c r="J398" s="71">
        <v>46259</v>
      </c>
      <c r="K398" s="11">
        <f t="shared" si="37"/>
        <v>1</v>
      </c>
      <c r="L398" s="71" t="s">
        <v>260</v>
      </c>
      <c r="M398" s="11">
        <f t="shared" si="38"/>
        <v>1</v>
      </c>
      <c r="N398" s="12" t="s">
        <v>540</v>
      </c>
      <c r="O398" s="12" t="s">
        <v>643</v>
      </c>
      <c r="P398" s="57" t="s">
        <v>53</v>
      </c>
      <c r="Q398" s="224">
        <v>624.42899999999997</v>
      </c>
      <c r="R398" s="224">
        <v>624.42899999999997</v>
      </c>
      <c r="S398" s="58">
        <f t="shared" si="39"/>
        <v>0</v>
      </c>
      <c r="T398" s="58"/>
      <c r="U398" s="58"/>
      <c r="V398" s="59">
        <f t="shared" si="40"/>
        <v>62.442900000000002</v>
      </c>
      <c r="W398" s="60">
        <f t="shared" si="41"/>
        <v>0</v>
      </c>
    </row>
    <row r="399" spans="1:23" ht="29" customHeight="1" x14ac:dyDescent="0.35">
      <c r="A399" s="61"/>
      <c r="B399" s="55">
        <v>395</v>
      </c>
      <c r="C399" s="70" t="s">
        <v>822</v>
      </c>
      <c r="D399" s="12">
        <v>136487</v>
      </c>
      <c r="E399" s="128"/>
      <c r="F399" s="12">
        <v>139655</v>
      </c>
      <c r="G399" s="71">
        <v>46251</v>
      </c>
      <c r="H399" s="71" t="s">
        <v>257</v>
      </c>
      <c r="I399" s="11">
        <f t="shared" si="36"/>
        <v>6</v>
      </c>
      <c r="J399" s="71">
        <v>46260</v>
      </c>
      <c r="K399" s="11">
        <f t="shared" si="37"/>
        <v>3</v>
      </c>
      <c r="L399" s="71" t="s">
        <v>264</v>
      </c>
      <c r="M399" s="11">
        <f t="shared" si="38"/>
        <v>1</v>
      </c>
      <c r="N399" s="12">
        <v>0</v>
      </c>
      <c r="O399" s="12" t="s">
        <v>605</v>
      </c>
      <c r="P399" s="57" t="s">
        <v>53</v>
      </c>
      <c r="Q399" s="224">
        <v>1709.7826086956522</v>
      </c>
      <c r="R399" s="224">
        <v>1709.7826086956522</v>
      </c>
      <c r="S399" s="58">
        <f t="shared" si="39"/>
        <v>0</v>
      </c>
      <c r="T399" s="58"/>
      <c r="U399" s="58"/>
      <c r="V399" s="59">
        <f t="shared" si="40"/>
        <v>170.97826086956525</v>
      </c>
      <c r="W399" s="60">
        <f t="shared" si="41"/>
        <v>0</v>
      </c>
    </row>
    <row r="400" spans="1:23" ht="29" customHeight="1" x14ac:dyDescent="0.35">
      <c r="A400" s="61"/>
      <c r="B400" s="55">
        <v>396</v>
      </c>
      <c r="C400" s="70" t="s">
        <v>822</v>
      </c>
      <c r="D400" s="12">
        <v>136410</v>
      </c>
      <c r="E400" s="128"/>
      <c r="F400" s="12">
        <v>139671</v>
      </c>
      <c r="G400" s="71">
        <v>46252</v>
      </c>
      <c r="H400" s="71" t="s">
        <v>261</v>
      </c>
      <c r="I400" s="11">
        <f t="shared" si="36"/>
        <v>2</v>
      </c>
      <c r="J400" s="71">
        <v>46253</v>
      </c>
      <c r="K400" s="11">
        <f t="shared" si="37"/>
        <v>1</v>
      </c>
      <c r="L400" s="71" t="s">
        <v>261</v>
      </c>
      <c r="M400" s="11">
        <f t="shared" si="38"/>
        <v>1</v>
      </c>
      <c r="N400" s="12" t="s">
        <v>541</v>
      </c>
      <c r="O400" s="12" t="s">
        <v>687</v>
      </c>
      <c r="P400" s="57" t="s">
        <v>53</v>
      </c>
      <c r="Q400" s="224">
        <v>944384.00732910004</v>
      </c>
      <c r="R400" s="224">
        <v>609793.81994700001</v>
      </c>
      <c r="S400" s="58">
        <f t="shared" si="39"/>
        <v>334590.18738210003</v>
      </c>
      <c r="T400" s="58"/>
      <c r="U400" s="58"/>
      <c r="V400" s="59">
        <f t="shared" si="40"/>
        <v>94438.400732910013</v>
      </c>
      <c r="W400" s="60">
        <f t="shared" si="41"/>
        <v>0.35429463521770721</v>
      </c>
    </row>
    <row r="401" spans="1:23" ht="29" customHeight="1" x14ac:dyDescent="0.35">
      <c r="A401" s="61"/>
      <c r="B401" s="55">
        <v>397</v>
      </c>
      <c r="C401" s="70" t="s">
        <v>822</v>
      </c>
      <c r="D401" s="12">
        <v>136374</v>
      </c>
      <c r="E401" s="128"/>
      <c r="F401" s="12">
        <v>139664</v>
      </c>
      <c r="G401" s="71">
        <v>46252</v>
      </c>
      <c r="H401" s="71" t="s">
        <v>253</v>
      </c>
      <c r="I401" s="11">
        <f t="shared" si="36"/>
        <v>1</v>
      </c>
      <c r="J401" s="71">
        <v>46252</v>
      </c>
      <c r="K401" s="11">
        <f t="shared" si="37"/>
        <v>1</v>
      </c>
      <c r="L401" s="71" t="s">
        <v>253</v>
      </c>
      <c r="M401" s="11">
        <f t="shared" si="38"/>
        <v>1</v>
      </c>
      <c r="N401" s="12">
        <v>0</v>
      </c>
      <c r="O401" s="12" t="s">
        <v>783</v>
      </c>
      <c r="P401" s="57" t="s">
        <v>53</v>
      </c>
      <c r="Q401" s="224">
        <v>4468.521739130435</v>
      </c>
      <c r="R401" s="224">
        <v>4468.521739130435</v>
      </c>
      <c r="S401" s="58">
        <f t="shared" si="39"/>
        <v>0</v>
      </c>
      <c r="T401" s="58"/>
      <c r="U401" s="58"/>
      <c r="V401" s="59">
        <f t="shared" si="40"/>
        <v>446.85217391304354</v>
      </c>
      <c r="W401" s="60">
        <f t="shared" si="41"/>
        <v>0</v>
      </c>
    </row>
    <row r="402" spans="1:23" ht="29" customHeight="1" x14ac:dyDescent="0.35">
      <c r="A402" s="61"/>
      <c r="B402" s="55">
        <v>398</v>
      </c>
      <c r="C402" s="70" t="s">
        <v>822</v>
      </c>
      <c r="D402" s="12">
        <v>136376</v>
      </c>
      <c r="E402" s="128"/>
      <c r="F402" s="12">
        <v>139663</v>
      </c>
      <c r="G402" s="71">
        <v>46252</v>
      </c>
      <c r="H402" s="71" t="s">
        <v>253</v>
      </c>
      <c r="I402" s="11">
        <f t="shared" si="36"/>
        <v>1</v>
      </c>
      <c r="J402" s="71">
        <v>46252</v>
      </c>
      <c r="K402" s="11">
        <f t="shared" si="37"/>
        <v>1</v>
      </c>
      <c r="L402" s="71" t="s">
        <v>253</v>
      </c>
      <c r="M402" s="11">
        <f t="shared" si="38"/>
        <v>1</v>
      </c>
      <c r="N402" s="12" t="s">
        <v>542</v>
      </c>
      <c r="O402" s="12" t="s">
        <v>784</v>
      </c>
      <c r="P402" s="57" t="s">
        <v>53</v>
      </c>
      <c r="Q402" s="224">
        <v>52173.913043478264</v>
      </c>
      <c r="R402" s="224">
        <v>52173.913043478264</v>
      </c>
      <c r="S402" s="58">
        <f t="shared" si="39"/>
        <v>0</v>
      </c>
      <c r="T402" s="58"/>
      <c r="U402" s="58"/>
      <c r="V402" s="59">
        <f t="shared" si="40"/>
        <v>5217.3913043478269</v>
      </c>
      <c r="W402" s="60">
        <f t="shared" si="41"/>
        <v>0</v>
      </c>
    </row>
    <row r="403" spans="1:23" ht="29" customHeight="1" x14ac:dyDescent="0.35">
      <c r="A403" s="61"/>
      <c r="B403" s="55">
        <v>399</v>
      </c>
      <c r="C403" s="70" t="s">
        <v>822</v>
      </c>
      <c r="D403" s="12">
        <v>136388</v>
      </c>
      <c r="E403" s="128"/>
      <c r="F403" s="12">
        <v>139672</v>
      </c>
      <c r="G403" s="71">
        <v>46252</v>
      </c>
      <c r="H403" s="71" t="s">
        <v>261</v>
      </c>
      <c r="I403" s="11">
        <f t="shared" si="36"/>
        <v>2</v>
      </c>
      <c r="J403" s="71">
        <v>46253</v>
      </c>
      <c r="K403" s="11">
        <f t="shared" si="37"/>
        <v>1</v>
      </c>
      <c r="L403" s="71" t="s">
        <v>261</v>
      </c>
      <c r="M403" s="11">
        <f t="shared" si="38"/>
        <v>1</v>
      </c>
      <c r="N403" s="12" t="s">
        <v>543</v>
      </c>
      <c r="O403" s="12" t="s">
        <v>672</v>
      </c>
      <c r="P403" s="57" t="s">
        <v>53</v>
      </c>
      <c r="Q403" s="224">
        <v>4.68</v>
      </c>
      <c r="R403" s="224">
        <v>4.68</v>
      </c>
      <c r="S403" s="58">
        <f t="shared" si="39"/>
        <v>0</v>
      </c>
      <c r="T403" s="58"/>
      <c r="U403" s="58"/>
      <c r="V403" s="59">
        <f t="shared" si="40"/>
        <v>0.46799999999999997</v>
      </c>
      <c r="W403" s="60">
        <f t="shared" si="41"/>
        <v>0</v>
      </c>
    </row>
    <row r="404" spans="1:23" ht="29" customHeight="1" x14ac:dyDescent="0.35">
      <c r="A404" s="61"/>
      <c r="B404" s="55">
        <v>400</v>
      </c>
      <c r="C404" s="70" t="s">
        <v>822</v>
      </c>
      <c r="D404" s="12">
        <v>136405</v>
      </c>
      <c r="E404" s="128"/>
      <c r="F404" s="12">
        <v>139668</v>
      </c>
      <c r="G404" s="71">
        <v>46252</v>
      </c>
      <c r="H404" s="71" t="s">
        <v>261</v>
      </c>
      <c r="I404" s="11">
        <f t="shared" si="36"/>
        <v>2</v>
      </c>
      <c r="J404" s="71">
        <v>46253</v>
      </c>
      <c r="K404" s="11">
        <f t="shared" si="37"/>
        <v>1</v>
      </c>
      <c r="L404" s="71" t="s">
        <v>261</v>
      </c>
      <c r="M404" s="11">
        <f t="shared" si="38"/>
        <v>1</v>
      </c>
      <c r="N404" s="12" t="s">
        <v>544</v>
      </c>
      <c r="O404" s="12" t="s">
        <v>643</v>
      </c>
      <c r="P404" s="57" t="s">
        <v>53</v>
      </c>
      <c r="Q404" s="224">
        <v>2034</v>
      </c>
      <c r="R404" s="224">
        <v>2034</v>
      </c>
      <c r="S404" s="58">
        <f t="shared" si="39"/>
        <v>0</v>
      </c>
      <c r="T404" s="58"/>
      <c r="U404" s="58"/>
      <c r="V404" s="59">
        <f t="shared" si="40"/>
        <v>203.4</v>
      </c>
      <c r="W404" s="60">
        <f t="shared" si="41"/>
        <v>0</v>
      </c>
    </row>
    <row r="405" spans="1:23" ht="29" customHeight="1" x14ac:dyDescent="0.35">
      <c r="A405" s="61"/>
      <c r="B405" s="55">
        <v>401</v>
      </c>
      <c r="C405" s="70" t="s">
        <v>822</v>
      </c>
      <c r="D405" s="12">
        <v>136458</v>
      </c>
      <c r="E405" s="128"/>
      <c r="F405" s="12">
        <v>139675</v>
      </c>
      <c r="G405" s="71">
        <v>46252</v>
      </c>
      <c r="H405" s="71" t="s">
        <v>263</v>
      </c>
      <c r="I405" s="11">
        <f t="shared" si="36"/>
        <v>3</v>
      </c>
      <c r="J405" s="71">
        <v>46258</v>
      </c>
      <c r="K405" s="11">
        <f t="shared" si="37"/>
        <v>3</v>
      </c>
      <c r="L405" s="71" t="s">
        <v>257</v>
      </c>
      <c r="M405" s="11">
        <f t="shared" si="38"/>
        <v>1</v>
      </c>
      <c r="N405" s="12" t="s">
        <v>545</v>
      </c>
      <c r="O405" s="12" t="s">
        <v>785</v>
      </c>
      <c r="P405" s="57" t="s">
        <v>53</v>
      </c>
      <c r="Q405" s="224">
        <v>434.78260869565219</v>
      </c>
      <c r="R405" s="224">
        <v>434.78260869565219</v>
      </c>
      <c r="S405" s="58">
        <f t="shared" si="39"/>
        <v>0</v>
      </c>
      <c r="T405" s="58"/>
      <c r="U405" s="58"/>
      <c r="V405" s="59">
        <f t="shared" si="40"/>
        <v>43.478260869565219</v>
      </c>
      <c r="W405" s="60">
        <f t="shared" si="41"/>
        <v>0</v>
      </c>
    </row>
    <row r="406" spans="1:23" ht="29" customHeight="1" x14ac:dyDescent="0.35">
      <c r="A406" s="61"/>
      <c r="B406" s="55">
        <v>402</v>
      </c>
      <c r="C406" s="70" t="s">
        <v>822</v>
      </c>
      <c r="D406" s="12">
        <v>136459</v>
      </c>
      <c r="E406" s="128"/>
      <c r="F406" s="12">
        <v>139670</v>
      </c>
      <c r="G406" s="71">
        <v>46252</v>
      </c>
      <c r="H406" s="71" t="s">
        <v>253</v>
      </c>
      <c r="I406" s="11">
        <f t="shared" si="36"/>
        <v>1</v>
      </c>
      <c r="J406" s="71">
        <v>46258</v>
      </c>
      <c r="K406" s="11">
        <f t="shared" si="37"/>
        <v>5</v>
      </c>
      <c r="L406" s="71" t="s">
        <v>257</v>
      </c>
      <c r="M406" s="11">
        <f t="shared" si="38"/>
        <v>1</v>
      </c>
      <c r="N406" s="12" t="s">
        <v>546</v>
      </c>
      <c r="O406" s="12" t="s">
        <v>645</v>
      </c>
      <c r="P406" s="57" t="s">
        <v>53</v>
      </c>
      <c r="Q406" s="224">
        <v>282.60869565217394</v>
      </c>
      <c r="R406" s="224">
        <v>282.60869565217394</v>
      </c>
      <c r="S406" s="58">
        <f t="shared" si="39"/>
        <v>0</v>
      </c>
      <c r="T406" s="58"/>
      <c r="U406" s="58"/>
      <c r="V406" s="59">
        <f t="shared" si="40"/>
        <v>28.260869565217394</v>
      </c>
      <c r="W406" s="60">
        <f t="shared" si="41"/>
        <v>0</v>
      </c>
    </row>
    <row r="407" spans="1:23" ht="29" customHeight="1" x14ac:dyDescent="0.35">
      <c r="A407" s="61"/>
      <c r="B407" s="55">
        <v>403</v>
      </c>
      <c r="C407" s="70" t="s">
        <v>822</v>
      </c>
      <c r="D407" s="12">
        <v>136493</v>
      </c>
      <c r="E407" s="128"/>
      <c r="F407" s="12">
        <v>139665</v>
      </c>
      <c r="G407" s="71">
        <v>46252</v>
      </c>
      <c r="H407" s="71" t="s">
        <v>257</v>
      </c>
      <c r="I407" s="11">
        <f t="shared" si="36"/>
        <v>5</v>
      </c>
      <c r="J407" s="71">
        <v>46260</v>
      </c>
      <c r="K407" s="11">
        <f t="shared" si="37"/>
        <v>3</v>
      </c>
      <c r="L407" s="71" t="s">
        <v>264</v>
      </c>
      <c r="M407" s="11">
        <f t="shared" si="38"/>
        <v>1</v>
      </c>
      <c r="N407" s="12">
        <v>0</v>
      </c>
      <c r="O407" s="12" t="s">
        <v>612</v>
      </c>
      <c r="P407" s="57" t="s">
        <v>53</v>
      </c>
      <c r="Q407" s="224">
        <v>7159.4547000000002</v>
      </c>
      <c r="R407" s="224">
        <v>7159.4547000000002</v>
      </c>
      <c r="S407" s="58">
        <f t="shared" si="39"/>
        <v>0</v>
      </c>
      <c r="T407" s="58"/>
      <c r="U407" s="58"/>
      <c r="V407" s="59">
        <f t="shared" si="40"/>
        <v>715.94547000000011</v>
      </c>
      <c r="W407" s="60">
        <f t="shared" si="41"/>
        <v>0</v>
      </c>
    </row>
    <row r="408" spans="1:23" ht="29" customHeight="1" x14ac:dyDescent="0.35">
      <c r="A408" s="61"/>
      <c r="B408" s="55">
        <v>404</v>
      </c>
      <c r="C408" s="70" t="s">
        <v>822</v>
      </c>
      <c r="D408" s="12">
        <v>136494</v>
      </c>
      <c r="E408" s="128"/>
      <c r="F408" s="12">
        <v>139667</v>
      </c>
      <c r="G408" s="71">
        <v>46252</v>
      </c>
      <c r="H408" s="71" t="s">
        <v>257</v>
      </c>
      <c r="I408" s="11">
        <f t="shared" si="36"/>
        <v>5</v>
      </c>
      <c r="J408" s="71">
        <v>46260</v>
      </c>
      <c r="K408" s="11">
        <f t="shared" si="37"/>
        <v>3</v>
      </c>
      <c r="L408" s="71" t="s">
        <v>264</v>
      </c>
      <c r="M408" s="11">
        <f t="shared" si="38"/>
        <v>1</v>
      </c>
      <c r="N408" s="12">
        <v>0</v>
      </c>
      <c r="O408" s="12" t="s">
        <v>605</v>
      </c>
      <c r="P408" s="57" t="s">
        <v>53</v>
      </c>
      <c r="Q408" s="224">
        <v>4143.6757246369571</v>
      </c>
      <c r="R408" s="224">
        <v>4143.6757246369571</v>
      </c>
      <c r="S408" s="58">
        <f t="shared" si="39"/>
        <v>0</v>
      </c>
      <c r="T408" s="58"/>
      <c r="U408" s="58"/>
      <c r="V408" s="59">
        <f t="shared" si="40"/>
        <v>414.36757246369575</v>
      </c>
      <c r="W408" s="60">
        <f t="shared" si="41"/>
        <v>0</v>
      </c>
    </row>
    <row r="409" spans="1:23" ht="29" customHeight="1" x14ac:dyDescent="0.35">
      <c r="A409" s="61"/>
      <c r="B409" s="55">
        <v>405</v>
      </c>
      <c r="C409" s="70" t="s">
        <v>822</v>
      </c>
      <c r="D409" s="12">
        <v>136495</v>
      </c>
      <c r="E409" s="128"/>
      <c r="F409" s="12">
        <v>139666</v>
      </c>
      <c r="G409" s="71">
        <v>46252</v>
      </c>
      <c r="H409" s="71" t="s">
        <v>257</v>
      </c>
      <c r="I409" s="11">
        <f t="shared" si="36"/>
        <v>5</v>
      </c>
      <c r="J409" s="71">
        <v>46260</v>
      </c>
      <c r="K409" s="11">
        <f t="shared" si="37"/>
        <v>3</v>
      </c>
      <c r="L409" s="71" t="s">
        <v>264</v>
      </c>
      <c r="M409" s="11">
        <f t="shared" si="38"/>
        <v>1</v>
      </c>
      <c r="N409" s="12">
        <v>0</v>
      </c>
      <c r="O409" s="12" t="s">
        <v>605</v>
      </c>
      <c r="P409" s="57" t="s">
        <v>53</v>
      </c>
      <c r="Q409" s="224">
        <v>29942.849637680436</v>
      </c>
      <c r="R409" s="224">
        <v>29942.849637680436</v>
      </c>
      <c r="S409" s="58">
        <f t="shared" si="39"/>
        <v>0</v>
      </c>
      <c r="T409" s="58"/>
      <c r="U409" s="58"/>
      <c r="V409" s="59">
        <f t="shared" si="40"/>
        <v>2994.2849637680438</v>
      </c>
      <c r="W409" s="60">
        <f t="shared" si="41"/>
        <v>0</v>
      </c>
    </row>
    <row r="410" spans="1:23" ht="29" customHeight="1" x14ac:dyDescent="0.35">
      <c r="A410" s="61"/>
      <c r="B410" s="55">
        <v>406</v>
      </c>
      <c r="C410" s="70" t="s">
        <v>822</v>
      </c>
      <c r="D410" s="12">
        <v>136496</v>
      </c>
      <c r="E410" s="128"/>
      <c r="F410" s="12">
        <v>139674</v>
      </c>
      <c r="G410" s="71">
        <v>46252</v>
      </c>
      <c r="H410" s="71" t="s">
        <v>257</v>
      </c>
      <c r="I410" s="11">
        <f t="shared" si="36"/>
        <v>5</v>
      </c>
      <c r="J410" s="71">
        <v>46260</v>
      </c>
      <c r="K410" s="11">
        <f t="shared" si="37"/>
        <v>3</v>
      </c>
      <c r="L410" s="71" t="s">
        <v>264</v>
      </c>
      <c r="M410" s="11">
        <f t="shared" si="38"/>
        <v>1</v>
      </c>
      <c r="N410" s="12">
        <v>0</v>
      </c>
      <c r="O410" s="12" t="s">
        <v>672</v>
      </c>
      <c r="P410" s="57" t="s">
        <v>53</v>
      </c>
      <c r="Q410" s="224">
        <v>4.68</v>
      </c>
      <c r="R410" s="224">
        <v>4.68</v>
      </c>
      <c r="S410" s="58">
        <f t="shared" si="39"/>
        <v>0</v>
      </c>
      <c r="T410" s="58"/>
      <c r="U410" s="58"/>
      <c r="V410" s="59">
        <f t="shared" si="40"/>
        <v>0.46799999999999997</v>
      </c>
      <c r="W410" s="60">
        <f t="shared" si="41"/>
        <v>0</v>
      </c>
    </row>
    <row r="411" spans="1:23" ht="29" customHeight="1" x14ac:dyDescent="0.35">
      <c r="A411" s="61"/>
      <c r="B411" s="55">
        <v>407</v>
      </c>
      <c r="C411" s="70" t="s">
        <v>822</v>
      </c>
      <c r="D411" s="12">
        <v>136415</v>
      </c>
      <c r="E411" s="128"/>
      <c r="F411" s="12">
        <v>139683</v>
      </c>
      <c r="G411" s="71">
        <v>46253</v>
      </c>
      <c r="H411" s="71" t="s">
        <v>263</v>
      </c>
      <c r="I411" s="11">
        <f t="shared" si="36"/>
        <v>2</v>
      </c>
      <c r="J411" s="71">
        <v>46254</v>
      </c>
      <c r="K411" s="11">
        <f t="shared" si="37"/>
        <v>1</v>
      </c>
      <c r="L411" s="71" t="s">
        <v>263</v>
      </c>
      <c r="M411" s="11">
        <f t="shared" si="38"/>
        <v>1</v>
      </c>
      <c r="N411" s="12" t="s">
        <v>547</v>
      </c>
      <c r="O411" s="12" t="s">
        <v>786</v>
      </c>
      <c r="P411" s="57" t="s">
        <v>53</v>
      </c>
      <c r="Q411" s="224">
        <v>69.565217391304344</v>
      </c>
      <c r="R411" s="224">
        <v>69.565217391304344</v>
      </c>
      <c r="S411" s="58">
        <f t="shared" si="39"/>
        <v>0</v>
      </c>
      <c r="T411" s="58"/>
      <c r="U411" s="58"/>
      <c r="V411" s="59">
        <f t="shared" si="40"/>
        <v>6.9565217391304346</v>
      </c>
      <c r="W411" s="60">
        <f t="shared" si="41"/>
        <v>0</v>
      </c>
    </row>
    <row r="412" spans="1:23" ht="29" customHeight="1" x14ac:dyDescent="0.35">
      <c r="A412" s="61"/>
      <c r="B412" s="55">
        <v>408</v>
      </c>
      <c r="C412" s="70" t="s">
        <v>822</v>
      </c>
      <c r="D412" s="12">
        <v>136417</v>
      </c>
      <c r="E412" s="128"/>
      <c r="F412" s="12">
        <v>139685</v>
      </c>
      <c r="G412" s="71">
        <v>46253</v>
      </c>
      <c r="H412" s="71" t="s">
        <v>263</v>
      </c>
      <c r="I412" s="11">
        <f t="shared" si="36"/>
        <v>2</v>
      </c>
      <c r="J412" s="71">
        <v>46254</v>
      </c>
      <c r="K412" s="11">
        <f t="shared" si="37"/>
        <v>1</v>
      </c>
      <c r="L412" s="71" t="s">
        <v>263</v>
      </c>
      <c r="M412" s="11">
        <f t="shared" si="38"/>
        <v>1</v>
      </c>
      <c r="N412" s="12" t="s">
        <v>548</v>
      </c>
      <c r="O412" s="12" t="s">
        <v>787</v>
      </c>
      <c r="P412" s="57" t="s">
        <v>53</v>
      </c>
      <c r="Q412" s="224">
        <v>2499.6739130434785</v>
      </c>
      <c r="R412" s="224">
        <v>2499.6739130434785</v>
      </c>
      <c r="S412" s="58">
        <f t="shared" si="39"/>
        <v>0</v>
      </c>
      <c r="T412" s="58"/>
      <c r="U412" s="58"/>
      <c r="V412" s="59">
        <f t="shared" si="40"/>
        <v>249.96739130434787</v>
      </c>
      <c r="W412" s="60">
        <f t="shared" si="41"/>
        <v>0</v>
      </c>
    </row>
    <row r="413" spans="1:23" ht="29" customHeight="1" x14ac:dyDescent="0.35">
      <c r="A413" s="61"/>
      <c r="B413" s="55">
        <v>409</v>
      </c>
      <c r="C413" s="70" t="s">
        <v>822</v>
      </c>
      <c r="D413" s="12">
        <v>136420</v>
      </c>
      <c r="E413" s="128"/>
      <c r="F413" s="12">
        <v>139682</v>
      </c>
      <c r="G413" s="71">
        <v>46253</v>
      </c>
      <c r="H413" s="71" t="s">
        <v>263</v>
      </c>
      <c r="I413" s="11">
        <f t="shared" si="36"/>
        <v>2</v>
      </c>
      <c r="J413" s="71">
        <v>46254</v>
      </c>
      <c r="K413" s="11">
        <f t="shared" si="37"/>
        <v>1</v>
      </c>
      <c r="L413" s="71" t="s">
        <v>263</v>
      </c>
      <c r="M413" s="11">
        <f t="shared" si="38"/>
        <v>1</v>
      </c>
      <c r="N413" s="12" t="s">
        <v>549</v>
      </c>
      <c r="O413" s="12" t="s">
        <v>622</v>
      </c>
      <c r="P413" s="57" t="s">
        <v>53</v>
      </c>
      <c r="Q413" s="224">
        <v>1292.391304347826</v>
      </c>
      <c r="R413" s="224">
        <v>1292.391304347826</v>
      </c>
      <c r="S413" s="58">
        <f t="shared" si="39"/>
        <v>0</v>
      </c>
      <c r="T413" s="58"/>
      <c r="U413" s="58"/>
      <c r="V413" s="59">
        <f t="shared" si="40"/>
        <v>129.2391304347826</v>
      </c>
      <c r="W413" s="60">
        <f t="shared" si="41"/>
        <v>0</v>
      </c>
    </row>
    <row r="414" spans="1:23" ht="29" customHeight="1" x14ac:dyDescent="0.35">
      <c r="A414" s="61"/>
      <c r="B414" s="55">
        <v>410</v>
      </c>
      <c r="C414" s="70" t="s">
        <v>822</v>
      </c>
      <c r="D414" s="12">
        <v>136421</v>
      </c>
      <c r="E414" s="128"/>
      <c r="F414" s="12">
        <v>139698</v>
      </c>
      <c r="G414" s="71">
        <v>46253</v>
      </c>
      <c r="H414" s="71" t="s">
        <v>263</v>
      </c>
      <c r="I414" s="11">
        <f t="shared" si="36"/>
        <v>2</v>
      </c>
      <c r="J414" s="71">
        <v>46254</v>
      </c>
      <c r="K414" s="11">
        <f t="shared" si="37"/>
        <v>1</v>
      </c>
      <c r="L414" s="71" t="s">
        <v>263</v>
      </c>
      <c r="M414" s="11">
        <f t="shared" si="38"/>
        <v>1</v>
      </c>
      <c r="N414" s="12" t="s">
        <v>550</v>
      </c>
      <c r="O414" s="12" t="s">
        <v>605</v>
      </c>
      <c r="P414" s="57" t="s">
        <v>53</v>
      </c>
      <c r="Q414" s="224">
        <v>113.04347826086956</v>
      </c>
      <c r="R414" s="224">
        <v>113.04347826086956</v>
      </c>
      <c r="S414" s="58">
        <f t="shared" si="39"/>
        <v>0</v>
      </c>
      <c r="T414" s="58"/>
      <c r="U414" s="58"/>
      <c r="V414" s="59">
        <f t="shared" si="40"/>
        <v>11.304347826086957</v>
      </c>
      <c r="W414" s="60">
        <f t="shared" si="41"/>
        <v>0</v>
      </c>
    </row>
    <row r="415" spans="1:23" ht="29" customHeight="1" x14ac:dyDescent="0.35">
      <c r="A415" s="61"/>
      <c r="B415" s="55">
        <v>411</v>
      </c>
      <c r="C415" s="70" t="s">
        <v>822</v>
      </c>
      <c r="D415" s="12">
        <v>136425</v>
      </c>
      <c r="E415" s="128"/>
      <c r="F415" s="12">
        <v>139680</v>
      </c>
      <c r="G415" s="71">
        <v>46253</v>
      </c>
      <c r="H415" s="71" t="s">
        <v>263</v>
      </c>
      <c r="I415" s="11">
        <f t="shared" si="36"/>
        <v>2</v>
      </c>
      <c r="J415" s="71">
        <v>46254</v>
      </c>
      <c r="K415" s="11">
        <f t="shared" si="37"/>
        <v>1</v>
      </c>
      <c r="L415" s="71" t="s">
        <v>263</v>
      </c>
      <c r="M415" s="11">
        <f t="shared" si="38"/>
        <v>1</v>
      </c>
      <c r="N415" s="12" t="s">
        <v>551</v>
      </c>
      <c r="O415" s="12" t="s">
        <v>788</v>
      </c>
      <c r="P415" s="57" t="s">
        <v>53</v>
      </c>
      <c r="Q415" s="224">
        <v>2217.391304347826</v>
      </c>
      <c r="R415" s="224">
        <v>2217.391304347826</v>
      </c>
      <c r="S415" s="58">
        <f t="shared" si="39"/>
        <v>0</v>
      </c>
      <c r="T415" s="58"/>
      <c r="U415" s="58"/>
      <c r="V415" s="59">
        <f t="shared" si="40"/>
        <v>221.73913043478262</v>
      </c>
      <c r="W415" s="60">
        <f t="shared" si="41"/>
        <v>0</v>
      </c>
    </row>
    <row r="416" spans="1:23" ht="29" customHeight="1" x14ac:dyDescent="0.35">
      <c r="A416" s="61"/>
      <c r="B416" s="55">
        <v>412</v>
      </c>
      <c r="C416" s="70" t="s">
        <v>822</v>
      </c>
      <c r="D416" s="12">
        <v>136428</v>
      </c>
      <c r="E416" s="128"/>
      <c r="F416" s="12">
        <v>139684</v>
      </c>
      <c r="G416" s="71">
        <v>46253</v>
      </c>
      <c r="H416" s="71" t="s">
        <v>263</v>
      </c>
      <c r="I416" s="11">
        <f t="shared" si="36"/>
        <v>2</v>
      </c>
      <c r="J416" s="71">
        <v>46254</v>
      </c>
      <c r="K416" s="11">
        <f t="shared" si="37"/>
        <v>1</v>
      </c>
      <c r="L416" s="71" t="s">
        <v>263</v>
      </c>
      <c r="M416" s="11">
        <f t="shared" si="38"/>
        <v>1</v>
      </c>
      <c r="N416" s="12">
        <v>0</v>
      </c>
      <c r="O416" s="12" t="s">
        <v>789</v>
      </c>
      <c r="P416" s="57" t="s">
        <v>53</v>
      </c>
      <c r="Q416" s="224">
        <v>1635.3695652173913</v>
      </c>
      <c r="R416" s="224">
        <v>1635.3695652173913</v>
      </c>
      <c r="S416" s="58">
        <f t="shared" si="39"/>
        <v>0</v>
      </c>
      <c r="T416" s="58"/>
      <c r="U416" s="58"/>
      <c r="V416" s="59">
        <f t="shared" si="40"/>
        <v>163.53695652173914</v>
      </c>
      <c r="W416" s="60">
        <f t="shared" si="41"/>
        <v>0</v>
      </c>
    </row>
    <row r="417" spans="1:23" ht="29" customHeight="1" x14ac:dyDescent="0.35">
      <c r="A417" s="61"/>
      <c r="B417" s="55">
        <v>413</v>
      </c>
      <c r="C417" s="70" t="s">
        <v>822</v>
      </c>
      <c r="D417" s="12">
        <v>136450</v>
      </c>
      <c r="E417" s="128"/>
      <c r="F417" s="12">
        <v>139700</v>
      </c>
      <c r="G417" s="71">
        <v>46253</v>
      </c>
      <c r="H417" s="71" t="s">
        <v>262</v>
      </c>
      <c r="I417" s="11">
        <f t="shared" si="36"/>
        <v>3</v>
      </c>
      <c r="J417" s="71">
        <v>46255</v>
      </c>
      <c r="K417" s="11">
        <f t="shared" si="37"/>
        <v>1</v>
      </c>
      <c r="L417" s="71" t="s">
        <v>262</v>
      </c>
      <c r="M417" s="11">
        <f t="shared" si="38"/>
        <v>1</v>
      </c>
      <c r="N417" s="12" t="s">
        <v>552</v>
      </c>
      <c r="O417" s="12" t="s">
        <v>691</v>
      </c>
      <c r="P417" s="57" t="s">
        <v>53</v>
      </c>
      <c r="Q417" s="224">
        <v>1518</v>
      </c>
      <c r="R417" s="224">
        <v>1518</v>
      </c>
      <c r="S417" s="58">
        <f t="shared" si="39"/>
        <v>0</v>
      </c>
      <c r="T417" s="58"/>
      <c r="U417" s="58"/>
      <c r="V417" s="59">
        <f t="shared" si="40"/>
        <v>151.80000000000001</v>
      </c>
      <c r="W417" s="60">
        <f t="shared" si="41"/>
        <v>0</v>
      </c>
    </row>
    <row r="418" spans="1:23" ht="29" customHeight="1" x14ac:dyDescent="0.35">
      <c r="A418" s="61"/>
      <c r="B418" s="55">
        <v>414</v>
      </c>
      <c r="C418" s="70" t="s">
        <v>822</v>
      </c>
      <c r="D418" s="12">
        <v>136452</v>
      </c>
      <c r="E418" s="128"/>
      <c r="F418" s="12">
        <v>139697</v>
      </c>
      <c r="G418" s="71">
        <v>46253</v>
      </c>
      <c r="H418" s="71" t="s">
        <v>262</v>
      </c>
      <c r="I418" s="11">
        <f t="shared" si="36"/>
        <v>3</v>
      </c>
      <c r="J418" s="71">
        <v>46255</v>
      </c>
      <c r="K418" s="11">
        <f t="shared" si="37"/>
        <v>1</v>
      </c>
      <c r="L418" s="71" t="s">
        <v>262</v>
      </c>
      <c r="M418" s="11">
        <f t="shared" si="38"/>
        <v>1</v>
      </c>
      <c r="N418" s="12" t="s">
        <v>553</v>
      </c>
      <c r="O418" s="12" t="s">
        <v>790</v>
      </c>
      <c r="P418" s="57" t="s">
        <v>53</v>
      </c>
      <c r="Q418" s="224">
        <v>367.39130434782606</v>
      </c>
      <c r="R418" s="224">
        <v>367.39130434782606</v>
      </c>
      <c r="S418" s="58">
        <f t="shared" si="39"/>
        <v>0</v>
      </c>
      <c r="T418" s="58"/>
      <c r="U418" s="58"/>
      <c r="V418" s="59">
        <f t="shared" si="40"/>
        <v>36.739130434782609</v>
      </c>
      <c r="W418" s="60">
        <f t="shared" si="41"/>
        <v>0</v>
      </c>
    </row>
    <row r="419" spans="1:23" ht="29" customHeight="1" x14ac:dyDescent="0.35">
      <c r="A419" s="61"/>
      <c r="B419" s="55">
        <v>415</v>
      </c>
      <c r="C419" s="70" t="s">
        <v>822</v>
      </c>
      <c r="D419" s="12">
        <v>136455</v>
      </c>
      <c r="E419" s="128"/>
      <c r="F419" s="12">
        <v>139681</v>
      </c>
      <c r="G419" s="71">
        <v>46253</v>
      </c>
      <c r="H419" s="71" t="s">
        <v>263</v>
      </c>
      <c r="I419" s="11">
        <f t="shared" si="36"/>
        <v>2</v>
      </c>
      <c r="J419" s="71">
        <v>46258</v>
      </c>
      <c r="K419" s="11">
        <f t="shared" si="37"/>
        <v>3</v>
      </c>
      <c r="L419" s="71" t="s">
        <v>257</v>
      </c>
      <c r="M419" s="11">
        <f t="shared" si="38"/>
        <v>1</v>
      </c>
      <c r="N419" s="12" t="s">
        <v>554</v>
      </c>
      <c r="O419" s="12" t="s">
        <v>622</v>
      </c>
      <c r="P419" s="57" t="s">
        <v>53</v>
      </c>
      <c r="Q419" s="224">
        <v>108.69565217391305</v>
      </c>
      <c r="R419" s="224">
        <v>108.69565217391305</v>
      </c>
      <c r="S419" s="58">
        <f t="shared" si="39"/>
        <v>0</v>
      </c>
      <c r="T419" s="58"/>
      <c r="U419" s="58"/>
      <c r="V419" s="59">
        <f t="shared" si="40"/>
        <v>10.869565217391305</v>
      </c>
      <c r="W419" s="60">
        <f t="shared" si="41"/>
        <v>0</v>
      </c>
    </row>
    <row r="420" spans="1:23" ht="29" customHeight="1" x14ac:dyDescent="0.35">
      <c r="A420" s="61"/>
      <c r="B420" s="55">
        <v>416</v>
      </c>
      <c r="C420" s="70" t="s">
        <v>822</v>
      </c>
      <c r="D420" s="12">
        <v>136456</v>
      </c>
      <c r="E420" s="128"/>
      <c r="F420" s="12">
        <v>139679</v>
      </c>
      <c r="G420" s="71">
        <v>46253</v>
      </c>
      <c r="H420" s="71" t="s">
        <v>263</v>
      </c>
      <c r="I420" s="11">
        <f t="shared" si="36"/>
        <v>2</v>
      </c>
      <c r="J420" s="71">
        <v>46258</v>
      </c>
      <c r="K420" s="11">
        <f t="shared" si="37"/>
        <v>3</v>
      </c>
      <c r="L420" s="71" t="s">
        <v>257</v>
      </c>
      <c r="M420" s="11">
        <f t="shared" si="38"/>
        <v>1</v>
      </c>
      <c r="N420" s="12" t="s">
        <v>555</v>
      </c>
      <c r="O420" s="12" t="s">
        <v>791</v>
      </c>
      <c r="P420" s="57" t="s">
        <v>53</v>
      </c>
      <c r="Q420" s="224">
        <v>5434.782608695652</v>
      </c>
      <c r="R420" s="224">
        <v>5434.782608695652</v>
      </c>
      <c r="S420" s="58">
        <f t="shared" si="39"/>
        <v>0</v>
      </c>
      <c r="T420" s="58"/>
      <c r="U420" s="58"/>
      <c r="V420" s="59">
        <f t="shared" si="40"/>
        <v>543.47826086956525</v>
      </c>
      <c r="W420" s="60">
        <f t="shared" si="41"/>
        <v>0</v>
      </c>
    </row>
    <row r="421" spans="1:23" ht="29" customHeight="1" x14ac:dyDescent="0.35">
      <c r="A421" s="61"/>
      <c r="B421" s="55">
        <v>417</v>
      </c>
      <c r="C421" s="70" t="s">
        <v>822</v>
      </c>
      <c r="D421" s="12">
        <v>136457</v>
      </c>
      <c r="E421" s="128"/>
      <c r="F421" s="12">
        <v>139678</v>
      </c>
      <c r="G421" s="71">
        <v>46253</v>
      </c>
      <c r="H421" s="71" t="s">
        <v>263</v>
      </c>
      <c r="I421" s="11">
        <f t="shared" si="36"/>
        <v>2</v>
      </c>
      <c r="J421" s="71">
        <v>46258</v>
      </c>
      <c r="K421" s="11">
        <f t="shared" si="37"/>
        <v>3</v>
      </c>
      <c r="L421" s="71" t="s">
        <v>257</v>
      </c>
      <c r="M421" s="11">
        <f t="shared" si="38"/>
        <v>1</v>
      </c>
      <c r="N421" s="12" t="s">
        <v>556</v>
      </c>
      <c r="O421" s="12" t="s">
        <v>695</v>
      </c>
      <c r="P421" s="57" t="s">
        <v>53</v>
      </c>
      <c r="Q421" s="224">
        <v>91.171739130434787</v>
      </c>
      <c r="R421" s="224">
        <v>91.171739130434787</v>
      </c>
      <c r="S421" s="58">
        <f t="shared" si="39"/>
        <v>0</v>
      </c>
      <c r="T421" s="58"/>
      <c r="U421" s="58"/>
      <c r="V421" s="59">
        <f t="shared" si="40"/>
        <v>9.1171739130434784</v>
      </c>
      <c r="W421" s="60">
        <f t="shared" si="41"/>
        <v>0</v>
      </c>
    </row>
    <row r="422" spans="1:23" ht="29" customHeight="1" x14ac:dyDescent="0.35">
      <c r="A422" s="61"/>
      <c r="B422" s="55">
        <v>418</v>
      </c>
      <c r="C422" s="70" t="s">
        <v>822</v>
      </c>
      <c r="D422" s="12">
        <v>136472</v>
      </c>
      <c r="E422" s="128"/>
      <c r="F422" s="12">
        <v>139693</v>
      </c>
      <c r="G422" s="71">
        <v>46253</v>
      </c>
      <c r="H422" s="71" t="s">
        <v>257</v>
      </c>
      <c r="I422" s="11">
        <f t="shared" si="36"/>
        <v>4</v>
      </c>
      <c r="J422" s="71">
        <v>46258</v>
      </c>
      <c r="K422" s="11">
        <f t="shared" si="37"/>
        <v>1</v>
      </c>
      <c r="L422" s="71" t="s">
        <v>257</v>
      </c>
      <c r="M422" s="11">
        <f t="shared" si="38"/>
        <v>1</v>
      </c>
      <c r="N422" s="12" t="s">
        <v>557</v>
      </c>
      <c r="O422" s="12" t="s">
        <v>705</v>
      </c>
      <c r="P422" s="57" t="s">
        <v>53</v>
      </c>
      <c r="Q422" s="224">
        <v>434.78260869565219</v>
      </c>
      <c r="R422" s="224">
        <v>434.78260869565219</v>
      </c>
      <c r="S422" s="58">
        <f t="shared" si="39"/>
        <v>0</v>
      </c>
      <c r="T422" s="58"/>
      <c r="U422" s="58"/>
      <c r="V422" s="59">
        <f t="shared" si="40"/>
        <v>43.478260869565219</v>
      </c>
      <c r="W422" s="60">
        <f t="shared" si="41"/>
        <v>0</v>
      </c>
    </row>
    <row r="423" spans="1:23" ht="29" customHeight="1" x14ac:dyDescent="0.35">
      <c r="A423" s="61"/>
      <c r="B423" s="55">
        <v>419</v>
      </c>
      <c r="C423" s="70" t="s">
        <v>822</v>
      </c>
      <c r="D423" s="12">
        <v>136473</v>
      </c>
      <c r="E423" s="128"/>
      <c r="F423" s="12">
        <v>139677</v>
      </c>
      <c r="G423" s="71">
        <v>46253</v>
      </c>
      <c r="H423" s="71" t="s">
        <v>263</v>
      </c>
      <c r="I423" s="11">
        <f t="shared" si="36"/>
        <v>2</v>
      </c>
      <c r="J423" s="71">
        <v>46258</v>
      </c>
      <c r="K423" s="11">
        <f t="shared" si="37"/>
        <v>3</v>
      </c>
      <c r="L423" s="71" t="s">
        <v>257</v>
      </c>
      <c r="M423" s="11">
        <f t="shared" si="38"/>
        <v>1</v>
      </c>
      <c r="N423" s="12" t="s">
        <v>558</v>
      </c>
      <c r="O423" s="12" t="s">
        <v>792</v>
      </c>
      <c r="P423" s="57" t="s">
        <v>53</v>
      </c>
      <c r="Q423" s="224">
        <v>139.89130434782609</v>
      </c>
      <c r="R423" s="224">
        <v>139.89130434782609</v>
      </c>
      <c r="S423" s="58">
        <f t="shared" si="39"/>
        <v>0</v>
      </c>
      <c r="T423" s="58"/>
      <c r="U423" s="58"/>
      <c r="V423" s="59">
        <f t="shared" si="40"/>
        <v>13.989130434782609</v>
      </c>
      <c r="W423" s="60">
        <f t="shared" si="41"/>
        <v>0</v>
      </c>
    </row>
    <row r="424" spans="1:23" ht="29" customHeight="1" x14ac:dyDescent="0.35">
      <c r="A424" s="61"/>
      <c r="B424" s="55">
        <v>420</v>
      </c>
      <c r="C424" s="70" t="s">
        <v>822</v>
      </c>
      <c r="D424" s="12">
        <v>136514</v>
      </c>
      <c r="E424" s="128"/>
      <c r="F424" s="12">
        <v>139690</v>
      </c>
      <c r="G424" s="71">
        <v>46253</v>
      </c>
      <c r="H424" s="71" t="s">
        <v>257</v>
      </c>
      <c r="I424" s="11">
        <f t="shared" si="36"/>
        <v>4</v>
      </c>
      <c r="J424" s="71">
        <v>46261</v>
      </c>
      <c r="K424" s="11">
        <f t="shared" si="37"/>
        <v>4</v>
      </c>
      <c r="L424" s="71" t="s">
        <v>265</v>
      </c>
      <c r="M424" s="11">
        <f t="shared" si="38"/>
        <v>1</v>
      </c>
      <c r="N424" s="12" t="s">
        <v>559</v>
      </c>
      <c r="O424" s="12" t="s">
        <v>793</v>
      </c>
      <c r="P424" s="57" t="s">
        <v>53</v>
      </c>
      <c r="Q424" s="224">
        <v>251.17826086956521</v>
      </c>
      <c r="R424" s="224">
        <v>251.17826086956521</v>
      </c>
      <c r="S424" s="58">
        <f t="shared" si="39"/>
        <v>0</v>
      </c>
      <c r="T424" s="58"/>
      <c r="U424" s="58"/>
      <c r="V424" s="59">
        <f t="shared" si="40"/>
        <v>25.117826086956523</v>
      </c>
      <c r="W424" s="60">
        <f t="shared" si="41"/>
        <v>0</v>
      </c>
    </row>
    <row r="425" spans="1:23" ht="29" customHeight="1" x14ac:dyDescent="0.35">
      <c r="A425" s="61"/>
      <c r="B425" s="55">
        <v>421</v>
      </c>
      <c r="C425" s="70" t="s">
        <v>822</v>
      </c>
      <c r="D425" s="12">
        <v>136515</v>
      </c>
      <c r="E425" s="128"/>
      <c r="F425" s="12">
        <v>139689</v>
      </c>
      <c r="G425" s="71">
        <v>46253</v>
      </c>
      <c r="H425" s="71" t="s">
        <v>257</v>
      </c>
      <c r="I425" s="11">
        <f t="shared" si="36"/>
        <v>4</v>
      </c>
      <c r="J425" s="71">
        <v>46261</v>
      </c>
      <c r="K425" s="11">
        <f t="shared" si="37"/>
        <v>4</v>
      </c>
      <c r="L425" s="71" t="s">
        <v>265</v>
      </c>
      <c r="M425" s="11">
        <f t="shared" si="38"/>
        <v>1</v>
      </c>
      <c r="N425" s="12" t="s">
        <v>560</v>
      </c>
      <c r="O425" s="12" t="s">
        <v>794</v>
      </c>
      <c r="P425" s="57" t="s">
        <v>53</v>
      </c>
      <c r="Q425" s="224">
        <v>130.43478260869566</v>
      </c>
      <c r="R425" s="224">
        <v>130.43478260869566</v>
      </c>
      <c r="S425" s="58">
        <f t="shared" si="39"/>
        <v>0</v>
      </c>
      <c r="T425" s="58"/>
      <c r="U425" s="58"/>
      <c r="V425" s="59">
        <f t="shared" si="40"/>
        <v>13.043478260869566</v>
      </c>
      <c r="W425" s="60">
        <f t="shared" si="41"/>
        <v>0</v>
      </c>
    </row>
    <row r="426" spans="1:23" ht="29" customHeight="1" x14ac:dyDescent="0.35">
      <c r="A426" s="61"/>
      <c r="B426" s="55">
        <v>422</v>
      </c>
      <c r="C426" s="70" t="s">
        <v>822</v>
      </c>
      <c r="D426" s="12">
        <v>136516</v>
      </c>
      <c r="E426" s="128"/>
      <c r="F426" s="12">
        <v>139687</v>
      </c>
      <c r="G426" s="71">
        <v>46253</v>
      </c>
      <c r="H426" s="71" t="s">
        <v>257</v>
      </c>
      <c r="I426" s="11">
        <f t="shared" si="36"/>
        <v>4</v>
      </c>
      <c r="J426" s="71">
        <v>46261</v>
      </c>
      <c r="K426" s="11">
        <f t="shared" si="37"/>
        <v>4</v>
      </c>
      <c r="L426" s="71" t="s">
        <v>265</v>
      </c>
      <c r="M426" s="11">
        <f t="shared" si="38"/>
        <v>1</v>
      </c>
      <c r="N426" s="12" t="s">
        <v>561</v>
      </c>
      <c r="O426" s="12" t="s">
        <v>795</v>
      </c>
      <c r="P426" s="57" t="s">
        <v>53</v>
      </c>
      <c r="Q426" s="224">
        <v>173.91304347826087</v>
      </c>
      <c r="R426" s="224">
        <v>173.91304347826087</v>
      </c>
      <c r="S426" s="58">
        <f t="shared" si="39"/>
        <v>0</v>
      </c>
      <c r="T426" s="58"/>
      <c r="U426" s="58"/>
      <c r="V426" s="59">
        <f t="shared" si="40"/>
        <v>17.39130434782609</v>
      </c>
      <c r="W426" s="60">
        <f t="shared" si="41"/>
        <v>0</v>
      </c>
    </row>
    <row r="427" spans="1:23" ht="29" customHeight="1" x14ac:dyDescent="0.35">
      <c r="A427" s="61"/>
      <c r="B427" s="55">
        <v>423</v>
      </c>
      <c r="C427" s="70" t="s">
        <v>822</v>
      </c>
      <c r="D427" s="12">
        <v>136517</v>
      </c>
      <c r="E427" s="128"/>
      <c r="F427" s="12">
        <v>139686</v>
      </c>
      <c r="G427" s="71">
        <v>46253</v>
      </c>
      <c r="H427" s="71" t="s">
        <v>257</v>
      </c>
      <c r="I427" s="11">
        <f t="shared" si="36"/>
        <v>4</v>
      </c>
      <c r="J427" s="71">
        <v>46261</v>
      </c>
      <c r="K427" s="11">
        <f t="shared" si="37"/>
        <v>4</v>
      </c>
      <c r="L427" s="71" t="s">
        <v>265</v>
      </c>
      <c r="M427" s="11">
        <f t="shared" si="38"/>
        <v>1</v>
      </c>
      <c r="N427" s="12" t="s">
        <v>562</v>
      </c>
      <c r="O427" s="12" t="s">
        <v>796</v>
      </c>
      <c r="P427" s="57" t="s">
        <v>53</v>
      </c>
      <c r="Q427" s="224">
        <v>277.17391304347825</v>
      </c>
      <c r="R427" s="224">
        <v>277.17391304347825</v>
      </c>
      <c r="S427" s="58">
        <f t="shared" si="39"/>
        <v>0</v>
      </c>
      <c r="T427" s="58"/>
      <c r="U427" s="58"/>
      <c r="V427" s="59">
        <f t="shared" si="40"/>
        <v>27.717391304347828</v>
      </c>
      <c r="W427" s="60">
        <f t="shared" si="41"/>
        <v>0</v>
      </c>
    </row>
    <row r="428" spans="1:23" ht="29" customHeight="1" x14ac:dyDescent="0.35">
      <c r="A428" s="61"/>
      <c r="B428" s="55">
        <v>424</v>
      </c>
      <c r="C428" s="70" t="s">
        <v>822</v>
      </c>
      <c r="D428" s="12">
        <v>136522</v>
      </c>
      <c r="E428" s="128"/>
      <c r="F428" s="12">
        <v>139676</v>
      </c>
      <c r="G428" s="71">
        <v>46253</v>
      </c>
      <c r="H428" s="71" t="s">
        <v>264</v>
      </c>
      <c r="I428" s="11">
        <f t="shared" si="36"/>
        <v>6</v>
      </c>
      <c r="J428" s="71">
        <v>46261</v>
      </c>
      <c r="K428" s="11">
        <f t="shared" si="37"/>
        <v>2</v>
      </c>
      <c r="L428" s="71" t="s">
        <v>265</v>
      </c>
      <c r="M428" s="11">
        <f t="shared" si="38"/>
        <v>1</v>
      </c>
      <c r="N428" s="12" t="s">
        <v>563</v>
      </c>
      <c r="O428" s="12" t="s">
        <v>762</v>
      </c>
      <c r="P428" s="57" t="s">
        <v>53</v>
      </c>
      <c r="Q428" s="224">
        <v>1120</v>
      </c>
      <c r="R428" s="224">
        <v>1120</v>
      </c>
      <c r="S428" s="58">
        <f t="shared" si="39"/>
        <v>0</v>
      </c>
      <c r="T428" s="58"/>
      <c r="U428" s="58"/>
      <c r="V428" s="59">
        <f t="shared" si="40"/>
        <v>112</v>
      </c>
      <c r="W428" s="60">
        <f t="shared" si="41"/>
        <v>0</v>
      </c>
    </row>
    <row r="429" spans="1:23" ht="29" customHeight="1" x14ac:dyDescent="0.35">
      <c r="A429" s="61"/>
      <c r="B429" s="55">
        <v>425</v>
      </c>
      <c r="C429" s="70" t="s">
        <v>822</v>
      </c>
      <c r="D429" s="12">
        <v>136528</v>
      </c>
      <c r="E429" s="128"/>
      <c r="F429" s="12">
        <v>139691</v>
      </c>
      <c r="G429" s="71">
        <v>46253</v>
      </c>
      <c r="H429" s="71" t="s">
        <v>257</v>
      </c>
      <c r="I429" s="11">
        <f t="shared" si="36"/>
        <v>4</v>
      </c>
      <c r="J429" s="71">
        <v>46261</v>
      </c>
      <c r="K429" s="11">
        <f t="shared" si="37"/>
        <v>4</v>
      </c>
      <c r="L429" s="71" t="s">
        <v>265</v>
      </c>
      <c r="M429" s="11">
        <f t="shared" si="38"/>
        <v>1</v>
      </c>
      <c r="N429" s="12" t="s">
        <v>564</v>
      </c>
      <c r="O429" s="12" t="s">
        <v>797</v>
      </c>
      <c r="P429" s="57" t="s">
        <v>53</v>
      </c>
      <c r="Q429" s="224">
        <v>173.91304347826087</v>
      </c>
      <c r="R429" s="224">
        <v>173.91304347826087</v>
      </c>
      <c r="S429" s="58">
        <f t="shared" si="39"/>
        <v>0</v>
      </c>
      <c r="T429" s="58"/>
      <c r="U429" s="58"/>
      <c r="V429" s="59">
        <f t="shared" si="40"/>
        <v>17.39130434782609</v>
      </c>
      <c r="W429" s="60">
        <f t="shared" si="41"/>
        <v>0</v>
      </c>
    </row>
    <row r="430" spans="1:23" ht="29" customHeight="1" x14ac:dyDescent="0.35">
      <c r="A430" s="61"/>
      <c r="B430" s="55">
        <v>426</v>
      </c>
      <c r="C430" s="70" t="s">
        <v>822</v>
      </c>
      <c r="D430" s="12">
        <v>136529</v>
      </c>
      <c r="E430" s="128"/>
      <c r="F430" s="12">
        <v>139692</v>
      </c>
      <c r="G430" s="71">
        <v>46253</v>
      </c>
      <c r="H430" s="71" t="s">
        <v>257</v>
      </c>
      <c r="I430" s="11">
        <f t="shared" si="36"/>
        <v>4</v>
      </c>
      <c r="J430" s="71">
        <v>46261</v>
      </c>
      <c r="K430" s="11">
        <f t="shared" si="37"/>
        <v>4</v>
      </c>
      <c r="L430" s="71" t="s">
        <v>265</v>
      </c>
      <c r="M430" s="11">
        <f t="shared" si="38"/>
        <v>1</v>
      </c>
      <c r="N430" s="12" t="s">
        <v>565</v>
      </c>
      <c r="O430" s="12" t="s">
        <v>628</v>
      </c>
      <c r="P430" s="57" t="s">
        <v>53</v>
      </c>
      <c r="Q430" s="224">
        <v>79.713043478260872</v>
      </c>
      <c r="R430" s="224">
        <v>79.713043478260872</v>
      </c>
      <c r="S430" s="58">
        <f t="shared" si="39"/>
        <v>0</v>
      </c>
      <c r="T430" s="58"/>
      <c r="U430" s="58"/>
      <c r="V430" s="59">
        <f t="shared" si="40"/>
        <v>7.9713043478260879</v>
      </c>
      <c r="W430" s="60">
        <f t="shared" si="41"/>
        <v>0</v>
      </c>
    </row>
    <row r="431" spans="1:23" ht="29" customHeight="1" x14ac:dyDescent="0.35">
      <c r="A431" s="61"/>
      <c r="B431" s="55">
        <v>427</v>
      </c>
      <c r="C431" s="70" t="s">
        <v>822</v>
      </c>
      <c r="D431" s="12">
        <v>136530</v>
      </c>
      <c r="E431" s="128"/>
      <c r="F431" s="12">
        <v>139694</v>
      </c>
      <c r="G431" s="71">
        <v>46253</v>
      </c>
      <c r="H431" s="71" t="s">
        <v>257</v>
      </c>
      <c r="I431" s="11">
        <f t="shared" si="36"/>
        <v>4</v>
      </c>
      <c r="J431" s="71">
        <v>46261</v>
      </c>
      <c r="K431" s="11">
        <f t="shared" si="37"/>
        <v>4</v>
      </c>
      <c r="L431" s="71" t="s">
        <v>265</v>
      </c>
      <c r="M431" s="11">
        <f t="shared" si="38"/>
        <v>1</v>
      </c>
      <c r="N431" s="12" t="s">
        <v>566</v>
      </c>
      <c r="O431" s="12" t="s">
        <v>633</v>
      </c>
      <c r="P431" s="57" t="s">
        <v>53</v>
      </c>
      <c r="Q431" s="224">
        <v>1004.9855652173912</v>
      </c>
      <c r="R431" s="224">
        <v>1004.9855652173912</v>
      </c>
      <c r="S431" s="58">
        <f t="shared" si="39"/>
        <v>0</v>
      </c>
      <c r="T431" s="58"/>
      <c r="U431" s="58"/>
      <c r="V431" s="59">
        <f t="shared" si="40"/>
        <v>100.49855652173913</v>
      </c>
      <c r="W431" s="60">
        <f t="shared" si="41"/>
        <v>0</v>
      </c>
    </row>
    <row r="432" spans="1:23" ht="29" customHeight="1" x14ac:dyDescent="0.35">
      <c r="A432" s="61"/>
      <c r="B432" s="55">
        <v>428</v>
      </c>
      <c r="C432" s="70" t="s">
        <v>822</v>
      </c>
      <c r="D432" s="12">
        <v>136531</v>
      </c>
      <c r="E432" s="128"/>
      <c r="F432" s="12">
        <v>139695</v>
      </c>
      <c r="G432" s="71">
        <v>46253</v>
      </c>
      <c r="H432" s="71" t="s">
        <v>257</v>
      </c>
      <c r="I432" s="11">
        <f t="shared" si="36"/>
        <v>4</v>
      </c>
      <c r="J432" s="71">
        <v>46261</v>
      </c>
      <c r="K432" s="11">
        <f t="shared" si="37"/>
        <v>4</v>
      </c>
      <c r="L432" s="71" t="s">
        <v>265</v>
      </c>
      <c r="M432" s="11">
        <f t="shared" si="38"/>
        <v>1</v>
      </c>
      <c r="N432" s="12" t="s">
        <v>567</v>
      </c>
      <c r="O432" s="12" t="s">
        <v>798</v>
      </c>
      <c r="P432" s="57" t="s">
        <v>53</v>
      </c>
      <c r="Q432" s="224">
        <v>422.60869565217394</v>
      </c>
      <c r="R432" s="224">
        <v>422.60869565217394</v>
      </c>
      <c r="S432" s="58">
        <f t="shared" si="39"/>
        <v>0</v>
      </c>
      <c r="T432" s="58"/>
      <c r="U432" s="58"/>
      <c r="V432" s="59">
        <f t="shared" si="40"/>
        <v>42.260869565217398</v>
      </c>
      <c r="W432" s="60">
        <f t="shared" si="41"/>
        <v>0</v>
      </c>
    </row>
    <row r="433" spans="1:23" ht="29" customHeight="1" x14ac:dyDescent="0.35">
      <c r="A433" s="61"/>
      <c r="B433" s="55">
        <v>429</v>
      </c>
      <c r="C433" s="70" t="s">
        <v>822</v>
      </c>
      <c r="D433" s="12">
        <v>136532</v>
      </c>
      <c r="E433" s="128"/>
      <c r="F433" s="12">
        <v>139696</v>
      </c>
      <c r="G433" s="71">
        <v>46253</v>
      </c>
      <c r="H433" s="71" t="s">
        <v>257</v>
      </c>
      <c r="I433" s="11">
        <f t="shared" si="36"/>
        <v>4</v>
      </c>
      <c r="J433" s="71">
        <v>46261</v>
      </c>
      <c r="K433" s="11">
        <f t="shared" si="37"/>
        <v>4</v>
      </c>
      <c r="L433" s="71" t="s">
        <v>265</v>
      </c>
      <c r="M433" s="11">
        <f t="shared" si="38"/>
        <v>1</v>
      </c>
      <c r="N433" s="12" t="s">
        <v>568</v>
      </c>
      <c r="O433" s="12" t="s">
        <v>739</v>
      </c>
      <c r="P433" s="57" t="s">
        <v>53</v>
      </c>
      <c r="Q433" s="224">
        <v>1707.8804347826087</v>
      </c>
      <c r="R433" s="224">
        <v>1707.8804347826087</v>
      </c>
      <c r="S433" s="58">
        <f t="shared" si="39"/>
        <v>0</v>
      </c>
      <c r="T433" s="58"/>
      <c r="U433" s="58"/>
      <c r="V433" s="59">
        <f t="shared" si="40"/>
        <v>170.78804347826087</v>
      </c>
      <c r="W433" s="60">
        <f t="shared" si="41"/>
        <v>0</v>
      </c>
    </row>
    <row r="434" spans="1:23" ht="29" customHeight="1" x14ac:dyDescent="0.35">
      <c r="A434" s="61"/>
      <c r="B434" s="55">
        <v>430</v>
      </c>
      <c r="C434" s="70" t="s">
        <v>822</v>
      </c>
      <c r="D434" s="12">
        <v>136537</v>
      </c>
      <c r="E434" s="128"/>
      <c r="F434" s="12">
        <v>139699</v>
      </c>
      <c r="G434" s="71">
        <v>46253</v>
      </c>
      <c r="H434" s="71" t="s">
        <v>257</v>
      </c>
      <c r="I434" s="11">
        <f t="shared" si="36"/>
        <v>4</v>
      </c>
      <c r="J434" s="71">
        <v>46262</v>
      </c>
      <c r="K434" s="11">
        <f t="shared" si="37"/>
        <v>5</v>
      </c>
      <c r="L434" s="71" t="s">
        <v>266</v>
      </c>
      <c r="M434" s="11">
        <f t="shared" si="38"/>
        <v>1</v>
      </c>
      <c r="N434" s="12" t="s">
        <v>569</v>
      </c>
      <c r="O434" s="12" t="s">
        <v>799</v>
      </c>
      <c r="P434" s="57" t="s">
        <v>53</v>
      </c>
      <c r="Q434" s="224">
        <v>883.04347826086962</v>
      </c>
      <c r="R434" s="224">
        <v>883.04347826086962</v>
      </c>
      <c r="S434" s="58">
        <f t="shared" si="39"/>
        <v>0</v>
      </c>
      <c r="T434" s="58"/>
      <c r="U434" s="58"/>
      <c r="V434" s="59">
        <f t="shared" si="40"/>
        <v>88.304347826086968</v>
      </c>
      <c r="W434" s="60">
        <f t="shared" si="41"/>
        <v>0</v>
      </c>
    </row>
    <row r="435" spans="1:23" ht="29" customHeight="1" x14ac:dyDescent="0.35">
      <c r="A435" s="61"/>
      <c r="B435" s="55">
        <v>431</v>
      </c>
      <c r="C435" s="70" t="s">
        <v>822</v>
      </c>
      <c r="D435" s="12">
        <v>136477</v>
      </c>
      <c r="E435" s="128"/>
      <c r="F435" s="12">
        <v>139712</v>
      </c>
      <c r="G435" s="71">
        <v>46254</v>
      </c>
      <c r="H435" s="71" t="s">
        <v>257</v>
      </c>
      <c r="I435" s="11">
        <f t="shared" si="36"/>
        <v>3</v>
      </c>
      <c r="J435" s="71">
        <v>46259</v>
      </c>
      <c r="K435" s="11">
        <f t="shared" si="37"/>
        <v>2</v>
      </c>
      <c r="L435" s="71" t="s">
        <v>260</v>
      </c>
      <c r="M435" s="11">
        <f t="shared" si="38"/>
        <v>1</v>
      </c>
      <c r="N435" s="12" t="s">
        <v>570</v>
      </c>
      <c r="O435" s="12" t="s">
        <v>629</v>
      </c>
      <c r="P435" s="57" t="s">
        <v>53</v>
      </c>
      <c r="Q435" s="224">
        <v>65.217391304347828</v>
      </c>
      <c r="R435" s="224">
        <v>65.217391304347828</v>
      </c>
      <c r="S435" s="58">
        <f t="shared" si="39"/>
        <v>0</v>
      </c>
      <c r="T435" s="58"/>
      <c r="U435" s="58"/>
      <c r="V435" s="59">
        <f t="shared" si="40"/>
        <v>6.5217391304347831</v>
      </c>
      <c r="W435" s="60">
        <f t="shared" si="41"/>
        <v>0</v>
      </c>
    </row>
    <row r="436" spans="1:23" ht="29" customHeight="1" x14ac:dyDescent="0.35">
      <c r="A436" s="61"/>
      <c r="B436" s="55">
        <v>432</v>
      </c>
      <c r="C436" s="70" t="s">
        <v>822</v>
      </c>
      <c r="D436" s="12">
        <v>136418</v>
      </c>
      <c r="E436" s="128"/>
      <c r="F436" s="12">
        <v>139704</v>
      </c>
      <c r="G436" s="71">
        <v>46254</v>
      </c>
      <c r="H436" s="71" t="s">
        <v>263</v>
      </c>
      <c r="I436" s="11">
        <f t="shared" si="36"/>
        <v>1</v>
      </c>
      <c r="J436" s="71">
        <v>46254</v>
      </c>
      <c r="K436" s="11">
        <f t="shared" si="37"/>
        <v>1</v>
      </c>
      <c r="L436" s="71" t="s">
        <v>263</v>
      </c>
      <c r="M436" s="11">
        <f t="shared" si="38"/>
        <v>1</v>
      </c>
      <c r="N436" s="12" t="s">
        <v>571</v>
      </c>
      <c r="O436" s="12" t="s">
        <v>800</v>
      </c>
      <c r="P436" s="57" t="s">
        <v>53</v>
      </c>
      <c r="Q436" s="224">
        <v>3619.5652173913045</v>
      </c>
      <c r="R436" s="224">
        <v>3619.5652173913045</v>
      </c>
      <c r="S436" s="58">
        <f t="shared" si="39"/>
        <v>0</v>
      </c>
      <c r="T436" s="58"/>
      <c r="U436" s="58"/>
      <c r="V436" s="59">
        <f t="shared" si="40"/>
        <v>361.95652173913049</v>
      </c>
      <c r="W436" s="60">
        <f t="shared" si="41"/>
        <v>0</v>
      </c>
    </row>
    <row r="437" spans="1:23" ht="29" customHeight="1" x14ac:dyDescent="0.35">
      <c r="A437" s="61"/>
      <c r="B437" s="55">
        <v>433</v>
      </c>
      <c r="C437" s="70" t="s">
        <v>822</v>
      </c>
      <c r="D437" s="12">
        <v>136419</v>
      </c>
      <c r="E437" s="128"/>
      <c r="F437" s="12">
        <v>139706</v>
      </c>
      <c r="G437" s="71">
        <v>46254</v>
      </c>
      <c r="H437" s="71" t="s">
        <v>263</v>
      </c>
      <c r="I437" s="11">
        <f t="shared" si="36"/>
        <v>1</v>
      </c>
      <c r="J437" s="71">
        <v>46254</v>
      </c>
      <c r="K437" s="11">
        <f t="shared" si="37"/>
        <v>1</v>
      </c>
      <c r="L437" s="71" t="s">
        <v>263</v>
      </c>
      <c r="M437" s="11">
        <f t="shared" si="38"/>
        <v>1</v>
      </c>
      <c r="N437" s="12" t="s">
        <v>572</v>
      </c>
      <c r="O437" s="12" t="s">
        <v>801</v>
      </c>
      <c r="P437" s="57" t="s">
        <v>53</v>
      </c>
      <c r="Q437" s="224">
        <v>3260.8695652173915</v>
      </c>
      <c r="R437" s="224">
        <v>3260.8695652173915</v>
      </c>
      <c r="S437" s="58">
        <f t="shared" si="39"/>
        <v>0</v>
      </c>
      <c r="T437" s="58"/>
      <c r="U437" s="58"/>
      <c r="V437" s="59">
        <f t="shared" si="40"/>
        <v>326.08695652173918</v>
      </c>
      <c r="W437" s="60">
        <f t="shared" si="41"/>
        <v>0</v>
      </c>
    </row>
    <row r="438" spans="1:23" ht="29" customHeight="1" x14ac:dyDescent="0.35">
      <c r="A438" s="61"/>
      <c r="B438" s="55">
        <v>434</v>
      </c>
      <c r="C438" s="70" t="s">
        <v>822</v>
      </c>
      <c r="D438" s="12">
        <v>136449</v>
      </c>
      <c r="E438" s="128"/>
      <c r="F438" s="12">
        <v>139719</v>
      </c>
      <c r="G438" s="71">
        <v>46254</v>
      </c>
      <c r="H438" s="71" t="s">
        <v>262</v>
      </c>
      <c r="I438" s="11">
        <f t="shared" si="36"/>
        <v>2</v>
      </c>
      <c r="J438" s="71">
        <v>46255</v>
      </c>
      <c r="K438" s="11">
        <f t="shared" si="37"/>
        <v>1</v>
      </c>
      <c r="L438" s="71" t="s">
        <v>262</v>
      </c>
      <c r="M438" s="11">
        <f t="shared" si="38"/>
        <v>1</v>
      </c>
      <c r="N438" s="12" t="s">
        <v>573</v>
      </c>
      <c r="O438" s="12" t="s">
        <v>802</v>
      </c>
      <c r="P438" s="57" t="s">
        <v>53</v>
      </c>
      <c r="Q438" s="224">
        <v>130.43478260869566</v>
      </c>
      <c r="R438" s="224">
        <v>130.43478260869566</v>
      </c>
      <c r="S438" s="58">
        <f t="shared" si="39"/>
        <v>0</v>
      </c>
      <c r="T438" s="58"/>
      <c r="U438" s="58"/>
      <c r="V438" s="59">
        <f t="shared" si="40"/>
        <v>13.043478260869566</v>
      </c>
      <c r="W438" s="60">
        <f t="shared" si="41"/>
        <v>0</v>
      </c>
    </row>
    <row r="439" spans="1:23" ht="29" customHeight="1" x14ac:dyDescent="0.35">
      <c r="A439" s="61"/>
      <c r="B439" s="55">
        <v>435</v>
      </c>
      <c r="C439" s="70" t="s">
        <v>822</v>
      </c>
      <c r="D439" s="12">
        <v>136454</v>
      </c>
      <c r="E439" s="128"/>
      <c r="F439" s="12">
        <v>139673</v>
      </c>
      <c r="G439" s="71">
        <v>46254</v>
      </c>
      <c r="H439" s="71" t="s">
        <v>262</v>
      </c>
      <c r="I439" s="11">
        <f t="shared" si="36"/>
        <v>2</v>
      </c>
      <c r="J439" s="71">
        <v>46255</v>
      </c>
      <c r="K439" s="11">
        <f t="shared" si="37"/>
        <v>1</v>
      </c>
      <c r="L439" s="71" t="s">
        <v>262</v>
      </c>
      <c r="M439" s="11">
        <f t="shared" si="38"/>
        <v>1</v>
      </c>
      <c r="N439" s="12" t="s">
        <v>574</v>
      </c>
      <c r="O439" s="12" t="s">
        <v>762</v>
      </c>
      <c r="P439" s="57" t="s">
        <v>53</v>
      </c>
      <c r="Q439" s="224">
        <v>804.3478260869565</v>
      </c>
      <c r="R439" s="224">
        <v>804.3478260869565</v>
      </c>
      <c r="S439" s="58">
        <f t="shared" si="39"/>
        <v>0</v>
      </c>
      <c r="T439" s="58"/>
      <c r="U439" s="58"/>
      <c r="V439" s="59">
        <f t="shared" si="40"/>
        <v>80.434782608695656</v>
      </c>
      <c r="W439" s="60">
        <f t="shared" si="41"/>
        <v>0</v>
      </c>
    </row>
    <row r="440" spans="1:23" ht="29" customHeight="1" x14ac:dyDescent="0.35">
      <c r="A440" s="61"/>
      <c r="B440" s="55">
        <v>436</v>
      </c>
      <c r="C440" s="70" t="s">
        <v>822</v>
      </c>
      <c r="D440" s="12">
        <v>136464</v>
      </c>
      <c r="E440" s="128"/>
      <c r="F440" s="12">
        <v>139715</v>
      </c>
      <c r="G440" s="71">
        <v>46254</v>
      </c>
      <c r="H440" s="71" t="s">
        <v>262</v>
      </c>
      <c r="I440" s="11">
        <f t="shared" si="36"/>
        <v>2</v>
      </c>
      <c r="J440" s="71">
        <v>46258</v>
      </c>
      <c r="K440" s="11">
        <f t="shared" si="37"/>
        <v>2</v>
      </c>
      <c r="L440" s="71" t="s">
        <v>257</v>
      </c>
      <c r="M440" s="11">
        <f t="shared" si="38"/>
        <v>1</v>
      </c>
      <c r="N440" s="12" t="s">
        <v>575</v>
      </c>
      <c r="O440" s="12" t="s">
        <v>653</v>
      </c>
      <c r="P440" s="57" t="s">
        <v>53</v>
      </c>
      <c r="Q440" s="224">
        <v>2318.8405797086957</v>
      </c>
      <c r="R440" s="224">
        <v>2318.8405797086957</v>
      </c>
      <c r="S440" s="58">
        <f t="shared" si="39"/>
        <v>0</v>
      </c>
      <c r="T440" s="58"/>
      <c r="U440" s="58"/>
      <c r="V440" s="59">
        <f t="shared" si="40"/>
        <v>231.88405797086958</v>
      </c>
      <c r="W440" s="60">
        <f t="shared" si="41"/>
        <v>0</v>
      </c>
    </row>
    <row r="441" spans="1:23" ht="29" customHeight="1" x14ac:dyDescent="0.35">
      <c r="A441" s="61"/>
      <c r="B441" s="55">
        <v>437</v>
      </c>
      <c r="C441" s="70" t="s">
        <v>822</v>
      </c>
      <c r="D441" s="12">
        <v>136466</v>
      </c>
      <c r="E441" s="128"/>
      <c r="F441" s="12">
        <v>139714</v>
      </c>
      <c r="G441" s="71">
        <v>46254</v>
      </c>
      <c r="H441" s="71" t="s">
        <v>262</v>
      </c>
      <c r="I441" s="11">
        <f t="shared" ref="I441:I504" si="42">IF(OR(H441="", G441=""), "", NETWORKDAYS(G441, H441))</f>
        <v>2</v>
      </c>
      <c r="J441" s="71">
        <v>46258</v>
      </c>
      <c r="K441" s="11">
        <f t="shared" ref="K441:K504" si="43">IF(OR(H441="", J441=""), "", NETWORKDAYS(H441, J441))</f>
        <v>2</v>
      </c>
      <c r="L441" s="71" t="s">
        <v>257</v>
      </c>
      <c r="M441" s="11">
        <f t="shared" ref="M441:M504" si="44">IF(OR(J441="", L441=""), "", NETWORKDAYS(J441, L441))</f>
        <v>1</v>
      </c>
      <c r="N441" s="12" t="s">
        <v>575</v>
      </c>
      <c r="O441" s="12" t="s">
        <v>632</v>
      </c>
      <c r="P441" s="57" t="s">
        <v>53</v>
      </c>
      <c r="Q441" s="224">
        <v>1974.6378260869565</v>
      </c>
      <c r="R441" s="224">
        <v>1974.6378260869565</v>
      </c>
      <c r="S441" s="58">
        <f t="shared" ref="S441:S504" si="45">Q441-R441</f>
        <v>0</v>
      </c>
      <c r="T441" s="58"/>
      <c r="U441" s="58"/>
      <c r="V441" s="59">
        <f t="shared" ref="V441:V504" si="46">IF(Q441="", "", Q441*10%)</f>
        <v>197.46378260869565</v>
      </c>
      <c r="W441" s="60">
        <f t="shared" ref="W441:W504" si="47">IF(OR(Q441="", R441=""), "", (Q441- R441)/Q441)</f>
        <v>0</v>
      </c>
    </row>
    <row r="442" spans="1:23" ht="29" customHeight="1" x14ac:dyDescent="0.35">
      <c r="A442" s="61"/>
      <c r="B442" s="55">
        <v>438</v>
      </c>
      <c r="C442" s="70" t="s">
        <v>822</v>
      </c>
      <c r="D442" s="12">
        <v>136467</v>
      </c>
      <c r="E442" s="128"/>
      <c r="F442" s="12">
        <v>139710</v>
      </c>
      <c r="G442" s="71">
        <v>46254</v>
      </c>
      <c r="H442" s="71" t="s">
        <v>257</v>
      </c>
      <c r="I442" s="11">
        <f t="shared" si="42"/>
        <v>3</v>
      </c>
      <c r="J442" s="71">
        <v>46258</v>
      </c>
      <c r="K442" s="11">
        <f t="shared" si="43"/>
        <v>1</v>
      </c>
      <c r="L442" s="71" t="s">
        <v>257</v>
      </c>
      <c r="M442" s="11">
        <f t="shared" si="44"/>
        <v>1</v>
      </c>
      <c r="N442" s="12" t="s">
        <v>576</v>
      </c>
      <c r="O442" s="12" t="s">
        <v>709</v>
      </c>
      <c r="P442" s="57" t="s">
        <v>53</v>
      </c>
      <c r="Q442" s="224">
        <v>1304.2826086956522</v>
      </c>
      <c r="R442" s="224">
        <v>1304.2826086956522</v>
      </c>
      <c r="S442" s="58">
        <f t="shared" si="45"/>
        <v>0</v>
      </c>
      <c r="T442" s="58"/>
      <c r="U442" s="58"/>
      <c r="V442" s="59">
        <f t="shared" si="46"/>
        <v>130.42826086956524</v>
      </c>
      <c r="W442" s="60">
        <f t="shared" si="47"/>
        <v>0</v>
      </c>
    </row>
    <row r="443" spans="1:23" ht="29" customHeight="1" x14ac:dyDescent="0.35">
      <c r="A443" s="61"/>
      <c r="B443" s="55">
        <v>439</v>
      </c>
      <c r="C443" s="70" t="s">
        <v>822</v>
      </c>
      <c r="D443" s="12">
        <v>136468</v>
      </c>
      <c r="E443" s="128"/>
      <c r="F443" s="12">
        <v>139713</v>
      </c>
      <c r="G443" s="71">
        <v>46254</v>
      </c>
      <c r="H443" s="71" t="s">
        <v>263</v>
      </c>
      <c r="I443" s="11">
        <f t="shared" si="42"/>
        <v>1</v>
      </c>
      <c r="J443" s="71">
        <v>46258</v>
      </c>
      <c r="K443" s="11">
        <f t="shared" si="43"/>
        <v>3</v>
      </c>
      <c r="L443" s="71" t="s">
        <v>257</v>
      </c>
      <c r="M443" s="11">
        <f t="shared" si="44"/>
        <v>1</v>
      </c>
      <c r="N443" s="12" t="s">
        <v>577</v>
      </c>
      <c r="O443" s="12" t="s">
        <v>632</v>
      </c>
      <c r="P443" s="57" t="s">
        <v>53</v>
      </c>
      <c r="Q443" s="224">
        <v>220.2608695652174</v>
      </c>
      <c r="R443" s="224">
        <v>220.2608695652174</v>
      </c>
      <c r="S443" s="58">
        <f t="shared" si="45"/>
        <v>0</v>
      </c>
      <c r="T443" s="58"/>
      <c r="U443" s="58"/>
      <c r="V443" s="59">
        <f t="shared" si="46"/>
        <v>22.026086956521741</v>
      </c>
      <c r="W443" s="60">
        <f t="shared" si="47"/>
        <v>0</v>
      </c>
    </row>
    <row r="444" spans="1:23" ht="29" customHeight="1" x14ac:dyDescent="0.35">
      <c r="A444" s="61"/>
      <c r="B444" s="55">
        <v>440</v>
      </c>
      <c r="C444" s="70" t="s">
        <v>822</v>
      </c>
      <c r="D444" s="12">
        <v>136469</v>
      </c>
      <c r="E444" s="128"/>
      <c r="F444" s="12">
        <v>139703</v>
      </c>
      <c r="G444" s="71">
        <v>46254</v>
      </c>
      <c r="H444" s="71" t="s">
        <v>263</v>
      </c>
      <c r="I444" s="11">
        <f t="shared" si="42"/>
        <v>1</v>
      </c>
      <c r="J444" s="71">
        <v>46258</v>
      </c>
      <c r="K444" s="11">
        <f t="shared" si="43"/>
        <v>3</v>
      </c>
      <c r="L444" s="71" t="s">
        <v>257</v>
      </c>
      <c r="M444" s="11">
        <f t="shared" si="44"/>
        <v>1</v>
      </c>
      <c r="N444" s="12" t="s">
        <v>577</v>
      </c>
      <c r="O444" s="12" t="s">
        <v>632</v>
      </c>
      <c r="P444" s="57" t="s">
        <v>53</v>
      </c>
      <c r="Q444" s="224">
        <v>290.96239130434782</v>
      </c>
      <c r="R444" s="224">
        <v>290.96239130434782</v>
      </c>
      <c r="S444" s="58">
        <f t="shared" si="45"/>
        <v>0</v>
      </c>
      <c r="T444" s="58"/>
      <c r="U444" s="58"/>
      <c r="V444" s="59">
        <f t="shared" si="46"/>
        <v>29.096239130434782</v>
      </c>
      <c r="W444" s="60">
        <f t="shared" si="47"/>
        <v>0</v>
      </c>
    </row>
    <row r="445" spans="1:23" ht="29" customHeight="1" x14ac:dyDescent="0.35">
      <c r="A445" s="61"/>
      <c r="B445" s="55">
        <v>441</v>
      </c>
      <c r="C445" s="70" t="s">
        <v>822</v>
      </c>
      <c r="D445" s="12">
        <v>136470</v>
      </c>
      <c r="E445" s="128"/>
      <c r="F445" s="12">
        <v>139717</v>
      </c>
      <c r="G445" s="71">
        <v>46254</v>
      </c>
      <c r="H445" s="71" t="s">
        <v>257</v>
      </c>
      <c r="I445" s="11">
        <f t="shared" si="42"/>
        <v>3</v>
      </c>
      <c r="J445" s="71">
        <v>46258</v>
      </c>
      <c r="K445" s="11">
        <f t="shared" si="43"/>
        <v>1</v>
      </c>
      <c r="L445" s="71" t="s">
        <v>257</v>
      </c>
      <c r="M445" s="11">
        <f t="shared" si="44"/>
        <v>1</v>
      </c>
      <c r="N445" s="12" t="s">
        <v>578</v>
      </c>
      <c r="O445" s="12" t="s">
        <v>803</v>
      </c>
      <c r="P445" s="57" t="s">
        <v>53</v>
      </c>
      <c r="Q445" s="224">
        <v>652.17391304347825</v>
      </c>
      <c r="R445" s="224">
        <v>652.17391304347825</v>
      </c>
      <c r="S445" s="58">
        <f t="shared" si="45"/>
        <v>0</v>
      </c>
      <c r="T445" s="58"/>
      <c r="U445" s="58"/>
      <c r="V445" s="59">
        <f t="shared" si="46"/>
        <v>65.217391304347828</v>
      </c>
      <c r="W445" s="60">
        <f t="shared" si="47"/>
        <v>0</v>
      </c>
    </row>
    <row r="446" spans="1:23" ht="29" customHeight="1" x14ac:dyDescent="0.35">
      <c r="A446" s="61"/>
      <c r="B446" s="55">
        <v>442</v>
      </c>
      <c r="C446" s="70" t="s">
        <v>822</v>
      </c>
      <c r="D446" s="12">
        <v>136471</v>
      </c>
      <c r="E446" s="128"/>
      <c r="F446" s="12">
        <v>139707</v>
      </c>
      <c r="G446" s="71">
        <v>46254</v>
      </c>
      <c r="H446" s="71" t="s">
        <v>257</v>
      </c>
      <c r="I446" s="11">
        <f t="shared" si="42"/>
        <v>3</v>
      </c>
      <c r="J446" s="71">
        <v>46258</v>
      </c>
      <c r="K446" s="11">
        <f t="shared" si="43"/>
        <v>1</v>
      </c>
      <c r="L446" s="71" t="s">
        <v>257</v>
      </c>
      <c r="M446" s="11">
        <f t="shared" si="44"/>
        <v>1</v>
      </c>
      <c r="N446" s="12" t="s">
        <v>579</v>
      </c>
      <c r="O446" s="12" t="s">
        <v>804</v>
      </c>
      <c r="P446" s="57" t="s">
        <v>53</v>
      </c>
      <c r="Q446" s="224">
        <v>273.91304347826087</v>
      </c>
      <c r="R446" s="224">
        <v>273.91304347826087</v>
      </c>
      <c r="S446" s="58">
        <f t="shared" si="45"/>
        <v>0</v>
      </c>
      <c r="T446" s="58"/>
      <c r="U446" s="58"/>
      <c r="V446" s="59">
        <f t="shared" si="46"/>
        <v>27.39130434782609</v>
      </c>
      <c r="W446" s="60">
        <f t="shared" si="47"/>
        <v>0</v>
      </c>
    </row>
    <row r="447" spans="1:23" ht="29" customHeight="1" x14ac:dyDescent="0.35">
      <c r="A447" s="61"/>
      <c r="B447" s="55">
        <v>443</v>
      </c>
      <c r="C447" s="70" t="s">
        <v>822</v>
      </c>
      <c r="D447" s="12">
        <v>136510</v>
      </c>
      <c r="E447" s="128"/>
      <c r="F447" s="12">
        <v>139708</v>
      </c>
      <c r="G447" s="71">
        <v>46254</v>
      </c>
      <c r="H447" s="71" t="s">
        <v>257</v>
      </c>
      <c r="I447" s="11">
        <f t="shared" si="42"/>
        <v>3</v>
      </c>
      <c r="J447" s="71">
        <v>46261</v>
      </c>
      <c r="K447" s="11">
        <f t="shared" si="43"/>
        <v>4</v>
      </c>
      <c r="L447" s="71" t="s">
        <v>265</v>
      </c>
      <c r="M447" s="11">
        <f t="shared" si="44"/>
        <v>1</v>
      </c>
      <c r="N447" s="12" t="s">
        <v>293</v>
      </c>
      <c r="O447" s="12" t="s">
        <v>805</v>
      </c>
      <c r="P447" s="57" t="s">
        <v>53</v>
      </c>
      <c r="Q447" s="224">
        <v>4347.826086956522</v>
      </c>
      <c r="R447" s="224">
        <v>4347.826086956522</v>
      </c>
      <c r="S447" s="58">
        <f t="shared" si="45"/>
        <v>0</v>
      </c>
      <c r="T447" s="58"/>
      <c r="U447" s="58"/>
      <c r="V447" s="59">
        <f t="shared" si="46"/>
        <v>434.78260869565224</v>
      </c>
      <c r="W447" s="60">
        <f t="shared" si="47"/>
        <v>0</v>
      </c>
    </row>
    <row r="448" spans="1:23" ht="29" customHeight="1" x14ac:dyDescent="0.35">
      <c r="A448" s="61"/>
      <c r="B448" s="55">
        <v>444</v>
      </c>
      <c r="C448" s="70" t="s">
        <v>822</v>
      </c>
      <c r="D448" s="12">
        <v>136512</v>
      </c>
      <c r="E448" s="128"/>
      <c r="F448" s="12">
        <v>139702</v>
      </c>
      <c r="G448" s="71">
        <v>46254</v>
      </c>
      <c r="H448" s="71" t="s">
        <v>257</v>
      </c>
      <c r="I448" s="11">
        <f t="shared" si="42"/>
        <v>3</v>
      </c>
      <c r="J448" s="71">
        <v>46261</v>
      </c>
      <c r="K448" s="11">
        <f t="shared" si="43"/>
        <v>4</v>
      </c>
      <c r="L448" s="71" t="s">
        <v>265</v>
      </c>
      <c r="M448" s="11">
        <f t="shared" si="44"/>
        <v>1</v>
      </c>
      <c r="N448" s="12" t="s">
        <v>580</v>
      </c>
      <c r="O448" s="12" t="s">
        <v>605</v>
      </c>
      <c r="P448" s="57" t="s">
        <v>53</v>
      </c>
      <c r="Q448" s="224">
        <v>32177.325652173913</v>
      </c>
      <c r="R448" s="224">
        <v>32177.325652173913</v>
      </c>
      <c r="S448" s="58">
        <f t="shared" si="45"/>
        <v>0</v>
      </c>
      <c r="T448" s="58"/>
      <c r="U448" s="58"/>
      <c r="V448" s="59">
        <f t="shared" si="46"/>
        <v>3217.7325652173913</v>
      </c>
      <c r="W448" s="60">
        <f t="shared" si="47"/>
        <v>0</v>
      </c>
    </row>
    <row r="449" spans="1:23" ht="29" customHeight="1" x14ac:dyDescent="0.35">
      <c r="A449" s="61"/>
      <c r="B449" s="55">
        <v>445</v>
      </c>
      <c r="C449" s="70" t="s">
        <v>822</v>
      </c>
      <c r="D449" s="12">
        <v>136542</v>
      </c>
      <c r="E449" s="128"/>
      <c r="F449" s="12">
        <v>139718</v>
      </c>
      <c r="G449" s="71">
        <v>46254</v>
      </c>
      <c r="H449" s="71" t="s">
        <v>263</v>
      </c>
      <c r="I449" s="11">
        <f t="shared" si="42"/>
        <v>1</v>
      </c>
      <c r="J449" s="71">
        <v>46262</v>
      </c>
      <c r="K449" s="11">
        <f t="shared" si="43"/>
        <v>7</v>
      </c>
      <c r="L449" s="71" t="s">
        <v>266</v>
      </c>
      <c r="M449" s="11">
        <f t="shared" si="44"/>
        <v>1</v>
      </c>
      <c r="N449" s="12" t="s">
        <v>581</v>
      </c>
      <c r="O449" s="12" t="s">
        <v>806</v>
      </c>
      <c r="P449" s="57" t="s">
        <v>53</v>
      </c>
      <c r="Q449" s="224">
        <v>14573.91304347826</v>
      </c>
      <c r="R449" s="224">
        <v>14573.91304347826</v>
      </c>
      <c r="S449" s="58">
        <f t="shared" si="45"/>
        <v>0</v>
      </c>
      <c r="T449" s="58"/>
      <c r="U449" s="58"/>
      <c r="V449" s="59">
        <f t="shared" si="46"/>
        <v>1457.391304347826</v>
      </c>
      <c r="W449" s="60">
        <f t="shared" si="47"/>
        <v>0</v>
      </c>
    </row>
    <row r="450" spans="1:23" ht="29" customHeight="1" x14ac:dyDescent="0.35">
      <c r="A450" s="61"/>
      <c r="B450" s="55">
        <v>446</v>
      </c>
      <c r="C450" s="70" t="s">
        <v>822</v>
      </c>
      <c r="D450" s="12">
        <v>136465</v>
      </c>
      <c r="E450" s="128"/>
      <c r="F450" s="12">
        <v>139724</v>
      </c>
      <c r="G450" s="71">
        <v>46255</v>
      </c>
      <c r="H450" s="71" t="s">
        <v>262</v>
      </c>
      <c r="I450" s="11">
        <f t="shared" si="42"/>
        <v>1</v>
      </c>
      <c r="J450" s="71">
        <v>46258</v>
      </c>
      <c r="K450" s="11">
        <f t="shared" si="43"/>
        <v>2</v>
      </c>
      <c r="L450" s="71" t="s">
        <v>257</v>
      </c>
      <c r="M450" s="11">
        <f t="shared" si="44"/>
        <v>1</v>
      </c>
      <c r="N450" s="12" t="s">
        <v>582</v>
      </c>
      <c r="O450" s="12" t="s">
        <v>807</v>
      </c>
      <c r="P450" s="57" t="s">
        <v>53</v>
      </c>
      <c r="Q450" s="224">
        <v>2754.4913043478259</v>
      </c>
      <c r="R450" s="224">
        <v>2754.4913043478259</v>
      </c>
      <c r="S450" s="58">
        <f t="shared" si="45"/>
        <v>0</v>
      </c>
      <c r="T450" s="58"/>
      <c r="U450" s="58"/>
      <c r="V450" s="59">
        <f t="shared" si="46"/>
        <v>275.4491304347826</v>
      </c>
      <c r="W450" s="60">
        <f t="shared" si="47"/>
        <v>0</v>
      </c>
    </row>
    <row r="451" spans="1:23" ht="29" customHeight="1" x14ac:dyDescent="0.35">
      <c r="A451" s="61"/>
      <c r="B451" s="55">
        <v>447</v>
      </c>
      <c r="C451" s="70" t="s">
        <v>822</v>
      </c>
      <c r="D451" s="12">
        <v>136475</v>
      </c>
      <c r="E451" s="128"/>
      <c r="F451" s="12">
        <v>139721</v>
      </c>
      <c r="G451" s="71">
        <v>46255</v>
      </c>
      <c r="H451" s="71" t="s">
        <v>262</v>
      </c>
      <c r="I451" s="11">
        <f t="shared" si="42"/>
        <v>1</v>
      </c>
      <c r="J451" s="71">
        <v>46258</v>
      </c>
      <c r="K451" s="11">
        <f t="shared" si="43"/>
        <v>2</v>
      </c>
      <c r="L451" s="71" t="s">
        <v>257</v>
      </c>
      <c r="M451" s="11">
        <f t="shared" si="44"/>
        <v>1</v>
      </c>
      <c r="N451" s="12" t="s">
        <v>583</v>
      </c>
      <c r="O451" s="12" t="s">
        <v>808</v>
      </c>
      <c r="P451" s="57" t="s">
        <v>53</v>
      </c>
      <c r="Q451" s="224">
        <v>732608.69565217395</v>
      </c>
      <c r="R451" s="224">
        <v>732608.69565217395</v>
      </c>
      <c r="S451" s="58">
        <f t="shared" si="45"/>
        <v>0</v>
      </c>
      <c r="T451" s="58"/>
      <c r="U451" s="58"/>
      <c r="V451" s="59">
        <f t="shared" si="46"/>
        <v>73260.869565217392</v>
      </c>
      <c r="W451" s="60">
        <f t="shared" si="47"/>
        <v>0</v>
      </c>
    </row>
    <row r="452" spans="1:23" ht="29" customHeight="1" x14ac:dyDescent="0.35">
      <c r="A452" s="61"/>
      <c r="B452" s="55">
        <v>448</v>
      </c>
      <c r="C452" s="70" t="s">
        <v>822</v>
      </c>
      <c r="D452" s="12">
        <v>136485</v>
      </c>
      <c r="E452" s="128"/>
      <c r="F452" s="12">
        <v>139723</v>
      </c>
      <c r="G452" s="71">
        <v>46255</v>
      </c>
      <c r="H452" s="71" t="s">
        <v>264</v>
      </c>
      <c r="I452" s="11">
        <f t="shared" si="42"/>
        <v>4</v>
      </c>
      <c r="J452" s="71">
        <v>46260</v>
      </c>
      <c r="K452" s="11">
        <f t="shared" si="43"/>
        <v>1</v>
      </c>
      <c r="L452" s="71" t="s">
        <v>264</v>
      </c>
      <c r="M452" s="11">
        <f t="shared" si="44"/>
        <v>1</v>
      </c>
      <c r="N452" s="12" t="s">
        <v>584</v>
      </c>
      <c r="O452" s="12" t="s">
        <v>643</v>
      </c>
      <c r="P452" s="57" t="s">
        <v>53</v>
      </c>
      <c r="Q452" s="224">
        <v>6859.125</v>
      </c>
      <c r="R452" s="224">
        <v>6859.125</v>
      </c>
      <c r="S452" s="58">
        <f t="shared" si="45"/>
        <v>0</v>
      </c>
      <c r="T452" s="58"/>
      <c r="U452" s="58"/>
      <c r="V452" s="59">
        <f t="shared" si="46"/>
        <v>685.91250000000002</v>
      </c>
      <c r="W452" s="60">
        <f t="shared" si="47"/>
        <v>0</v>
      </c>
    </row>
    <row r="453" spans="1:23" ht="29" customHeight="1" x14ac:dyDescent="0.35">
      <c r="A453" s="61"/>
      <c r="B453" s="55">
        <v>449</v>
      </c>
      <c r="C453" s="70" t="s">
        <v>822</v>
      </c>
      <c r="D453" s="12">
        <v>136523</v>
      </c>
      <c r="E453" s="128"/>
      <c r="F453" s="12">
        <v>139741</v>
      </c>
      <c r="G453" s="71">
        <v>46258</v>
      </c>
      <c r="H453" s="71" t="s">
        <v>264</v>
      </c>
      <c r="I453" s="11">
        <f t="shared" si="42"/>
        <v>3</v>
      </c>
      <c r="J453" s="71">
        <v>46261</v>
      </c>
      <c r="K453" s="11">
        <f t="shared" si="43"/>
        <v>2</v>
      </c>
      <c r="L453" s="71" t="s">
        <v>265</v>
      </c>
      <c r="M453" s="11">
        <f t="shared" si="44"/>
        <v>1</v>
      </c>
      <c r="N453" s="12" t="s">
        <v>585</v>
      </c>
      <c r="O453" s="12" t="s">
        <v>657</v>
      </c>
      <c r="P453" s="57" t="s">
        <v>53</v>
      </c>
      <c r="Q453" s="224">
        <v>1057.7217391304348</v>
      </c>
      <c r="R453" s="224">
        <v>961.56521739130437</v>
      </c>
      <c r="S453" s="58">
        <f t="shared" si="45"/>
        <v>96.156521739130426</v>
      </c>
      <c r="T453" s="58"/>
      <c r="U453" s="58"/>
      <c r="V453" s="59">
        <f t="shared" si="46"/>
        <v>105.77217391304349</v>
      </c>
      <c r="W453" s="60">
        <f t="shared" si="47"/>
        <v>9.0909090909090898E-2</v>
      </c>
    </row>
    <row r="454" spans="1:23" ht="29" customHeight="1" x14ac:dyDescent="0.35">
      <c r="A454" s="61"/>
      <c r="B454" s="55">
        <v>450</v>
      </c>
      <c r="C454" s="70" t="s">
        <v>822</v>
      </c>
      <c r="D454" s="12">
        <v>136476</v>
      </c>
      <c r="E454" s="128"/>
      <c r="F454" s="12">
        <v>139735</v>
      </c>
      <c r="G454" s="71">
        <v>46258</v>
      </c>
      <c r="H454" s="71" t="s">
        <v>257</v>
      </c>
      <c r="I454" s="11">
        <f t="shared" si="42"/>
        <v>1</v>
      </c>
      <c r="J454" s="71">
        <v>46258</v>
      </c>
      <c r="K454" s="11">
        <f t="shared" si="43"/>
        <v>1</v>
      </c>
      <c r="L454" s="71" t="s">
        <v>257</v>
      </c>
      <c r="M454" s="11">
        <f t="shared" si="44"/>
        <v>1</v>
      </c>
      <c r="N454" s="12" t="s">
        <v>586</v>
      </c>
      <c r="O454" s="12" t="s">
        <v>709</v>
      </c>
      <c r="P454" s="57" t="s">
        <v>53</v>
      </c>
      <c r="Q454" s="224">
        <v>486.02173913043481</v>
      </c>
      <c r="R454" s="224">
        <v>486.02173913043481</v>
      </c>
      <c r="S454" s="58">
        <f t="shared" si="45"/>
        <v>0</v>
      </c>
      <c r="T454" s="58"/>
      <c r="U454" s="58"/>
      <c r="V454" s="59">
        <f t="shared" si="46"/>
        <v>48.602173913043487</v>
      </c>
      <c r="W454" s="60">
        <f t="shared" si="47"/>
        <v>0</v>
      </c>
    </row>
    <row r="455" spans="1:23" ht="29" customHeight="1" x14ac:dyDescent="0.35">
      <c r="A455" s="61"/>
      <c r="B455" s="55">
        <v>451</v>
      </c>
      <c r="C455" s="70" t="s">
        <v>822</v>
      </c>
      <c r="D455" s="12">
        <v>136478</v>
      </c>
      <c r="E455" s="128"/>
      <c r="F455" s="12">
        <v>139739</v>
      </c>
      <c r="G455" s="71">
        <v>46258</v>
      </c>
      <c r="H455" s="71" t="s">
        <v>257</v>
      </c>
      <c r="I455" s="11">
        <f t="shared" si="42"/>
        <v>1</v>
      </c>
      <c r="J455" s="71">
        <v>46259</v>
      </c>
      <c r="K455" s="11">
        <f t="shared" si="43"/>
        <v>2</v>
      </c>
      <c r="L455" s="71" t="s">
        <v>264</v>
      </c>
      <c r="M455" s="11">
        <f t="shared" si="44"/>
        <v>2</v>
      </c>
      <c r="N455" s="12" t="s">
        <v>587</v>
      </c>
      <c r="O455" s="12" t="s">
        <v>809</v>
      </c>
      <c r="P455" s="57" t="s">
        <v>53</v>
      </c>
      <c r="Q455" s="224">
        <v>133625</v>
      </c>
      <c r="R455" s="224">
        <v>133625</v>
      </c>
      <c r="S455" s="58">
        <f t="shared" si="45"/>
        <v>0</v>
      </c>
      <c r="T455" s="58"/>
      <c r="U455" s="58"/>
      <c r="V455" s="59">
        <f t="shared" si="46"/>
        <v>13362.5</v>
      </c>
      <c r="W455" s="60">
        <f t="shared" si="47"/>
        <v>0</v>
      </c>
    </row>
    <row r="456" spans="1:23" ht="29" customHeight="1" x14ac:dyDescent="0.35">
      <c r="A456" s="61"/>
      <c r="B456" s="55">
        <v>452</v>
      </c>
      <c r="C456" s="70" t="s">
        <v>822</v>
      </c>
      <c r="D456" s="12">
        <v>136511</v>
      </c>
      <c r="E456" s="128"/>
      <c r="F456" s="12">
        <v>139736</v>
      </c>
      <c r="G456" s="71">
        <v>46258</v>
      </c>
      <c r="H456" s="71" t="s">
        <v>264</v>
      </c>
      <c r="I456" s="11">
        <f t="shared" si="42"/>
        <v>3</v>
      </c>
      <c r="J456" s="71">
        <v>46261</v>
      </c>
      <c r="K456" s="11">
        <f t="shared" si="43"/>
        <v>2</v>
      </c>
      <c r="L456" s="71" t="s">
        <v>265</v>
      </c>
      <c r="M456" s="11">
        <f t="shared" si="44"/>
        <v>1</v>
      </c>
      <c r="N456" s="12" t="s">
        <v>588</v>
      </c>
      <c r="O456" s="12" t="s">
        <v>664</v>
      </c>
      <c r="P456" s="57" t="s">
        <v>53</v>
      </c>
      <c r="Q456" s="224">
        <v>62.065217391304351</v>
      </c>
      <c r="R456" s="224">
        <v>62.065217391304351</v>
      </c>
      <c r="S456" s="58">
        <f t="shared" si="45"/>
        <v>0</v>
      </c>
      <c r="T456" s="58"/>
      <c r="U456" s="58"/>
      <c r="V456" s="59">
        <f t="shared" si="46"/>
        <v>6.2065217391304355</v>
      </c>
      <c r="W456" s="60">
        <f t="shared" si="47"/>
        <v>0</v>
      </c>
    </row>
    <row r="457" spans="1:23" ht="29" customHeight="1" x14ac:dyDescent="0.35">
      <c r="A457" s="61"/>
      <c r="B457" s="55">
        <v>453</v>
      </c>
      <c r="C457" s="70" t="s">
        <v>822</v>
      </c>
      <c r="D457" s="12">
        <v>136524</v>
      </c>
      <c r="E457" s="128"/>
      <c r="F457" s="12">
        <v>139738</v>
      </c>
      <c r="G457" s="71">
        <v>46258</v>
      </c>
      <c r="H457" s="71" t="s">
        <v>264</v>
      </c>
      <c r="I457" s="11">
        <f t="shared" si="42"/>
        <v>3</v>
      </c>
      <c r="J457" s="71">
        <v>46261</v>
      </c>
      <c r="K457" s="11">
        <f t="shared" si="43"/>
        <v>2</v>
      </c>
      <c r="L457" s="71" t="s">
        <v>265</v>
      </c>
      <c r="M457" s="11">
        <f t="shared" si="44"/>
        <v>1</v>
      </c>
      <c r="N457" s="12" t="s">
        <v>589</v>
      </c>
      <c r="O457" s="12" t="s">
        <v>810</v>
      </c>
      <c r="P457" s="57" t="s">
        <v>53</v>
      </c>
      <c r="Q457" s="224">
        <v>986.88695652173908</v>
      </c>
      <c r="R457" s="224">
        <v>986.88695652173908</v>
      </c>
      <c r="S457" s="58">
        <f t="shared" si="45"/>
        <v>0</v>
      </c>
      <c r="T457" s="58"/>
      <c r="U457" s="58"/>
      <c r="V457" s="59">
        <f t="shared" si="46"/>
        <v>98.688695652173919</v>
      </c>
      <c r="W457" s="60">
        <f t="shared" si="47"/>
        <v>0</v>
      </c>
    </row>
    <row r="458" spans="1:23" ht="29" customHeight="1" x14ac:dyDescent="0.35">
      <c r="A458" s="61"/>
      <c r="B458" s="55">
        <v>454</v>
      </c>
      <c r="C458" s="70" t="s">
        <v>822</v>
      </c>
      <c r="D458" s="12">
        <v>136525</v>
      </c>
      <c r="E458" s="128"/>
      <c r="F458" s="12">
        <v>139733</v>
      </c>
      <c r="G458" s="71">
        <v>46258</v>
      </c>
      <c r="H458" s="71" t="s">
        <v>264</v>
      </c>
      <c r="I458" s="11">
        <f t="shared" si="42"/>
        <v>3</v>
      </c>
      <c r="J458" s="71">
        <v>46261</v>
      </c>
      <c r="K458" s="11">
        <f t="shared" si="43"/>
        <v>2</v>
      </c>
      <c r="L458" s="71" t="s">
        <v>265</v>
      </c>
      <c r="M458" s="11">
        <f t="shared" si="44"/>
        <v>1</v>
      </c>
      <c r="N458" s="12" t="s">
        <v>590</v>
      </c>
      <c r="O458" s="12" t="s">
        <v>664</v>
      </c>
      <c r="P458" s="57" t="s">
        <v>53</v>
      </c>
      <c r="Q458" s="224">
        <v>24.021739130434781</v>
      </c>
      <c r="R458" s="224">
        <v>24.021739130434781</v>
      </c>
      <c r="S458" s="58">
        <f t="shared" si="45"/>
        <v>0</v>
      </c>
      <c r="T458" s="58"/>
      <c r="U458" s="58"/>
      <c r="V458" s="59">
        <f t="shared" si="46"/>
        <v>2.4021739130434785</v>
      </c>
      <c r="W458" s="60">
        <f t="shared" si="47"/>
        <v>0</v>
      </c>
    </row>
    <row r="459" spans="1:23" ht="29" customHeight="1" x14ac:dyDescent="0.35">
      <c r="A459" s="61"/>
      <c r="B459" s="55">
        <v>455</v>
      </c>
      <c r="C459" s="70" t="s">
        <v>822</v>
      </c>
      <c r="D459" s="12">
        <v>136526</v>
      </c>
      <c r="E459" s="128"/>
      <c r="F459" s="12">
        <v>139737</v>
      </c>
      <c r="G459" s="71">
        <v>46258</v>
      </c>
      <c r="H459" s="71" t="s">
        <v>265</v>
      </c>
      <c r="I459" s="11">
        <f t="shared" si="42"/>
        <v>4</v>
      </c>
      <c r="J459" s="71">
        <v>46261</v>
      </c>
      <c r="K459" s="11">
        <f t="shared" si="43"/>
        <v>1</v>
      </c>
      <c r="L459" s="71" t="s">
        <v>265</v>
      </c>
      <c r="M459" s="11">
        <f t="shared" si="44"/>
        <v>1</v>
      </c>
      <c r="N459" s="12" t="s">
        <v>591</v>
      </c>
      <c r="O459" s="12" t="s">
        <v>771</v>
      </c>
      <c r="P459" s="57" t="s">
        <v>53</v>
      </c>
      <c r="Q459" s="224">
        <v>53634.782608695656</v>
      </c>
      <c r="R459" s="224">
        <v>53634.782608695656</v>
      </c>
      <c r="S459" s="58">
        <f t="shared" si="45"/>
        <v>0</v>
      </c>
      <c r="T459" s="58"/>
      <c r="U459" s="58"/>
      <c r="V459" s="59">
        <f t="shared" si="46"/>
        <v>5363.4782608695659</v>
      </c>
      <c r="W459" s="60">
        <f t="shared" si="47"/>
        <v>0</v>
      </c>
    </row>
    <row r="460" spans="1:23" ht="29" customHeight="1" x14ac:dyDescent="0.35">
      <c r="A460" s="61"/>
      <c r="B460" s="55">
        <v>456</v>
      </c>
      <c r="C460" s="70" t="s">
        <v>822</v>
      </c>
      <c r="D460" s="12">
        <v>136536</v>
      </c>
      <c r="E460" s="128"/>
      <c r="F460" s="12">
        <v>139726</v>
      </c>
      <c r="G460" s="71">
        <v>46258</v>
      </c>
      <c r="H460" s="71" t="s">
        <v>265</v>
      </c>
      <c r="I460" s="11">
        <f t="shared" si="42"/>
        <v>4</v>
      </c>
      <c r="J460" s="71">
        <v>46262</v>
      </c>
      <c r="K460" s="11">
        <f t="shared" si="43"/>
        <v>2</v>
      </c>
      <c r="L460" s="71" t="s">
        <v>266</v>
      </c>
      <c r="M460" s="11">
        <f t="shared" si="44"/>
        <v>1</v>
      </c>
      <c r="N460" s="12" t="s">
        <v>592</v>
      </c>
      <c r="O460" s="12" t="s">
        <v>799</v>
      </c>
      <c r="P460" s="57" t="s">
        <v>53</v>
      </c>
      <c r="Q460" s="224">
        <v>1665.2173913043478</v>
      </c>
      <c r="R460" s="224">
        <v>1665.2173913043478</v>
      </c>
      <c r="S460" s="58">
        <f t="shared" si="45"/>
        <v>0</v>
      </c>
      <c r="T460" s="58"/>
      <c r="U460" s="58"/>
      <c r="V460" s="59">
        <f t="shared" si="46"/>
        <v>166.52173913043478</v>
      </c>
      <c r="W460" s="60">
        <f t="shared" si="47"/>
        <v>0</v>
      </c>
    </row>
    <row r="461" spans="1:23" ht="29" customHeight="1" x14ac:dyDescent="0.35">
      <c r="A461" s="61"/>
      <c r="B461" s="55">
        <v>457</v>
      </c>
      <c r="C461" s="70" t="s">
        <v>822</v>
      </c>
      <c r="D461" s="12">
        <v>136540</v>
      </c>
      <c r="E461" s="128"/>
      <c r="F461" s="12">
        <v>139727</v>
      </c>
      <c r="G461" s="71">
        <v>46258</v>
      </c>
      <c r="H461" s="71" t="s">
        <v>265</v>
      </c>
      <c r="I461" s="11">
        <f t="shared" si="42"/>
        <v>4</v>
      </c>
      <c r="J461" s="71">
        <v>46262</v>
      </c>
      <c r="K461" s="11">
        <f t="shared" si="43"/>
        <v>2</v>
      </c>
      <c r="L461" s="71" t="s">
        <v>266</v>
      </c>
      <c r="M461" s="11">
        <f t="shared" si="44"/>
        <v>1</v>
      </c>
      <c r="N461" s="12" t="s">
        <v>593</v>
      </c>
      <c r="O461" s="12" t="s">
        <v>731</v>
      </c>
      <c r="P461" s="57" t="s">
        <v>53</v>
      </c>
      <c r="Q461" s="224">
        <v>347.82608695652175</v>
      </c>
      <c r="R461" s="224">
        <v>347.82608695652175</v>
      </c>
      <c r="S461" s="58">
        <f t="shared" si="45"/>
        <v>0</v>
      </c>
      <c r="T461" s="58"/>
      <c r="U461" s="58"/>
      <c r="V461" s="59">
        <f t="shared" si="46"/>
        <v>34.782608695652179</v>
      </c>
      <c r="W461" s="60">
        <f t="shared" si="47"/>
        <v>0</v>
      </c>
    </row>
    <row r="462" spans="1:23" ht="29" customHeight="1" x14ac:dyDescent="0.35">
      <c r="A462" s="61"/>
      <c r="B462" s="55">
        <v>458</v>
      </c>
      <c r="C462" s="70" t="s">
        <v>822</v>
      </c>
      <c r="D462" s="12">
        <v>136484</v>
      </c>
      <c r="E462" s="128"/>
      <c r="F462" s="12">
        <v>139760</v>
      </c>
      <c r="G462" s="71">
        <v>46259</v>
      </c>
      <c r="H462" s="71" t="s">
        <v>264</v>
      </c>
      <c r="I462" s="11">
        <f t="shared" si="42"/>
        <v>2</v>
      </c>
      <c r="J462" s="71">
        <v>46260</v>
      </c>
      <c r="K462" s="11">
        <f t="shared" si="43"/>
        <v>1</v>
      </c>
      <c r="L462" s="71" t="s">
        <v>264</v>
      </c>
      <c r="M462" s="11">
        <f t="shared" si="44"/>
        <v>1</v>
      </c>
      <c r="N462" s="12" t="s">
        <v>594</v>
      </c>
      <c r="O462" s="12" t="s">
        <v>673</v>
      </c>
      <c r="P462" s="57" t="s">
        <v>53</v>
      </c>
      <c r="Q462" s="224">
        <v>38912</v>
      </c>
      <c r="R462" s="224">
        <v>38912</v>
      </c>
      <c r="S462" s="58">
        <f t="shared" si="45"/>
        <v>0</v>
      </c>
      <c r="T462" s="58"/>
      <c r="U462" s="58"/>
      <c r="V462" s="59">
        <f t="shared" si="46"/>
        <v>3891.2000000000003</v>
      </c>
      <c r="W462" s="60">
        <f t="shared" si="47"/>
        <v>0</v>
      </c>
    </row>
    <row r="463" spans="1:23" ht="29" customHeight="1" x14ac:dyDescent="0.35">
      <c r="A463" s="61"/>
      <c r="B463" s="55">
        <v>459</v>
      </c>
      <c r="C463" s="70" t="s">
        <v>822</v>
      </c>
      <c r="D463" s="12">
        <v>136498</v>
      </c>
      <c r="E463" s="128"/>
      <c r="F463" s="12">
        <v>139770</v>
      </c>
      <c r="G463" s="71">
        <v>46259</v>
      </c>
      <c r="H463" s="71" t="s">
        <v>264</v>
      </c>
      <c r="I463" s="11">
        <f t="shared" si="42"/>
        <v>2</v>
      </c>
      <c r="J463" s="71">
        <v>46260</v>
      </c>
      <c r="K463" s="11">
        <f t="shared" si="43"/>
        <v>1</v>
      </c>
      <c r="L463" s="71" t="s">
        <v>264</v>
      </c>
      <c r="M463" s="11">
        <f t="shared" si="44"/>
        <v>1</v>
      </c>
      <c r="N463" s="12">
        <v>0</v>
      </c>
      <c r="O463" s="12" t="s">
        <v>811</v>
      </c>
      <c r="P463" s="57" t="s">
        <v>53</v>
      </c>
      <c r="Q463" s="224">
        <v>13021.739130434782</v>
      </c>
      <c r="R463" s="224">
        <v>13021.739130434782</v>
      </c>
      <c r="S463" s="58">
        <f t="shared" si="45"/>
        <v>0</v>
      </c>
      <c r="T463" s="58"/>
      <c r="U463" s="58"/>
      <c r="V463" s="59">
        <f t="shared" si="46"/>
        <v>1302.1739130434783</v>
      </c>
      <c r="W463" s="60">
        <f t="shared" si="47"/>
        <v>0</v>
      </c>
    </row>
    <row r="464" spans="1:23" ht="29" customHeight="1" x14ac:dyDescent="0.35">
      <c r="A464" s="61"/>
      <c r="B464" s="55">
        <v>460</v>
      </c>
      <c r="C464" s="70" t="s">
        <v>822</v>
      </c>
      <c r="D464" s="12">
        <v>136499</v>
      </c>
      <c r="E464" s="128"/>
      <c r="F464" s="12">
        <v>139769</v>
      </c>
      <c r="G464" s="71">
        <v>46259</v>
      </c>
      <c r="H464" s="71" t="s">
        <v>264</v>
      </c>
      <c r="I464" s="11">
        <f t="shared" si="42"/>
        <v>2</v>
      </c>
      <c r="J464" s="71">
        <v>46260</v>
      </c>
      <c r="K464" s="11">
        <f t="shared" si="43"/>
        <v>1</v>
      </c>
      <c r="L464" s="71" t="s">
        <v>264</v>
      </c>
      <c r="M464" s="11">
        <f t="shared" si="44"/>
        <v>1</v>
      </c>
      <c r="N464" s="12">
        <v>0</v>
      </c>
      <c r="O464" s="12" t="s">
        <v>812</v>
      </c>
      <c r="P464" s="57" t="s">
        <v>53</v>
      </c>
      <c r="Q464" s="224">
        <v>11739.130434782608</v>
      </c>
      <c r="R464" s="224">
        <v>11739.130434782608</v>
      </c>
      <c r="S464" s="58">
        <f t="shared" si="45"/>
        <v>0</v>
      </c>
      <c r="T464" s="58"/>
      <c r="U464" s="58"/>
      <c r="V464" s="59">
        <f t="shared" si="46"/>
        <v>1173.9130434782608</v>
      </c>
      <c r="W464" s="60">
        <f t="shared" si="47"/>
        <v>0</v>
      </c>
    </row>
    <row r="465" spans="1:23" ht="29" customHeight="1" x14ac:dyDescent="0.35">
      <c r="A465" s="61"/>
      <c r="B465" s="55">
        <v>461</v>
      </c>
      <c r="C465" s="70" t="s">
        <v>822</v>
      </c>
      <c r="D465" s="12">
        <v>136500</v>
      </c>
      <c r="E465" s="128"/>
      <c r="F465" s="12">
        <v>139753</v>
      </c>
      <c r="G465" s="71">
        <v>46259</v>
      </c>
      <c r="H465" s="71" t="s">
        <v>264</v>
      </c>
      <c r="I465" s="11">
        <f t="shared" si="42"/>
        <v>2</v>
      </c>
      <c r="J465" s="71">
        <v>46260</v>
      </c>
      <c r="K465" s="11">
        <f t="shared" si="43"/>
        <v>1</v>
      </c>
      <c r="L465" s="71" t="s">
        <v>264</v>
      </c>
      <c r="M465" s="11">
        <f t="shared" si="44"/>
        <v>1</v>
      </c>
      <c r="N465" s="12">
        <v>0</v>
      </c>
      <c r="O465" s="12" t="s">
        <v>813</v>
      </c>
      <c r="P465" s="57" t="s">
        <v>53</v>
      </c>
      <c r="Q465" s="224">
        <v>1760.8695652173913</v>
      </c>
      <c r="R465" s="224">
        <v>1760.8695652173913</v>
      </c>
      <c r="S465" s="58">
        <f t="shared" si="45"/>
        <v>0</v>
      </c>
      <c r="T465" s="58"/>
      <c r="U465" s="58"/>
      <c r="V465" s="59">
        <f t="shared" si="46"/>
        <v>176.08695652173913</v>
      </c>
      <c r="W465" s="60">
        <f t="shared" si="47"/>
        <v>0</v>
      </c>
    </row>
    <row r="466" spans="1:23" ht="29" customHeight="1" x14ac:dyDescent="0.35">
      <c r="A466" s="61"/>
      <c r="B466" s="55">
        <v>462</v>
      </c>
      <c r="C466" s="70" t="s">
        <v>822</v>
      </c>
      <c r="D466" s="12">
        <v>136501</v>
      </c>
      <c r="E466" s="128"/>
      <c r="F466" s="12">
        <v>139750</v>
      </c>
      <c r="G466" s="71">
        <v>46259</v>
      </c>
      <c r="H466" s="71" t="s">
        <v>264</v>
      </c>
      <c r="I466" s="11">
        <f t="shared" si="42"/>
        <v>2</v>
      </c>
      <c r="J466" s="71">
        <v>46260</v>
      </c>
      <c r="K466" s="11">
        <f t="shared" si="43"/>
        <v>1</v>
      </c>
      <c r="L466" s="71" t="s">
        <v>264</v>
      </c>
      <c r="M466" s="11">
        <f t="shared" si="44"/>
        <v>1</v>
      </c>
      <c r="N466" s="12">
        <v>0</v>
      </c>
      <c r="O466" s="12" t="s">
        <v>814</v>
      </c>
      <c r="P466" s="57" t="s">
        <v>53</v>
      </c>
      <c r="Q466" s="224">
        <v>2457</v>
      </c>
      <c r="R466" s="224">
        <v>2457</v>
      </c>
      <c r="S466" s="58">
        <f t="shared" si="45"/>
        <v>0</v>
      </c>
      <c r="T466" s="58"/>
      <c r="U466" s="58"/>
      <c r="V466" s="59">
        <f t="shared" si="46"/>
        <v>245.70000000000002</v>
      </c>
      <c r="W466" s="60">
        <f t="shared" si="47"/>
        <v>0</v>
      </c>
    </row>
    <row r="467" spans="1:23" ht="29" customHeight="1" x14ac:dyDescent="0.35">
      <c r="A467" s="61"/>
      <c r="B467" s="55">
        <v>463</v>
      </c>
      <c r="C467" s="70" t="s">
        <v>822</v>
      </c>
      <c r="D467" s="12">
        <v>136502</v>
      </c>
      <c r="E467" s="128"/>
      <c r="F467" s="12">
        <v>139749</v>
      </c>
      <c r="G467" s="71">
        <v>46259</v>
      </c>
      <c r="H467" s="71" t="s">
        <v>264</v>
      </c>
      <c r="I467" s="11">
        <f t="shared" si="42"/>
        <v>2</v>
      </c>
      <c r="J467" s="71">
        <v>46260</v>
      </c>
      <c r="K467" s="11">
        <f t="shared" si="43"/>
        <v>1</v>
      </c>
      <c r="L467" s="71" t="s">
        <v>264</v>
      </c>
      <c r="M467" s="11">
        <f t="shared" si="44"/>
        <v>1</v>
      </c>
      <c r="N467" s="12">
        <v>0</v>
      </c>
      <c r="O467" s="12" t="s">
        <v>815</v>
      </c>
      <c r="P467" s="57" t="s">
        <v>53</v>
      </c>
      <c r="Q467" s="224">
        <v>695.6521739130435</v>
      </c>
      <c r="R467" s="224">
        <v>695.6521739130435</v>
      </c>
      <c r="S467" s="58">
        <f t="shared" si="45"/>
        <v>0</v>
      </c>
      <c r="T467" s="58"/>
      <c r="U467" s="58"/>
      <c r="V467" s="59">
        <f t="shared" si="46"/>
        <v>69.565217391304358</v>
      </c>
      <c r="W467" s="60">
        <f t="shared" si="47"/>
        <v>0</v>
      </c>
    </row>
    <row r="468" spans="1:23" ht="29" customHeight="1" x14ac:dyDescent="0.35">
      <c r="A468" s="61"/>
      <c r="B468" s="55">
        <v>464</v>
      </c>
      <c r="C468" s="70" t="s">
        <v>822</v>
      </c>
      <c r="D468" s="12">
        <v>136503</v>
      </c>
      <c r="E468" s="128"/>
      <c r="F468" s="12">
        <v>139751</v>
      </c>
      <c r="G468" s="71">
        <v>46259</v>
      </c>
      <c r="H468" s="71" t="s">
        <v>264</v>
      </c>
      <c r="I468" s="11">
        <f t="shared" si="42"/>
        <v>2</v>
      </c>
      <c r="J468" s="71">
        <v>46260</v>
      </c>
      <c r="K468" s="11">
        <f t="shared" si="43"/>
        <v>1</v>
      </c>
      <c r="L468" s="71" t="s">
        <v>264</v>
      </c>
      <c r="M468" s="11">
        <f t="shared" si="44"/>
        <v>1</v>
      </c>
      <c r="N468" s="12">
        <v>0</v>
      </c>
      <c r="O468" s="12" t="s">
        <v>816</v>
      </c>
      <c r="P468" s="57" t="s">
        <v>53</v>
      </c>
      <c r="Q468" s="224">
        <v>1699.8739130434783</v>
      </c>
      <c r="R468" s="224">
        <v>1699.8739130434783</v>
      </c>
      <c r="S468" s="58">
        <f t="shared" si="45"/>
        <v>0</v>
      </c>
      <c r="T468" s="58"/>
      <c r="U468" s="58"/>
      <c r="V468" s="59">
        <f t="shared" si="46"/>
        <v>169.98739130434785</v>
      </c>
      <c r="W468" s="60">
        <f t="shared" si="47"/>
        <v>0</v>
      </c>
    </row>
    <row r="469" spans="1:23" ht="29" customHeight="1" x14ac:dyDescent="0.35">
      <c r="A469" s="61"/>
      <c r="B469" s="55">
        <v>465</v>
      </c>
      <c r="C469" s="70" t="s">
        <v>822</v>
      </c>
      <c r="D469" s="12">
        <v>136504</v>
      </c>
      <c r="E469" s="128"/>
      <c r="F469" s="12">
        <v>139768</v>
      </c>
      <c r="G469" s="71">
        <v>46259</v>
      </c>
      <c r="H469" s="71" t="s">
        <v>264</v>
      </c>
      <c r="I469" s="11">
        <f t="shared" si="42"/>
        <v>2</v>
      </c>
      <c r="J469" s="71">
        <v>46260</v>
      </c>
      <c r="K469" s="11">
        <f t="shared" si="43"/>
        <v>1</v>
      </c>
      <c r="L469" s="71" t="s">
        <v>264</v>
      </c>
      <c r="M469" s="11">
        <f t="shared" si="44"/>
        <v>1</v>
      </c>
      <c r="N469" s="12">
        <v>0</v>
      </c>
      <c r="O469" s="12" t="s">
        <v>709</v>
      </c>
      <c r="P469" s="57" t="s">
        <v>53</v>
      </c>
      <c r="Q469" s="224">
        <v>308.32608695652175</v>
      </c>
      <c r="R469" s="224">
        <v>308.32608695652175</v>
      </c>
      <c r="S469" s="58">
        <f t="shared" si="45"/>
        <v>0</v>
      </c>
      <c r="T469" s="58"/>
      <c r="U469" s="58"/>
      <c r="V469" s="59">
        <f t="shared" si="46"/>
        <v>30.832608695652176</v>
      </c>
      <c r="W469" s="60">
        <f t="shared" si="47"/>
        <v>0</v>
      </c>
    </row>
    <row r="470" spans="1:23" ht="29" customHeight="1" x14ac:dyDescent="0.35">
      <c r="A470" s="61"/>
      <c r="B470" s="55">
        <v>466</v>
      </c>
      <c r="C470" s="70" t="s">
        <v>822</v>
      </c>
      <c r="D470" s="12">
        <v>136505</v>
      </c>
      <c r="E470" s="128"/>
      <c r="F470" s="12">
        <v>139759</v>
      </c>
      <c r="G470" s="71">
        <v>46259</v>
      </c>
      <c r="H470" s="71" t="s">
        <v>264</v>
      </c>
      <c r="I470" s="11">
        <f t="shared" si="42"/>
        <v>2</v>
      </c>
      <c r="J470" s="71">
        <v>46260</v>
      </c>
      <c r="K470" s="11">
        <f t="shared" si="43"/>
        <v>1</v>
      </c>
      <c r="L470" s="71" t="s">
        <v>264</v>
      </c>
      <c r="M470" s="11">
        <f t="shared" si="44"/>
        <v>1</v>
      </c>
      <c r="N470" s="12">
        <v>0</v>
      </c>
      <c r="O470" s="12" t="s">
        <v>817</v>
      </c>
      <c r="P470" s="57" t="s">
        <v>53</v>
      </c>
      <c r="Q470" s="224">
        <v>228.2608695652174</v>
      </c>
      <c r="R470" s="224">
        <v>228.2608695652174</v>
      </c>
      <c r="S470" s="58">
        <f t="shared" si="45"/>
        <v>0</v>
      </c>
      <c r="T470" s="58"/>
      <c r="U470" s="58"/>
      <c r="V470" s="59">
        <f t="shared" si="46"/>
        <v>22.826086956521742</v>
      </c>
      <c r="W470" s="60">
        <f t="shared" si="47"/>
        <v>0</v>
      </c>
    </row>
    <row r="471" spans="1:23" ht="29" customHeight="1" x14ac:dyDescent="0.35">
      <c r="A471" s="61"/>
      <c r="B471" s="55">
        <v>467</v>
      </c>
      <c r="C471" s="70" t="s">
        <v>822</v>
      </c>
      <c r="D471" s="12">
        <v>136509</v>
      </c>
      <c r="E471" s="128"/>
      <c r="F471" s="12">
        <v>139758</v>
      </c>
      <c r="G471" s="71">
        <v>46259</v>
      </c>
      <c r="H471" s="71" t="s">
        <v>264</v>
      </c>
      <c r="I471" s="11">
        <f t="shared" si="42"/>
        <v>2</v>
      </c>
      <c r="J471" s="71">
        <v>46261</v>
      </c>
      <c r="K471" s="11">
        <f t="shared" si="43"/>
        <v>2</v>
      </c>
      <c r="L471" s="71" t="s">
        <v>265</v>
      </c>
      <c r="M471" s="11">
        <f t="shared" si="44"/>
        <v>1</v>
      </c>
      <c r="N471" s="12" t="s">
        <v>595</v>
      </c>
      <c r="O471" s="12" t="s">
        <v>712</v>
      </c>
      <c r="P471" s="57" t="s">
        <v>53</v>
      </c>
      <c r="Q471" s="224">
        <v>61.728260869565219</v>
      </c>
      <c r="R471" s="224">
        <v>61.728260869565219</v>
      </c>
      <c r="S471" s="58">
        <f t="shared" si="45"/>
        <v>0</v>
      </c>
      <c r="T471" s="58"/>
      <c r="U471" s="58"/>
      <c r="V471" s="59">
        <f t="shared" si="46"/>
        <v>6.1728260869565226</v>
      </c>
      <c r="W471" s="60">
        <f t="shared" si="47"/>
        <v>0</v>
      </c>
    </row>
    <row r="472" spans="1:23" ht="29" customHeight="1" x14ac:dyDescent="0.35">
      <c r="A472" s="61"/>
      <c r="B472" s="55">
        <v>468</v>
      </c>
      <c r="C472" s="70" t="s">
        <v>822</v>
      </c>
      <c r="D472" s="12">
        <v>136527</v>
      </c>
      <c r="E472" s="128"/>
      <c r="F472" s="12">
        <v>139746</v>
      </c>
      <c r="G472" s="71">
        <v>46259</v>
      </c>
      <c r="H472" s="71" t="s">
        <v>264</v>
      </c>
      <c r="I472" s="11">
        <f t="shared" si="42"/>
        <v>2</v>
      </c>
      <c r="J472" s="71">
        <v>46261</v>
      </c>
      <c r="K472" s="11">
        <f t="shared" si="43"/>
        <v>2</v>
      </c>
      <c r="L472" s="71" t="s">
        <v>267</v>
      </c>
      <c r="M472" s="11">
        <f t="shared" si="44"/>
        <v>3</v>
      </c>
      <c r="N472" s="12" t="s">
        <v>596</v>
      </c>
      <c r="O472" s="12" t="s">
        <v>818</v>
      </c>
      <c r="P472" s="57" t="s">
        <v>53</v>
      </c>
      <c r="Q472" s="224">
        <v>2772</v>
      </c>
      <c r="R472" s="224">
        <v>2772</v>
      </c>
      <c r="S472" s="58">
        <f t="shared" si="45"/>
        <v>0</v>
      </c>
      <c r="T472" s="58"/>
      <c r="U472" s="58"/>
      <c r="V472" s="59">
        <f t="shared" si="46"/>
        <v>277.2</v>
      </c>
      <c r="W472" s="60">
        <f t="shared" si="47"/>
        <v>0</v>
      </c>
    </row>
    <row r="473" spans="1:23" ht="29" customHeight="1" x14ac:dyDescent="0.35">
      <c r="A473" s="61"/>
      <c r="B473" s="55">
        <v>469</v>
      </c>
      <c r="C473" s="70" t="s">
        <v>822</v>
      </c>
      <c r="D473" s="12">
        <v>136533</v>
      </c>
      <c r="E473" s="128"/>
      <c r="F473" s="12">
        <v>139776</v>
      </c>
      <c r="G473" s="71">
        <v>46260</v>
      </c>
      <c r="H473" s="71" t="s">
        <v>265</v>
      </c>
      <c r="I473" s="11">
        <f t="shared" si="42"/>
        <v>2</v>
      </c>
      <c r="J473" s="71">
        <v>46261</v>
      </c>
      <c r="K473" s="11">
        <f t="shared" si="43"/>
        <v>1</v>
      </c>
      <c r="L473" s="71" t="s">
        <v>265</v>
      </c>
      <c r="M473" s="11">
        <f t="shared" si="44"/>
        <v>1</v>
      </c>
      <c r="N473" s="12" t="s">
        <v>597</v>
      </c>
      <c r="O473" s="12" t="s">
        <v>709</v>
      </c>
      <c r="P473" s="57" t="s">
        <v>53</v>
      </c>
      <c r="Q473" s="224">
        <v>2753.1304347826085</v>
      </c>
      <c r="R473" s="224">
        <v>2753.1304347826085</v>
      </c>
      <c r="S473" s="58">
        <f t="shared" si="45"/>
        <v>0</v>
      </c>
      <c r="T473" s="58"/>
      <c r="U473" s="58"/>
      <c r="V473" s="59">
        <f t="shared" si="46"/>
        <v>275.31304347826085</v>
      </c>
      <c r="W473" s="60">
        <f t="shared" si="47"/>
        <v>0</v>
      </c>
    </row>
    <row r="474" spans="1:23" ht="29" customHeight="1" x14ac:dyDescent="0.35">
      <c r="A474" s="61"/>
      <c r="B474" s="55">
        <v>470</v>
      </c>
      <c r="C474" s="70" t="s">
        <v>822</v>
      </c>
      <c r="D474" s="12">
        <v>136534</v>
      </c>
      <c r="E474" s="128"/>
      <c r="F474" s="12">
        <v>139780</v>
      </c>
      <c r="G474" s="71">
        <v>46260</v>
      </c>
      <c r="H474" s="71" t="s">
        <v>265</v>
      </c>
      <c r="I474" s="11">
        <f t="shared" si="42"/>
        <v>2</v>
      </c>
      <c r="J474" s="71">
        <v>46261</v>
      </c>
      <c r="K474" s="11">
        <f t="shared" si="43"/>
        <v>1</v>
      </c>
      <c r="L474" s="71" t="s">
        <v>265</v>
      </c>
      <c r="M474" s="11">
        <f t="shared" si="44"/>
        <v>1</v>
      </c>
      <c r="N474" s="12" t="s">
        <v>598</v>
      </c>
      <c r="O474" s="12" t="s">
        <v>819</v>
      </c>
      <c r="P474" s="57" t="s">
        <v>53</v>
      </c>
      <c r="Q474" s="224">
        <v>230.5</v>
      </c>
      <c r="R474" s="224">
        <v>230.5</v>
      </c>
      <c r="S474" s="58">
        <f t="shared" si="45"/>
        <v>0</v>
      </c>
      <c r="T474" s="58"/>
      <c r="U474" s="58"/>
      <c r="V474" s="59">
        <f t="shared" si="46"/>
        <v>23.05</v>
      </c>
      <c r="W474" s="60">
        <f t="shared" si="47"/>
        <v>0</v>
      </c>
    </row>
    <row r="475" spans="1:23" ht="29" customHeight="1" x14ac:dyDescent="0.35">
      <c r="A475" s="61"/>
      <c r="B475" s="55">
        <v>471</v>
      </c>
      <c r="C475" s="70" t="s">
        <v>822</v>
      </c>
      <c r="D475" s="12">
        <v>136535</v>
      </c>
      <c r="E475" s="128"/>
      <c r="F475" s="12">
        <v>139775</v>
      </c>
      <c r="G475" s="71">
        <v>46260</v>
      </c>
      <c r="H475" s="71" t="s">
        <v>266</v>
      </c>
      <c r="I475" s="11">
        <f t="shared" si="42"/>
        <v>3</v>
      </c>
      <c r="J475" s="71">
        <v>46262</v>
      </c>
      <c r="K475" s="11">
        <f t="shared" si="43"/>
        <v>1</v>
      </c>
      <c r="L475" s="71" t="s">
        <v>266</v>
      </c>
      <c r="M475" s="11">
        <f t="shared" si="44"/>
        <v>1</v>
      </c>
      <c r="N475" s="12" t="s">
        <v>599</v>
      </c>
      <c r="O475" s="12" t="s">
        <v>820</v>
      </c>
      <c r="P475" s="57" t="s">
        <v>53</v>
      </c>
      <c r="Q475" s="224">
        <v>60000</v>
      </c>
      <c r="R475" s="224">
        <v>60000</v>
      </c>
      <c r="S475" s="58">
        <f t="shared" si="45"/>
        <v>0</v>
      </c>
      <c r="T475" s="58"/>
      <c r="U475" s="58"/>
      <c r="V475" s="59">
        <f t="shared" si="46"/>
        <v>6000</v>
      </c>
      <c r="W475" s="60">
        <f t="shared" si="47"/>
        <v>0</v>
      </c>
    </row>
    <row r="476" spans="1:23" ht="29" customHeight="1" x14ac:dyDescent="0.35">
      <c r="A476" s="61"/>
      <c r="B476" s="55">
        <v>472</v>
      </c>
      <c r="C476" s="70" t="s">
        <v>822</v>
      </c>
      <c r="D476" s="12">
        <v>136520</v>
      </c>
      <c r="E476" s="128"/>
      <c r="F476" s="12">
        <v>139786</v>
      </c>
      <c r="G476" s="71">
        <v>46261</v>
      </c>
      <c r="H476" s="71" t="s">
        <v>265</v>
      </c>
      <c r="I476" s="11">
        <f t="shared" si="42"/>
        <v>1</v>
      </c>
      <c r="J476" s="71">
        <v>46261</v>
      </c>
      <c r="K476" s="11">
        <f t="shared" si="43"/>
        <v>1</v>
      </c>
      <c r="L476" s="71" t="s">
        <v>265</v>
      </c>
      <c r="M476" s="11">
        <f t="shared" si="44"/>
        <v>1</v>
      </c>
      <c r="N476" s="12">
        <v>0</v>
      </c>
      <c r="O476" s="12" t="s">
        <v>821</v>
      </c>
      <c r="P476" s="57" t="s">
        <v>53</v>
      </c>
      <c r="Q476" s="224">
        <v>6182.608695652174</v>
      </c>
      <c r="R476" s="224">
        <v>6182.608695652174</v>
      </c>
      <c r="S476" s="58">
        <f t="shared" si="45"/>
        <v>0</v>
      </c>
      <c r="T476" s="58"/>
      <c r="U476" s="58"/>
      <c r="V476" s="59">
        <f t="shared" si="46"/>
        <v>618.26086956521749</v>
      </c>
      <c r="W476" s="60">
        <f t="shared" si="47"/>
        <v>0</v>
      </c>
    </row>
    <row r="477" spans="1:23" ht="29" customHeight="1" x14ac:dyDescent="0.35">
      <c r="A477" s="61"/>
      <c r="B477" s="55">
        <v>473</v>
      </c>
      <c r="C477" s="70" t="s">
        <v>822</v>
      </c>
      <c r="D477" s="12">
        <v>136521</v>
      </c>
      <c r="E477" s="128"/>
      <c r="F477" s="12">
        <v>139791</v>
      </c>
      <c r="G477" s="71">
        <v>46261</v>
      </c>
      <c r="H477" s="71" t="s">
        <v>265</v>
      </c>
      <c r="I477" s="11">
        <f t="shared" si="42"/>
        <v>1</v>
      </c>
      <c r="J477" s="71">
        <v>46261</v>
      </c>
      <c r="K477" s="11">
        <f t="shared" si="43"/>
        <v>1</v>
      </c>
      <c r="L477" s="71" t="s">
        <v>265</v>
      </c>
      <c r="M477" s="11">
        <f t="shared" si="44"/>
        <v>1</v>
      </c>
      <c r="N477" s="12" t="s">
        <v>600</v>
      </c>
      <c r="O477" s="12" t="s">
        <v>709</v>
      </c>
      <c r="P477" s="57" t="s">
        <v>53</v>
      </c>
      <c r="Q477" s="224">
        <v>475.1521739130435</v>
      </c>
      <c r="R477" s="224">
        <v>475.1521739130435</v>
      </c>
      <c r="S477" s="58">
        <f t="shared" si="45"/>
        <v>0</v>
      </c>
      <c r="T477" s="58"/>
      <c r="U477" s="58"/>
      <c r="V477" s="59">
        <f t="shared" si="46"/>
        <v>47.515217391304354</v>
      </c>
      <c r="W477" s="60">
        <f t="shared" si="47"/>
        <v>0</v>
      </c>
    </row>
    <row r="478" spans="1:23" ht="29" customHeight="1" x14ac:dyDescent="0.35">
      <c r="A478" s="61"/>
      <c r="B478" s="55">
        <v>474</v>
      </c>
      <c r="C478" s="70" t="s">
        <v>822</v>
      </c>
      <c r="D478" s="12">
        <v>136541</v>
      </c>
      <c r="E478" s="128"/>
      <c r="F478" s="12">
        <v>139799</v>
      </c>
      <c r="G478" s="71">
        <v>46261</v>
      </c>
      <c r="H478" s="71" t="s">
        <v>266</v>
      </c>
      <c r="I478" s="11">
        <f t="shared" si="42"/>
        <v>2</v>
      </c>
      <c r="J478" s="71">
        <v>46262</v>
      </c>
      <c r="K478" s="11">
        <f t="shared" si="43"/>
        <v>1</v>
      </c>
      <c r="L478" s="71" t="s">
        <v>266</v>
      </c>
      <c r="M478" s="11">
        <f t="shared" si="44"/>
        <v>1</v>
      </c>
      <c r="N478" s="12" t="s">
        <v>601</v>
      </c>
      <c r="O478" s="12" t="s">
        <v>641</v>
      </c>
      <c r="P478" s="57" t="s">
        <v>53</v>
      </c>
      <c r="Q478" s="224">
        <v>86.956521739130437</v>
      </c>
      <c r="R478" s="224">
        <v>86.956521739130437</v>
      </c>
      <c r="S478" s="58">
        <f t="shared" si="45"/>
        <v>0</v>
      </c>
      <c r="T478" s="58"/>
      <c r="U478" s="58"/>
      <c r="V478" s="59">
        <f t="shared" si="46"/>
        <v>8.6956521739130448</v>
      </c>
      <c r="W478" s="60">
        <f t="shared" si="47"/>
        <v>0</v>
      </c>
    </row>
    <row r="479" spans="1:23" ht="29" customHeight="1" x14ac:dyDescent="0.35">
      <c r="A479" s="61"/>
      <c r="B479" s="55">
        <v>475</v>
      </c>
      <c r="C479" s="70" t="s">
        <v>822</v>
      </c>
      <c r="D479" s="12">
        <v>136543</v>
      </c>
      <c r="E479" s="128"/>
      <c r="F479" s="12">
        <v>139801</v>
      </c>
      <c r="G479" s="71">
        <v>46261</v>
      </c>
      <c r="H479" s="71" t="s">
        <v>266</v>
      </c>
      <c r="I479" s="11">
        <f t="shared" si="42"/>
        <v>2</v>
      </c>
      <c r="J479" s="71">
        <v>46262</v>
      </c>
      <c r="K479" s="11">
        <f t="shared" si="43"/>
        <v>1</v>
      </c>
      <c r="L479" s="71" t="s">
        <v>266</v>
      </c>
      <c r="M479" s="11">
        <f t="shared" si="44"/>
        <v>1</v>
      </c>
      <c r="N479" s="12" t="s">
        <v>602</v>
      </c>
      <c r="O479" s="12" t="s">
        <v>610</v>
      </c>
      <c r="P479" s="57" t="s">
        <v>53</v>
      </c>
      <c r="Q479" s="224">
        <v>42.210152173913045</v>
      </c>
      <c r="R479" s="224">
        <v>42.210152173913045</v>
      </c>
      <c r="S479" s="58">
        <f t="shared" si="45"/>
        <v>0</v>
      </c>
      <c r="T479" s="58"/>
      <c r="U479" s="58"/>
      <c r="V479" s="59">
        <f t="shared" si="46"/>
        <v>4.2210152173913045</v>
      </c>
      <c r="W479" s="60">
        <f t="shared" si="47"/>
        <v>0</v>
      </c>
    </row>
    <row r="480" spans="1:23" ht="29" customHeight="1" x14ac:dyDescent="0.35">
      <c r="A480" s="61"/>
      <c r="B480" s="55">
        <v>476</v>
      </c>
      <c r="C480" s="70" t="s">
        <v>822</v>
      </c>
      <c r="D480" s="12">
        <v>136544</v>
      </c>
      <c r="E480" s="128"/>
      <c r="F480" s="12">
        <v>139835</v>
      </c>
      <c r="G480" s="71">
        <v>46262</v>
      </c>
      <c r="H480" s="71" t="s">
        <v>266</v>
      </c>
      <c r="I480" s="11">
        <f t="shared" si="42"/>
        <v>1</v>
      </c>
      <c r="J480" s="71">
        <v>46262</v>
      </c>
      <c r="K480" s="11">
        <f t="shared" si="43"/>
        <v>1</v>
      </c>
      <c r="L480" s="71" t="s">
        <v>266</v>
      </c>
      <c r="M480" s="11">
        <f t="shared" si="44"/>
        <v>1</v>
      </c>
      <c r="N480" s="12" t="s">
        <v>603</v>
      </c>
      <c r="O480" s="12" t="s">
        <v>701</v>
      </c>
      <c r="P480" s="57" t="s">
        <v>53</v>
      </c>
      <c r="Q480" s="224">
        <v>247.28260869565219</v>
      </c>
      <c r="R480" s="224">
        <v>247.28260869565219</v>
      </c>
      <c r="S480" s="58">
        <f t="shared" si="45"/>
        <v>0</v>
      </c>
      <c r="T480" s="58"/>
      <c r="U480" s="58"/>
      <c r="V480" s="59">
        <f t="shared" si="46"/>
        <v>24.728260869565219</v>
      </c>
      <c r="W480" s="60">
        <f t="shared" si="47"/>
        <v>0</v>
      </c>
    </row>
    <row r="481" spans="1:23" ht="29" customHeight="1" x14ac:dyDescent="0.35">
      <c r="A481" s="61"/>
      <c r="B481" s="55"/>
      <c r="C481" s="70"/>
      <c r="D481" s="12"/>
      <c r="E481" s="128"/>
      <c r="F481" s="12"/>
      <c r="G481" s="71"/>
      <c r="H481" s="71"/>
      <c r="I481" s="11"/>
      <c r="J481" s="71"/>
      <c r="K481" s="11"/>
      <c r="L481" s="71"/>
      <c r="M481" s="11"/>
      <c r="N481" s="12"/>
      <c r="O481" s="12"/>
      <c r="P481" s="57"/>
      <c r="Q481" s="50"/>
      <c r="R481" s="50"/>
      <c r="S481" s="58"/>
      <c r="T481" s="58"/>
      <c r="U481" s="58"/>
      <c r="V481" s="59"/>
      <c r="W481" s="60"/>
    </row>
    <row r="482" spans="1:23" ht="29" customHeight="1" x14ac:dyDescent="0.35">
      <c r="A482" s="61"/>
      <c r="B482" s="55"/>
      <c r="C482" s="70"/>
      <c r="D482" s="12"/>
      <c r="E482" s="128"/>
      <c r="F482" s="12"/>
      <c r="G482" s="71"/>
      <c r="H482" s="71"/>
      <c r="I482" s="11"/>
      <c r="J482" s="71"/>
      <c r="K482" s="11"/>
      <c r="L482" s="71"/>
      <c r="M482" s="11"/>
      <c r="N482" s="12"/>
      <c r="O482" s="12"/>
      <c r="P482" s="57"/>
      <c r="Q482" s="50"/>
      <c r="R482" s="50"/>
      <c r="S482" s="58"/>
      <c r="T482" s="58"/>
      <c r="U482" s="58"/>
      <c r="V482" s="59"/>
      <c r="W482" s="60"/>
    </row>
    <row r="483" spans="1:23" ht="29" customHeight="1" x14ac:dyDescent="0.35">
      <c r="A483" s="61"/>
      <c r="B483" s="55"/>
      <c r="C483" s="70"/>
      <c r="D483" s="12"/>
      <c r="E483" s="128"/>
      <c r="F483" s="12"/>
      <c r="G483" s="71"/>
      <c r="H483" s="71"/>
      <c r="I483" s="11"/>
      <c r="J483" s="71"/>
      <c r="K483" s="11"/>
      <c r="L483" s="71"/>
      <c r="M483" s="11"/>
      <c r="N483" s="12"/>
      <c r="O483" s="12"/>
      <c r="P483" s="57"/>
      <c r="Q483" s="50"/>
      <c r="R483" s="50"/>
      <c r="S483" s="58"/>
      <c r="T483" s="58"/>
      <c r="U483" s="58"/>
      <c r="V483" s="59"/>
      <c r="W483" s="60"/>
    </row>
    <row r="484" spans="1:23" ht="29" customHeight="1" x14ac:dyDescent="0.35">
      <c r="A484" s="61"/>
      <c r="B484" s="55"/>
      <c r="C484" s="70"/>
      <c r="D484" s="12"/>
      <c r="E484" s="128"/>
      <c r="F484" s="12"/>
      <c r="G484" s="71"/>
      <c r="H484" s="71"/>
      <c r="I484" s="11"/>
      <c r="J484" s="71"/>
      <c r="K484" s="11"/>
      <c r="L484" s="71"/>
      <c r="M484" s="11"/>
      <c r="N484" s="12"/>
      <c r="O484" s="12"/>
      <c r="P484" s="57"/>
      <c r="Q484" s="50"/>
      <c r="R484" s="50"/>
      <c r="S484" s="58"/>
      <c r="T484" s="58"/>
      <c r="U484" s="58"/>
      <c r="V484" s="59"/>
      <c r="W484" s="60"/>
    </row>
    <row r="485" spans="1:23" ht="29" customHeight="1" x14ac:dyDescent="0.35">
      <c r="A485" s="61"/>
      <c r="B485" s="55"/>
      <c r="C485" s="70"/>
      <c r="D485" s="12"/>
      <c r="E485" s="128"/>
      <c r="F485" s="12"/>
      <c r="G485" s="71"/>
      <c r="H485" s="71"/>
      <c r="I485" s="11"/>
      <c r="J485" s="71"/>
      <c r="K485" s="11"/>
      <c r="L485" s="71"/>
      <c r="M485" s="11"/>
      <c r="N485" s="12"/>
      <c r="O485" s="12"/>
      <c r="P485" s="57"/>
      <c r="Q485" s="50"/>
      <c r="R485" s="50"/>
      <c r="S485" s="58"/>
      <c r="T485" s="58"/>
      <c r="U485" s="58"/>
      <c r="V485" s="59"/>
      <c r="W485" s="60"/>
    </row>
    <row r="486" spans="1:23" ht="29" customHeight="1" x14ac:dyDescent="0.35">
      <c r="A486" s="61"/>
      <c r="B486" s="55"/>
      <c r="C486" s="70"/>
      <c r="D486" s="12"/>
      <c r="E486" s="128"/>
      <c r="F486" s="12"/>
      <c r="G486" s="71"/>
      <c r="H486" s="71"/>
      <c r="I486" s="11"/>
      <c r="J486" s="71"/>
      <c r="K486" s="11"/>
      <c r="L486" s="71"/>
      <c r="M486" s="11"/>
      <c r="N486" s="12"/>
      <c r="O486" s="12"/>
      <c r="P486" s="57"/>
      <c r="Q486" s="50"/>
      <c r="R486" s="50"/>
      <c r="S486" s="58"/>
      <c r="T486" s="58"/>
      <c r="U486" s="58"/>
      <c r="V486" s="59"/>
      <c r="W486" s="60"/>
    </row>
    <row r="487" spans="1:23" ht="29" customHeight="1" x14ac:dyDescent="0.35">
      <c r="A487" s="61"/>
      <c r="B487" s="55"/>
      <c r="C487" s="70"/>
      <c r="D487" s="12"/>
      <c r="E487" s="128"/>
      <c r="F487" s="12"/>
      <c r="G487" s="71"/>
      <c r="H487" s="71"/>
      <c r="I487" s="11"/>
      <c r="J487" s="71"/>
      <c r="K487" s="11"/>
      <c r="L487" s="71"/>
      <c r="M487" s="11"/>
      <c r="N487" s="12"/>
      <c r="O487" s="12"/>
      <c r="P487" s="57"/>
      <c r="Q487" s="50"/>
      <c r="R487" s="50"/>
      <c r="S487" s="58"/>
      <c r="T487" s="58"/>
      <c r="U487" s="58"/>
      <c r="V487" s="59"/>
      <c r="W487" s="60"/>
    </row>
    <row r="488" spans="1:23" ht="29" customHeight="1" x14ac:dyDescent="0.35">
      <c r="A488" s="61"/>
      <c r="B488" s="55"/>
      <c r="C488" s="70"/>
      <c r="D488" s="12"/>
      <c r="E488" s="128"/>
      <c r="F488" s="12"/>
      <c r="G488" s="71"/>
      <c r="H488" s="71"/>
      <c r="I488" s="11"/>
      <c r="J488" s="71"/>
      <c r="K488" s="11"/>
      <c r="L488" s="71"/>
      <c r="M488" s="11"/>
      <c r="N488" s="12"/>
      <c r="O488" s="12"/>
      <c r="P488" s="57"/>
      <c r="Q488" s="50"/>
      <c r="R488" s="50"/>
      <c r="S488" s="58"/>
      <c r="T488" s="58"/>
      <c r="U488" s="58"/>
      <c r="V488" s="59"/>
      <c r="W488" s="60"/>
    </row>
    <row r="489" spans="1:23" ht="29" customHeight="1" x14ac:dyDescent="0.35">
      <c r="A489" s="61"/>
      <c r="B489" s="55"/>
      <c r="C489" s="70"/>
      <c r="D489" s="12"/>
      <c r="E489" s="128"/>
      <c r="F489" s="12"/>
      <c r="G489" s="71"/>
      <c r="H489" s="71"/>
      <c r="I489" s="11"/>
      <c r="J489" s="71"/>
      <c r="K489" s="11"/>
      <c r="L489" s="71"/>
      <c r="M489" s="11"/>
      <c r="N489" s="12"/>
      <c r="O489" s="12"/>
      <c r="P489" s="57"/>
      <c r="Q489" s="50"/>
      <c r="R489" s="50"/>
      <c r="S489" s="58"/>
      <c r="T489" s="58"/>
      <c r="U489" s="58"/>
      <c r="V489" s="59"/>
      <c r="W489" s="60"/>
    </row>
    <row r="490" spans="1:23" ht="29" customHeight="1" x14ac:dyDescent="0.35">
      <c r="A490" s="61"/>
      <c r="B490" s="55"/>
      <c r="C490" s="70"/>
      <c r="D490" s="12"/>
      <c r="E490" s="128"/>
      <c r="F490" s="12"/>
      <c r="G490" s="71"/>
      <c r="H490" s="71"/>
      <c r="I490" s="11"/>
      <c r="J490" s="71"/>
      <c r="K490" s="11"/>
      <c r="L490" s="71"/>
      <c r="M490" s="11"/>
      <c r="N490" s="12"/>
      <c r="O490" s="12"/>
      <c r="P490" s="57"/>
      <c r="Q490" s="50"/>
      <c r="R490" s="50"/>
      <c r="S490" s="58"/>
      <c r="T490" s="58"/>
      <c r="U490" s="58"/>
      <c r="V490" s="59"/>
      <c r="W490" s="60"/>
    </row>
    <row r="491" spans="1:23" ht="29" customHeight="1" x14ac:dyDescent="0.35">
      <c r="A491" s="61"/>
      <c r="B491" s="55"/>
      <c r="C491" s="70"/>
      <c r="D491" s="12"/>
      <c r="E491" s="128"/>
      <c r="F491" s="12"/>
      <c r="G491" s="71"/>
      <c r="H491" s="71"/>
      <c r="I491" s="11"/>
      <c r="J491" s="71"/>
      <c r="K491" s="11"/>
      <c r="L491" s="71"/>
      <c r="M491" s="11"/>
      <c r="N491" s="12"/>
      <c r="O491" s="12"/>
      <c r="P491" s="57"/>
      <c r="Q491" s="50"/>
      <c r="R491" s="50"/>
      <c r="S491" s="58"/>
      <c r="T491" s="58"/>
      <c r="U491" s="58"/>
      <c r="V491" s="59"/>
      <c r="W491" s="60"/>
    </row>
    <row r="492" spans="1:23" ht="29" customHeight="1" x14ac:dyDescent="0.35">
      <c r="A492" s="61"/>
      <c r="B492" s="55"/>
      <c r="C492" s="70"/>
      <c r="D492" s="12"/>
      <c r="E492" s="128"/>
      <c r="F492" s="12"/>
      <c r="G492" s="71"/>
      <c r="H492" s="71"/>
      <c r="I492" s="11"/>
      <c r="J492" s="71"/>
      <c r="K492" s="11"/>
      <c r="L492" s="71"/>
      <c r="M492" s="11"/>
      <c r="N492" s="12"/>
      <c r="O492" s="12"/>
      <c r="P492" s="57"/>
      <c r="Q492" s="50"/>
      <c r="R492" s="50"/>
      <c r="S492" s="58"/>
      <c r="T492" s="58"/>
      <c r="U492" s="58"/>
      <c r="V492" s="59"/>
      <c r="W492" s="60"/>
    </row>
    <row r="493" spans="1:23" ht="29" customHeight="1" x14ac:dyDescent="0.35">
      <c r="A493" s="61"/>
      <c r="B493" s="55"/>
      <c r="C493" s="70"/>
      <c r="D493" s="12"/>
      <c r="E493" s="128"/>
      <c r="F493" s="12"/>
      <c r="G493" s="71"/>
      <c r="H493" s="71"/>
      <c r="I493" s="11"/>
      <c r="J493" s="71"/>
      <c r="K493" s="11"/>
      <c r="L493" s="71"/>
      <c r="M493" s="11"/>
      <c r="N493" s="12"/>
      <c r="O493" s="12"/>
      <c r="P493" s="57"/>
      <c r="Q493" s="50"/>
      <c r="R493" s="50"/>
      <c r="S493" s="58"/>
      <c r="T493" s="58"/>
      <c r="U493" s="58"/>
      <c r="V493" s="59"/>
      <c r="W493" s="60"/>
    </row>
    <row r="494" spans="1:23" ht="29" customHeight="1" x14ac:dyDescent="0.35">
      <c r="A494" s="61"/>
      <c r="B494" s="55"/>
      <c r="C494" s="70"/>
      <c r="D494" s="12"/>
      <c r="E494" s="128"/>
      <c r="F494" s="12"/>
      <c r="G494" s="71"/>
      <c r="H494" s="71"/>
      <c r="I494" s="11"/>
      <c r="J494" s="71"/>
      <c r="K494" s="11"/>
      <c r="L494" s="71"/>
      <c r="M494" s="11"/>
      <c r="N494" s="12"/>
      <c r="O494" s="12"/>
      <c r="P494" s="57"/>
      <c r="Q494" s="50"/>
      <c r="R494" s="50"/>
      <c r="S494" s="58"/>
      <c r="T494" s="58"/>
      <c r="U494" s="58"/>
      <c r="V494" s="59"/>
      <c r="W494" s="60"/>
    </row>
    <row r="495" spans="1:23" ht="29" customHeight="1" x14ac:dyDescent="0.35">
      <c r="A495" s="61"/>
      <c r="B495" s="55"/>
      <c r="C495" s="70"/>
      <c r="D495" s="12"/>
      <c r="E495" s="128"/>
      <c r="F495" s="12"/>
      <c r="G495" s="71"/>
      <c r="H495" s="71"/>
      <c r="I495" s="11"/>
      <c r="J495" s="71"/>
      <c r="K495" s="11"/>
      <c r="L495" s="71"/>
      <c r="M495" s="11"/>
      <c r="N495" s="12"/>
      <c r="O495" s="12"/>
      <c r="P495" s="57"/>
      <c r="Q495" s="50"/>
      <c r="R495" s="50"/>
      <c r="S495" s="58"/>
      <c r="T495" s="58"/>
      <c r="U495" s="58"/>
      <c r="V495" s="59"/>
      <c r="W495" s="60"/>
    </row>
    <row r="496" spans="1:23" ht="29" customHeight="1" x14ac:dyDescent="0.35">
      <c r="A496" s="61"/>
      <c r="B496" s="55"/>
      <c r="C496" s="70"/>
      <c r="D496" s="12"/>
      <c r="E496" s="128"/>
      <c r="F496" s="12"/>
      <c r="G496" s="71"/>
      <c r="H496" s="71"/>
      <c r="I496" s="11"/>
      <c r="J496" s="71"/>
      <c r="K496" s="11"/>
      <c r="L496" s="71"/>
      <c r="M496" s="11"/>
      <c r="N496" s="12"/>
      <c r="O496" s="12"/>
      <c r="P496" s="57"/>
      <c r="Q496" s="50"/>
      <c r="R496" s="50"/>
      <c r="S496" s="58"/>
      <c r="T496" s="58"/>
      <c r="U496" s="58"/>
      <c r="V496" s="59"/>
      <c r="W496" s="60"/>
    </row>
    <row r="497" spans="1:23" ht="29" customHeight="1" x14ac:dyDescent="0.35">
      <c r="A497" s="61"/>
      <c r="B497" s="55"/>
      <c r="C497" s="70"/>
      <c r="D497" s="12"/>
      <c r="E497" s="128"/>
      <c r="F497" s="12"/>
      <c r="G497" s="71"/>
      <c r="H497" s="71"/>
      <c r="I497" s="11"/>
      <c r="J497" s="71"/>
      <c r="K497" s="11"/>
      <c r="L497" s="71"/>
      <c r="M497" s="11"/>
      <c r="N497" s="12"/>
      <c r="O497" s="12"/>
      <c r="P497" s="57"/>
      <c r="Q497" s="50"/>
      <c r="R497" s="50"/>
      <c r="S497" s="58"/>
      <c r="T497" s="58"/>
      <c r="U497" s="58"/>
      <c r="V497" s="59"/>
      <c r="W497" s="60"/>
    </row>
    <row r="498" spans="1:23" ht="29" customHeight="1" x14ac:dyDescent="0.35">
      <c r="A498" s="61"/>
      <c r="B498" s="55"/>
      <c r="C498" s="70"/>
      <c r="D498" s="12"/>
      <c r="E498" s="128"/>
      <c r="F498" s="12"/>
      <c r="G498" s="71"/>
      <c r="H498" s="71"/>
      <c r="I498" s="11"/>
      <c r="J498" s="71"/>
      <c r="K498" s="11"/>
      <c r="L498" s="71"/>
      <c r="M498" s="11"/>
      <c r="N498" s="12"/>
      <c r="O498" s="12"/>
      <c r="P498" s="57"/>
      <c r="Q498" s="50"/>
      <c r="R498" s="50"/>
      <c r="S498" s="58"/>
      <c r="T498" s="58"/>
      <c r="U498" s="58"/>
      <c r="V498" s="59"/>
      <c r="W498" s="60"/>
    </row>
    <row r="499" spans="1:23" ht="29" customHeight="1" x14ac:dyDescent="0.35">
      <c r="A499" s="61"/>
      <c r="B499" s="55"/>
      <c r="C499" s="70"/>
      <c r="D499" s="12"/>
      <c r="E499" s="128"/>
      <c r="F499" s="12"/>
      <c r="G499" s="71"/>
      <c r="H499" s="71"/>
      <c r="I499" s="11"/>
      <c r="J499" s="71"/>
      <c r="K499" s="11"/>
      <c r="L499" s="71"/>
      <c r="M499" s="11"/>
      <c r="N499" s="12"/>
      <c r="O499" s="12"/>
      <c r="P499" s="57"/>
      <c r="Q499" s="50"/>
      <c r="R499" s="50"/>
      <c r="S499" s="58"/>
      <c r="T499" s="58"/>
      <c r="U499" s="58"/>
      <c r="V499" s="59"/>
      <c r="W499" s="60"/>
    </row>
    <row r="500" spans="1:23" ht="29" customHeight="1" x14ac:dyDescent="0.35">
      <c r="A500" s="61"/>
      <c r="B500" s="55"/>
      <c r="C500" s="70"/>
      <c r="D500" s="12"/>
      <c r="E500" s="128"/>
      <c r="F500" s="12"/>
      <c r="G500" s="71"/>
      <c r="H500" s="71"/>
      <c r="I500" s="11"/>
      <c r="J500" s="71"/>
      <c r="K500" s="11"/>
      <c r="L500" s="71"/>
      <c r="M500" s="11"/>
      <c r="N500" s="12"/>
      <c r="O500" s="12"/>
      <c r="P500" s="57"/>
      <c r="Q500" s="50"/>
      <c r="R500" s="50"/>
      <c r="S500" s="58"/>
      <c r="T500" s="58"/>
      <c r="U500" s="58"/>
      <c r="V500" s="59"/>
      <c r="W500" s="60"/>
    </row>
    <row r="501" spans="1:23" ht="29" customHeight="1" x14ac:dyDescent="0.35">
      <c r="A501" s="61"/>
      <c r="B501" s="55"/>
      <c r="C501" s="70"/>
      <c r="D501" s="12"/>
      <c r="E501" s="128"/>
      <c r="F501" s="12"/>
      <c r="G501" s="71"/>
      <c r="H501" s="71"/>
      <c r="I501" s="11"/>
      <c r="J501" s="71"/>
      <c r="K501" s="11"/>
      <c r="L501" s="71"/>
      <c r="M501" s="11"/>
      <c r="N501" s="12"/>
      <c r="O501" s="12"/>
      <c r="P501" s="57"/>
      <c r="Q501" s="50"/>
      <c r="R501" s="50"/>
      <c r="S501" s="58"/>
      <c r="T501" s="58"/>
      <c r="U501" s="58"/>
      <c r="V501" s="59"/>
      <c r="W501" s="60"/>
    </row>
    <row r="502" spans="1:23" ht="29" customHeight="1" x14ac:dyDescent="0.35">
      <c r="A502" s="61"/>
      <c r="B502" s="55"/>
      <c r="C502" s="70"/>
      <c r="D502" s="12"/>
      <c r="E502" s="128"/>
      <c r="F502" s="12"/>
      <c r="G502" s="71"/>
      <c r="H502" s="71"/>
      <c r="I502" s="11"/>
      <c r="J502" s="71"/>
      <c r="K502" s="11"/>
      <c r="L502" s="71"/>
      <c r="M502" s="11"/>
      <c r="N502" s="12"/>
      <c r="O502" s="12"/>
      <c r="P502" s="57"/>
      <c r="Q502" s="50"/>
      <c r="R502" s="50"/>
      <c r="S502" s="58"/>
      <c r="T502" s="58"/>
      <c r="U502" s="58"/>
      <c r="V502" s="59"/>
      <c r="W502" s="60"/>
    </row>
    <row r="503" spans="1:23" ht="29" customHeight="1" x14ac:dyDescent="0.35">
      <c r="A503" s="61"/>
      <c r="B503" s="55"/>
      <c r="C503" s="70"/>
      <c r="D503" s="12"/>
      <c r="E503" s="128"/>
      <c r="F503" s="12"/>
      <c r="G503" s="71"/>
      <c r="H503" s="71"/>
      <c r="I503" s="11"/>
      <c r="J503" s="71"/>
      <c r="K503" s="11"/>
      <c r="L503" s="71"/>
      <c r="M503" s="11"/>
      <c r="N503" s="12"/>
      <c r="O503" s="12"/>
      <c r="P503" s="57"/>
      <c r="Q503" s="50"/>
      <c r="R503" s="50"/>
      <c r="S503" s="58"/>
      <c r="T503" s="58"/>
      <c r="U503" s="58"/>
      <c r="V503" s="59"/>
      <c r="W503" s="60"/>
    </row>
    <row r="504" spans="1:23" ht="29" customHeight="1" x14ac:dyDescent="0.35">
      <c r="A504" s="61"/>
      <c r="B504" s="55"/>
      <c r="C504" s="70"/>
      <c r="D504" s="12"/>
      <c r="E504" s="128"/>
      <c r="F504" s="12"/>
      <c r="G504" s="71"/>
      <c r="H504" s="71"/>
      <c r="I504" s="11"/>
      <c r="J504" s="71"/>
      <c r="K504" s="11"/>
      <c r="L504" s="71"/>
      <c r="M504" s="11"/>
      <c r="N504" s="12"/>
      <c r="O504" s="12"/>
      <c r="P504" s="57"/>
      <c r="Q504" s="50"/>
      <c r="R504" s="50"/>
      <c r="S504" s="58"/>
      <c r="T504" s="58"/>
      <c r="U504" s="58"/>
      <c r="V504" s="59"/>
      <c r="W504" s="60"/>
    </row>
    <row r="505" spans="1:23" ht="29" customHeight="1" x14ac:dyDescent="0.35">
      <c r="A505" s="61"/>
      <c r="B505" s="55"/>
      <c r="C505" s="70"/>
      <c r="D505" s="12"/>
      <c r="E505" s="128"/>
      <c r="F505" s="12"/>
      <c r="G505" s="71"/>
      <c r="H505" s="71"/>
      <c r="I505" s="11"/>
      <c r="J505" s="71"/>
      <c r="K505" s="11"/>
      <c r="L505" s="71"/>
      <c r="M505" s="11"/>
      <c r="N505" s="12"/>
      <c r="O505" s="12"/>
      <c r="P505" s="57"/>
      <c r="Q505" s="50"/>
      <c r="R505" s="50"/>
      <c r="S505" s="58"/>
      <c r="T505" s="58"/>
      <c r="U505" s="58"/>
      <c r="V505" s="59"/>
      <c r="W505" s="60"/>
    </row>
    <row r="506" spans="1:23" ht="29" customHeight="1" x14ac:dyDescent="0.35">
      <c r="A506" s="61"/>
      <c r="B506" s="55"/>
      <c r="C506" s="70"/>
      <c r="D506" s="12"/>
      <c r="E506" s="128"/>
      <c r="F506" s="12"/>
      <c r="G506" s="71"/>
      <c r="H506" s="71"/>
      <c r="I506" s="11"/>
      <c r="J506" s="71"/>
      <c r="K506" s="11"/>
      <c r="L506" s="71"/>
      <c r="M506" s="11"/>
      <c r="N506" s="12"/>
      <c r="O506" s="12"/>
      <c r="P506" s="57"/>
      <c r="Q506" s="50"/>
      <c r="R506" s="50"/>
      <c r="S506" s="58"/>
      <c r="T506" s="58"/>
      <c r="U506" s="58"/>
      <c r="V506" s="59"/>
      <c r="W506" s="60"/>
    </row>
    <row r="507" spans="1:23" ht="29" customHeight="1" x14ac:dyDescent="0.35">
      <c r="A507" s="61"/>
      <c r="B507" s="55"/>
      <c r="C507" s="70"/>
      <c r="D507" s="12"/>
      <c r="E507" s="128"/>
      <c r="F507" s="12"/>
      <c r="G507" s="71"/>
      <c r="H507" s="71"/>
      <c r="I507" s="11"/>
      <c r="J507" s="71"/>
      <c r="K507" s="11"/>
      <c r="L507" s="71"/>
      <c r="M507" s="11"/>
      <c r="N507" s="12"/>
      <c r="O507" s="12"/>
      <c r="P507" s="57"/>
      <c r="Q507" s="50"/>
      <c r="R507" s="50"/>
      <c r="S507" s="58"/>
      <c r="T507" s="58"/>
      <c r="U507" s="58"/>
      <c r="V507" s="59"/>
      <c r="W507" s="60"/>
    </row>
    <row r="508" spans="1:23" ht="29" customHeight="1" x14ac:dyDescent="0.35">
      <c r="A508" s="61"/>
      <c r="B508" s="55"/>
      <c r="C508" s="70"/>
      <c r="D508" s="12"/>
      <c r="E508" s="128"/>
      <c r="F508" s="12"/>
      <c r="G508" s="71"/>
      <c r="H508" s="71"/>
      <c r="I508" s="11"/>
      <c r="J508" s="71"/>
      <c r="K508" s="11"/>
      <c r="L508" s="71"/>
      <c r="M508" s="11"/>
      <c r="N508" s="12"/>
      <c r="O508" s="12"/>
      <c r="P508" s="57"/>
      <c r="Q508" s="50"/>
      <c r="R508" s="50"/>
      <c r="S508" s="58"/>
      <c r="T508" s="58"/>
      <c r="U508" s="58"/>
      <c r="V508" s="59"/>
      <c r="W508" s="60"/>
    </row>
    <row r="509" spans="1:23" ht="29" customHeight="1" x14ac:dyDescent="0.35">
      <c r="A509" s="61"/>
      <c r="B509" s="55"/>
      <c r="C509" s="70"/>
      <c r="D509" s="12"/>
      <c r="E509" s="128"/>
      <c r="F509" s="12"/>
      <c r="G509" s="71"/>
      <c r="H509" s="71"/>
      <c r="I509" s="11"/>
      <c r="J509" s="71"/>
      <c r="K509" s="11"/>
      <c r="L509" s="71"/>
      <c r="M509" s="11"/>
      <c r="N509" s="12"/>
      <c r="O509" s="12"/>
      <c r="P509" s="57"/>
      <c r="Q509" s="50"/>
      <c r="R509" s="50"/>
      <c r="S509" s="58"/>
      <c r="T509" s="58"/>
      <c r="U509" s="58"/>
      <c r="V509" s="59"/>
      <c r="W509" s="60"/>
    </row>
    <row r="510" spans="1:23" ht="29" customHeight="1" x14ac:dyDescent="0.35">
      <c r="A510" s="61"/>
      <c r="B510" s="55"/>
      <c r="C510" s="70"/>
      <c r="D510" s="12"/>
      <c r="E510" s="128"/>
      <c r="F510" s="12"/>
      <c r="G510" s="71"/>
      <c r="H510" s="71"/>
      <c r="I510" s="11"/>
      <c r="J510" s="71"/>
      <c r="K510" s="11"/>
      <c r="L510" s="71"/>
      <c r="M510" s="11"/>
      <c r="N510" s="12"/>
      <c r="O510" s="12"/>
      <c r="P510" s="57"/>
      <c r="Q510" s="50"/>
      <c r="R510" s="50"/>
      <c r="S510" s="58"/>
      <c r="T510" s="58"/>
      <c r="U510" s="58"/>
      <c r="V510" s="59"/>
      <c r="W510" s="60"/>
    </row>
    <row r="511" spans="1:23" ht="29" customHeight="1" x14ac:dyDescent="0.35">
      <c r="A511" s="61"/>
      <c r="B511" s="55"/>
      <c r="C511" s="70"/>
      <c r="D511" s="12"/>
      <c r="E511" s="128"/>
      <c r="F511" s="12"/>
      <c r="G511" s="71"/>
      <c r="H511" s="71"/>
      <c r="I511" s="11"/>
      <c r="J511" s="71"/>
      <c r="K511" s="11"/>
      <c r="L511" s="71"/>
      <c r="M511" s="11"/>
      <c r="N511" s="12"/>
      <c r="O511" s="12"/>
      <c r="P511" s="57"/>
      <c r="Q511" s="50"/>
      <c r="R511" s="50"/>
      <c r="S511" s="58"/>
      <c r="T511" s="58"/>
      <c r="U511" s="58"/>
      <c r="V511" s="59"/>
      <c r="W511" s="60"/>
    </row>
    <row r="512" spans="1:23" ht="29" customHeight="1" x14ac:dyDescent="0.35">
      <c r="A512" s="61"/>
      <c r="B512" s="55"/>
      <c r="C512" s="70"/>
      <c r="D512" s="12"/>
      <c r="E512" s="128"/>
      <c r="F512" s="12"/>
      <c r="G512" s="71"/>
      <c r="H512" s="71"/>
      <c r="I512" s="11"/>
      <c r="J512" s="71"/>
      <c r="K512" s="11"/>
      <c r="L512" s="71"/>
      <c r="M512" s="11"/>
      <c r="N512" s="12"/>
      <c r="O512" s="12"/>
      <c r="P512" s="57"/>
      <c r="Q512" s="50"/>
      <c r="R512" s="50"/>
      <c r="S512" s="58"/>
      <c r="T512" s="58"/>
      <c r="U512" s="58"/>
      <c r="V512" s="59"/>
      <c r="W512" s="60"/>
    </row>
    <row r="513" spans="1:23" ht="29" customHeight="1" x14ac:dyDescent="0.35">
      <c r="A513" s="61"/>
      <c r="B513" s="55"/>
      <c r="C513" s="70"/>
      <c r="D513" s="12"/>
      <c r="E513" s="128"/>
      <c r="F513" s="12"/>
      <c r="G513" s="71"/>
      <c r="H513" s="71"/>
      <c r="I513" s="11"/>
      <c r="J513" s="71"/>
      <c r="K513" s="11"/>
      <c r="L513" s="71"/>
      <c r="M513" s="11"/>
      <c r="N513" s="12"/>
      <c r="O513" s="12"/>
      <c r="P513" s="57"/>
      <c r="Q513" s="50"/>
      <c r="R513" s="50"/>
      <c r="S513" s="58"/>
      <c r="T513" s="58"/>
      <c r="U513" s="58"/>
      <c r="V513" s="59"/>
      <c r="W513" s="60"/>
    </row>
    <row r="514" spans="1:23" ht="29" customHeight="1" x14ac:dyDescent="0.35">
      <c r="A514" s="61"/>
      <c r="B514" s="55"/>
      <c r="C514" s="70"/>
      <c r="D514" s="12"/>
      <c r="E514" s="128"/>
      <c r="F514" s="12"/>
      <c r="G514" s="71"/>
      <c r="H514" s="71"/>
      <c r="I514" s="11"/>
      <c r="J514" s="71"/>
      <c r="K514" s="11"/>
      <c r="L514" s="71"/>
      <c r="M514" s="11"/>
      <c r="N514" s="12"/>
      <c r="O514" s="12"/>
      <c r="P514" s="57"/>
      <c r="Q514" s="50"/>
      <c r="R514" s="50"/>
      <c r="S514" s="58"/>
      <c r="T514" s="58"/>
      <c r="U514" s="58"/>
      <c r="V514" s="59"/>
      <c r="W514" s="60"/>
    </row>
    <row r="515" spans="1:23" ht="29" customHeight="1" x14ac:dyDescent="0.35">
      <c r="A515" s="61"/>
      <c r="B515" s="55"/>
      <c r="C515" s="70"/>
      <c r="D515" s="12"/>
      <c r="E515" s="128"/>
      <c r="F515" s="12"/>
      <c r="G515" s="71"/>
      <c r="H515" s="71"/>
      <c r="I515" s="11"/>
      <c r="J515" s="71"/>
      <c r="K515" s="11"/>
      <c r="L515" s="71"/>
      <c r="M515" s="11"/>
      <c r="N515" s="12"/>
      <c r="O515" s="12"/>
      <c r="P515" s="57"/>
      <c r="Q515" s="50"/>
      <c r="R515" s="50"/>
      <c r="S515" s="58"/>
      <c r="T515" s="58"/>
      <c r="U515" s="58"/>
      <c r="V515" s="59"/>
      <c r="W515" s="60"/>
    </row>
    <row r="516" spans="1:23" ht="29" customHeight="1" x14ac:dyDescent="0.35">
      <c r="A516" s="61"/>
      <c r="B516" s="55"/>
      <c r="C516" s="70"/>
      <c r="D516" s="12"/>
      <c r="E516" s="128"/>
      <c r="F516" s="12"/>
      <c r="G516" s="71"/>
      <c r="H516" s="71"/>
      <c r="I516" s="11"/>
      <c r="J516" s="71"/>
      <c r="K516" s="11"/>
      <c r="L516" s="71"/>
      <c r="M516" s="11"/>
      <c r="N516" s="12"/>
      <c r="O516" s="12"/>
      <c r="P516" s="57"/>
      <c r="Q516" s="50"/>
      <c r="R516" s="50"/>
      <c r="S516" s="58"/>
      <c r="T516" s="58"/>
      <c r="U516" s="58"/>
      <c r="V516" s="59"/>
      <c r="W516" s="60"/>
    </row>
    <row r="517" spans="1:23" ht="29" customHeight="1" x14ac:dyDescent="0.35">
      <c r="A517" s="61"/>
      <c r="B517" s="55"/>
      <c r="C517" s="70"/>
      <c r="D517" s="12"/>
      <c r="E517" s="128"/>
      <c r="F517" s="12"/>
      <c r="G517" s="71"/>
      <c r="H517" s="71"/>
      <c r="I517" s="11"/>
      <c r="J517" s="71"/>
      <c r="K517" s="11"/>
      <c r="L517" s="71"/>
      <c r="M517" s="11"/>
      <c r="N517" s="12"/>
      <c r="O517" s="12"/>
      <c r="P517" s="57"/>
      <c r="Q517" s="50"/>
      <c r="R517" s="50"/>
      <c r="S517" s="58"/>
      <c r="T517" s="58"/>
      <c r="U517" s="58"/>
      <c r="V517" s="59"/>
      <c r="W517" s="60"/>
    </row>
    <row r="518" spans="1:23" ht="29" customHeight="1" x14ac:dyDescent="0.35">
      <c r="A518" s="61"/>
      <c r="B518" s="55"/>
      <c r="C518" s="70"/>
      <c r="D518" s="12"/>
      <c r="E518" s="128"/>
      <c r="F518" s="12"/>
      <c r="G518" s="71"/>
      <c r="H518" s="71"/>
      <c r="I518" s="11"/>
      <c r="J518" s="71"/>
      <c r="K518" s="11"/>
      <c r="L518" s="71"/>
      <c r="M518" s="11"/>
      <c r="N518" s="12"/>
      <c r="O518" s="12"/>
      <c r="P518" s="57"/>
      <c r="Q518" s="50"/>
      <c r="R518" s="50"/>
      <c r="S518" s="58"/>
      <c r="T518" s="58"/>
      <c r="U518" s="58"/>
      <c r="V518" s="59"/>
      <c r="W518" s="60"/>
    </row>
    <row r="519" spans="1:23" ht="29" customHeight="1" x14ac:dyDescent="0.35">
      <c r="A519" s="61"/>
      <c r="B519" s="55"/>
      <c r="C519" s="70"/>
      <c r="D519" s="12"/>
      <c r="E519" s="128"/>
      <c r="F519" s="12"/>
      <c r="G519" s="71"/>
      <c r="H519" s="71"/>
      <c r="I519" s="11"/>
      <c r="J519" s="71"/>
      <c r="K519" s="11"/>
      <c r="L519" s="71"/>
      <c r="M519" s="11"/>
      <c r="N519" s="12"/>
      <c r="O519" s="12"/>
      <c r="P519" s="57"/>
      <c r="Q519" s="50"/>
      <c r="R519" s="50"/>
      <c r="S519" s="58"/>
      <c r="T519" s="58"/>
      <c r="U519" s="58"/>
      <c r="V519" s="59"/>
      <c r="W519" s="60"/>
    </row>
    <row r="520" spans="1:23" ht="29" customHeight="1" x14ac:dyDescent="0.35">
      <c r="A520" s="61"/>
      <c r="B520" s="55"/>
      <c r="C520" s="70"/>
      <c r="D520" s="12"/>
      <c r="E520" s="128"/>
      <c r="F520" s="12"/>
      <c r="G520" s="71"/>
      <c r="H520" s="71"/>
      <c r="I520" s="11"/>
      <c r="J520" s="71"/>
      <c r="K520" s="11"/>
      <c r="L520" s="71"/>
      <c r="M520" s="11"/>
      <c r="N520" s="12"/>
      <c r="O520" s="12"/>
      <c r="P520" s="57"/>
      <c r="Q520" s="50"/>
      <c r="R520" s="50"/>
      <c r="S520" s="58"/>
      <c r="T520" s="58"/>
      <c r="U520" s="58"/>
      <c r="V520" s="59"/>
      <c r="W520" s="60"/>
    </row>
    <row r="521" spans="1:23" ht="29" customHeight="1" x14ac:dyDescent="0.35">
      <c r="A521" s="61"/>
      <c r="B521" s="55"/>
      <c r="C521" s="70"/>
      <c r="D521" s="12"/>
      <c r="E521" s="128"/>
      <c r="F521" s="12"/>
      <c r="G521" s="71"/>
      <c r="H521" s="71"/>
      <c r="I521" s="11"/>
      <c r="J521" s="71"/>
      <c r="K521" s="11"/>
      <c r="L521" s="71"/>
      <c r="M521" s="11"/>
      <c r="N521" s="12"/>
      <c r="O521" s="12"/>
      <c r="P521" s="57"/>
      <c r="Q521" s="50"/>
      <c r="R521" s="50"/>
      <c r="S521" s="58"/>
      <c r="T521" s="58"/>
      <c r="U521" s="58"/>
      <c r="V521" s="59"/>
      <c r="W521" s="60"/>
    </row>
    <row r="522" spans="1:23" ht="29" customHeight="1" x14ac:dyDescent="0.35">
      <c r="A522" s="61"/>
      <c r="B522" s="55"/>
      <c r="C522" s="70"/>
      <c r="D522" s="12"/>
      <c r="E522" s="128"/>
      <c r="F522" s="12"/>
      <c r="G522" s="71"/>
      <c r="H522" s="71"/>
      <c r="I522" s="11"/>
      <c r="J522" s="71"/>
      <c r="K522" s="11"/>
      <c r="L522" s="71"/>
      <c r="M522" s="11"/>
      <c r="N522" s="12"/>
      <c r="O522" s="12"/>
      <c r="P522" s="57"/>
      <c r="Q522" s="50"/>
      <c r="R522" s="50"/>
      <c r="S522" s="58"/>
      <c r="T522" s="58"/>
      <c r="U522" s="58"/>
      <c r="V522" s="59"/>
      <c r="W522" s="60"/>
    </row>
    <row r="523" spans="1:23" ht="29" customHeight="1" x14ac:dyDescent="0.35">
      <c r="A523" s="61"/>
      <c r="B523" s="55"/>
      <c r="C523" s="70"/>
      <c r="D523" s="12"/>
      <c r="E523" s="128"/>
      <c r="F523" s="12"/>
      <c r="G523" s="71"/>
      <c r="H523" s="71"/>
      <c r="I523" s="11"/>
      <c r="J523" s="71"/>
      <c r="K523" s="11"/>
      <c r="L523" s="71"/>
      <c r="M523" s="11"/>
      <c r="N523" s="12"/>
      <c r="O523" s="12"/>
      <c r="P523" s="57"/>
      <c r="Q523" s="50"/>
      <c r="R523" s="50"/>
      <c r="S523" s="58"/>
      <c r="T523" s="58"/>
      <c r="U523" s="58"/>
      <c r="V523" s="59"/>
      <c r="W523" s="60"/>
    </row>
    <row r="524" spans="1:23" ht="29" customHeight="1" x14ac:dyDescent="0.35">
      <c r="A524" s="61"/>
      <c r="B524" s="55"/>
      <c r="C524" s="70"/>
      <c r="D524" s="12"/>
      <c r="E524" s="128"/>
      <c r="F524" s="12"/>
      <c r="G524" s="71"/>
      <c r="H524" s="71"/>
      <c r="I524" s="11"/>
      <c r="J524" s="71"/>
      <c r="K524" s="11"/>
      <c r="L524" s="71"/>
      <c r="M524" s="11"/>
      <c r="N524" s="12"/>
      <c r="O524" s="12"/>
      <c r="P524" s="57"/>
      <c r="Q524" s="50"/>
      <c r="R524" s="50"/>
      <c r="S524" s="58"/>
      <c r="T524" s="58"/>
      <c r="U524" s="58"/>
      <c r="V524" s="59"/>
      <c r="W524" s="60"/>
    </row>
    <row r="525" spans="1:23" ht="29" customHeight="1" x14ac:dyDescent="0.35">
      <c r="A525" s="61"/>
      <c r="B525" s="55"/>
      <c r="C525" s="70"/>
      <c r="D525" s="12"/>
      <c r="E525" s="128"/>
      <c r="F525" s="12"/>
      <c r="G525" s="71"/>
      <c r="H525" s="71"/>
      <c r="I525" s="11"/>
      <c r="J525" s="71"/>
      <c r="K525" s="11"/>
      <c r="L525" s="71"/>
      <c r="M525" s="11"/>
      <c r="N525" s="12"/>
      <c r="O525" s="12"/>
      <c r="P525" s="57"/>
      <c r="Q525" s="50"/>
      <c r="R525" s="50"/>
      <c r="S525" s="58"/>
      <c r="T525" s="58"/>
      <c r="U525" s="58"/>
      <c r="V525" s="59"/>
      <c r="W525" s="60"/>
    </row>
    <row r="526" spans="1:23" ht="29" customHeight="1" x14ac:dyDescent="0.35">
      <c r="A526" s="61"/>
      <c r="B526" s="55"/>
      <c r="C526" s="70"/>
      <c r="D526" s="12"/>
      <c r="E526" s="128"/>
      <c r="F526" s="12"/>
      <c r="G526" s="71"/>
      <c r="H526" s="71"/>
      <c r="I526" s="11"/>
      <c r="J526" s="71"/>
      <c r="K526" s="11"/>
      <c r="L526" s="71"/>
      <c r="M526" s="11"/>
      <c r="N526" s="12"/>
      <c r="O526" s="12"/>
      <c r="P526" s="57"/>
      <c r="Q526" s="50"/>
      <c r="R526" s="50"/>
      <c r="S526" s="58"/>
      <c r="T526" s="58"/>
      <c r="U526" s="58"/>
      <c r="V526" s="59"/>
      <c r="W526" s="60"/>
    </row>
    <row r="527" spans="1:23" ht="29" customHeight="1" x14ac:dyDescent="0.35">
      <c r="A527" s="61"/>
      <c r="B527" s="55"/>
      <c r="C527" s="70"/>
      <c r="D527" s="12"/>
      <c r="E527" s="128"/>
      <c r="F527" s="12"/>
      <c r="G527" s="71"/>
      <c r="H527" s="71"/>
      <c r="I527" s="11"/>
      <c r="J527" s="71"/>
      <c r="K527" s="11"/>
      <c r="L527" s="71"/>
      <c r="M527" s="11"/>
      <c r="N527" s="12"/>
      <c r="O527" s="12"/>
      <c r="P527" s="57"/>
      <c r="Q527" s="50"/>
      <c r="R527" s="50"/>
      <c r="S527" s="58"/>
      <c r="T527" s="58"/>
      <c r="U527" s="58"/>
      <c r="V527" s="59"/>
      <c r="W527" s="60"/>
    </row>
    <row r="528" spans="1:23" ht="29" customHeight="1" x14ac:dyDescent="0.35">
      <c r="A528" s="61"/>
      <c r="B528" s="55"/>
      <c r="C528" s="70"/>
      <c r="D528" s="12"/>
      <c r="E528" s="128"/>
      <c r="F528" s="12"/>
      <c r="G528" s="71"/>
      <c r="H528" s="71"/>
      <c r="I528" s="11"/>
      <c r="J528" s="71"/>
      <c r="K528" s="11"/>
      <c r="L528" s="71"/>
      <c r="M528" s="11"/>
      <c r="N528" s="12"/>
      <c r="O528" s="12"/>
      <c r="P528" s="57"/>
      <c r="Q528" s="50"/>
      <c r="R528" s="50"/>
      <c r="S528" s="58"/>
      <c r="T528" s="58"/>
      <c r="U528" s="58"/>
      <c r="V528" s="59"/>
      <c r="W528" s="60"/>
    </row>
    <row r="529" spans="1:23" ht="29" customHeight="1" x14ac:dyDescent="0.35">
      <c r="A529" s="61"/>
      <c r="B529" s="55"/>
      <c r="C529" s="70"/>
      <c r="D529" s="12"/>
      <c r="E529" s="128"/>
      <c r="F529" s="12"/>
      <c r="G529" s="71"/>
      <c r="H529" s="71"/>
      <c r="I529" s="11"/>
      <c r="J529" s="71"/>
      <c r="K529" s="11"/>
      <c r="L529" s="71"/>
      <c r="M529" s="11"/>
      <c r="N529" s="12"/>
      <c r="O529" s="12"/>
      <c r="P529" s="57"/>
      <c r="Q529" s="50"/>
      <c r="R529" s="50"/>
      <c r="S529" s="58"/>
      <c r="T529" s="58"/>
      <c r="U529" s="58"/>
      <c r="V529" s="59"/>
      <c r="W529" s="60"/>
    </row>
    <row r="530" spans="1:23" ht="29" customHeight="1" x14ac:dyDescent="0.35">
      <c r="A530" s="61"/>
      <c r="B530" s="55"/>
      <c r="C530" s="70"/>
      <c r="D530" s="12"/>
      <c r="E530" s="128"/>
      <c r="F530" s="12"/>
      <c r="G530" s="71"/>
      <c r="H530" s="71"/>
      <c r="I530" s="11"/>
      <c r="J530" s="71"/>
      <c r="K530" s="11"/>
      <c r="L530" s="71"/>
      <c r="M530" s="11"/>
      <c r="N530" s="12"/>
      <c r="O530" s="12"/>
      <c r="P530" s="57"/>
      <c r="Q530" s="50"/>
      <c r="R530" s="50"/>
      <c r="S530" s="58"/>
      <c r="T530" s="58"/>
      <c r="U530" s="58"/>
      <c r="V530" s="59"/>
      <c r="W530" s="60"/>
    </row>
    <row r="531" spans="1:23" ht="29" customHeight="1" x14ac:dyDescent="0.35">
      <c r="A531" s="61"/>
      <c r="B531" s="55"/>
      <c r="C531" s="70"/>
      <c r="D531" s="12"/>
      <c r="E531" s="128"/>
      <c r="F531" s="12"/>
      <c r="G531" s="71"/>
      <c r="H531" s="71"/>
      <c r="I531" s="11"/>
      <c r="J531" s="71"/>
      <c r="K531" s="11"/>
      <c r="L531" s="71"/>
      <c r="M531" s="11"/>
      <c r="N531" s="12"/>
      <c r="O531" s="12"/>
      <c r="P531" s="57"/>
      <c r="Q531" s="50"/>
      <c r="R531" s="50"/>
      <c r="S531" s="58"/>
      <c r="T531" s="58"/>
      <c r="U531" s="58"/>
      <c r="V531" s="59"/>
      <c r="W531" s="60"/>
    </row>
    <row r="532" spans="1:23" ht="29" customHeight="1" x14ac:dyDescent="0.35">
      <c r="A532" s="61"/>
      <c r="B532" s="55"/>
      <c r="C532" s="70"/>
      <c r="D532" s="12"/>
      <c r="E532" s="128"/>
      <c r="F532" s="12"/>
      <c r="G532" s="71"/>
      <c r="H532" s="71"/>
      <c r="I532" s="11"/>
      <c r="J532" s="71"/>
      <c r="K532" s="11"/>
      <c r="L532" s="71"/>
      <c r="M532" s="11"/>
      <c r="N532" s="12"/>
      <c r="O532" s="12"/>
      <c r="P532" s="57"/>
      <c r="Q532" s="50"/>
      <c r="R532" s="50"/>
      <c r="S532" s="58"/>
      <c r="T532" s="58"/>
      <c r="U532" s="58"/>
      <c r="V532" s="59"/>
      <c r="W532" s="60"/>
    </row>
    <row r="533" spans="1:23" ht="29" customHeight="1" x14ac:dyDescent="0.35">
      <c r="A533" s="61"/>
      <c r="B533" s="55"/>
      <c r="C533" s="70"/>
      <c r="D533" s="12"/>
      <c r="E533" s="128"/>
      <c r="F533" s="12"/>
      <c r="G533" s="71"/>
      <c r="H533" s="71"/>
      <c r="I533" s="11"/>
      <c r="J533" s="71"/>
      <c r="K533" s="11"/>
      <c r="L533" s="71"/>
      <c r="M533" s="11"/>
      <c r="N533" s="12"/>
      <c r="O533" s="12"/>
      <c r="P533" s="57"/>
      <c r="Q533" s="50"/>
      <c r="R533" s="50"/>
      <c r="S533" s="58"/>
      <c r="T533" s="58"/>
      <c r="U533" s="58"/>
      <c r="V533" s="59"/>
      <c r="W533" s="60"/>
    </row>
    <row r="534" spans="1:23" ht="29" customHeight="1" x14ac:dyDescent="0.35">
      <c r="A534" s="61"/>
      <c r="B534" s="55"/>
      <c r="C534" s="70"/>
      <c r="D534" s="12"/>
      <c r="E534" s="128"/>
      <c r="F534" s="12"/>
      <c r="G534" s="71"/>
      <c r="H534" s="71"/>
      <c r="I534" s="11"/>
      <c r="J534" s="71"/>
      <c r="K534" s="11"/>
      <c r="L534" s="71"/>
      <c r="M534" s="11"/>
      <c r="N534" s="12"/>
      <c r="O534" s="12"/>
      <c r="P534" s="57"/>
      <c r="Q534" s="50"/>
      <c r="R534" s="50"/>
      <c r="S534" s="58"/>
      <c r="T534" s="58"/>
      <c r="U534" s="58"/>
      <c r="V534" s="59"/>
      <c r="W534" s="60"/>
    </row>
    <row r="535" spans="1:23" ht="29" customHeight="1" x14ac:dyDescent="0.35">
      <c r="A535" s="61"/>
      <c r="B535" s="55"/>
      <c r="C535" s="70"/>
      <c r="D535" s="12"/>
      <c r="E535" s="128"/>
      <c r="F535" s="12"/>
      <c r="G535" s="71"/>
      <c r="H535" s="71"/>
      <c r="I535" s="11"/>
      <c r="J535" s="71"/>
      <c r="K535" s="11"/>
      <c r="L535" s="71"/>
      <c r="M535" s="11"/>
      <c r="N535" s="12"/>
      <c r="O535" s="12"/>
      <c r="P535" s="57"/>
      <c r="Q535" s="50"/>
      <c r="R535" s="50"/>
      <c r="S535" s="58"/>
      <c r="T535" s="58"/>
      <c r="U535" s="58"/>
      <c r="V535" s="59"/>
      <c r="W535" s="60"/>
    </row>
    <row r="536" spans="1:23" ht="29" customHeight="1" x14ac:dyDescent="0.35">
      <c r="A536" s="61"/>
      <c r="B536" s="55"/>
      <c r="C536" s="70"/>
      <c r="D536" s="12"/>
      <c r="E536" s="128"/>
      <c r="F536" s="12"/>
      <c r="G536" s="71"/>
      <c r="H536" s="71"/>
      <c r="I536" s="11"/>
      <c r="J536" s="71"/>
      <c r="K536" s="11"/>
      <c r="L536" s="71"/>
      <c r="M536" s="11"/>
      <c r="N536" s="12"/>
      <c r="O536" s="12"/>
      <c r="P536" s="57"/>
      <c r="Q536" s="50"/>
      <c r="R536" s="50"/>
      <c r="S536" s="58"/>
      <c r="T536" s="58"/>
      <c r="U536" s="58"/>
      <c r="V536" s="59"/>
      <c r="W536" s="60"/>
    </row>
    <row r="537" spans="1:23" ht="29" customHeight="1" x14ac:dyDescent="0.35">
      <c r="A537" s="61"/>
      <c r="B537" s="55"/>
      <c r="C537" s="70"/>
      <c r="D537" s="12"/>
      <c r="E537" s="128"/>
      <c r="F537" s="12"/>
      <c r="G537" s="71"/>
      <c r="H537" s="71"/>
      <c r="I537" s="11"/>
      <c r="J537" s="71"/>
      <c r="K537" s="11"/>
      <c r="L537" s="71"/>
      <c r="M537" s="11"/>
      <c r="N537" s="12"/>
      <c r="O537" s="12"/>
      <c r="P537" s="57"/>
      <c r="Q537" s="50"/>
      <c r="R537" s="50"/>
      <c r="S537" s="58"/>
      <c r="T537" s="58"/>
      <c r="U537" s="58"/>
      <c r="V537" s="59"/>
      <c r="W537" s="60"/>
    </row>
    <row r="538" spans="1:23" ht="29" customHeight="1" x14ac:dyDescent="0.35">
      <c r="A538" s="61"/>
      <c r="B538" s="55"/>
      <c r="C538" s="70"/>
      <c r="D538" s="12"/>
      <c r="E538" s="128"/>
      <c r="F538" s="12"/>
      <c r="G538" s="71"/>
      <c r="H538" s="71"/>
      <c r="I538" s="11"/>
      <c r="J538" s="71"/>
      <c r="K538" s="11"/>
      <c r="L538" s="71"/>
      <c r="M538" s="11"/>
      <c r="N538" s="12"/>
      <c r="O538" s="12"/>
      <c r="P538" s="57"/>
      <c r="Q538" s="50"/>
      <c r="R538" s="50"/>
      <c r="S538" s="58"/>
      <c r="T538" s="58"/>
      <c r="U538" s="58"/>
      <c r="V538" s="59"/>
      <c r="W538" s="60"/>
    </row>
    <row r="539" spans="1:23" ht="29" customHeight="1" x14ac:dyDescent="0.35">
      <c r="A539" s="61"/>
      <c r="B539" s="55"/>
      <c r="C539" s="70"/>
      <c r="D539" s="12"/>
      <c r="E539" s="128"/>
      <c r="F539" s="12"/>
      <c r="G539" s="71"/>
      <c r="H539" s="71"/>
      <c r="I539" s="11"/>
      <c r="J539" s="71"/>
      <c r="K539" s="11"/>
      <c r="L539" s="71"/>
      <c r="M539" s="11"/>
      <c r="N539" s="12"/>
      <c r="O539" s="12"/>
      <c r="P539" s="57"/>
      <c r="Q539" s="50"/>
      <c r="R539" s="50"/>
      <c r="S539" s="58"/>
      <c r="T539" s="58"/>
      <c r="U539" s="58"/>
      <c r="V539" s="59"/>
      <c r="W539" s="60"/>
    </row>
    <row r="540" spans="1:23" ht="29" customHeight="1" x14ac:dyDescent="0.35">
      <c r="A540" s="61"/>
      <c r="B540" s="55"/>
      <c r="C540" s="70"/>
      <c r="D540" s="12"/>
      <c r="E540" s="128"/>
      <c r="F540" s="12"/>
      <c r="G540" s="71"/>
      <c r="H540" s="71"/>
      <c r="I540" s="11"/>
      <c r="J540" s="71"/>
      <c r="K540" s="11"/>
      <c r="L540" s="71"/>
      <c r="M540" s="11"/>
      <c r="N540" s="12"/>
      <c r="O540" s="12"/>
      <c r="P540" s="57"/>
      <c r="Q540" s="50"/>
      <c r="R540" s="50"/>
      <c r="S540" s="58"/>
      <c r="T540" s="58"/>
      <c r="U540" s="58"/>
      <c r="V540" s="59"/>
      <c r="W540" s="60"/>
    </row>
    <row r="541" spans="1:23" ht="29" customHeight="1" x14ac:dyDescent="0.35">
      <c r="A541" s="61"/>
      <c r="B541" s="55"/>
      <c r="C541" s="70"/>
      <c r="D541" s="12"/>
      <c r="E541" s="128"/>
      <c r="F541" s="12"/>
      <c r="G541" s="71"/>
      <c r="H541" s="71"/>
      <c r="I541" s="11"/>
      <c r="J541" s="71"/>
      <c r="K541" s="11"/>
      <c r="L541" s="71"/>
      <c r="M541" s="11"/>
      <c r="N541" s="12"/>
      <c r="O541" s="12"/>
      <c r="P541" s="57"/>
      <c r="Q541" s="50"/>
      <c r="R541" s="50"/>
      <c r="S541" s="58"/>
      <c r="T541" s="58"/>
      <c r="U541" s="58"/>
      <c r="V541" s="59"/>
      <c r="W541" s="60"/>
    </row>
    <row r="542" spans="1:23" ht="29" customHeight="1" x14ac:dyDescent="0.35">
      <c r="A542" s="61"/>
      <c r="B542" s="55"/>
      <c r="C542" s="70"/>
      <c r="D542" s="12"/>
      <c r="E542" s="128"/>
      <c r="F542" s="12"/>
      <c r="G542" s="71"/>
      <c r="H542" s="71"/>
      <c r="I542" s="11"/>
      <c r="J542" s="71"/>
      <c r="K542" s="11"/>
      <c r="L542" s="71"/>
      <c r="M542" s="11"/>
      <c r="N542" s="12"/>
      <c r="O542" s="12"/>
      <c r="P542" s="57"/>
      <c r="Q542" s="50"/>
      <c r="R542" s="50"/>
      <c r="S542" s="58"/>
      <c r="T542" s="58"/>
      <c r="U542" s="58"/>
      <c r="V542" s="59"/>
      <c r="W542" s="60"/>
    </row>
    <row r="543" spans="1:23" ht="29" customHeight="1" x14ac:dyDescent="0.35">
      <c r="A543" s="61"/>
      <c r="B543" s="55"/>
      <c r="C543" s="70"/>
      <c r="D543" s="12"/>
      <c r="E543" s="128"/>
      <c r="F543" s="12"/>
      <c r="G543" s="71"/>
      <c r="H543" s="71"/>
      <c r="I543" s="11"/>
      <c r="J543" s="71"/>
      <c r="K543" s="11"/>
      <c r="L543" s="71"/>
      <c r="M543" s="11"/>
      <c r="N543" s="12"/>
      <c r="O543" s="12"/>
      <c r="P543" s="57"/>
      <c r="Q543" s="50"/>
      <c r="R543" s="50"/>
      <c r="S543" s="58"/>
      <c r="T543" s="58"/>
      <c r="U543" s="58"/>
      <c r="V543" s="59"/>
      <c r="W543" s="60"/>
    </row>
    <row r="544" spans="1:23" ht="29" customHeight="1" x14ac:dyDescent="0.35">
      <c r="A544" s="61"/>
      <c r="B544" s="55"/>
      <c r="C544" s="70"/>
      <c r="D544" s="12"/>
      <c r="E544" s="128"/>
      <c r="F544" s="12"/>
      <c r="G544" s="71"/>
      <c r="H544" s="71"/>
      <c r="I544" s="11"/>
      <c r="J544" s="71"/>
      <c r="K544" s="11"/>
      <c r="L544" s="71"/>
      <c r="M544" s="11"/>
      <c r="N544" s="12"/>
      <c r="O544" s="12"/>
      <c r="P544" s="57"/>
      <c r="Q544" s="50"/>
      <c r="R544" s="50"/>
      <c r="S544" s="58"/>
      <c r="T544" s="58"/>
      <c r="U544" s="58"/>
      <c r="V544" s="59"/>
      <c r="W544" s="60"/>
    </row>
    <row r="545" spans="1:23" ht="29" customHeight="1" x14ac:dyDescent="0.35">
      <c r="A545" s="61"/>
      <c r="B545" s="55"/>
      <c r="C545" s="70"/>
      <c r="D545" s="12"/>
      <c r="E545" s="128"/>
      <c r="F545" s="12"/>
      <c r="G545" s="71"/>
      <c r="H545" s="71"/>
      <c r="I545" s="11"/>
      <c r="J545" s="71"/>
      <c r="K545" s="11"/>
      <c r="L545" s="71"/>
      <c r="M545" s="11"/>
      <c r="N545" s="12"/>
      <c r="O545" s="12"/>
      <c r="P545" s="57"/>
      <c r="Q545" s="50"/>
      <c r="R545" s="50"/>
      <c r="S545" s="58"/>
      <c r="T545" s="58"/>
      <c r="U545" s="58"/>
      <c r="V545" s="59"/>
      <c r="W545" s="60"/>
    </row>
    <row r="546" spans="1:23" ht="29" customHeight="1" x14ac:dyDescent="0.35">
      <c r="A546" s="61"/>
      <c r="B546" s="55"/>
      <c r="C546" s="70"/>
      <c r="D546" s="12"/>
      <c r="E546" s="128"/>
      <c r="F546" s="12"/>
      <c r="G546" s="71"/>
      <c r="H546" s="71"/>
      <c r="I546" s="11"/>
      <c r="J546" s="71"/>
      <c r="K546" s="11"/>
      <c r="L546" s="71"/>
      <c r="M546" s="11"/>
      <c r="N546" s="12"/>
      <c r="O546" s="12"/>
      <c r="P546" s="57"/>
      <c r="Q546" s="50"/>
      <c r="R546" s="50"/>
      <c r="S546" s="58"/>
      <c r="T546" s="58"/>
      <c r="U546" s="58"/>
      <c r="V546" s="59"/>
      <c r="W546" s="60"/>
    </row>
    <row r="547" spans="1:23" ht="29" customHeight="1" x14ac:dyDescent="0.35">
      <c r="A547" s="61"/>
      <c r="B547" s="55"/>
      <c r="C547" s="70"/>
      <c r="D547" s="12"/>
      <c r="E547" s="128"/>
      <c r="F547" s="12"/>
      <c r="G547" s="71"/>
      <c r="H547" s="71"/>
      <c r="I547" s="11"/>
      <c r="J547" s="71"/>
      <c r="K547" s="11"/>
      <c r="L547" s="71"/>
      <c r="M547" s="11"/>
      <c r="N547" s="12"/>
      <c r="O547" s="12"/>
      <c r="P547" s="57"/>
      <c r="Q547" s="50"/>
      <c r="R547" s="50"/>
      <c r="S547" s="58"/>
      <c r="T547" s="58"/>
      <c r="U547" s="58"/>
      <c r="V547" s="59"/>
      <c r="W547" s="60"/>
    </row>
    <row r="548" spans="1:23" ht="29" customHeight="1" x14ac:dyDescent="0.35">
      <c r="A548" s="61"/>
      <c r="B548" s="55"/>
      <c r="C548" s="70"/>
      <c r="D548" s="12"/>
      <c r="E548" s="128"/>
      <c r="F548" s="12"/>
      <c r="G548" s="71"/>
      <c r="H548" s="71"/>
      <c r="I548" s="11"/>
      <c r="J548" s="71"/>
      <c r="K548" s="11"/>
      <c r="L548" s="71"/>
      <c r="M548" s="11"/>
      <c r="N548" s="12"/>
      <c r="O548" s="12"/>
      <c r="P548" s="57"/>
      <c r="Q548" s="50"/>
      <c r="R548" s="50"/>
      <c r="S548" s="58"/>
      <c r="T548" s="58"/>
      <c r="U548" s="58"/>
      <c r="V548" s="59"/>
      <c r="W548" s="60"/>
    </row>
    <row r="549" spans="1:23" ht="29" customHeight="1" x14ac:dyDescent="0.35">
      <c r="A549" s="61"/>
      <c r="B549" s="55"/>
      <c r="C549" s="70"/>
      <c r="D549" s="12"/>
      <c r="E549" s="128"/>
      <c r="F549" s="12"/>
      <c r="G549" s="71"/>
      <c r="H549" s="71"/>
      <c r="I549" s="11"/>
      <c r="J549" s="71"/>
      <c r="K549" s="11"/>
      <c r="L549" s="71"/>
      <c r="M549" s="11"/>
      <c r="N549" s="12"/>
      <c r="O549" s="12"/>
      <c r="P549" s="57"/>
      <c r="Q549" s="50"/>
      <c r="R549" s="50"/>
      <c r="S549" s="58"/>
      <c r="T549" s="58"/>
      <c r="U549" s="58"/>
      <c r="V549" s="59"/>
      <c r="W549" s="60"/>
    </row>
    <row r="550" spans="1:23" ht="29" customHeight="1" x14ac:dyDescent="0.35">
      <c r="A550" s="61"/>
      <c r="B550" s="55"/>
      <c r="C550" s="70"/>
      <c r="D550" s="12"/>
      <c r="E550" s="128"/>
      <c r="F550" s="12"/>
      <c r="G550" s="71"/>
      <c r="H550" s="71"/>
      <c r="I550" s="11"/>
      <c r="J550" s="71"/>
      <c r="K550" s="11"/>
      <c r="L550" s="71"/>
      <c r="M550" s="11"/>
      <c r="N550" s="12"/>
      <c r="O550" s="12"/>
      <c r="P550" s="57"/>
      <c r="Q550" s="50"/>
      <c r="R550" s="50"/>
      <c r="S550" s="58"/>
      <c r="T550" s="58"/>
      <c r="U550" s="58"/>
      <c r="V550" s="59"/>
      <c r="W550" s="60"/>
    </row>
    <row r="551" spans="1:23" ht="29" customHeight="1" x14ac:dyDescent="0.35">
      <c r="A551" s="61"/>
      <c r="B551" s="55"/>
      <c r="C551" s="70"/>
      <c r="D551" s="12"/>
      <c r="E551" s="128"/>
      <c r="F551" s="12"/>
      <c r="G551" s="71"/>
      <c r="H551" s="71"/>
      <c r="I551" s="11"/>
      <c r="J551" s="71"/>
      <c r="K551" s="11"/>
      <c r="L551" s="71"/>
      <c r="M551" s="11"/>
      <c r="N551" s="12"/>
      <c r="O551" s="12"/>
      <c r="P551" s="57"/>
      <c r="Q551" s="50"/>
      <c r="R551" s="50"/>
      <c r="S551" s="58"/>
      <c r="T551" s="58"/>
      <c r="U551" s="58"/>
      <c r="V551" s="59"/>
      <c r="W551" s="60"/>
    </row>
    <row r="552" spans="1:23" ht="29" customHeight="1" x14ac:dyDescent="0.35">
      <c r="A552" s="61"/>
      <c r="B552" s="55"/>
      <c r="C552" s="70"/>
      <c r="D552" s="12"/>
      <c r="E552" s="128"/>
      <c r="F552" s="12"/>
      <c r="G552" s="71"/>
      <c r="H552" s="71"/>
      <c r="I552" s="11"/>
      <c r="J552" s="71"/>
      <c r="K552" s="11"/>
      <c r="L552" s="71"/>
      <c r="M552" s="11"/>
      <c r="N552" s="12"/>
      <c r="O552" s="12"/>
      <c r="P552" s="57"/>
      <c r="Q552" s="50"/>
      <c r="R552" s="50"/>
      <c r="S552" s="58"/>
      <c r="T552" s="58"/>
      <c r="U552" s="58"/>
      <c r="V552" s="59"/>
      <c r="W552" s="60"/>
    </row>
    <row r="553" spans="1:23" ht="29" customHeight="1" x14ac:dyDescent="0.35">
      <c r="A553" s="61"/>
      <c r="B553" s="55"/>
      <c r="C553" s="70"/>
      <c r="D553" s="12"/>
      <c r="E553" s="128"/>
      <c r="F553" s="12"/>
      <c r="G553" s="71"/>
      <c r="H553" s="71"/>
      <c r="I553" s="11"/>
      <c r="J553" s="71"/>
      <c r="K553" s="11"/>
      <c r="L553" s="71"/>
      <c r="M553" s="11"/>
      <c r="N553" s="12"/>
      <c r="O553" s="12"/>
      <c r="P553" s="57"/>
      <c r="Q553" s="50"/>
      <c r="R553" s="50"/>
      <c r="S553" s="58"/>
      <c r="T553" s="58"/>
      <c r="U553" s="58"/>
      <c r="V553" s="59"/>
      <c r="W553" s="60"/>
    </row>
    <row r="554" spans="1:23" ht="29" customHeight="1" x14ac:dyDescent="0.35">
      <c r="A554" s="61"/>
      <c r="B554" s="55"/>
      <c r="C554" s="70"/>
      <c r="D554" s="12"/>
      <c r="E554" s="128"/>
      <c r="F554" s="12"/>
      <c r="G554" s="71"/>
      <c r="H554" s="71"/>
      <c r="I554" s="11"/>
      <c r="J554" s="71"/>
      <c r="K554" s="11"/>
      <c r="L554" s="71"/>
      <c r="M554" s="11"/>
      <c r="N554" s="12"/>
      <c r="O554" s="12"/>
      <c r="P554" s="57"/>
      <c r="Q554" s="50"/>
      <c r="R554" s="50"/>
      <c r="S554" s="58"/>
      <c r="T554" s="58"/>
      <c r="U554" s="58"/>
      <c r="V554" s="59"/>
      <c r="W554" s="60"/>
    </row>
    <row r="555" spans="1:23" ht="29" customHeight="1" x14ac:dyDescent="0.35">
      <c r="A555" s="61"/>
      <c r="B555" s="55"/>
      <c r="C555" s="70"/>
      <c r="D555" s="12"/>
      <c r="E555" s="128"/>
      <c r="F555" s="12"/>
      <c r="G555" s="71"/>
      <c r="H555" s="71"/>
      <c r="I555" s="11"/>
      <c r="J555" s="71"/>
      <c r="K555" s="11"/>
      <c r="L555" s="71"/>
      <c r="M555" s="11"/>
      <c r="N555" s="12"/>
      <c r="O555" s="12"/>
      <c r="P555" s="57"/>
      <c r="Q555" s="50"/>
      <c r="R555" s="50"/>
      <c r="S555" s="58"/>
      <c r="T555" s="58"/>
      <c r="U555" s="58"/>
      <c r="V555" s="59"/>
      <c r="W555" s="60"/>
    </row>
    <row r="556" spans="1:23" ht="29" customHeight="1" x14ac:dyDescent="0.35">
      <c r="A556" s="61"/>
      <c r="B556" s="55"/>
      <c r="C556" s="70"/>
      <c r="D556" s="12"/>
      <c r="E556" s="128"/>
      <c r="F556" s="12"/>
      <c r="G556" s="71"/>
      <c r="H556" s="71"/>
      <c r="I556" s="11"/>
      <c r="J556" s="71"/>
      <c r="K556" s="11"/>
      <c r="L556" s="71"/>
      <c r="M556" s="11"/>
      <c r="N556" s="12"/>
      <c r="O556" s="12"/>
      <c r="P556" s="57"/>
      <c r="Q556" s="50"/>
      <c r="R556" s="50"/>
      <c r="S556" s="58"/>
      <c r="T556" s="58"/>
      <c r="U556" s="58"/>
      <c r="V556" s="59"/>
      <c r="W556" s="60"/>
    </row>
    <row r="557" spans="1:23" ht="29" customHeight="1" x14ac:dyDescent="0.35">
      <c r="A557" s="61"/>
      <c r="B557" s="55"/>
      <c r="C557" s="70"/>
      <c r="D557" s="12"/>
      <c r="E557" s="128"/>
      <c r="F557" s="12"/>
      <c r="G557" s="71"/>
      <c r="H557" s="71"/>
      <c r="I557" s="11"/>
      <c r="J557" s="71"/>
      <c r="K557" s="11"/>
      <c r="L557" s="71"/>
      <c r="M557" s="11"/>
      <c r="N557" s="12"/>
      <c r="O557" s="12"/>
      <c r="P557" s="57"/>
      <c r="Q557" s="50"/>
      <c r="R557" s="50"/>
      <c r="S557" s="58"/>
      <c r="T557" s="58"/>
      <c r="U557" s="58"/>
      <c r="V557" s="59"/>
      <c r="W557" s="60"/>
    </row>
    <row r="558" spans="1:23" ht="29" customHeight="1" x14ac:dyDescent="0.35">
      <c r="A558" s="61"/>
      <c r="B558" s="55"/>
      <c r="C558" s="70"/>
      <c r="D558" s="12"/>
      <c r="E558" s="128"/>
      <c r="F558" s="12"/>
      <c r="G558" s="71"/>
      <c r="H558" s="71"/>
      <c r="I558" s="11"/>
      <c r="J558" s="71"/>
      <c r="K558" s="11"/>
      <c r="L558" s="71"/>
      <c r="M558" s="11"/>
      <c r="N558" s="12"/>
      <c r="O558" s="12"/>
      <c r="P558" s="57"/>
      <c r="Q558" s="50"/>
      <c r="R558" s="50"/>
      <c r="S558" s="58"/>
      <c r="T558" s="58"/>
      <c r="U558" s="58"/>
      <c r="V558" s="59"/>
      <c r="W558" s="60"/>
    </row>
    <row r="559" spans="1:23" ht="29" customHeight="1" x14ac:dyDescent="0.35">
      <c r="A559" s="61"/>
      <c r="B559" s="55"/>
      <c r="C559" s="70"/>
      <c r="D559" s="12"/>
      <c r="E559" s="128"/>
      <c r="F559" s="12"/>
      <c r="G559" s="71"/>
      <c r="H559" s="71"/>
      <c r="I559" s="11"/>
      <c r="J559" s="71"/>
      <c r="K559" s="11"/>
      <c r="L559" s="71"/>
      <c r="M559" s="11"/>
      <c r="N559" s="12"/>
      <c r="O559" s="12"/>
      <c r="P559" s="57"/>
      <c r="Q559" s="50"/>
      <c r="R559" s="50"/>
      <c r="S559" s="58"/>
      <c r="T559" s="58"/>
      <c r="U559" s="58"/>
      <c r="V559" s="59"/>
      <c r="W559" s="60"/>
    </row>
    <row r="560" spans="1:23" ht="29" customHeight="1" x14ac:dyDescent="0.35">
      <c r="A560" s="61"/>
      <c r="B560" s="55"/>
      <c r="C560" s="70"/>
      <c r="D560" s="12"/>
      <c r="E560" s="128"/>
      <c r="F560" s="12"/>
      <c r="G560" s="71"/>
      <c r="H560" s="71"/>
      <c r="I560" s="11"/>
      <c r="J560" s="71"/>
      <c r="K560" s="11"/>
      <c r="L560" s="71"/>
      <c r="M560" s="11"/>
      <c r="N560" s="12"/>
      <c r="O560" s="12"/>
      <c r="P560" s="57"/>
      <c r="Q560" s="50"/>
      <c r="R560" s="50"/>
      <c r="S560" s="58"/>
      <c r="T560" s="58"/>
      <c r="U560" s="58"/>
      <c r="V560" s="59"/>
      <c r="W560" s="60"/>
    </row>
    <row r="561" spans="1:23" ht="29" customHeight="1" x14ac:dyDescent="0.35">
      <c r="A561" s="61"/>
      <c r="B561" s="55"/>
      <c r="C561" s="70"/>
      <c r="D561" s="12"/>
      <c r="E561" s="128"/>
      <c r="F561" s="12"/>
      <c r="G561" s="71"/>
      <c r="H561" s="71"/>
      <c r="I561" s="11"/>
      <c r="J561" s="71"/>
      <c r="K561" s="11"/>
      <c r="L561" s="71"/>
      <c r="M561" s="11"/>
      <c r="N561" s="12"/>
      <c r="O561" s="12"/>
      <c r="P561" s="57"/>
      <c r="Q561" s="50"/>
      <c r="R561" s="50"/>
      <c r="S561" s="58"/>
      <c r="T561" s="58"/>
      <c r="U561" s="58"/>
      <c r="V561" s="59"/>
      <c r="W561" s="60"/>
    </row>
    <row r="562" spans="1:23" ht="29" customHeight="1" x14ac:dyDescent="0.35">
      <c r="A562" s="61"/>
      <c r="B562" s="55"/>
      <c r="C562" s="70"/>
      <c r="D562" s="12"/>
      <c r="E562" s="128"/>
      <c r="F562" s="12"/>
      <c r="G562" s="71"/>
      <c r="H562" s="71"/>
      <c r="I562" s="11"/>
      <c r="J562" s="71"/>
      <c r="K562" s="11"/>
      <c r="L562" s="71"/>
      <c r="M562" s="11"/>
      <c r="N562" s="12"/>
      <c r="O562" s="12"/>
      <c r="P562" s="57"/>
      <c r="Q562" s="50"/>
      <c r="R562" s="50"/>
      <c r="S562" s="58"/>
      <c r="T562" s="58"/>
      <c r="U562" s="58"/>
      <c r="V562" s="59"/>
      <c r="W562" s="60"/>
    </row>
    <row r="563" spans="1:23" ht="29" customHeight="1" x14ac:dyDescent="0.35">
      <c r="A563" s="61"/>
      <c r="B563" s="55"/>
      <c r="C563" s="70"/>
      <c r="D563" s="12"/>
      <c r="E563" s="128"/>
      <c r="F563" s="12"/>
      <c r="G563" s="71"/>
      <c r="H563" s="71"/>
      <c r="I563" s="11"/>
      <c r="J563" s="71"/>
      <c r="K563" s="11"/>
      <c r="L563" s="71"/>
      <c r="M563" s="11"/>
      <c r="N563" s="12"/>
      <c r="O563" s="12"/>
      <c r="P563" s="57"/>
      <c r="Q563" s="50"/>
      <c r="R563" s="50"/>
      <c r="S563" s="58"/>
      <c r="T563" s="58"/>
      <c r="U563" s="58"/>
      <c r="V563" s="59"/>
      <c r="W563" s="60"/>
    </row>
    <row r="564" spans="1:23" ht="29" customHeight="1" x14ac:dyDescent="0.35">
      <c r="A564" s="61"/>
      <c r="B564" s="55"/>
      <c r="C564" s="70"/>
      <c r="D564" s="12"/>
      <c r="E564" s="128"/>
      <c r="F564" s="12"/>
      <c r="G564" s="71"/>
      <c r="H564" s="71"/>
      <c r="I564" s="11"/>
      <c r="J564" s="71"/>
      <c r="K564" s="11"/>
      <c r="L564" s="71"/>
      <c r="M564" s="11"/>
      <c r="N564" s="12"/>
      <c r="O564" s="12"/>
      <c r="P564" s="57"/>
      <c r="Q564" s="50"/>
      <c r="R564" s="50"/>
      <c r="S564" s="58"/>
      <c r="T564" s="58"/>
      <c r="U564" s="58"/>
      <c r="V564" s="59"/>
      <c r="W564" s="60"/>
    </row>
    <row r="565" spans="1:23" ht="29" customHeight="1" x14ac:dyDescent="0.35">
      <c r="A565" s="61"/>
      <c r="B565" s="55"/>
      <c r="C565" s="70"/>
      <c r="D565" s="12"/>
      <c r="E565" s="128"/>
      <c r="F565" s="12"/>
      <c r="G565" s="71"/>
      <c r="H565" s="71"/>
      <c r="I565" s="11"/>
      <c r="J565" s="71"/>
      <c r="K565" s="11"/>
      <c r="L565" s="71"/>
      <c r="M565" s="11"/>
      <c r="N565" s="12"/>
      <c r="O565" s="12"/>
      <c r="P565" s="57"/>
      <c r="Q565" s="50"/>
      <c r="R565" s="50"/>
      <c r="S565" s="58"/>
      <c r="T565" s="58"/>
      <c r="U565" s="58"/>
      <c r="V565" s="59"/>
      <c r="W565" s="60"/>
    </row>
    <row r="566" spans="1:23" ht="29" customHeight="1" x14ac:dyDescent="0.35">
      <c r="A566" s="61"/>
      <c r="B566" s="55"/>
      <c r="C566" s="70"/>
      <c r="D566" s="12"/>
      <c r="E566" s="128"/>
      <c r="F566" s="12"/>
      <c r="G566" s="71"/>
      <c r="H566" s="71"/>
      <c r="I566" s="11"/>
      <c r="J566" s="71"/>
      <c r="K566" s="11"/>
      <c r="L566" s="71"/>
      <c r="M566" s="11"/>
      <c r="N566" s="12"/>
      <c r="O566" s="12"/>
      <c r="P566" s="57"/>
      <c r="Q566" s="50"/>
      <c r="R566" s="50"/>
      <c r="S566" s="58"/>
      <c r="T566" s="58"/>
      <c r="U566" s="58"/>
      <c r="V566" s="59"/>
      <c r="W566" s="60"/>
    </row>
    <row r="567" spans="1:23" ht="29" customHeight="1" x14ac:dyDescent="0.35">
      <c r="A567" s="61"/>
      <c r="B567" s="55"/>
      <c r="C567" s="70"/>
      <c r="D567" s="12"/>
      <c r="E567" s="128"/>
      <c r="F567" s="12"/>
      <c r="G567" s="71"/>
      <c r="H567" s="71"/>
      <c r="I567" s="11"/>
      <c r="J567" s="71"/>
      <c r="K567" s="11"/>
      <c r="L567" s="71"/>
      <c r="M567" s="11"/>
      <c r="N567" s="12"/>
      <c r="O567" s="12"/>
      <c r="P567" s="57"/>
      <c r="Q567" s="50"/>
      <c r="R567" s="50"/>
      <c r="S567" s="58"/>
      <c r="T567" s="58"/>
      <c r="U567" s="58"/>
      <c r="V567" s="59"/>
      <c r="W567" s="60"/>
    </row>
    <row r="568" spans="1:23" ht="29" customHeight="1" x14ac:dyDescent="0.35">
      <c r="A568" s="61"/>
      <c r="B568" s="55"/>
      <c r="C568" s="70"/>
      <c r="D568" s="12"/>
      <c r="E568" s="128"/>
      <c r="F568" s="12"/>
      <c r="G568" s="71"/>
      <c r="H568" s="71"/>
      <c r="I568" s="11"/>
      <c r="J568" s="71"/>
      <c r="K568" s="11"/>
      <c r="L568" s="71"/>
      <c r="M568" s="11"/>
      <c r="N568" s="12"/>
      <c r="O568" s="12"/>
      <c r="P568" s="57"/>
      <c r="Q568" s="50"/>
      <c r="R568" s="50"/>
      <c r="S568" s="58"/>
      <c r="T568" s="58"/>
      <c r="U568" s="58"/>
      <c r="V568" s="59"/>
      <c r="W568" s="60"/>
    </row>
    <row r="569" spans="1:23" ht="29" customHeight="1" x14ac:dyDescent="0.35">
      <c r="A569" s="61"/>
      <c r="B569" s="55"/>
      <c r="C569" s="70"/>
      <c r="D569" s="12"/>
      <c r="E569" s="128"/>
      <c r="F569" s="12"/>
      <c r="G569" s="71"/>
      <c r="H569" s="71"/>
      <c r="I569" s="11"/>
      <c r="J569" s="71"/>
      <c r="K569" s="11"/>
      <c r="L569" s="71"/>
      <c r="M569" s="11"/>
      <c r="N569" s="12"/>
      <c r="O569" s="12"/>
      <c r="P569" s="57"/>
      <c r="Q569" s="50"/>
      <c r="R569" s="50"/>
      <c r="S569" s="58"/>
      <c r="T569" s="58"/>
      <c r="U569" s="58"/>
      <c r="V569" s="59"/>
      <c r="W569" s="60"/>
    </row>
    <row r="570" spans="1:23" ht="29" customHeight="1" x14ac:dyDescent="0.35">
      <c r="A570" s="61"/>
      <c r="B570" s="55"/>
      <c r="C570" s="70"/>
      <c r="D570" s="12"/>
      <c r="E570" s="128"/>
      <c r="F570" s="12"/>
      <c r="G570" s="71"/>
      <c r="H570" s="71"/>
      <c r="I570" s="11"/>
      <c r="J570" s="71"/>
      <c r="K570" s="11"/>
      <c r="L570" s="71"/>
      <c r="M570" s="11"/>
      <c r="N570" s="12"/>
      <c r="O570" s="12"/>
      <c r="P570" s="57"/>
      <c r="Q570" s="50"/>
      <c r="R570" s="50"/>
      <c r="S570" s="58"/>
      <c r="T570" s="58"/>
      <c r="U570" s="58"/>
      <c r="V570" s="59"/>
      <c r="W570" s="60"/>
    </row>
    <row r="571" spans="1:23" ht="29" customHeight="1" x14ac:dyDescent="0.35">
      <c r="A571" s="61"/>
      <c r="B571" s="55"/>
      <c r="C571" s="70"/>
      <c r="D571" s="12"/>
      <c r="E571" s="128"/>
      <c r="F571" s="12"/>
      <c r="G571" s="71"/>
      <c r="H571" s="71"/>
      <c r="I571" s="11"/>
      <c r="J571" s="71"/>
      <c r="K571" s="11"/>
      <c r="L571" s="71"/>
      <c r="M571" s="11"/>
      <c r="N571" s="12"/>
      <c r="O571" s="12"/>
      <c r="P571" s="57"/>
      <c r="Q571" s="50"/>
      <c r="R571" s="50"/>
      <c r="S571" s="58"/>
      <c r="T571" s="58"/>
      <c r="U571" s="58"/>
      <c r="V571" s="59"/>
      <c r="W571" s="60"/>
    </row>
    <row r="572" spans="1:23" ht="29" customHeight="1" x14ac:dyDescent="0.35">
      <c r="A572" s="61"/>
      <c r="B572" s="55"/>
      <c r="C572" s="70"/>
      <c r="D572" s="12"/>
      <c r="E572" s="128"/>
      <c r="F572" s="12"/>
      <c r="G572" s="71"/>
      <c r="H572" s="71"/>
      <c r="I572" s="11"/>
      <c r="J572" s="71"/>
      <c r="K572" s="11"/>
      <c r="L572" s="71"/>
      <c r="M572" s="11"/>
      <c r="N572" s="12"/>
      <c r="O572" s="12"/>
      <c r="P572" s="57"/>
      <c r="Q572" s="50"/>
      <c r="R572" s="50"/>
      <c r="S572" s="58"/>
      <c r="T572" s="58"/>
      <c r="U572" s="58"/>
      <c r="V572" s="59"/>
      <c r="W572" s="60"/>
    </row>
    <row r="573" spans="1:23" ht="29" customHeight="1" x14ac:dyDescent="0.35">
      <c r="A573" s="61"/>
      <c r="B573" s="55"/>
      <c r="C573" s="70"/>
      <c r="D573" s="12"/>
      <c r="E573" s="128"/>
      <c r="F573" s="12"/>
      <c r="G573" s="71"/>
      <c r="H573" s="71"/>
      <c r="I573" s="11"/>
      <c r="J573" s="71"/>
      <c r="K573" s="11"/>
      <c r="L573" s="71"/>
      <c r="M573" s="11"/>
      <c r="N573" s="12"/>
      <c r="O573" s="12"/>
      <c r="P573" s="57"/>
      <c r="Q573" s="50"/>
      <c r="R573" s="50"/>
      <c r="S573" s="58"/>
      <c r="T573" s="58"/>
      <c r="U573" s="58"/>
      <c r="V573" s="59"/>
      <c r="W573" s="60"/>
    </row>
    <row r="574" spans="1:23" ht="29" customHeight="1" x14ac:dyDescent="0.35">
      <c r="A574" s="61"/>
      <c r="B574" s="55"/>
      <c r="C574" s="70"/>
      <c r="D574" s="12"/>
      <c r="E574" s="128"/>
      <c r="F574" s="12"/>
      <c r="G574" s="71"/>
      <c r="H574" s="71"/>
      <c r="I574" s="11"/>
      <c r="J574" s="71"/>
      <c r="K574" s="11"/>
      <c r="L574" s="71"/>
      <c r="M574" s="11"/>
      <c r="N574" s="12"/>
      <c r="O574" s="12"/>
      <c r="P574" s="57"/>
      <c r="Q574" s="50"/>
      <c r="R574" s="50"/>
      <c r="S574" s="58"/>
      <c r="T574" s="58"/>
      <c r="U574" s="58"/>
      <c r="V574" s="59"/>
      <c r="W574" s="60"/>
    </row>
    <row r="575" spans="1:23" ht="29" customHeight="1" x14ac:dyDescent="0.35">
      <c r="A575" s="61"/>
      <c r="B575" s="55"/>
      <c r="C575" s="70"/>
      <c r="D575" s="12"/>
      <c r="E575" s="128"/>
      <c r="F575" s="12"/>
      <c r="G575" s="71"/>
      <c r="H575" s="71"/>
      <c r="I575" s="11"/>
      <c r="J575" s="71"/>
      <c r="K575" s="11"/>
      <c r="L575" s="71"/>
      <c r="M575" s="11"/>
      <c r="N575" s="12"/>
      <c r="O575" s="12"/>
      <c r="P575" s="57"/>
      <c r="Q575" s="50"/>
      <c r="R575" s="50"/>
      <c r="S575" s="58"/>
      <c r="T575" s="58"/>
      <c r="U575" s="58"/>
      <c r="V575" s="59"/>
      <c r="W575" s="60"/>
    </row>
    <row r="576" spans="1:23" ht="29" customHeight="1" x14ac:dyDescent="0.35">
      <c r="A576" s="61"/>
      <c r="B576" s="55"/>
      <c r="C576" s="70"/>
      <c r="D576" s="12"/>
      <c r="E576" s="128"/>
      <c r="F576" s="12"/>
      <c r="G576" s="71"/>
      <c r="H576" s="71"/>
      <c r="I576" s="11"/>
      <c r="J576" s="71"/>
      <c r="K576" s="11"/>
      <c r="L576" s="71"/>
      <c r="M576" s="11"/>
      <c r="N576" s="12"/>
      <c r="O576" s="12"/>
      <c r="P576" s="57"/>
      <c r="Q576" s="50"/>
      <c r="R576" s="50"/>
      <c r="S576" s="58"/>
      <c r="T576" s="58"/>
      <c r="U576" s="58"/>
      <c r="V576" s="59"/>
      <c r="W576" s="60"/>
    </row>
    <row r="577" spans="1:23" ht="29" customHeight="1" x14ac:dyDescent="0.35">
      <c r="A577" s="61"/>
      <c r="B577" s="55"/>
      <c r="C577" s="70"/>
      <c r="D577" s="12"/>
      <c r="E577" s="128"/>
      <c r="F577" s="12"/>
      <c r="G577" s="71"/>
      <c r="H577" s="71"/>
      <c r="I577" s="11"/>
      <c r="J577" s="71"/>
      <c r="K577" s="11"/>
      <c r="L577" s="71"/>
      <c r="M577" s="11"/>
      <c r="N577" s="12"/>
      <c r="O577" s="12"/>
      <c r="P577" s="57"/>
      <c r="Q577" s="50"/>
      <c r="R577" s="50"/>
      <c r="S577" s="58"/>
      <c r="T577" s="58"/>
      <c r="U577" s="58"/>
      <c r="V577" s="59"/>
      <c r="W577" s="60"/>
    </row>
    <row r="578" spans="1:23" ht="29" customHeight="1" x14ac:dyDescent="0.35">
      <c r="A578" s="61"/>
      <c r="B578" s="55"/>
      <c r="C578" s="70"/>
      <c r="D578" s="12"/>
      <c r="E578" s="128"/>
      <c r="F578" s="12"/>
      <c r="G578" s="71"/>
      <c r="H578" s="71"/>
      <c r="I578" s="11"/>
      <c r="J578" s="71"/>
      <c r="K578" s="11"/>
      <c r="L578" s="71"/>
      <c r="M578" s="11"/>
      <c r="N578" s="12"/>
      <c r="O578" s="12"/>
      <c r="P578" s="57"/>
      <c r="Q578" s="50"/>
      <c r="R578" s="50"/>
      <c r="S578" s="58"/>
      <c r="T578" s="58"/>
      <c r="U578" s="58"/>
      <c r="V578" s="59"/>
      <c r="W578" s="60"/>
    </row>
    <row r="579" spans="1:23" ht="29" customHeight="1" x14ac:dyDescent="0.35">
      <c r="A579" s="61"/>
      <c r="B579" s="55"/>
      <c r="C579" s="70"/>
      <c r="D579" s="12"/>
      <c r="E579" s="128"/>
      <c r="F579" s="12"/>
      <c r="G579" s="71"/>
      <c r="H579" s="71"/>
      <c r="I579" s="11"/>
      <c r="J579" s="71"/>
      <c r="K579" s="11"/>
      <c r="L579" s="71"/>
      <c r="M579" s="11"/>
      <c r="N579" s="12"/>
      <c r="O579" s="12"/>
      <c r="P579" s="57"/>
      <c r="Q579" s="50"/>
      <c r="R579" s="50"/>
      <c r="S579" s="58"/>
      <c r="T579" s="58"/>
      <c r="U579" s="58"/>
      <c r="V579" s="59"/>
      <c r="W579" s="60"/>
    </row>
    <row r="580" spans="1:23" ht="29" customHeight="1" x14ac:dyDescent="0.35">
      <c r="A580" s="61"/>
      <c r="B580" s="55"/>
      <c r="C580" s="70"/>
      <c r="D580" s="12"/>
      <c r="E580" s="128"/>
      <c r="F580" s="12"/>
      <c r="G580" s="71"/>
      <c r="H580" s="71"/>
      <c r="I580" s="11"/>
      <c r="J580" s="71"/>
      <c r="K580" s="11"/>
      <c r="L580" s="71"/>
      <c r="M580" s="11"/>
      <c r="N580" s="12"/>
      <c r="O580" s="12"/>
      <c r="P580" s="57"/>
      <c r="Q580" s="50"/>
      <c r="R580" s="50"/>
      <c r="S580" s="58"/>
      <c r="T580" s="58"/>
      <c r="U580" s="58"/>
      <c r="V580" s="59"/>
      <c r="W580" s="60"/>
    </row>
    <row r="581" spans="1:23" ht="29" customHeight="1" x14ac:dyDescent="0.35">
      <c r="A581" s="61"/>
      <c r="B581" s="55"/>
      <c r="C581" s="70"/>
      <c r="D581" s="12"/>
      <c r="E581" s="128"/>
      <c r="F581" s="12"/>
      <c r="G581" s="71"/>
      <c r="H581" s="71"/>
      <c r="I581" s="11"/>
      <c r="J581" s="71"/>
      <c r="K581" s="11"/>
      <c r="L581" s="71"/>
      <c r="M581" s="11"/>
      <c r="N581" s="12"/>
      <c r="O581" s="12"/>
      <c r="P581" s="57"/>
      <c r="Q581" s="50"/>
      <c r="R581" s="50"/>
      <c r="S581" s="58"/>
      <c r="T581" s="58"/>
      <c r="U581" s="58"/>
      <c r="V581" s="59"/>
      <c r="W581" s="60"/>
    </row>
    <row r="582" spans="1:23" ht="29" customHeight="1" x14ac:dyDescent="0.35">
      <c r="A582" s="61"/>
      <c r="B582" s="55"/>
      <c r="C582" s="70"/>
      <c r="D582" s="12"/>
      <c r="E582" s="128"/>
      <c r="F582" s="12"/>
      <c r="G582" s="71"/>
      <c r="H582" s="71"/>
      <c r="I582" s="11"/>
      <c r="J582" s="71"/>
      <c r="K582" s="11"/>
      <c r="L582" s="71"/>
      <c r="M582" s="11"/>
      <c r="N582" s="12"/>
      <c r="O582" s="12"/>
      <c r="P582" s="57"/>
      <c r="Q582" s="50"/>
      <c r="R582" s="50"/>
      <c r="S582" s="58"/>
      <c r="T582" s="58"/>
      <c r="U582" s="58"/>
      <c r="V582" s="59"/>
      <c r="W582" s="60"/>
    </row>
    <row r="583" spans="1:23" ht="29" customHeight="1" x14ac:dyDescent="0.35">
      <c r="A583" s="61"/>
      <c r="B583" s="55"/>
      <c r="C583" s="70"/>
      <c r="D583" s="12"/>
      <c r="E583" s="128"/>
      <c r="F583" s="12"/>
      <c r="G583" s="71"/>
      <c r="H583" s="71"/>
      <c r="I583" s="11"/>
      <c r="J583" s="71"/>
      <c r="K583" s="11"/>
      <c r="L583" s="71"/>
      <c r="M583" s="11"/>
      <c r="N583" s="12"/>
      <c r="O583" s="12"/>
      <c r="P583" s="57"/>
      <c r="Q583" s="50"/>
      <c r="R583" s="50"/>
      <c r="S583" s="58"/>
      <c r="T583" s="58"/>
      <c r="U583" s="58"/>
      <c r="V583" s="59"/>
      <c r="W583" s="60"/>
    </row>
    <row r="584" spans="1:23" ht="29" customHeight="1" x14ac:dyDescent="0.35">
      <c r="A584" s="61"/>
      <c r="B584" s="55"/>
      <c r="C584" s="70"/>
      <c r="D584" s="12"/>
      <c r="E584" s="128"/>
      <c r="F584" s="12"/>
      <c r="G584" s="71"/>
      <c r="H584" s="71"/>
      <c r="I584" s="11"/>
      <c r="J584" s="71"/>
      <c r="K584" s="11"/>
      <c r="L584" s="71"/>
      <c r="M584" s="11"/>
      <c r="N584" s="12"/>
      <c r="O584" s="12"/>
      <c r="P584" s="57"/>
      <c r="Q584" s="50"/>
      <c r="R584" s="50"/>
      <c r="S584" s="58"/>
      <c r="T584" s="58"/>
      <c r="U584" s="58"/>
      <c r="V584" s="59"/>
      <c r="W584" s="60"/>
    </row>
    <row r="585" spans="1:23" ht="29" customHeight="1" x14ac:dyDescent="0.35">
      <c r="A585" s="61"/>
      <c r="B585" s="55"/>
      <c r="C585" s="70"/>
      <c r="D585" s="12"/>
      <c r="E585" s="128"/>
      <c r="F585" s="12"/>
      <c r="G585" s="71"/>
      <c r="H585" s="71"/>
      <c r="I585" s="11"/>
      <c r="J585" s="71"/>
      <c r="K585" s="11"/>
      <c r="L585" s="71"/>
      <c r="M585" s="11"/>
      <c r="N585" s="12"/>
      <c r="O585" s="12"/>
      <c r="P585" s="57"/>
      <c r="Q585" s="50"/>
      <c r="R585" s="50"/>
      <c r="S585" s="58"/>
      <c r="T585" s="58"/>
      <c r="U585" s="58"/>
      <c r="V585" s="59"/>
      <c r="W585" s="60"/>
    </row>
    <row r="586" spans="1:23" ht="29" customHeight="1" x14ac:dyDescent="0.35">
      <c r="A586" s="61"/>
      <c r="B586" s="55"/>
      <c r="C586" s="70"/>
      <c r="D586" s="12"/>
      <c r="E586" s="128"/>
      <c r="F586" s="12"/>
      <c r="G586" s="71"/>
      <c r="H586" s="71"/>
      <c r="I586" s="11"/>
      <c r="J586" s="71"/>
      <c r="K586" s="11"/>
      <c r="L586" s="71"/>
      <c r="M586" s="11"/>
      <c r="N586" s="12"/>
      <c r="O586" s="12"/>
      <c r="P586" s="57"/>
      <c r="Q586" s="50"/>
      <c r="R586" s="50"/>
      <c r="S586" s="58"/>
      <c r="T586" s="58"/>
      <c r="U586" s="58"/>
      <c r="V586" s="59"/>
      <c r="W586" s="60"/>
    </row>
    <row r="587" spans="1:23" ht="29" customHeight="1" x14ac:dyDescent="0.35">
      <c r="A587" s="61"/>
      <c r="B587" s="55"/>
      <c r="C587" s="70"/>
      <c r="D587" s="12"/>
      <c r="E587" s="128"/>
      <c r="F587" s="12"/>
      <c r="G587" s="71"/>
      <c r="H587" s="71"/>
      <c r="I587" s="11"/>
      <c r="J587" s="71"/>
      <c r="K587" s="11"/>
      <c r="L587" s="71"/>
      <c r="M587" s="11"/>
      <c r="N587" s="12"/>
      <c r="O587" s="12"/>
      <c r="P587" s="57"/>
      <c r="Q587" s="50"/>
      <c r="R587" s="50"/>
      <c r="S587" s="58"/>
      <c r="T587" s="58"/>
      <c r="U587" s="58"/>
      <c r="V587" s="59"/>
      <c r="W587" s="60"/>
    </row>
    <row r="588" spans="1:23" ht="29" customHeight="1" x14ac:dyDescent="0.35">
      <c r="A588" s="61"/>
      <c r="B588" s="55"/>
      <c r="C588" s="70"/>
      <c r="D588" s="12"/>
      <c r="E588" s="128"/>
      <c r="F588" s="12"/>
      <c r="G588" s="71"/>
      <c r="H588" s="71"/>
      <c r="I588" s="11"/>
      <c r="J588" s="71"/>
      <c r="K588" s="11"/>
      <c r="L588" s="71"/>
      <c r="M588" s="11"/>
      <c r="N588" s="12"/>
      <c r="O588" s="12"/>
      <c r="P588" s="57"/>
      <c r="Q588" s="50"/>
      <c r="R588" s="50"/>
      <c r="S588" s="58"/>
      <c r="T588" s="58"/>
      <c r="U588" s="58"/>
      <c r="V588" s="59"/>
      <c r="W588" s="60"/>
    </row>
    <row r="589" spans="1:23" ht="29" customHeight="1" x14ac:dyDescent="0.35">
      <c r="A589" s="61"/>
      <c r="B589" s="55"/>
      <c r="C589" s="70"/>
      <c r="D589" s="12"/>
      <c r="E589" s="128"/>
      <c r="F589" s="12"/>
      <c r="G589" s="71"/>
      <c r="H589" s="71"/>
      <c r="I589" s="11"/>
      <c r="J589" s="71"/>
      <c r="K589" s="11"/>
      <c r="L589" s="71"/>
      <c r="M589" s="11"/>
      <c r="N589" s="12"/>
      <c r="O589" s="12"/>
      <c r="P589" s="57"/>
      <c r="Q589" s="50"/>
      <c r="R589" s="50"/>
      <c r="S589" s="58"/>
      <c r="T589" s="58"/>
      <c r="U589" s="58"/>
      <c r="V589" s="59"/>
      <c r="W589" s="60"/>
    </row>
    <row r="590" spans="1:23" ht="29" customHeight="1" x14ac:dyDescent="0.35">
      <c r="A590" s="61"/>
      <c r="B590" s="55"/>
      <c r="C590" s="70"/>
      <c r="D590" s="12"/>
      <c r="E590" s="128"/>
      <c r="F590" s="12"/>
      <c r="G590" s="71"/>
      <c r="H590" s="71"/>
      <c r="I590" s="11"/>
      <c r="J590" s="71"/>
      <c r="K590" s="11"/>
      <c r="L590" s="71"/>
      <c r="M590" s="11"/>
      <c r="N590" s="12"/>
      <c r="O590" s="12"/>
      <c r="P590" s="57"/>
      <c r="Q590" s="50"/>
      <c r="R590" s="50"/>
      <c r="S590" s="58"/>
      <c r="T590" s="58"/>
      <c r="U590" s="58"/>
      <c r="V590" s="59"/>
      <c r="W590" s="60"/>
    </row>
    <row r="591" spans="1:23" ht="29" customHeight="1" x14ac:dyDescent="0.35">
      <c r="A591" s="61"/>
      <c r="B591" s="55"/>
      <c r="C591" s="70"/>
      <c r="D591" s="12"/>
      <c r="E591" s="128"/>
      <c r="F591" s="12"/>
      <c r="G591" s="71"/>
      <c r="H591" s="71"/>
      <c r="I591" s="11"/>
      <c r="J591" s="71"/>
      <c r="K591" s="11"/>
      <c r="L591" s="71"/>
      <c r="M591" s="11"/>
      <c r="N591" s="12"/>
      <c r="O591" s="12"/>
      <c r="P591" s="57"/>
      <c r="Q591" s="50"/>
      <c r="R591" s="50"/>
      <c r="S591" s="58"/>
      <c r="T591" s="58"/>
      <c r="U591" s="58"/>
      <c r="V591" s="59"/>
      <c r="W591" s="60"/>
    </row>
    <row r="592" spans="1:23" ht="29" customHeight="1" x14ac:dyDescent="0.35">
      <c r="A592" s="61"/>
      <c r="B592" s="55"/>
      <c r="C592" s="70"/>
      <c r="D592" s="12"/>
      <c r="E592" s="128"/>
      <c r="F592" s="12"/>
      <c r="G592" s="71"/>
      <c r="H592" s="71"/>
      <c r="I592" s="11"/>
      <c r="J592" s="71"/>
      <c r="K592" s="11"/>
      <c r="L592" s="71"/>
      <c r="M592" s="11"/>
      <c r="N592" s="12"/>
      <c r="O592" s="12"/>
      <c r="P592" s="57"/>
      <c r="Q592" s="50"/>
      <c r="R592" s="50"/>
      <c r="S592" s="58"/>
      <c r="T592" s="58"/>
      <c r="U592" s="58"/>
      <c r="V592" s="59"/>
      <c r="W592" s="60"/>
    </row>
    <row r="593" spans="1:23" ht="29" customHeight="1" x14ac:dyDescent="0.35">
      <c r="A593" s="61"/>
      <c r="B593" s="55"/>
      <c r="C593" s="70"/>
      <c r="D593" s="12"/>
      <c r="E593" s="128"/>
      <c r="F593" s="12"/>
      <c r="G593" s="71"/>
      <c r="H593" s="71"/>
      <c r="I593" s="11"/>
      <c r="J593" s="71"/>
      <c r="K593" s="11"/>
      <c r="L593" s="71"/>
      <c r="M593" s="11"/>
      <c r="N593" s="12"/>
      <c r="O593" s="12"/>
      <c r="P593" s="57"/>
      <c r="Q593" s="50"/>
      <c r="R593" s="50"/>
      <c r="S593" s="58"/>
      <c r="T593" s="58"/>
      <c r="U593" s="58"/>
      <c r="V593" s="59"/>
      <c r="W593" s="60"/>
    </row>
    <row r="594" spans="1:23" ht="29" customHeight="1" x14ac:dyDescent="0.35">
      <c r="A594" s="61"/>
      <c r="B594" s="55"/>
      <c r="C594" s="70"/>
      <c r="D594" s="12"/>
      <c r="E594" s="128"/>
      <c r="F594" s="12"/>
      <c r="G594" s="71"/>
      <c r="H594" s="71"/>
      <c r="I594" s="11"/>
      <c r="J594" s="71"/>
      <c r="K594" s="11"/>
      <c r="L594" s="71"/>
      <c r="M594" s="11"/>
      <c r="N594" s="12"/>
      <c r="O594" s="12"/>
      <c r="P594" s="57"/>
      <c r="Q594" s="50"/>
      <c r="R594" s="50"/>
      <c r="S594" s="58"/>
      <c r="T594" s="58"/>
      <c r="U594" s="58"/>
      <c r="V594" s="59"/>
      <c r="W594" s="60"/>
    </row>
    <row r="595" spans="1:23" ht="29" customHeight="1" x14ac:dyDescent="0.35">
      <c r="A595" s="61"/>
      <c r="B595" s="55"/>
      <c r="C595" s="70"/>
      <c r="D595" s="12"/>
      <c r="E595" s="128"/>
      <c r="F595" s="12"/>
      <c r="G595" s="71"/>
      <c r="H595" s="71"/>
      <c r="I595" s="11"/>
      <c r="J595" s="71"/>
      <c r="K595" s="11"/>
      <c r="L595" s="71"/>
      <c r="M595" s="11"/>
      <c r="N595" s="12"/>
      <c r="O595" s="12"/>
      <c r="P595" s="57"/>
      <c r="Q595" s="50"/>
      <c r="R595" s="50"/>
      <c r="S595" s="58"/>
      <c r="T595" s="58"/>
      <c r="U595" s="58"/>
      <c r="V595" s="59"/>
      <c r="W595" s="60"/>
    </row>
    <row r="596" spans="1:23" ht="29" customHeight="1" x14ac:dyDescent="0.35">
      <c r="A596" s="61"/>
      <c r="B596" s="55"/>
      <c r="C596" s="70"/>
      <c r="D596" s="12"/>
      <c r="E596" s="128"/>
      <c r="F596" s="12"/>
      <c r="G596" s="71"/>
      <c r="H596" s="71"/>
      <c r="I596" s="11"/>
      <c r="J596" s="71"/>
      <c r="K596" s="11"/>
      <c r="L596" s="71"/>
      <c r="M596" s="11"/>
      <c r="N596" s="12"/>
      <c r="O596" s="12"/>
      <c r="P596" s="57"/>
      <c r="Q596" s="50"/>
      <c r="R596" s="50"/>
      <c r="S596" s="58"/>
      <c r="T596" s="58"/>
      <c r="U596" s="58"/>
      <c r="V596" s="59"/>
      <c r="W596" s="60"/>
    </row>
    <row r="597" spans="1:23" ht="29" customHeight="1" x14ac:dyDescent="0.35">
      <c r="A597" s="61"/>
      <c r="B597" s="55"/>
      <c r="C597" s="70"/>
      <c r="D597" s="12"/>
      <c r="E597" s="128"/>
      <c r="F597" s="12"/>
      <c r="G597" s="71"/>
      <c r="H597" s="71"/>
      <c r="I597" s="11"/>
      <c r="J597" s="71"/>
      <c r="K597" s="11"/>
      <c r="L597" s="71"/>
      <c r="M597" s="11"/>
      <c r="N597" s="12"/>
      <c r="O597" s="12"/>
      <c r="P597" s="57"/>
      <c r="Q597" s="50"/>
      <c r="R597" s="50"/>
      <c r="S597" s="58"/>
      <c r="T597" s="58"/>
      <c r="U597" s="58"/>
      <c r="V597" s="59"/>
      <c r="W597" s="60"/>
    </row>
    <row r="598" spans="1:23" ht="29" customHeight="1" x14ac:dyDescent="0.35">
      <c r="A598" s="61"/>
      <c r="B598" s="55"/>
      <c r="C598" s="70"/>
      <c r="D598" s="12"/>
      <c r="E598" s="128"/>
      <c r="F598" s="12"/>
      <c r="G598" s="71"/>
      <c r="H598" s="71"/>
      <c r="I598" s="11"/>
      <c r="J598" s="71"/>
      <c r="K598" s="11"/>
      <c r="L598" s="71"/>
      <c r="M598" s="11"/>
      <c r="N598" s="12"/>
      <c r="O598" s="12"/>
      <c r="P598" s="57"/>
      <c r="Q598" s="50"/>
      <c r="R598" s="50"/>
      <c r="S598" s="58"/>
      <c r="T598" s="58"/>
      <c r="U598" s="58"/>
      <c r="V598" s="59"/>
      <c r="W598" s="60"/>
    </row>
    <row r="599" spans="1:23" ht="29" customHeight="1" x14ac:dyDescent="0.35">
      <c r="A599" s="61"/>
      <c r="B599" s="55"/>
      <c r="C599" s="70"/>
      <c r="D599" s="12"/>
      <c r="E599" s="128"/>
      <c r="F599" s="12"/>
      <c r="G599" s="71"/>
      <c r="H599" s="71"/>
      <c r="I599" s="11"/>
      <c r="J599" s="71"/>
      <c r="K599" s="11"/>
      <c r="L599" s="71"/>
      <c r="M599" s="11"/>
      <c r="N599" s="12"/>
      <c r="O599" s="12"/>
      <c r="P599" s="57"/>
      <c r="Q599" s="50"/>
      <c r="R599" s="50"/>
      <c r="S599" s="58"/>
      <c r="T599" s="58"/>
      <c r="U599" s="58"/>
      <c r="V599" s="59"/>
      <c r="W599" s="60"/>
    </row>
    <row r="600" spans="1:23" ht="29" customHeight="1" x14ac:dyDescent="0.35">
      <c r="A600" s="61"/>
      <c r="B600" s="55"/>
      <c r="C600" s="70"/>
      <c r="D600" s="12"/>
      <c r="E600" s="128"/>
      <c r="F600" s="12"/>
      <c r="G600" s="71"/>
      <c r="H600" s="71"/>
      <c r="I600" s="11"/>
      <c r="J600" s="71"/>
      <c r="K600" s="11"/>
      <c r="L600" s="71"/>
      <c r="M600" s="11"/>
      <c r="N600" s="12"/>
      <c r="O600" s="12"/>
      <c r="P600" s="57"/>
      <c r="Q600" s="50"/>
      <c r="R600" s="50"/>
      <c r="S600" s="58"/>
      <c r="T600" s="58"/>
      <c r="U600" s="58"/>
      <c r="V600" s="59"/>
      <c r="W600" s="60"/>
    </row>
    <row r="601" spans="1:23" ht="29" customHeight="1" x14ac:dyDescent="0.35">
      <c r="A601" s="61"/>
      <c r="B601" s="55"/>
      <c r="C601" s="70"/>
      <c r="D601" s="12"/>
      <c r="E601" s="128"/>
      <c r="F601" s="12"/>
      <c r="G601" s="71"/>
      <c r="H601" s="71"/>
      <c r="I601" s="11"/>
      <c r="J601" s="71"/>
      <c r="K601" s="11"/>
      <c r="L601" s="71"/>
      <c r="M601" s="11"/>
      <c r="N601" s="12"/>
      <c r="O601" s="12"/>
      <c r="P601" s="57"/>
      <c r="Q601" s="50"/>
      <c r="R601" s="50"/>
      <c r="S601" s="58"/>
      <c r="T601" s="58"/>
      <c r="U601" s="58"/>
      <c r="V601" s="59"/>
      <c r="W601" s="60"/>
    </row>
    <row r="602" spans="1:23" ht="29" customHeight="1" x14ac:dyDescent="0.35">
      <c r="A602" s="61"/>
      <c r="B602" s="55"/>
      <c r="C602" s="70"/>
      <c r="D602" s="12"/>
      <c r="E602" s="128"/>
      <c r="F602" s="12"/>
      <c r="G602" s="71"/>
      <c r="H602" s="71"/>
      <c r="I602" s="11"/>
      <c r="J602" s="71"/>
      <c r="K602" s="11"/>
      <c r="L602" s="71"/>
      <c r="M602" s="11"/>
      <c r="N602" s="12"/>
      <c r="O602" s="12"/>
      <c r="P602" s="57"/>
      <c r="Q602" s="50"/>
      <c r="R602" s="50"/>
      <c r="S602" s="58"/>
      <c r="T602" s="58"/>
      <c r="U602" s="58"/>
      <c r="V602" s="59"/>
      <c r="W602" s="60"/>
    </row>
    <row r="603" spans="1:23" ht="29" customHeight="1" x14ac:dyDescent="0.35">
      <c r="A603" s="61"/>
      <c r="B603" s="55"/>
      <c r="C603" s="70"/>
      <c r="D603" s="12"/>
      <c r="E603" s="128"/>
      <c r="F603" s="12"/>
      <c r="G603" s="71"/>
      <c r="H603" s="71"/>
      <c r="I603" s="11"/>
      <c r="J603" s="71"/>
      <c r="K603" s="11"/>
      <c r="L603" s="71"/>
      <c r="M603" s="11"/>
      <c r="N603" s="12"/>
      <c r="O603" s="12"/>
      <c r="P603" s="57"/>
      <c r="Q603" s="50"/>
      <c r="R603" s="50"/>
      <c r="S603" s="58"/>
      <c r="T603" s="58"/>
      <c r="U603" s="58"/>
      <c r="V603" s="59"/>
      <c r="W603" s="60"/>
    </row>
    <row r="604" spans="1:23" ht="29" customHeight="1" x14ac:dyDescent="0.35">
      <c r="A604" s="61"/>
      <c r="B604" s="55"/>
      <c r="C604" s="70"/>
      <c r="D604" s="12"/>
      <c r="E604" s="128"/>
      <c r="F604" s="12"/>
      <c r="G604" s="71"/>
      <c r="H604" s="71"/>
      <c r="I604" s="11"/>
      <c r="J604" s="71"/>
      <c r="K604" s="11"/>
      <c r="L604" s="71"/>
      <c r="M604" s="11"/>
      <c r="N604" s="12"/>
      <c r="O604" s="12"/>
      <c r="P604" s="57"/>
      <c r="Q604" s="50"/>
      <c r="R604" s="50"/>
      <c r="S604" s="58"/>
      <c r="T604" s="58"/>
      <c r="U604" s="58"/>
      <c r="V604" s="59"/>
      <c r="W604" s="60"/>
    </row>
    <row r="605" spans="1:23" ht="29" customHeight="1" x14ac:dyDescent="0.35">
      <c r="A605" s="61"/>
      <c r="B605" s="55"/>
      <c r="C605" s="70"/>
      <c r="D605" s="12"/>
      <c r="E605" s="128"/>
      <c r="F605" s="12"/>
      <c r="G605" s="71"/>
      <c r="H605" s="71"/>
      <c r="I605" s="11"/>
      <c r="J605" s="71"/>
      <c r="K605" s="11"/>
      <c r="L605" s="71"/>
      <c r="M605" s="11"/>
      <c r="N605" s="12"/>
      <c r="O605" s="12"/>
      <c r="P605" s="57"/>
      <c r="Q605" s="50"/>
      <c r="R605" s="50"/>
      <c r="S605" s="58"/>
      <c r="T605" s="58"/>
      <c r="U605" s="58"/>
      <c r="V605" s="59"/>
      <c r="W605" s="60"/>
    </row>
    <row r="606" spans="1:23" ht="29" customHeight="1" x14ac:dyDescent="0.35">
      <c r="A606" s="61"/>
      <c r="B606" s="55"/>
      <c r="C606" s="70"/>
      <c r="D606" s="12"/>
      <c r="E606" s="128"/>
      <c r="F606" s="12"/>
      <c r="G606" s="71"/>
      <c r="H606" s="71"/>
      <c r="I606" s="11"/>
      <c r="J606" s="71"/>
      <c r="K606" s="11"/>
      <c r="L606" s="71"/>
      <c r="M606" s="11"/>
      <c r="N606" s="12"/>
      <c r="O606" s="12"/>
      <c r="P606" s="57"/>
      <c r="Q606" s="50"/>
      <c r="R606" s="50"/>
      <c r="S606" s="58"/>
      <c r="T606" s="58"/>
      <c r="U606" s="58"/>
      <c r="V606" s="59"/>
      <c r="W606" s="60"/>
    </row>
    <row r="607" spans="1:23" ht="29" customHeight="1" x14ac:dyDescent="0.35">
      <c r="A607" s="61"/>
      <c r="B607" s="55"/>
      <c r="C607" s="70"/>
      <c r="D607" s="12"/>
      <c r="E607" s="128"/>
      <c r="F607" s="12"/>
      <c r="G607" s="71"/>
      <c r="H607" s="71"/>
      <c r="I607" s="11"/>
      <c r="J607" s="71"/>
      <c r="K607" s="11"/>
      <c r="L607" s="71"/>
      <c r="M607" s="11"/>
      <c r="N607" s="12"/>
      <c r="O607" s="12"/>
      <c r="P607" s="57"/>
      <c r="Q607" s="50"/>
      <c r="R607" s="50"/>
      <c r="S607" s="58"/>
      <c r="T607" s="58"/>
      <c r="U607" s="58"/>
      <c r="V607" s="59"/>
      <c r="W607" s="60"/>
    </row>
    <row r="608" spans="1:23" ht="29" customHeight="1" x14ac:dyDescent="0.35">
      <c r="A608" s="61"/>
      <c r="B608" s="55"/>
      <c r="C608" s="70"/>
      <c r="D608" s="12"/>
      <c r="E608" s="128"/>
      <c r="F608" s="12"/>
      <c r="G608" s="71"/>
      <c r="H608" s="71"/>
      <c r="I608" s="11"/>
      <c r="J608" s="71"/>
      <c r="K608" s="11"/>
      <c r="L608" s="71"/>
      <c r="M608" s="11"/>
      <c r="N608" s="12"/>
      <c r="O608" s="12"/>
      <c r="P608" s="57"/>
      <c r="Q608" s="50"/>
      <c r="R608" s="50"/>
      <c r="S608" s="58"/>
      <c r="T608" s="58"/>
      <c r="U608" s="58"/>
      <c r="V608" s="59"/>
      <c r="W608" s="60"/>
    </row>
    <row r="609" spans="1:23" ht="29" customHeight="1" x14ac:dyDescent="0.35">
      <c r="A609" s="61"/>
      <c r="B609" s="55"/>
      <c r="C609" s="70"/>
      <c r="D609" s="12"/>
      <c r="E609" s="128"/>
      <c r="F609" s="12"/>
      <c r="G609" s="71"/>
      <c r="H609" s="71"/>
      <c r="I609" s="11"/>
      <c r="J609" s="71"/>
      <c r="K609" s="11"/>
      <c r="L609" s="71"/>
      <c r="M609" s="11"/>
      <c r="N609" s="12"/>
      <c r="O609" s="12"/>
      <c r="P609" s="57"/>
      <c r="Q609" s="50"/>
      <c r="R609" s="50"/>
      <c r="S609" s="58"/>
      <c r="T609" s="58"/>
      <c r="U609" s="58"/>
      <c r="V609" s="59"/>
      <c r="W609" s="60"/>
    </row>
    <row r="610" spans="1:23" ht="29" customHeight="1" x14ac:dyDescent="0.35">
      <c r="A610" s="61"/>
      <c r="B610" s="55"/>
      <c r="C610" s="70"/>
      <c r="D610" s="12"/>
      <c r="E610" s="128"/>
      <c r="F610" s="12"/>
      <c r="G610" s="71"/>
      <c r="H610" s="71"/>
      <c r="I610" s="11"/>
      <c r="J610" s="71"/>
      <c r="K610" s="11"/>
      <c r="L610" s="71"/>
      <c r="M610" s="11"/>
      <c r="N610" s="12"/>
      <c r="O610" s="12"/>
      <c r="P610" s="57"/>
      <c r="Q610" s="50"/>
      <c r="R610" s="50"/>
      <c r="S610" s="58"/>
      <c r="T610" s="58"/>
      <c r="U610" s="58"/>
      <c r="V610" s="59"/>
      <c r="W610" s="60"/>
    </row>
    <row r="611" spans="1:23" ht="29" customHeight="1" x14ac:dyDescent="0.35">
      <c r="A611" s="61"/>
      <c r="B611" s="55"/>
      <c r="C611" s="70"/>
      <c r="D611" s="12"/>
      <c r="E611" s="128"/>
      <c r="F611" s="12"/>
      <c r="G611" s="71"/>
      <c r="H611" s="71"/>
      <c r="I611" s="11"/>
      <c r="J611" s="71"/>
      <c r="K611" s="11"/>
      <c r="L611" s="71"/>
      <c r="M611" s="11"/>
      <c r="N611" s="12"/>
      <c r="O611" s="12"/>
      <c r="P611" s="57"/>
      <c r="Q611" s="50"/>
      <c r="R611" s="50"/>
      <c r="S611" s="58"/>
      <c r="T611" s="58"/>
      <c r="U611" s="58"/>
      <c r="V611" s="59"/>
      <c r="W611" s="60"/>
    </row>
    <row r="612" spans="1:23" ht="29" customHeight="1" x14ac:dyDescent="0.35">
      <c r="A612" s="61"/>
      <c r="B612" s="55"/>
      <c r="C612" s="70"/>
      <c r="D612" s="12"/>
      <c r="E612" s="128"/>
      <c r="F612" s="12"/>
      <c r="G612" s="71"/>
      <c r="H612" s="71"/>
      <c r="I612" s="11"/>
      <c r="J612" s="71"/>
      <c r="K612" s="11"/>
      <c r="L612" s="71"/>
      <c r="M612" s="11"/>
      <c r="N612" s="12"/>
      <c r="O612" s="12"/>
      <c r="P612" s="57"/>
      <c r="Q612" s="50"/>
      <c r="R612" s="50"/>
      <c r="S612" s="58"/>
      <c r="T612" s="58"/>
      <c r="U612" s="58"/>
      <c r="V612" s="59"/>
      <c r="W612" s="60"/>
    </row>
    <row r="613" spans="1:23" ht="29" customHeight="1" x14ac:dyDescent="0.35">
      <c r="A613" s="61"/>
      <c r="B613" s="55"/>
      <c r="C613" s="70"/>
      <c r="D613" s="12"/>
      <c r="E613" s="128"/>
      <c r="F613" s="12"/>
      <c r="G613" s="71"/>
      <c r="H613" s="71"/>
      <c r="I613" s="11"/>
      <c r="J613" s="71"/>
      <c r="K613" s="11"/>
      <c r="L613" s="71"/>
      <c r="M613" s="11"/>
      <c r="N613" s="12"/>
      <c r="O613" s="12"/>
      <c r="P613" s="57"/>
      <c r="Q613" s="50"/>
      <c r="R613" s="50"/>
      <c r="S613" s="58"/>
      <c r="T613" s="58"/>
      <c r="U613" s="58"/>
      <c r="V613" s="59"/>
      <c r="W613" s="60"/>
    </row>
    <row r="614" spans="1:23" ht="29" customHeight="1" x14ac:dyDescent="0.35">
      <c r="A614" s="61"/>
      <c r="B614" s="55"/>
      <c r="C614" s="70"/>
      <c r="D614" s="12"/>
      <c r="E614" s="128"/>
      <c r="F614" s="12"/>
      <c r="G614" s="71"/>
      <c r="H614" s="71"/>
      <c r="I614" s="11"/>
      <c r="J614" s="71"/>
      <c r="K614" s="11"/>
      <c r="L614" s="71"/>
      <c r="M614" s="11"/>
      <c r="N614" s="12"/>
      <c r="O614" s="12"/>
      <c r="P614" s="57"/>
      <c r="Q614" s="50"/>
      <c r="R614" s="50"/>
      <c r="S614" s="58"/>
      <c r="T614" s="58"/>
      <c r="U614" s="58"/>
      <c r="V614" s="59"/>
      <c r="W614" s="60"/>
    </row>
    <row r="615" spans="1:23" ht="29" customHeight="1" x14ac:dyDescent="0.35">
      <c r="A615" s="61"/>
      <c r="B615" s="55"/>
      <c r="C615" s="70"/>
      <c r="D615" s="12"/>
      <c r="E615" s="128"/>
      <c r="F615" s="12"/>
      <c r="G615" s="71"/>
      <c r="H615" s="71"/>
      <c r="I615" s="11"/>
      <c r="J615" s="71"/>
      <c r="K615" s="11"/>
      <c r="L615" s="71"/>
      <c r="M615" s="11"/>
      <c r="N615" s="12"/>
      <c r="O615" s="12"/>
      <c r="P615" s="57"/>
      <c r="Q615" s="50"/>
      <c r="R615" s="50"/>
      <c r="S615" s="58"/>
      <c r="T615" s="58"/>
      <c r="U615" s="58"/>
      <c r="V615" s="59"/>
      <c r="W615" s="60"/>
    </row>
    <row r="616" spans="1:23" ht="29" customHeight="1" x14ac:dyDescent="0.35">
      <c r="A616" s="61"/>
      <c r="B616" s="55"/>
      <c r="C616" s="70"/>
      <c r="D616" s="12"/>
      <c r="E616" s="128"/>
      <c r="F616" s="12"/>
      <c r="G616" s="71"/>
      <c r="H616" s="71"/>
      <c r="I616" s="11"/>
      <c r="J616" s="71"/>
      <c r="K616" s="11"/>
      <c r="L616" s="71"/>
      <c r="M616" s="11"/>
      <c r="N616" s="12"/>
      <c r="O616" s="12"/>
      <c r="P616" s="57"/>
      <c r="Q616" s="50"/>
      <c r="R616" s="50"/>
      <c r="S616" s="58"/>
      <c r="T616" s="58"/>
      <c r="U616" s="58"/>
      <c r="V616" s="59"/>
      <c r="W616" s="60"/>
    </row>
    <row r="617" spans="1:23" ht="29" customHeight="1" x14ac:dyDescent="0.35">
      <c r="A617" s="61"/>
      <c r="B617" s="55"/>
      <c r="C617" s="70"/>
      <c r="D617" s="12"/>
      <c r="E617" s="128"/>
      <c r="F617" s="12"/>
      <c r="G617" s="71"/>
      <c r="H617" s="71"/>
      <c r="I617" s="11"/>
      <c r="J617" s="71"/>
      <c r="K617" s="11"/>
      <c r="L617" s="71"/>
      <c r="M617" s="11"/>
      <c r="N617" s="12"/>
      <c r="O617" s="12"/>
      <c r="P617" s="57"/>
      <c r="Q617" s="50"/>
      <c r="R617" s="50"/>
      <c r="S617" s="58"/>
      <c r="T617" s="58"/>
      <c r="U617" s="58"/>
      <c r="V617" s="59"/>
      <c r="W617" s="60"/>
    </row>
    <row r="618" spans="1:23" ht="29" customHeight="1" x14ac:dyDescent="0.35">
      <c r="A618" s="61"/>
      <c r="B618" s="55"/>
      <c r="C618" s="70"/>
      <c r="D618" s="12"/>
      <c r="E618" s="128"/>
      <c r="F618" s="12"/>
      <c r="G618" s="71"/>
      <c r="H618" s="71"/>
      <c r="I618" s="11"/>
      <c r="J618" s="71"/>
      <c r="K618" s="11"/>
      <c r="L618" s="71"/>
      <c r="M618" s="11"/>
      <c r="N618" s="12"/>
      <c r="O618" s="12"/>
      <c r="P618" s="57"/>
      <c r="Q618" s="50"/>
      <c r="R618" s="50"/>
      <c r="S618" s="58"/>
      <c r="T618" s="58"/>
      <c r="U618" s="58"/>
      <c r="V618" s="59"/>
      <c r="W618" s="60"/>
    </row>
    <row r="619" spans="1:23" ht="29" customHeight="1" x14ac:dyDescent="0.35">
      <c r="A619" s="61"/>
      <c r="B619" s="55"/>
      <c r="C619" s="70"/>
      <c r="D619" s="12"/>
      <c r="E619" s="128"/>
      <c r="F619" s="12"/>
      <c r="G619" s="71"/>
      <c r="H619" s="71"/>
      <c r="I619" s="11"/>
      <c r="J619" s="71"/>
      <c r="K619" s="11"/>
      <c r="L619" s="71"/>
      <c r="M619" s="11"/>
      <c r="N619" s="12"/>
      <c r="O619" s="12"/>
      <c r="P619" s="57"/>
      <c r="Q619" s="50"/>
      <c r="R619" s="50"/>
      <c r="S619" s="58"/>
      <c r="T619" s="58"/>
      <c r="U619" s="58"/>
      <c r="V619" s="59"/>
      <c r="W619" s="60"/>
    </row>
    <row r="620" spans="1:23" ht="29" customHeight="1" x14ac:dyDescent="0.35">
      <c r="A620" s="61"/>
      <c r="B620" s="55"/>
      <c r="C620" s="70"/>
      <c r="D620" s="12"/>
      <c r="E620" s="128"/>
      <c r="F620" s="12"/>
      <c r="G620" s="71"/>
      <c r="H620" s="71"/>
      <c r="I620" s="11"/>
      <c r="J620" s="71"/>
      <c r="K620" s="11"/>
      <c r="L620" s="71"/>
      <c r="M620" s="11"/>
      <c r="N620" s="12"/>
      <c r="O620" s="12"/>
      <c r="P620" s="57"/>
      <c r="Q620" s="50"/>
      <c r="R620" s="50"/>
      <c r="S620" s="58"/>
      <c r="T620" s="58"/>
      <c r="U620" s="58"/>
      <c r="V620" s="59"/>
      <c r="W620" s="60"/>
    </row>
    <row r="621" spans="1:23" ht="29" customHeight="1" x14ac:dyDescent="0.35">
      <c r="A621" s="61"/>
      <c r="B621" s="55"/>
      <c r="C621" s="70"/>
      <c r="D621" s="12"/>
      <c r="E621" s="128"/>
      <c r="F621" s="12"/>
      <c r="G621" s="71"/>
      <c r="H621" s="71"/>
      <c r="I621" s="11"/>
      <c r="J621" s="71"/>
      <c r="K621" s="11"/>
      <c r="L621" s="71"/>
      <c r="M621" s="11"/>
      <c r="N621" s="12"/>
      <c r="O621" s="12"/>
      <c r="P621" s="57"/>
      <c r="Q621" s="50"/>
      <c r="R621" s="50"/>
      <c r="S621" s="58"/>
      <c r="T621" s="58"/>
      <c r="U621" s="58"/>
      <c r="V621" s="59"/>
      <c r="W621" s="60"/>
    </row>
    <row r="622" spans="1:23" ht="29" customHeight="1" x14ac:dyDescent="0.35">
      <c r="A622" s="61"/>
      <c r="B622" s="55"/>
      <c r="C622" s="70"/>
      <c r="D622" s="12"/>
      <c r="E622" s="128"/>
      <c r="F622" s="12"/>
      <c r="G622" s="71"/>
      <c r="H622" s="71"/>
      <c r="I622" s="11"/>
      <c r="J622" s="71"/>
      <c r="K622" s="11"/>
      <c r="L622" s="71"/>
      <c r="M622" s="11"/>
      <c r="N622" s="12"/>
      <c r="O622" s="12"/>
      <c r="P622" s="57"/>
      <c r="Q622" s="50"/>
      <c r="R622" s="50"/>
      <c r="S622" s="58"/>
      <c r="T622" s="58"/>
      <c r="U622" s="58"/>
      <c r="V622" s="59"/>
      <c r="W622" s="60"/>
    </row>
    <row r="623" spans="1:23" ht="29" customHeight="1" x14ac:dyDescent="0.35">
      <c r="A623" s="61"/>
      <c r="B623" s="55"/>
      <c r="C623" s="70"/>
      <c r="D623" s="12"/>
      <c r="E623" s="128"/>
      <c r="F623" s="12"/>
      <c r="G623" s="71"/>
      <c r="H623" s="71"/>
      <c r="I623" s="11"/>
      <c r="J623" s="71"/>
      <c r="K623" s="11"/>
      <c r="L623" s="71"/>
      <c r="M623" s="11"/>
      <c r="N623" s="12"/>
      <c r="O623" s="12"/>
      <c r="P623" s="57"/>
      <c r="Q623" s="50"/>
      <c r="R623" s="50"/>
      <c r="S623" s="58"/>
      <c r="T623" s="58"/>
      <c r="U623" s="58"/>
      <c r="V623" s="59"/>
      <c r="W623" s="60"/>
    </row>
    <row r="624" spans="1:23" ht="29" customHeight="1" x14ac:dyDescent="0.35">
      <c r="A624" s="61"/>
      <c r="B624" s="55"/>
      <c r="C624" s="70"/>
      <c r="D624" s="12"/>
      <c r="E624" s="128"/>
      <c r="F624" s="12"/>
      <c r="G624" s="71"/>
      <c r="H624" s="71"/>
      <c r="I624" s="11"/>
      <c r="J624" s="71"/>
      <c r="K624" s="11"/>
      <c r="L624" s="71"/>
      <c r="M624" s="11"/>
      <c r="N624" s="12"/>
      <c r="O624" s="12"/>
      <c r="P624" s="57"/>
      <c r="Q624" s="50"/>
      <c r="R624" s="50"/>
      <c r="S624" s="58"/>
      <c r="T624" s="58"/>
      <c r="U624" s="58"/>
      <c r="V624" s="59"/>
      <c r="W624" s="60"/>
    </row>
    <row r="625" spans="1:23" ht="29" customHeight="1" x14ac:dyDescent="0.35">
      <c r="A625" s="61"/>
      <c r="B625" s="55"/>
      <c r="C625" s="70"/>
      <c r="D625" s="12"/>
      <c r="E625" s="128"/>
      <c r="F625" s="12"/>
      <c r="G625" s="71"/>
      <c r="H625" s="71"/>
      <c r="I625" s="11"/>
      <c r="J625" s="71"/>
      <c r="K625" s="11"/>
      <c r="L625" s="71"/>
      <c r="M625" s="11"/>
      <c r="N625" s="12"/>
      <c r="O625" s="12"/>
      <c r="P625" s="57"/>
      <c r="Q625" s="50"/>
      <c r="R625" s="50"/>
      <c r="S625" s="58"/>
      <c r="T625" s="58"/>
      <c r="U625" s="58"/>
      <c r="V625" s="59"/>
      <c r="W625" s="60"/>
    </row>
    <row r="626" spans="1:23" ht="29" customHeight="1" x14ac:dyDescent="0.35">
      <c r="A626" s="61"/>
      <c r="B626" s="55"/>
      <c r="C626" s="70"/>
      <c r="D626" s="12"/>
      <c r="E626" s="128"/>
      <c r="F626" s="12"/>
      <c r="G626" s="71"/>
      <c r="H626" s="71"/>
      <c r="I626" s="11"/>
      <c r="J626" s="71"/>
      <c r="K626" s="11"/>
      <c r="L626" s="71"/>
      <c r="M626" s="11"/>
      <c r="N626" s="12"/>
      <c r="O626" s="12"/>
      <c r="P626" s="57"/>
      <c r="Q626" s="50"/>
      <c r="R626" s="50"/>
      <c r="S626" s="58"/>
      <c r="T626" s="58"/>
      <c r="U626" s="58"/>
      <c r="V626" s="59"/>
      <c r="W626" s="60"/>
    </row>
    <row r="627" spans="1:23" ht="29" customHeight="1" x14ac:dyDescent="0.35">
      <c r="A627" s="61"/>
      <c r="B627" s="55"/>
      <c r="C627" s="70"/>
      <c r="D627" s="12"/>
      <c r="E627" s="128"/>
      <c r="F627" s="12"/>
      <c r="G627" s="71"/>
      <c r="H627" s="71"/>
      <c r="I627" s="11"/>
      <c r="J627" s="71"/>
      <c r="K627" s="11"/>
      <c r="L627" s="71"/>
      <c r="M627" s="11"/>
      <c r="N627" s="12"/>
      <c r="O627" s="12"/>
      <c r="P627" s="57"/>
      <c r="Q627" s="50"/>
      <c r="R627" s="50"/>
      <c r="S627" s="58"/>
      <c r="T627" s="58"/>
      <c r="U627" s="58"/>
      <c r="V627" s="59"/>
      <c r="W627" s="60"/>
    </row>
    <row r="628" spans="1:23" ht="29" customHeight="1" x14ac:dyDescent="0.35">
      <c r="A628" s="61"/>
      <c r="B628" s="55"/>
      <c r="C628" s="70"/>
      <c r="D628" s="12"/>
      <c r="E628" s="128"/>
      <c r="F628" s="12"/>
      <c r="G628" s="71"/>
      <c r="H628" s="71"/>
      <c r="I628" s="11"/>
      <c r="J628" s="71"/>
      <c r="K628" s="11"/>
      <c r="L628" s="71"/>
      <c r="M628" s="11"/>
      <c r="N628" s="12"/>
      <c r="O628" s="12"/>
      <c r="P628" s="57"/>
      <c r="Q628" s="50"/>
      <c r="R628" s="50"/>
      <c r="S628" s="58"/>
      <c r="T628" s="58"/>
      <c r="U628" s="58"/>
      <c r="V628" s="59"/>
      <c r="W628" s="60"/>
    </row>
    <row r="629" spans="1:23" ht="29" customHeight="1" x14ac:dyDescent="0.35">
      <c r="A629" s="61"/>
      <c r="B629" s="55"/>
      <c r="C629" s="70"/>
      <c r="D629" s="12"/>
      <c r="E629" s="128"/>
      <c r="F629" s="12"/>
      <c r="G629" s="71"/>
      <c r="H629" s="71"/>
      <c r="I629" s="11"/>
      <c r="J629" s="71"/>
      <c r="K629" s="11"/>
      <c r="L629" s="71"/>
      <c r="M629" s="11"/>
      <c r="N629" s="12"/>
      <c r="O629" s="12"/>
      <c r="P629" s="57"/>
      <c r="Q629" s="50"/>
      <c r="R629" s="50"/>
      <c r="S629" s="58"/>
      <c r="T629" s="58"/>
      <c r="U629" s="58"/>
      <c r="V629" s="59"/>
      <c r="W629" s="60"/>
    </row>
    <row r="630" spans="1:23" ht="29" customHeight="1" x14ac:dyDescent="0.35">
      <c r="A630" s="61"/>
      <c r="B630" s="55"/>
      <c r="C630" s="70"/>
      <c r="D630" s="12"/>
      <c r="E630" s="128"/>
      <c r="F630" s="12"/>
      <c r="G630" s="71"/>
      <c r="H630" s="71"/>
      <c r="I630" s="11"/>
      <c r="J630" s="71"/>
      <c r="K630" s="11"/>
      <c r="L630" s="71"/>
      <c r="M630" s="11"/>
      <c r="N630" s="12"/>
      <c r="O630" s="12"/>
      <c r="P630" s="57"/>
      <c r="Q630" s="50"/>
      <c r="R630" s="50"/>
      <c r="S630" s="58"/>
      <c r="T630" s="58"/>
      <c r="U630" s="58"/>
      <c r="V630" s="59"/>
      <c r="W630" s="60"/>
    </row>
    <row r="631" spans="1:23" ht="29" customHeight="1" x14ac:dyDescent="0.35">
      <c r="A631" s="61"/>
      <c r="B631" s="55"/>
      <c r="C631" s="70"/>
      <c r="D631" s="12"/>
      <c r="E631" s="128"/>
      <c r="F631" s="12"/>
      <c r="G631" s="71"/>
      <c r="H631" s="71"/>
      <c r="I631" s="11"/>
      <c r="J631" s="71"/>
      <c r="K631" s="11"/>
      <c r="L631" s="71"/>
      <c r="M631" s="11"/>
      <c r="N631" s="12"/>
      <c r="O631" s="12"/>
      <c r="P631" s="57"/>
      <c r="Q631" s="50"/>
      <c r="R631" s="50"/>
      <c r="S631" s="58"/>
      <c r="T631" s="58"/>
      <c r="U631" s="58"/>
      <c r="V631" s="59"/>
      <c r="W631" s="60"/>
    </row>
    <row r="632" spans="1:23" ht="29" customHeight="1" x14ac:dyDescent="0.35">
      <c r="A632" s="61"/>
      <c r="B632" s="55"/>
      <c r="C632" s="70"/>
      <c r="D632" s="12"/>
      <c r="E632" s="128"/>
      <c r="F632" s="12"/>
      <c r="G632" s="71"/>
      <c r="H632" s="71"/>
      <c r="I632" s="11"/>
      <c r="J632" s="71"/>
      <c r="K632" s="11"/>
      <c r="L632" s="71"/>
      <c r="M632" s="11"/>
      <c r="N632" s="12"/>
      <c r="O632" s="12"/>
      <c r="P632" s="57"/>
      <c r="Q632" s="50"/>
      <c r="R632" s="50"/>
      <c r="S632" s="58"/>
      <c r="T632" s="58"/>
      <c r="U632" s="58"/>
      <c r="V632" s="59"/>
      <c r="W632" s="60"/>
    </row>
    <row r="633" spans="1:23" ht="29" customHeight="1" x14ac:dyDescent="0.35">
      <c r="A633" s="61"/>
      <c r="B633" s="55"/>
      <c r="C633" s="70"/>
      <c r="D633" s="12"/>
      <c r="E633" s="128"/>
      <c r="F633" s="12"/>
      <c r="G633" s="71"/>
      <c r="H633" s="71"/>
      <c r="I633" s="11"/>
      <c r="J633" s="71"/>
      <c r="K633" s="11"/>
      <c r="L633" s="71"/>
      <c r="M633" s="11"/>
      <c r="N633" s="12"/>
      <c r="O633" s="12"/>
      <c r="P633" s="57"/>
      <c r="Q633" s="50"/>
      <c r="R633" s="50"/>
      <c r="S633" s="58"/>
      <c r="T633" s="58"/>
      <c r="U633" s="58"/>
      <c r="V633" s="59"/>
      <c r="W633" s="60"/>
    </row>
    <row r="634" spans="1:23" ht="29" customHeight="1" x14ac:dyDescent="0.35">
      <c r="A634" s="61"/>
      <c r="B634" s="55"/>
      <c r="C634" s="70"/>
      <c r="D634" s="12"/>
      <c r="E634" s="128"/>
      <c r="F634" s="12"/>
      <c r="G634" s="71"/>
      <c r="H634" s="71"/>
      <c r="I634" s="11"/>
      <c r="J634" s="71"/>
      <c r="K634" s="11"/>
      <c r="L634" s="71"/>
      <c r="M634" s="11"/>
      <c r="N634" s="12"/>
      <c r="O634" s="12"/>
      <c r="P634" s="57"/>
      <c r="Q634" s="50"/>
      <c r="R634" s="50"/>
      <c r="S634" s="58"/>
      <c r="T634" s="58"/>
      <c r="U634" s="58"/>
      <c r="V634" s="59"/>
      <c r="W634" s="60"/>
    </row>
    <row r="635" spans="1:23" ht="29" customHeight="1" x14ac:dyDescent="0.35">
      <c r="A635" s="61"/>
      <c r="B635" s="55"/>
      <c r="C635" s="70"/>
      <c r="D635" s="12"/>
      <c r="E635" s="128"/>
      <c r="F635" s="12"/>
      <c r="G635" s="71"/>
      <c r="H635" s="71"/>
      <c r="I635" s="11"/>
      <c r="J635" s="71"/>
      <c r="K635" s="11"/>
      <c r="L635" s="71"/>
      <c r="M635" s="11"/>
      <c r="N635" s="12"/>
      <c r="O635" s="12"/>
      <c r="P635" s="57"/>
      <c r="Q635" s="50"/>
      <c r="R635" s="50"/>
      <c r="S635" s="58"/>
      <c r="T635" s="58"/>
      <c r="U635" s="58"/>
      <c r="V635" s="59"/>
      <c r="W635" s="60"/>
    </row>
    <row r="636" spans="1:23" ht="29" customHeight="1" x14ac:dyDescent="0.35">
      <c r="A636" s="61"/>
      <c r="B636" s="55"/>
      <c r="C636" s="70"/>
      <c r="D636" s="12"/>
      <c r="E636" s="128"/>
      <c r="F636" s="12"/>
      <c r="G636" s="71"/>
      <c r="H636" s="71"/>
      <c r="I636" s="11"/>
      <c r="J636" s="71"/>
      <c r="K636" s="11"/>
      <c r="L636" s="71"/>
      <c r="M636" s="11"/>
      <c r="N636" s="12"/>
      <c r="O636" s="12"/>
      <c r="P636" s="57"/>
      <c r="Q636" s="50"/>
      <c r="R636" s="50"/>
      <c r="S636" s="58"/>
      <c r="T636" s="58"/>
      <c r="U636" s="58"/>
      <c r="V636" s="59"/>
      <c r="W636" s="60"/>
    </row>
    <row r="637" spans="1:23" ht="29" customHeight="1" x14ac:dyDescent="0.35">
      <c r="A637" s="61"/>
      <c r="B637" s="55"/>
      <c r="C637" s="70"/>
      <c r="D637" s="12"/>
      <c r="E637" s="128"/>
      <c r="F637" s="12"/>
      <c r="G637" s="71"/>
      <c r="H637" s="71"/>
      <c r="I637" s="11"/>
      <c r="J637" s="71"/>
      <c r="K637" s="11"/>
      <c r="L637" s="71"/>
      <c r="M637" s="11"/>
      <c r="N637" s="12"/>
      <c r="O637" s="12"/>
      <c r="P637" s="57"/>
      <c r="Q637" s="50"/>
      <c r="R637" s="50"/>
      <c r="S637" s="58"/>
      <c r="T637" s="58"/>
      <c r="U637" s="58"/>
      <c r="V637" s="59"/>
      <c r="W637" s="60"/>
    </row>
    <row r="638" spans="1:23" ht="29" customHeight="1" x14ac:dyDescent="0.35">
      <c r="A638" s="61"/>
      <c r="B638" s="55"/>
      <c r="C638" s="70"/>
      <c r="D638" s="12"/>
      <c r="E638" s="128"/>
      <c r="F638" s="12"/>
      <c r="G638" s="71"/>
      <c r="H638" s="71"/>
      <c r="I638" s="11"/>
      <c r="J638" s="71"/>
      <c r="K638" s="11"/>
      <c r="L638" s="71"/>
      <c r="M638" s="11"/>
      <c r="N638" s="12"/>
      <c r="O638" s="12"/>
      <c r="P638" s="57"/>
      <c r="Q638" s="50"/>
      <c r="R638" s="50"/>
      <c r="S638" s="58"/>
      <c r="T638" s="58"/>
      <c r="U638" s="58"/>
      <c r="V638" s="59"/>
      <c r="W638" s="60"/>
    </row>
    <row r="639" spans="1:23" ht="29" customHeight="1" x14ac:dyDescent="0.35">
      <c r="A639" s="61"/>
      <c r="B639" s="55"/>
      <c r="C639" s="70"/>
      <c r="D639" s="12"/>
      <c r="E639" s="128"/>
      <c r="F639" s="12"/>
      <c r="G639" s="71"/>
      <c r="H639" s="71"/>
      <c r="I639" s="11"/>
      <c r="J639" s="71"/>
      <c r="K639" s="11"/>
      <c r="L639" s="71"/>
      <c r="M639" s="11"/>
      <c r="N639" s="12"/>
      <c r="O639" s="12"/>
      <c r="P639" s="57"/>
      <c r="Q639" s="50"/>
      <c r="R639" s="50"/>
      <c r="S639" s="58"/>
      <c r="T639" s="58"/>
      <c r="U639" s="58"/>
      <c r="V639" s="59"/>
      <c r="W639" s="60"/>
    </row>
    <row r="640" spans="1:23" ht="29" customHeight="1" x14ac:dyDescent="0.35">
      <c r="A640" s="61"/>
      <c r="B640" s="55"/>
      <c r="C640" s="70"/>
      <c r="D640" s="12"/>
      <c r="E640" s="128"/>
      <c r="F640" s="12"/>
      <c r="G640" s="71"/>
      <c r="H640" s="71"/>
      <c r="I640" s="11"/>
      <c r="J640" s="71"/>
      <c r="K640" s="11"/>
      <c r="L640" s="71"/>
      <c r="M640" s="11"/>
      <c r="N640" s="12"/>
      <c r="O640" s="12"/>
      <c r="P640" s="57"/>
      <c r="Q640" s="50"/>
      <c r="R640" s="50"/>
      <c r="S640" s="58"/>
      <c r="T640" s="58"/>
      <c r="U640" s="58"/>
      <c r="V640" s="59"/>
      <c r="W640" s="60"/>
    </row>
    <row r="641" spans="1:23" ht="29" customHeight="1" x14ac:dyDescent="0.35">
      <c r="A641" s="61"/>
      <c r="B641" s="55"/>
      <c r="C641" s="70"/>
      <c r="D641" s="12"/>
      <c r="E641" s="128"/>
      <c r="F641" s="12"/>
      <c r="G641" s="71"/>
      <c r="H641" s="71"/>
      <c r="I641" s="11"/>
      <c r="J641" s="71"/>
      <c r="K641" s="11"/>
      <c r="L641" s="71"/>
      <c r="M641" s="11"/>
      <c r="N641" s="12"/>
      <c r="O641" s="12"/>
      <c r="P641" s="57"/>
      <c r="Q641" s="50"/>
      <c r="R641" s="50"/>
      <c r="S641" s="58"/>
      <c r="T641" s="58"/>
      <c r="U641" s="58"/>
      <c r="V641" s="59"/>
      <c r="W641" s="60"/>
    </row>
    <row r="642" spans="1:23" ht="29" customHeight="1" x14ac:dyDescent="0.35">
      <c r="A642" s="61"/>
      <c r="B642" s="55"/>
      <c r="C642" s="70"/>
      <c r="D642" s="12"/>
      <c r="E642" s="128"/>
      <c r="F642" s="12"/>
      <c r="G642" s="71"/>
      <c r="H642" s="71"/>
      <c r="I642" s="11"/>
      <c r="J642" s="71"/>
      <c r="K642" s="11"/>
      <c r="L642" s="71"/>
      <c r="M642" s="11"/>
      <c r="N642" s="12"/>
      <c r="O642" s="12"/>
      <c r="P642" s="57"/>
      <c r="Q642" s="50"/>
      <c r="R642" s="50"/>
      <c r="S642" s="58"/>
      <c r="T642" s="58"/>
      <c r="U642" s="58"/>
      <c r="V642" s="59"/>
      <c r="W642" s="60"/>
    </row>
    <row r="643" spans="1:23" ht="29" customHeight="1" x14ac:dyDescent="0.35">
      <c r="A643" s="61"/>
      <c r="B643" s="55"/>
      <c r="C643" s="70"/>
      <c r="D643" s="12"/>
      <c r="E643" s="128"/>
      <c r="F643" s="12"/>
      <c r="G643" s="71"/>
      <c r="H643" s="71"/>
      <c r="I643" s="11"/>
      <c r="J643" s="71"/>
      <c r="K643" s="11"/>
      <c r="L643" s="71"/>
      <c r="M643" s="11"/>
      <c r="N643" s="12"/>
      <c r="O643" s="12"/>
      <c r="P643" s="57"/>
      <c r="Q643" s="50"/>
      <c r="R643" s="50"/>
      <c r="S643" s="58"/>
      <c r="T643" s="58"/>
      <c r="U643" s="58"/>
      <c r="V643" s="59"/>
      <c r="W643" s="60"/>
    </row>
    <row r="644" spans="1:23" ht="29" customHeight="1" x14ac:dyDescent="0.35">
      <c r="A644" s="61"/>
      <c r="B644" s="55"/>
      <c r="C644" s="70"/>
      <c r="D644" s="12"/>
      <c r="E644" s="128"/>
      <c r="F644" s="12"/>
      <c r="G644" s="71"/>
      <c r="H644" s="71"/>
      <c r="I644" s="11"/>
      <c r="J644" s="71"/>
      <c r="K644" s="11"/>
      <c r="L644" s="71"/>
      <c r="M644" s="11"/>
      <c r="N644" s="12"/>
      <c r="O644" s="12"/>
      <c r="P644" s="57"/>
      <c r="Q644" s="50"/>
      <c r="R644" s="50"/>
      <c r="S644" s="58"/>
      <c r="T644" s="58"/>
      <c r="U644" s="58"/>
      <c r="V644" s="59"/>
      <c r="W644" s="60"/>
    </row>
    <row r="645" spans="1:23" ht="29" customHeight="1" x14ac:dyDescent="0.35">
      <c r="A645" s="61"/>
      <c r="B645" s="55"/>
      <c r="C645" s="70"/>
      <c r="D645" s="12"/>
      <c r="E645" s="128"/>
      <c r="F645" s="12"/>
      <c r="G645" s="71"/>
      <c r="H645" s="71"/>
      <c r="I645" s="11"/>
      <c r="J645" s="71"/>
      <c r="K645" s="11"/>
      <c r="L645" s="71"/>
      <c r="M645" s="11"/>
      <c r="N645" s="12"/>
      <c r="O645" s="12"/>
      <c r="P645" s="57"/>
      <c r="Q645" s="50"/>
      <c r="R645" s="50"/>
      <c r="S645" s="58"/>
      <c r="T645" s="58"/>
      <c r="U645" s="58"/>
      <c r="V645" s="59"/>
      <c r="W645" s="60"/>
    </row>
    <row r="646" spans="1:23" ht="29" customHeight="1" x14ac:dyDescent="0.35">
      <c r="A646" s="61"/>
      <c r="B646" s="55"/>
      <c r="C646" s="70"/>
      <c r="D646" s="12"/>
      <c r="E646" s="128"/>
      <c r="F646" s="12"/>
      <c r="G646" s="71"/>
      <c r="H646" s="71"/>
      <c r="I646" s="11"/>
      <c r="J646" s="71"/>
      <c r="K646" s="11"/>
      <c r="L646" s="71"/>
      <c r="M646" s="11"/>
      <c r="N646" s="12"/>
      <c r="O646" s="12"/>
      <c r="P646" s="57"/>
      <c r="Q646" s="50"/>
      <c r="R646" s="50"/>
      <c r="S646" s="58"/>
      <c r="T646" s="58"/>
      <c r="U646" s="58"/>
      <c r="V646" s="59"/>
      <c r="W646" s="60"/>
    </row>
    <row r="647" spans="1:23" ht="29" customHeight="1" x14ac:dyDescent="0.35">
      <c r="A647" s="61"/>
      <c r="B647" s="55"/>
      <c r="C647" s="70"/>
      <c r="D647" s="12"/>
      <c r="E647" s="128"/>
      <c r="F647" s="12"/>
      <c r="G647" s="71"/>
      <c r="H647" s="71"/>
      <c r="I647" s="11"/>
      <c r="J647" s="71"/>
      <c r="K647" s="11"/>
      <c r="L647" s="71"/>
      <c r="M647" s="11"/>
      <c r="N647" s="12"/>
      <c r="O647" s="12"/>
      <c r="P647" s="57"/>
      <c r="Q647" s="50"/>
      <c r="R647" s="50"/>
      <c r="S647" s="58"/>
      <c r="T647" s="58"/>
      <c r="U647" s="58"/>
      <c r="V647" s="59"/>
      <c r="W647" s="60"/>
    </row>
    <row r="648" spans="1:23" ht="29" customHeight="1" x14ac:dyDescent="0.35">
      <c r="A648" s="61"/>
      <c r="B648" s="55"/>
      <c r="C648" s="70"/>
      <c r="D648" s="12"/>
      <c r="E648" s="128"/>
      <c r="F648" s="12"/>
      <c r="G648" s="71"/>
      <c r="H648" s="71"/>
      <c r="I648" s="11"/>
      <c r="J648" s="71"/>
      <c r="K648" s="11"/>
      <c r="L648" s="71"/>
      <c r="M648" s="11"/>
      <c r="N648" s="12"/>
      <c r="O648" s="12"/>
      <c r="P648" s="57"/>
      <c r="Q648" s="50"/>
      <c r="R648" s="50"/>
      <c r="S648" s="58"/>
      <c r="T648" s="58"/>
      <c r="U648" s="58"/>
      <c r="V648" s="59"/>
      <c r="W648" s="60"/>
    </row>
    <row r="649" spans="1:23" ht="29" customHeight="1" x14ac:dyDescent="0.35">
      <c r="A649" s="61"/>
      <c r="B649" s="55"/>
      <c r="C649" s="70"/>
      <c r="D649" s="12"/>
      <c r="E649" s="128"/>
      <c r="F649" s="12"/>
      <c r="G649" s="71"/>
      <c r="H649" s="71"/>
      <c r="I649" s="11"/>
      <c r="J649" s="71"/>
      <c r="K649" s="11"/>
      <c r="L649" s="71"/>
      <c r="M649" s="11"/>
      <c r="N649" s="12"/>
      <c r="O649" s="12"/>
      <c r="P649" s="57"/>
      <c r="Q649" s="50"/>
      <c r="R649" s="50"/>
      <c r="S649" s="58"/>
      <c r="T649" s="58"/>
      <c r="U649" s="58"/>
      <c r="V649" s="59"/>
      <c r="W649" s="60"/>
    </row>
    <row r="650" spans="1:23" ht="29" customHeight="1" x14ac:dyDescent="0.35">
      <c r="A650" s="61"/>
      <c r="B650" s="55"/>
      <c r="C650" s="70"/>
      <c r="D650" s="12"/>
      <c r="E650" s="128"/>
      <c r="F650" s="12"/>
      <c r="G650" s="71"/>
      <c r="H650" s="71"/>
      <c r="I650" s="11"/>
      <c r="J650" s="71"/>
      <c r="K650" s="11"/>
      <c r="L650" s="71"/>
      <c r="M650" s="11"/>
      <c r="N650" s="12"/>
      <c r="O650" s="12"/>
      <c r="P650" s="57"/>
      <c r="Q650" s="50"/>
      <c r="R650" s="50"/>
      <c r="S650" s="58"/>
      <c r="T650" s="58"/>
      <c r="U650" s="58"/>
      <c r="V650" s="59"/>
      <c r="W650" s="60"/>
    </row>
    <row r="651" spans="1:23" ht="29" customHeight="1" x14ac:dyDescent="0.35">
      <c r="A651" s="61"/>
      <c r="B651" s="55"/>
      <c r="C651" s="70"/>
      <c r="D651" s="12"/>
      <c r="E651" s="128"/>
      <c r="F651" s="12"/>
      <c r="G651" s="71"/>
      <c r="H651" s="71"/>
      <c r="I651" s="11"/>
      <c r="J651" s="71"/>
      <c r="K651" s="11"/>
      <c r="L651" s="71"/>
      <c r="M651" s="11"/>
      <c r="N651" s="12"/>
      <c r="O651" s="12"/>
      <c r="P651" s="57"/>
      <c r="Q651" s="50"/>
      <c r="R651" s="50"/>
      <c r="S651" s="58"/>
      <c r="T651" s="58"/>
      <c r="U651" s="58"/>
      <c r="V651" s="59"/>
      <c r="W651" s="60"/>
    </row>
    <row r="652" spans="1:23" ht="29" customHeight="1" x14ac:dyDescent="0.35">
      <c r="A652" s="61"/>
      <c r="B652" s="55"/>
      <c r="C652" s="70"/>
      <c r="D652" s="12"/>
      <c r="E652" s="128"/>
      <c r="F652" s="12"/>
      <c r="G652" s="71"/>
      <c r="H652" s="71"/>
      <c r="I652" s="11"/>
      <c r="J652" s="71"/>
      <c r="K652" s="11"/>
      <c r="L652" s="71"/>
      <c r="M652" s="11"/>
      <c r="N652" s="12"/>
      <c r="O652" s="12"/>
      <c r="P652" s="57"/>
      <c r="Q652" s="50"/>
      <c r="R652" s="50"/>
      <c r="S652" s="58"/>
      <c r="T652" s="58"/>
      <c r="U652" s="58"/>
      <c r="V652" s="59"/>
      <c r="W652" s="60"/>
    </row>
    <row r="653" spans="1:23" ht="29" customHeight="1" x14ac:dyDescent="0.35">
      <c r="A653" s="61"/>
      <c r="B653" s="55"/>
      <c r="C653" s="70"/>
      <c r="D653" s="12"/>
      <c r="E653" s="128"/>
      <c r="F653" s="12"/>
      <c r="G653" s="71"/>
      <c r="H653" s="71"/>
      <c r="I653" s="11"/>
      <c r="J653" s="71"/>
      <c r="K653" s="11"/>
      <c r="L653" s="71"/>
      <c r="M653" s="11"/>
      <c r="N653" s="12"/>
      <c r="O653" s="12"/>
      <c r="P653" s="57"/>
      <c r="Q653" s="50"/>
      <c r="R653" s="50"/>
      <c r="S653" s="58"/>
      <c r="T653" s="58"/>
      <c r="U653" s="58"/>
      <c r="V653" s="59"/>
      <c r="W653" s="60"/>
    </row>
    <row r="654" spans="1:23" ht="29" customHeight="1" x14ac:dyDescent="0.35">
      <c r="A654" s="61"/>
      <c r="B654" s="55"/>
      <c r="C654" s="70"/>
      <c r="D654" s="12"/>
      <c r="E654" s="128"/>
      <c r="F654" s="12"/>
      <c r="G654" s="71"/>
      <c r="H654" s="71"/>
      <c r="I654" s="11"/>
      <c r="J654" s="71"/>
      <c r="K654" s="11"/>
      <c r="L654" s="71"/>
      <c r="M654" s="11"/>
      <c r="N654" s="12"/>
      <c r="O654" s="12"/>
      <c r="P654" s="57"/>
      <c r="Q654" s="50"/>
      <c r="R654" s="50"/>
      <c r="S654" s="58"/>
      <c r="T654" s="58"/>
      <c r="U654" s="58"/>
      <c r="V654" s="59"/>
      <c r="W654" s="60"/>
    </row>
    <row r="655" spans="1:23" ht="29" customHeight="1" x14ac:dyDescent="0.35">
      <c r="A655" s="61"/>
      <c r="B655" s="55"/>
      <c r="C655" s="70"/>
      <c r="D655" s="12"/>
      <c r="E655" s="128"/>
      <c r="F655" s="12"/>
      <c r="G655" s="71"/>
      <c r="H655" s="71"/>
      <c r="I655" s="11"/>
      <c r="J655" s="71"/>
      <c r="K655" s="11"/>
      <c r="L655" s="71"/>
      <c r="M655" s="11"/>
      <c r="N655" s="12"/>
      <c r="O655" s="12"/>
      <c r="P655" s="57"/>
      <c r="Q655" s="50"/>
      <c r="R655" s="50"/>
      <c r="S655" s="58"/>
      <c r="T655" s="58"/>
      <c r="U655" s="58"/>
      <c r="V655" s="59"/>
      <c r="W655" s="60"/>
    </row>
    <row r="656" spans="1:23" ht="29" customHeight="1" x14ac:dyDescent="0.35">
      <c r="A656" s="61"/>
      <c r="B656" s="55"/>
      <c r="C656" s="70"/>
      <c r="D656" s="12"/>
      <c r="E656" s="128"/>
      <c r="F656" s="12"/>
      <c r="G656" s="71"/>
      <c r="H656" s="71"/>
      <c r="I656" s="11"/>
      <c r="J656" s="71"/>
      <c r="K656" s="11"/>
      <c r="L656" s="71"/>
      <c r="M656" s="11"/>
      <c r="N656" s="12"/>
      <c r="O656" s="12"/>
      <c r="P656" s="57"/>
      <c r="Q656" s="50"/>
      <c r="R656" s="50"/>
      <c r="S656" s="58"/>
      <c r="T656" s="58"/>
      <c r="U656" s="58"/>
      <c r="V656" s="59"/>
      <c r="W656" s="60"/>
    </row>
    <row r="657" spans="1:23" ht="29" customHeight="1" x14ac:dyDescent="0.35">
      <c r="A657" s="61"/>
      <c r="B657" s="55"/>
      <c r="C657" s="70"/>
      <c r="D657" s="12"/>
      <c r="E657" s="128"/>
      <c r="F657" s="12"/>
      <c r="G657" s="71"/>
      <c r="H657" s="71"/>
      <c r="I657" s="11"/>
      <c r="J657" s="71"/>
      <c r="K657" s="11"/>
      <c r="L657" s="71"/>
      <c r="M657" s="11"/>
      <c r="N657" s="12"/>
      <c r="O657" s="12"/>
      <c r="P657" s="57"/>
      <c r="Q657" s="50"/>
      <c r="R657" s="50"/>
      <c r="S657" s="58"/>
      <c r="T657" s="58"/>
      <c r="U657" s="58"/>
      <c r="V657" s="59"/>
      <c r="W657" s="60"/>
    </row>
    <row r="658" spans="1:23" ht="29" customHeight="1" x14ac:dyDescent="0.35">
      <c r="A658" s="61"/>
      <c r="B658" s="55"/>
      <c r="C658" s="70"/>
      <c r="D658" s="12"/>
      <c r="E658" s="128"/>
      <c r="F658" s="12"/>
      <c r="G658" s="71"/>
      <c r="H658" s="71"/>
      <c r="I658" s="11"/>
      <c r="J658" s="71"/>
      <c r="K658" s="11"/>
      <c r="L658" s="71"/>
      <c r="M658" s="11"/>
      <c r="N658" s="12"/>
      <c r="O658" s="12"/>
      <c r="P658" s="57"/>
      <c r="Q658" s="50"/>
      <c r="R658" s="50"/>
      <c r="S658" s="58"/>
      <c r="T658" s="58"/>
      <c r="U658" s="58"/>
      <c r="V658" s="59"/>
      <c r="W658" s="60"/>
    </row>
    <row r="659" spans="1:23" ht="29" customHeight="1" x14ac:dyDescent="0.35">
      <c r="A659" s="61"/>
      <c r="B659" s="55"/>
      <c r="C659" s="70"/>
      <c r="D659" s="12"/>
      <c r="E659" s="128"/>
      <c r="F659" s="12"/>
      <c r="G659" s="71"/>
      <c r="H659" s="71"/>
      <c r="I659" s="11"/>
      <c r="J659" s="71"/>
      <c r="K659" s="11"/>
      <c r="L659" s="71"/>
      <c r="M659" s="11"/>
      <c r="N659" s="12"/>
      <c r="O659" s="12"/>
      <c r="P659" s="57"/>
      <c r="Q659" s="50"/>
      <c r="R659" s="50"/>
      <c r="S659" s="58"/>
      <c r="T659" s="58"/>
      <c r="U659" s="58"/>
      <c r="V659" s="59"/>
      <c r="W659" s="60"/>
    </row>
    <row r="660" spans="1:23" ht="29" customHeight="1" x14ac:dyDescent="0.35">
      <c r="A660" s="61"/>
      <c r="B660" s="55"/>
      <c r="C660" s="70"/>
      <c r="D660" s="12"/>
      <c r="E660" s="128"/>
      <c r="F660" s="12"/>
      <c r="G660" s="71"/>
      <c r="H660" s="71"/>
      <c r="I660" s="11"/>
      <c r="J660" s="71"/>
      <c r="K660" s="11"/>
      <c r="L660" s="71"/>
      <c r="M660" s="11"/>
      <c r="N660" s="12"/>
      <c r="O660" s="12"/>
      <c r="P660" s="57"/>
      <c r="Q660" s="50"/>
      <c r="R660" s="50"/>
      <c r="S660" s="58"/>
      <c r="T660" s="58"/>
      <c r="U660" s="58"/>
      <c r="V660" s="59"/>
      <c r="W660" s="60"/>
    </row>
    <row r="661" spans="1:23" ht="29" customHeight="1" x14ac:dyDescent="0.35">
      <c r="A661" s="61"/>
      <c r="B661" s="55"/>
      <c r="C661" s="70"/>
      <c r="D661" s="12"/>
      <c r="E661" s="128"/>
      <c r="F661" s="12"/>
      <c r="G661" s="71"/>
      <c r="H661" s="71"/>
      <c r="I661" s="11"/>
      <c r="J661" s="71"/>
      <c r="K661" s="11"/>
      <c r="L661" s="71"/>
      <c r="M661" s="11"/>
      <c r="N661" s="12"/>
      <c r="O661" s="12"/>
      <c r="P661" s="57"/>
      <c r="Q661" s="50"/>
      <c r="R661" s="50"/>
      <c r="S661" s="58"/>
      <c r="T661" s="58"/>
      <c r="U661" s="58"/>
      <c r="V661" s="59"/>
      <c r="W661" s="60"/>
    </row>
    <row r="662" spans="1:23" ht="29" customHeight="1" x14ac:dyDescent="0.35">
      <c r="A662" s="61"/>
      <c r="B662" s="55"/>
      <c r="C662" s="70"/>
      <c r="D662" s="12"/>
      <c r="E662" s="128"/>
      <c r="F662" s="12"/>
      <c r="G662" s="71"/>
      <c r="H662" s="71"/>
      <c r="I662" s="11"/>
      <c r="J662" s="71"/>
      <c r="K662" s="11"/>
      <c r="L662" s="71"/>
      <c r="M662" s="11"/>
      <c r="N662" s="12"/>
      <c r="O662" s="12"/>
      <c r="P662" s="57"/>
      <c r="Q662" s="50"/>
      <c r="R662" s="50"/>
      <c r="S662" s="58"/>
      <c r="T662" s="58"/>
      <c r="U662" s="58"/>
      <c r="V662" s="59"/>
      <c r="W662" s="60"/>
    </row>
    <row r="663" spans="1:23" ht="29" customHeight="1" x14ac:dyDescent="0.35">
      <c r="A663" s="61"/>
      <c r="B663" s="55"/>
      <c r="C663" s="70"/>
      <c r="D663" s="12"/>
      <c r="E663" s="128"/>
      <c r="F663" s="12"/>
      <c r="G663" s="71"/>
      <c r="H663" s="71"/>
      <c r="I663" s="11"/>
      <c r="J663" s="71"/>
      <c r="K663" s="11"/>
      <c r="L663" s="71"/>
      <c r="M663" s="11"/>
      <c r="N663" s="12"/>
      <c r="O663" s="12"/>
      <c r="P663" s="57"/>
      <c r="Q663" s="50"/>
      <c r="R663" s="50"/>
      <c r="S663" s="58"/>
      <c r="T663" s="58"/>
      <c r="U663" s="58"/>
      <c r="V663" s="59"/>
      <c r="W663" s="60"/>
    </row>
    <row r="664" spans="1:23" ht="29" customHeight="1" x14ac:dyDescent="0.35">
      <c r="A664" s="61"/>
      <c r="B664" s="55"/>
      <c r="C664" s="70"/>
      <c r="D664" s="12"/>
      <c r="E664" s="128"/>
      <c r="F664" s="12"/>
      <c r="G664" s="71"/>
      <c r="H664" s="71"/>
      <c r="I664" s="11"/>
      <c r="J664" s="71"/>
      <c r="K664" s="11"/>
      <c r="L664" s="71"/>
      <c r="M664" s="11"/>
      <c r="N664" s="12"/>
      <c r="O664" s="12"/>
      <c r="P664" s="57"/>
      <c r="Q664" s="50"/>
      <c r="R664" s="50"/>
      <c r="S664" s="58"/>
      <c r="T664" s="58"/>
      <c r="U664" s="58"/>
      <c r="V664" s="59"/>
      <c r="W664" s="60"/>
    </row>
    <row r="665" spans="1:23" ht="29" customHeight="1" x14ac:dyDescent="0.35">
      <c r="A665" s="61"/>
      <c r="B665" s="55"/>
      <c r="C665" s="70"/>
      <c r="D665" s="12"/>
      <c r="E665" s="128"/>
      <c r="F665" s="12"/>
      <c r="G665" s="71"/>
      <c r="H665" s="71"/>
      <c r="I665" s="11"/>
      <c r="J665" s="71"/>
      <c r="K665" s="11"/>
      <c r="L665" s="71"/>
      <c r="M665" s="11"/>
      <c r="N665" s="12"/>
      <c r="O665" s="12"/>
      <c r="P665" s="57"/>
      <c r="Q665" s="50"/>
      <c r="R665" s="50"/>
      <c r="S665" s="58"/>
      <c r="T665" s="58"/>
      <c r="U665" s="58"/>
      <c r="V665" s="59"/>
      <c r="W665" s="60"/>
    </row>
    <row r="666" spans="1:23" ht="29" customHeight="1" x14ac:dyDescent="0.35">
      <c r="A666" s="61"/>
      <c r="B666" s="55"/>
      <c r="C666" s="70"/>
      <c r="D666" s="12"/>
      <c r="E666" s="128"/>
      <c r="F666" s="12"/>
      <c r="G666" s="71"/>
      <c r="H666" s="71"/>
      <c r="I666" s="11"/>
      <c r="J666" s="71"/>
      <c r="K666" s="11"/>
      <c r="L666" s="71"/>
      <c r="M666" s="11"/>
      <c r="N666" s="12"/>
      <c r="O666" s="12"/>
      <c r="P666" s="57"/>
      <c r="Q666" s="50"/>
      <c r="R666" s="50"/>
      <c r="S666" s="58"/>
      <c r="T666" s="58"/>
      <c r="U666" s="58"/>
      <c r="V666" s="59"/>
      <c r="W666" s="60"/>
    </row>
    <row r="667" spans="1:23" ht="29" customHeight="1" x14ac:dyDescent="0.35">
      <c r="A667" s="61"/>
      <c r="B667" s="55"/>
      <c r="C667" s="70"/>
      <c r="D667" s="12"/>
      <c r="E667" s="128"/>
      <c r="F667" s="12"/>
      <c r="G667" s="71"/>
      <c r="H667" s="71"/>
      <c r="I667" s="11"/>
      <c r="J667" s="71"/>
      <c r="K667" s="11"/>
      <c r="L667" s="71"/>
      <c r="M667" s="11"/>
      <c r="N667" s="12"/>
      <c r="O667" s="12"/>
      <c r="P667" s="57"/>
      <c r="Q667" s="50"/>
      <c r="R667" s="50"/>
      <c r="S667" s="58"/>
      <c r="T667" s="58"/>
      <c r="U667" s="58"/>
      <c r="V667" s="59"/>
      <c r="W667" s="60"/>
    </row>
    <row r="668" spans="1:23" ht="29" customHeight="1" x14ac:dyDescent="0.35">
      <c r="A668" s="61"/>
      <c r="B668" s="55"/>
      <c r="C668" s="70"/>
      <c r="D668" s="12"/>
      <c r="E668" s="128"/>
      <c r="F668" s="12"/>
      <c r="G668" s="71"/>
      <c r="H668" s="71"/>
      <c r="I668" s="11"/>
      <c r="J668" s="71"/>
      <c r="K668" s="11"/>
      <c r="L668" s="71"/>
      <c r="M668" s="11"/>
      <c r="N668" s="12"/>
      <c r="O668" s="12"/>
      <c r="P668" s="57"/>
      <c r="Q668" s="50"/>
      <c r="R668" s="50"/>
      <c r="S668" s="58"/>
      <c r="T668" s="58"/>
      <c r="U668" s="58"/>
      <c r="V668" s="59"/>
      <c r="W668" s="60"/>
    </row>
    <row r="669" spans="1:23" ht="29" customHeight="1" x14ac:dyDescent="0.35">
      <c r="A669" s="61"/>
      <c r="B669" s="55"/>
      <c r="C669" s="70"/>
      <c r="D669" s="12"/>
      <c r="E669" s="128"/>
      <c r="F669" s="12"/>
      <c r="G669" s="71"/>
      <c r="H669" s="71"/>
      <c r="I669" s="11"/>
      <c r="J669" s="71"/>
      <c r="K669" s="11"/>
      <c r="L669" s="71"/>
      <c r="M669" s="11"/>
      <c r="N669" s="12"/>
      <c r="O669" s="12"/>
      <c r="P669" s="57"/>
      <c r="Q669" s="50"/>
      <c r="R669" s="50"/>
      <c r="S669" s="58"/>
      <c r="T669" s="58"/>
      <c r="U669" s="58"/>
      <c r="V669" s="59"/>
      <c r="W669" s="60"/>
    </row>
    <row r="670" spans="1:23" ht="29" customHeight="1" x14ac:dyDescent="0.35">
      <c r="A670" s="61"/>
      <c r="B670" s="55"/>
      <c r="C670" s="70"/>
      <c r="D670" s="12"/>
      <c r="E670" s="128"/>
      <c r="F670" s="12"/>
      <c r="G670" s="71"/>
      <c r="H670" s="71"/>
      <c r="I670" s="11"/>
      <c r="J670" s="71"/>
      <c r="K670" s="11"/>
      <c r="L670" s="71"/>
      <c r="M670" s="11"/>
      <c r="N670" s="12"/>
      <c r="O670" s="12"/>
      <c r="P670" s="57"/>
      <c r="Q670" s="50"/>
      <c r="R670" s="50"/>
      <c r="S670" s="58"/>
      <c r="T670" s="58"/>
      <c r="U670" s="58"/>
      <c r="V670" s="59"/>
      <c r="W670" s="60"/>
    </row>
    <row r="671" spans="1:23" ht="29" customHeight="1" x14ac:dyDescent="0.35">
      <c r="A671" s="61"/>
      <c r="B671" s="55"/>
      <c r="C671" s="70"/>
      <c r="D671" s="12"/>
      <c r="E671" s="128"/>
      <c r="F671" s="12"/>
      <c r="G671" s="71"/>
      <c r="H671" s="71"/>
      <c r="I671" s="11"/>
      <c r="J671" s="71"/>
      <c r="K671" s="11"/>
      <c r="L671" s="71"/>
      <c r="M671" s="11"/>
      <c r="N671" s="12"/>
      <c r="O671" s="12"/>
      <c r="P671" s="57"/>
      <c r="Q671" s="50"/>
      <c r="R671" s="50"/>
      <c r="S671" s="58"/>
      <c r="T671" s="58"/>
      <c r="U671" s="58"/>
      <c r="V671" s="59"/>
      <c r="W671" s="60"/>
    </row>
    <row r="672" spans="1:23" ht="29" customHeight="1" x14ac:dyDescent="0.35">
      <c r="A672" s="61"/>
      <c r="B672" s="55"/>
      <c r="C672" s="70"/>
      <c r="D672" s="12"/>
      <c r="E672" s="128"/>
      <c r="F672" s="12"/>
      <c r="G672" s="71"/>
      <c r="H672" s="71"/>
      <c r="I672" s="11"/>
      <c r="J672" s="71"/>
      <c r="K672" s="11"/>
      <c r="L672" s="71"/>
      <c r="M672" s="11"/>
      <c r="N672" s="12"/>
      <c r="O672" s="12"/>
      <c r="P672" s="57"/>
      <c r="Q672" s="50"/>
      <c r="R672" s="50"/>
      <c r="S672" s="58"/>
      <c r="T672" s="58"/>
      <c r="U672" s="58"/>
      <c r="V672" s="59"/>
      <c r="W672" s="60"/>
    </row>
    <row r="673" spans="1:23" ht="29" customHeight="1" x14ac:dyDescent="0.35">
      <c r="A673" s="61"/>
      <c r="B673" s="55"/>
      <c r="C673" s="70"/>
      <c r="D673" s="12"/>
      <c r="E673" s="128"/>
      <c r="F673" s="12"/>
      <c r="G673" s="71"/>
      <c r="H673" s="71"/>
      <c r="I673" s="11"/>
      <c r="J673" s="71"/>
      <c r="K673" s="11"/>
      <c r="L673" s="71"/>
      <c r="M673" s="11"/>
      <c r="N673" s="12"/>
      <c r="O673" s="12"/>
      <c r="P673" s="57"/>
      <c r="Q673" s="50"/>
      <c r="R673" s="50"/>
      <c r="S673" s="58"/>
      <c r="T673" s="58"/>
      <c r="U673" s="58"/>
      <c r="V673" s="59"/>
      <c r="W673" s="60"/>
    </row>
    <row r="674" spans="1:23" ht="29" customHeight="1" x14ac:dyDescent="0.35">
      <c r="A674" s="61"/>
      <c r="B674" s="55"/>
      <c r="C674" s="70"/>
      <c r="D674" s="12"/>
      <c r="E674" s="128"/>
      <c r="F674" s="12"/>
      <c r="G674" s="71"/>
      <c r="H674" s="71"/>
      <c r="I674" s="11"/>
      <c r="J674" s="71"/>
      <c r="K674" s="11"/>
      <c r="L674" s="71"/>
      <c r="M674" s="11"/>
      <c r="N674" s="12"/>
      <c r="O674" s="12"/>
      <c r="P674" s="57"/>
      <c r="Q674" s="50"/>
      <c r="R674" s="50"/>
      <c r="S674" s="58"/>
      <c r="T674" s="58"/>
      <c r="U674" s="58"/>
      <c r="V674" s="59"/>
      <c r="W674" s="60"/>
    </row>
    <row r="675" spans="1:23" ht="29" customHeight="1" x14ac:dyDescent="0.35">
      <c r="A675" s="61"/>
      <c r="B675" s="55"/>
      <c r="C675" s="70"/>
      <c r="D675" s="12"/>
      <c r="E675" s="128"/>
      <c r="F675" s="12"/>
      <c r="G675" s="71"/>
      <c r="H675" s="71"/>
      <c r="I675" s="11"/>
      <c r="J675" s="71"/>
      <c r="K675" s="11"/>
      <c r="L675" s="71"/>
      <c r="M675" s="11"/>
      <c r="N675" s="12"/>
      <c r="O675" s="12"/>
      <c r="P675" s="57"/>
      <c r="Q675" s="50"/>
      <c r="R675" s="50"/>
      <c r="S675" s="58"/>
      <c r="T675" s="58"/>
      <c r="U675" s="58"/>
      <c r="V675" s="59"/>
      <c r="W675" s="60"/>
    </row>
    <row r="676" spans="1:23" ht="29" customHeight="1" x14ac:dyDescent="0.35">
      <c r="A676" s="61"/>
      <c r="B676" s="55"/>
      <c r="C676" s="70"/>
      <c r="D676" s="12"/>
      <c r="E676" s="128"/>
      <c r="F676" s="12"/>
      <c r="G676" s="71"/>
      <c r="H676" s="71"/>
      <c r="I676" s="11"/>
      <c r="J676" s="71"/>
      <c r="K676" s="11"/>
      <c r="L676" s="71"/>
      <c r="M676" s="11"/>
      <c r="N676" s="12"/>
      <c r="O676" s="12"/>
      <c r="P676" s="57"/>
      <c r="Q676" s="50"/>
      <c r="R676" s="50"/>
      <c r="S676" s="58"/>
      <c r="T676" s="58"/>
      <c r="U676" s="58"/>
      <c r="V676" s="59"/>
      <c r="W676" s="60"/>
    </row>
    <row r="677" spans="1:23" ht="29" customHeight="1" x14ac:dyDescent="0.35">
      <c r="A677" s="61"/>
      <c r="B677" s="55"/>
      <c r="C677" s="70"/>
      <c r="D677" s="12"/>
      <c r="E677" s="128"/>
      <c r="F677" s="12"/>
      <c r="G677" s="71"/>
      <c r="H677" s="71"/>
      <c r="I677" s="11"/>
      <c r="J677" s="71"/>
      <c r="K677" s="11"/>
      <c r="L677" s="71"/>
      <c r="M677" s="11"/>
      <c r="N677" s="12"/>
      <c r="O677" s="12"/>
      <c r="P677" s="57"/>
      <c r="Q677" s="50"/>
      <c r="R677" s="50"/>
      <c r="S677" s="58"/>
      <c r="T677" s="58"/>
      <c r="U677" s="58"/>
      <c r="V677" s="59"/>
      <c r="W677" s="60"/>
    </row>
    <row r="678" spans="1:23" ht="29" customHeight="1" x14ac:dyDescent="0.35">
      <c r="A678" s="61"/>
      <c r="B678" s="55"/>
      <c r="C678" s="70"/>
      <c r="D678" s="12"/>
      <c r="E678" s="128"/>
      <c r="F678" s="12"/>
      <c r="G678" s="71"/>
      <c r="H678" s="71"/>
      <c r="I678" s="11"/>
      <c r="J678" s="71"/>
      <c r="K678" s="11"/>
      <c r="L678" s="71"/>
      <c r="M678" s="11"/>
      <c r="N678" s="12"/>
      <c r="O678" s="12"/>
      <c r="P678" s="57"/>
      <c r="Q678" s="50"/>
      <c r="R678" s="50"/>
      <c r="S678" s="58"/>
      <c r="T678" s="58"/>
      <c r="U678" s="58"/>
      <c r="V678" s="59"/>
      <c r="W678" s="60"/>
    </row>
    <row r="679" spans="1:23" ht="29" customHeight="1" x14ac:dyDescent="0.35">
      <c r="A679" s="61"/>
      <c r="B679" s="55"/>
      <c r="C679" s="70"/>
      <c r="D679" s="12"/>
      <c r="E679" s="128"/>
      <c r="F679" s="12"/>
      <c r="G679" s="71"/>
      <c r="H679" s="71"/>
      <c r="I679" s="11"/>
      <c r="J679" s="71"/>
      <c r="K679" s="11"/>
      <c r="L679" s="71"/>
      <c r="M679" s="11"/>
      <c r="N679" s="12"/>
      <c r="O679" s="12"/>
      <c r="P679" s="57"/>
      <c r="Q679" s="50"/>
      <c r="R679" s="50"/>
      <c r="S679" s="58"/>
      <c r="T679" s="58"/>
      <c r="U679" s="58"/>
      <c r="V679" s="59"/>
      <c r="W679" s="60"/>
    </row>
    <row r="680" spans="1:23" ht="29" customHeight="1" x14ac:dyDescent="0.35">
      <c r="A680" s="61"/>
      <c r="B680" s="55"/>
      <c r="C680" s="70"/>
      <c r="D680" s="12"/>
      <c r="E680" s="128"/>
      <c r="F680" s="12"/>
      <c r="G680" s="71"/>
      <c r="H680" s="71"/>
      <c r="I680" s="11"/>
      <c r="J680" s="71"/>
      <c r="K680" s="11"/>
      <c r="L680" s="71"/>
      <c r="M680" s="11"/>
      <c r="N680" s="12"/>
      <c r="O680" s="12"/>
      <c r="P680" s="57"/>
      <c r="Q680" s="50"/>
      <c r="R680" s="50"/>
      <c r="S680" s="58"/>
      <c r="T680" s="58"/>
      <c r="U680" s="58"/>
      <c r="V680" s="59"/>
      <c r="W680" s="60"/>
    </row>
    <row r="681" spans="1:23" ht="29" customHeight="1" x14ac:dyDescent="0.35">
      <c r="A681" s="61"/>
      <c r="B681" s="55"/>
      <c r="C681" s="70"/>
      <c r="D681" s="12"/>
      <c r="E681" s="128"/>
      <c r="F681" s="12"/>
      <c r="G681" s="71"/>
      <c r="H681" s="71"/>
      <c r="I681" s="11"/>
      <c r="J681" s="71"/>
      <c r="K681" s="11"/>
      <c r="L681" s="71"/>
      <c r="M681" s="11"/>
      <c r="N681" s="12"/>
      <c r="O681" s="12"/>
      <c r="P681" s="57"/>
      <c r="Q681" s="50"/>
      <c r="R681" s="50"/>
      <c r="S681" s="58"/>
      <c r="T681" s="58"/>
      <c r="U681" s="58"/>
      <c r="V681" s="59"/>
      <c r="W681" s="60"/>
    </row>
    <row r="682" spans="1:23" ht="29" customHeight="1" x14ac:dyDescent="0.35">
      <c r="A682" s="61"/>
      <c r="B682" s="55"/>
      <c r="C682" s="70"/>
      <c r="D682" s="12"/>
      <c r="E682" s="128"/>
      <c r="F682" s="12"/>
      <c r="G682" s="71"/>
      <c r="H682" s="71"/>
      <c r="I682" s="11"/>
      <c r="J682" s="71"/>
      <c r="K682" s="11"/>
      <c r="L682" s="71"/>
      <c r="M682" s="11"/>
      <c r="N682" s="12"/>
      <c r="O682" s="12"/>
      <c r="P682" s="57"/>
      <c r="Q682" s="50"/>
      <c r="R682" s="50"/>
      <c r="S682" s="58"/>
      <c r="T682" s="58"/>
      <c r="U682" s="58"/>
      <c r="V682" s="59"/>
      <c r="W682" s="60"/>
    </row>
    <row r="683" spans="1:23" ht="29" customHeight="1" x14ac:dyDescent="0.35">
      <c r="A683" s="61"/>
      <c r="B683" s="55"/>
      <c r="C683" s="70"/>
      <c r="D683" s="12"/>
      <c r="E683" s="128"/>
      <c r="F683" s="12"/>
      <c r="G683" s="71"/>
      <c r="H683" s="71"/>
      <c r="I683" s="11"/>
      <c r="J683" s="71"/>
      <c r="K683" s="11"/>
      <c r="L683" s="71"/>
      <c r="M683" s="11"/>
      <c r="N683" s="12"/>
      <c r="O683" s="12"/>
      <c r="P683" s="57"/>
      <c r="Q683" s="50"/>
      <c r="R683" s="50"/>
      <c r="S683" s="58"/>
      <c r="T683" s="58"/>
      <c r="U683" s="58"/>
      <c r="V683" s="59"/>
      <c r="W683" s="60"/>
    </row>
    <row r="684" spans="1:23" ht="29" customHeight="1" x14ac:dyDescent="0.35">
      <c r="A684" s="61"/>
      <c r="B684" s="55"/>
      <c r="C684" s="70"/>
      <c r="D684" s="12"/>
      <c r="E684" s="128"/>
      <c r="F684" s="12"/>
      <c r="G684" s="71"/>
      <c r="H684" s="71"/>
      <c r="I684" s="11"/>
      <c r="J684" s="71"/>
      <c r="K684" s="11"/>
      <c r="L684" s="71"/>
      <c r="M684" s="11"/>
      <c r="N684" s="12"/>
      <c r="O684" s="12"/>
      <c r="P684" s="57"/>
      <c r="Q684" s="50"/>
      <c r="R684" s="50"/>
      <c r="S684" s="58"/>
      <c r="T684" s="58"/>
      <c r="U684" s="58"/>
      <c r="V684" s="59"/>
      <c r="W684" s="60"/>
    </row>
    <row r="685" spans="1:23" ht="29" customHeight="1" x14ac:dyDescent="0.35">
      <c r="A685" s="61"/>
      <c r="B685" s="55"/>
      <c r="C685" s="70"/>
      <c r="D685" s="12"/>
      <c r="E685" s="128"/>
      <c r="F685" s="12"/>
      <c r="G685" s="71"/>
      <c r="H685" s="71"/>
      <c r="I685" s="11"/>
      <c r="J685" s="71"/>
      <c r="K685" s="11"/>
      <c r="L685" s="71"/>
      <c r="M685" s="11"/>
      <c r="N685" s="12"/>
      <c r="O685" s="12"/>
      <c r="P685" s="57"/>
      <c r="Q685" s="50"/>
      <c r="R685" s="50"/>
      <c r="S685" s="58"/>
      <c r="T685" s="58"/>
      <c r="U685" s="58"/>
      <c r="V685" s="59"/>
      <c r="W685" s="60"/>
    </row>
    <row r="686" spans="1:23" ht="29" customHeight="1" x14ac:dyDescent="0.35">
      <c r="A686" s="61"/>
      <c r="B686" s="55"/>
      <c r="C686" s="70"/>
      <c r="D686" s="12"/>
      <c r="E686" s="128"/>
      <c r="F686" s="12"/>
      <c r="G686" s="71"/>
      <c r="H686" s="71"/>
      <c r="I686" s="11"/>
      <c r="J686" s="71"/>
      <c r="K686" s="11"/>
      <c r="L686" s="71"/>
      <c r="M686" s="11"/>
      <c r="N686" s="12"/>
      <c r="O686" s="12"/>
      <c r="P686" s="57"/>
      <c r="Q686" s="50"/>
      <c r="R686" s="50"/>
      <c r="S686" s="58"/>
      <c r="T686" s="58"/>
      <c r="U686" s="58"/>
      <c r="V686" s="59"/>
      <c r="W686" s="60"/>
    </row>
    <row r="687" spans="1:23" ht="29" customHeight="1" x14ac:dyDescent="0.35">
      <c r="A687" s="61"/>
      <c r="B687" s="55"/>
      <c r="C687" s="70"/>
      <c r="D687" s="12"/>
      <c r="E687" s="128"/>
      <c r="F687" s="12"/>
      <c r="G687" s="71"/>
      <c r="H687" s="71"/>
      <c r="I687" s="11"/>
      <c r="J687" s="71"/>
      <c r="K687" s="11"/>
      <c r="L687" s="71"/>
      <c r="M687" s="11"/>
      <c r="N687" s="12"/>
      <c r="O687" s="12"/>
      <c r="P687" s="57"/>
      <c r="Q687" s="50"/>
      <c r="R687" s="50"/>
      <c r="S687" s="58"/>
      <c r="T687" s="58"/>
      <c r="U687" s="58"/>
      <c r="V687" s="59"/>
      <c r="W687" s="60"/>
    </row>
    <row r="688" spans="1:23" ht="29" customHeight="1" x14ac:dyDescent="0.35">
      <c r="A688" s="61"/>
      <c r="B688" s="55"/>
      <c r="C688" s="70"/>
      <c r="D688" s="12"/>
      <c r="E688" s="128"/>
      <c r="F688" s="12"/>
      <c r="G688" s="71"/>
      <c r="H688" s="71"/>
      <c r="I688" s="11"/>
      <c r="J688" s="71"/>
      <c r="K688" s="11"/>
      <c r="L688" s="71"/>
      <c r="M688" s="11"/>
      <c r="N688" s="12"/>
      <c r="O688" s="12"/>
      <c r="P688" s="57"/>
      <c r="Q688" s="50"/>
      <c r="R688" s="50"/>
      <c r="S688" s="58"/>
      <c r="T688" s="58"/>
      <c r="U688" s="58"/>
      <c r="V688" s="59"/>
      <c r="W688" s="60"/>
    </row>
    <row r="689" spans="1:23" ht="29" customHeight="1" x14ac:dyDescent="0.35">
      <c r="A689" s="61"/>
      <c r="B689" s="55"/>
      <c r="C689" s="70"/>
      <c r="D689" s="12"/>
      <c r="E689" s="128"/>
      <c r="F689" s="12"/>
      <c r="G689" s="71"/>
      <c r="H689" s="71"/>
      <c r="I689" s="11"/>
      <c r="J689" s="71"/>
      <c r="K689" s="11"/>
      <c r="L689" s="71"/>
      <c r="M689" s="11"/>
      <c r="N689" s="12"/>
      <c r="O689" s="12"/>
      <c r="P689" s="57"/>
      <c r="Q689" s="50"/>
      <c r="R689" s="50"/>
      <c r="S689" s="58"/>
      <c r="T689" s="58"/>
      <c r="U689" s="58"/>
      <c r="V689" s="59"/>
      <c r="W689" s="60"/>
    </row>
    <row r="690" spans="1:23" ht="29" customHeight="1" x14ac:dyDescent="0.35">
      <c r="A690" s="61"/>
      <c r="B690" s="55"/>
      <c r="C690" s="70"/>
      <c r="D690" s="12"/>
      <c r="E690" s="128"/>
      <c r="F690" s="12"/>
      <c r="G690" s="71"/>
      <c r="H690" s="71"/>
      <c r="I690" s="11"/>
      <c r="J690" s="71"/>
      <c r="K690" s="11"/>
      <c r="L690" s="71"/>
      <c r="M690" s="11"/>
      <c r="N690" s="12"/>
      <c r="O690" s="12"/>
      <c r="P690" s="57"/>
      <c r="Q690" s="50"/>
      <c r="R690" s="50"/>
      <c r="S690" s="58"/>
      <c r="T690" s="58"/>
      <c r="U690" s="58"/>
      <c r="V690" s="59"/>
      <c r="W690" s="60"/>
    </row>
    <row r="691" spans="1:23" ht="29" customHeight="1" x14ac:dyDescent="0.35">
      <c r="A691" s="61"/>
      <c r="B691" s="55"/>
      <c r="C691" s="70"/>
      <c r="D691" s="12"/>
      <c r="E691" s="128"/>
      <c r="F691" s="12"/>
      <c r="G691" s="71"/>
      <c r="H691" s="71"/>
      <c r="I691" s="11"/>
      <c r="J691" s="71"/>
      <c r="K691" s="11"/>
      <c r="L691" s="71"/>
      <c r="M691" s="11"/>
      <c r="N691" s="12"/>
      <c r="O691" s="12"/>
      <c r="P691" s="57"/>
      <c r="Q691" s="50"/>
      <c r="R691" s="50"/>
      <c r="S691" s="58"/>
      <c r="T691" s="58"/>
      <c r="U691" s="58"/>
      <c r="V691" s="59"/>
      <c r="W691" s="60"/>
    </row>
    <row r="692" spans="1:23" ht="29" customHeight="1" x14ac:dyDescent="0.35">
      <c r="A692" s="61"/>
      <c r="B692" s="55"/>
      <c r="C692" s="70"/>
      <c r="D692" s="12"/>
      <c r="E692" s="128"/>
      <c r="F692" s="12"/>
      <c r="G692" s="71"/>
      <c r="H692" s="71"/>
      <c r="I692" s="11"/>
      <c r="J692" s="71"/>
      <c r="K692" s="11"/>
      <c r="L692" s="71"/>
      <c r="M692" s="11"/>
      <c r="N692" s="12"/>
      <c r="O692" s="12"/>
      <c r="P692" s="57"/>
      <c r="Q692" s="50"/>
      <c r="R692" s="50"/>
      <c r="S692" s="58"/>
      <c r="T692" s="58"/>
      <c r="U692" s="58"/>
      <c r="V692" s="59"/>
      <c r="W692" s="60"/>
    </row>
    <row r="693" spans="1:23" ht="29" customHeight="1" x14ac:dyDescent="0.35">
      <c r="A693" s="61"/>
      <c r="B693" s="55"/>
      <c r="C693" s="70"/>
      <c r="D693" s="12"/>
      <c r="E693" s="128"/>
      <c r="F693" s="12"/>
      <c r="G693" s="71"/>
      <c r="H693" s="71"/>
      <c r="I693" s="11"/>
      <c r="J693" s="71"/>
      <c r="K693" s="11"/>
      <c r="L693" s="71"/>
      <c r="M693" s="11"/>
      <c r="N693" s="12"/>
      <c r="O693" s="12"/>
      <c r="P693" s="57"/>
      <c r="Q693" s="50"/>
      <c r="R693" s="50"/>
      <c r="S693" s="58"/>
      <c r="T693" s="58"/>
      <c r="U693" s="58"/>
      <c r="V693" s="59"/>
      <c r="W693" s="60"/>
    </row>
    <row r="694" spans="1:23" ht="29" customHeight="1" x14ac:dyDescent="0.35">
      <c r="A694" s="61"/>
      <c r="B694" s="55"/>
      <c r="C694" s="70"/>
      <c r="D694" s="12"/>
      <c r="E694" s="128"/>
      <c r="F694" s="12"/>
      <c r="G694" s="71"/>
      <c r="H694" s="71"/>
      <c r="I694" s="11"/>
      <c r="J694" s="71"/>
      <c r="K694" s="11"/>
      <c r="L694" s="71"/>
      <c r="M694" s="11"/>
      <c r="N694" s="12"/>
      <c r="O694" s="12"/>
      <c r="P694" s="57"/>
      <c r="Q694" s="50"/>
      <c r="R694" s="50"/>
      <c r="S694" s="58"/>
      <c r="T694" s="58"/>
      <c r="U694" s="58"/>
      <c r="V694" s="59"/>
      <c r="W694" s="60"/>
    </row>
    <row r="695" spans="1:23" ht="29" customHeight="1" x14ac:dyDescent="0.35">
      <c r="A695" s="61"/>
      <c r="B695" s="55"/>
      <c r="C695" s="70"/>
      <c r="D695" s="12"/>
      <c r="E695" s="128"/>
      <c r="F695" s="12"/>
      <c r="G695" s="71"/>
      <c r="H695" s="71"/>
      <c r="I695" s="11"/>
      <c r="J695" s="71"/>
      <c r="K695" s="11"/>
      <c r="L695" s="71"/>
      <c r="M695" s="11"/>
      <c r="N695" s="12"/>
      <c r="O695" s="12"/>
      <c r="P695" s="57"/>
      <c r="Q695" s="50"/>
      <c r="R695" s="50"/>
      <c r="S695" s="58"/>
      <c r="T695" s="58"/>
      <c r="U695" s="58"/>
      <c r="V695" s="59"/>
      <c r="W695" s="60"/>
    </row>
    <row r="696" spans="1:23" ht="29" customHeight="1" x14ac:dyDescent="0.35">
      <c r="A696" s="61"/>
      <c r="B696" s="55"/>
      <c r="C696" s="70"/>
      <c r="D696" s="12"/>
      <c r="E696" s="128"/>
      <c r="F696" s="12"/>
      <c r="G696" s="71"/>
      <c r="H696" s="71"/>
      <c r="I696" s="11"/>
      <c r="J696" s="71"/>
      <c r="K696" s="11"/>
      <c r="L696" s="71"/>
      <c r="M696" s="11"/>
      <c r="N696" s="12"/>
      <c r="O696" s="12"/>
      <c r="P696" s="57"/>
      <c r="Q696" s="50"/>
      <c r="R696" s="50"/>
      <c r="S696" s="58"/>
      <c r="T696" s="58"/>
      <c r="U696" s="58"/>
      <c r="V696" s="59"/>
      <c r="W696" s="60"/>
    </row>
    <row r="697" spans="1:23" ht="29" customHeight="1" x14ac:dyDescent="0.35">
      <c r="A697" s="61"/>
      <c r="B697" s="55"/>
      <c r="C697" s="70"/>
      <c r="D697" s="12"/>
      <c r="E697" s="128"/>
      <c r="F697" s="12"/>
      <c r="G697" s="71"/>
      <c r="H697" s="71"/>
      <c r="I697" s="11"/>
      <c r="J697" s="71"/>
      <c r="K697" s="11"/>
      <c r="L697" s="71"/>
      <c r="M697" s="11"/>
      <c r="N697" s="12"/>
      <c r="O697" s="12"/>
      <c r="P697" s="57"/>
      <c r="Q697" s="50"/>
      <c r="R697" s="50"/>
      <c r="S697" s="58"/>
      <c r="T697" s="58"/>
      <c r="U697" s="58"/>
      <c r="V697" s="59"/>
      <c r="W697" s="60"/>
    </row>
    <row r="698" spans="1:23" ht="29" customHeight="1" x14ac:dyDescent="0.35">
      <c r="A698" s="61"/>
      <c r="B698" s="55"/>
      <c r="C698" s="70"/>
      <c r="D698" s="12"/>
      <c r="E698" s="128"/>
      <c r="F698" s="12"/>
      <c r="G698" s="71"/>
      <c r="H698" s="71"/>
      <c r="I698" s="11"/>
      <c r="J698" s="71"/>
      <c r="K698" s="11"/>
      <c r="L698" s="71"/>
      <c r="M698" s="11"/>
      <c r="N698" s="12"/>
      <c r="O698" s="12"/>
      <c r="P698" s="57"/>
      <c r="Q698" s="50"/>
      <c r="R698" s="50"/>
      <c r="S698" s="58"/>
      <c r="T698" s="58"/>
      <c r="U698" s="58"/>
      <c r="V698" s="59"/>
      <c r="W698" s="60"/>
    </row>
    <row r="699" spans="1:23" ht="29" customHeight="1" x14ac:dyDescent="0.35">
      <c r="A699" s="61"/>
      <c r="B699" s="55"/>
      <c r="C699" s="70"/>
      <c r="D699" s="12"/>
      <c r="E699" s="128"/>
      <c r="F699" s="12"/>
      <c r="G699" s="71"/>
      <c r="H699" s="71"/>
      <c r="I699" s="11"/>
      <c r="J699" s="71"/>
      <c r="K699" s="11"/>
      <c r="L699" s="71"/>
      <c r="M699" s="11"/>
      <c r="N699" s="12"/>
      <c r="O699" s="12"/>
      <c r="P699" s="57"/>
      <c r="Q699" s="50"/>
      <c r="R699" s="50"/>
      <c r="S699" s="58"/>
      <c r="T699" s="58"/>
      <c r="U699" s="58"/>
      <c r="V699" s="59"/>
      <c r="W699" s="60"/>
    </row>
    <row r="700" spans="1:23" ht="29" customHeight="1" x14ac:dyDescent="0.35">
      <c r="A700" s="61"/>
      <c r="B700" s="55"/>
      <c r="C700" s="70"/>
      <c r="D700" s="12"/>
      <c r="E700" s="128"/>
      <c r="F700" s="12"/>
      <c r="G700" s="71"/>
      <c r="H700" s="71"/>
      <c r="I700" s="11"/>
      <c r="J700" s="71"/>
      <c r="K700" s="11"/>
      <c r="L700" s="71"/>
      <c r="M700" s="11"/>
      <c r="N700" s="12"/>
      <c r="O700" s="12"/>
      <c r="P700" s="57"/>
      <c r="Q700" s="50"/>
      <c r="R700" s="50"/>
      <c r="S700" s="58"/>
      <c r="T700" s="58"/>
      <c r="U700" s="58"/>
      <c r="V700" s="59"/>
      <c r="W700" s="60"/>
    </row>
    <row r="701" spans="1:23" ht="29" customHeight="1" x14ac:dyDescent="0.35">
      <c r="A701" s="61"/>
      <c r="B701" s="55"/>
      <c r="C701" s="70"/>
      <c r="D701" s="12"/>
      <c r="E701" s="128"/>
      <c r="F701" s="12"/>
      <c r="G701" s="71"/>
      <c r="H701" s="71"/>
      <c r="I701" s="11"/>
      <c r="J701" s="71"/>
      <c r="K701" s="11"/>
      <c r="L701" s="71"/>
      <c r="M701" s="11"/>
      <c r="N701" s="12"/>
      <c r="O701" s="12"/>
      <c r="P701" s="57"/>
      <c r="Q701" s="50"/>
      <c r="R701" s="50"/>
      <c r="S701" s="58"/>
      <c r="T701" s="58"/>
      <c r="U701" s="58"/>
      <c r="V701" s="59"/>
      <c r="W701" s="60"/>
    </row>
    <row r="702" spans="1:23" ht="29" customHeight="1" x14ac:dyDescent="0.35">
      <c r="A702" s="61"/>
      <c r="B702" s="55"/>
      <c r="C702" s="70"/>
      <c r="D702" s="12"/>
      <c r="E702" s="128"/>
      <c r="F702" s="12"/>
      <c r="G702" s="71"/>
      <c r="H702" s="71"/>
      <c r="I702" s="11"/>
      <c r="J702" s="71"/>
      <c r="K702" s="11"/>
      <c r="L702" s="71"/>
      <c r="M702" s="11"/>
      <c r="N702" s="12"/>
      <c r="O702" s="12"/>
      <c r="P702" s="57"/>
      <c r="Q702" s="50"/>
      <c r="R702" s="50"/>
      <c r="S702" s="58"/>
      <c r="T702" s="58"/>
      <c r="U702" s="58"/>
      <c r="V702" s="59"/>
      <c r="W702" s="60"/>
    </row>
    <row r="703" spans="1:23" ht="29" customHeight="1" x14ac:dyDescent="0.35">
      <c r="A703" s="61"/>
      <c r="B703" s="55"/>
      <c r="C703" s="70"/>
      <c r="D703" s="12"/>
      <c r="E703" s="128"/>
      <c r="F703" s="12"/>
      <c r="G703" s="71"/>
      <c r="H703" s="71"/>
      <c r="I703" s="11"/>
      <c r="J703" s="71"/>
      <c r="K703" s="11"/>
      <c r="L703" s="71"/>
      <c r="M703" s="11"/>
      <c r="N703" s="12"/>
      <c r="O703" s="12"/>
      <c r="P703" s="57"/>
      <c r="Q703" s="50"/>
      <c r="R703" s="50"/>
      <c r="S703" s="58"/>
      <c r="T703" s="58"/>
      <c r="U703" s="58"/>
      <c r="V703" s="59"/>
      <c r="W703" s="60"/>
    </row>
    <row r="704" spans="1:23" ht="29" customHeight="1" x14ac:dyDescent="0.35">
      <c r="A704" s="61"/>
      <c r="B704" s="55"/>
      <c r="C704" s="70"/>
      <c r="D704" s="12"/>
      <c r="E704" s="128"/>
      <c r="F704" s="12"/>
      <c r="G704" s="71"/>
      <c r="H704" s="71"/>
      <c r="I704" s="11"/>
      <c r="J704" s="71"/>
      <c r="K704" s="11"/>
      <c r="L704" s="71"/>
      <c r="M704" s="11"/>
      <c r="N704" s="12"/>
      <c r="O704" s="12"/>
      <c r="P704" s="57"/>
      <c r="Q704" s="50"/>
      <c r="R704" s="50"/>
      <c r="S704" s="58"/>
      <c r="T704" s="58"/>
      <c r="U704" s="58"/>
      <c r="V704" s="59"/>
      <c r="W704" s="60"/>
    </row>
    <row r="705" spans="1:23" ht="29" customHeight="1" x14ac:dyDescent="0.35">
      <c r="A705" s="61"/>
      <c r="B705" s="55"/>
      <c r="C705" s="70"/>
      <c r="D705" s="12"/>
      <c r="E705" s="128"/>
      <c r="F705" s="12"/>
      <c r="G705" s="71"/>
      <c r="H705" s="71"/>
      <c r="I705" s="11"/>
      <c r="J705" s="71"/>
      <c r="K705" s="11"/>
      <c r="L705" s="71"/>
      <c r="M705" s="11"/>
      <c r="N705" s="12"/>
      <c r="O705" s="12"/>
      <c r="P705" s="57"/>
      <c r="Q705" s="50"/>
      <c r="R705" s="50"/>
      <c r="S705" s="58"/>
      <c r="T705" s="58"/>
      <c r="U705" s="58"/>
      <c r="V705" s="59"/>
      <c r="W705" s="60"/>
    </row>
    <row r="706" spans="1:23" ht="29" customHeight="1" x14ac:dyDescent="0.35">
      <c r="A706" s="61"/>
      <c r="B706" s="55"/>
      <c r="C706" s="70"/>
      <c r="D706" s="12"/>
      <c r="E706" s="128"/>
      <c r="F706" s="12"/>
      <c r="G706" s="71"/>
      <c r="H706" s="71"/>
      <c r="I706" s="11"/>
      <c r="J706" s="71"/>
      <c r="K706" s="11"/>
      <c r="L706" s="71"/>
      <c r="M706" s="11"/>
      <c r="N706" s="12"/>
      <c r="O706" s="12"/>
      <c r="P706" s="57"/>
      <c r="Q706" s="50"/>
      <c r="R706" s="50"/>
      <c r="S706" s="58"/>
      <c r="T706" s="58"/>
      <c r="U706" s="58"/>
      <c r="V706" s="59"/>
      <c r="W706" s="60"/>
    </row>
    <row r="707" spans="1:23" ht="29" customHeight="1" x14ac:dyDescent="0.35">
      <c r="A707" s="61"/>
      <c r="B707" s="55"/>
      <c r="C707" s="70"/>
      <c r="D707" s="12"/>
      <c r="E707" s="128"/>
      <c r="F707" s="12"/>
      <c r="G707" s="71"/>
      <c r="H707" s="71"/>
      <c r="I707" s="11"/>
      <c r="J707" s="71"/>
      <c r="K707" s="11"/>
      <c r="L707" s="71"/>
      <c r="M707" s="11"/>
      <c r="N707" s="12"/>
      <c r="O707" s="12"/>
      <c r="P707" s="57"/>
      <c r="Q707" s="50"/>
      <c r="R707" s="50"/>
      <c r="S707" s="58"/>
      <c r="T707" s="58"/>
      <c r="U707" s="58"/>
      <c r="V707" s="59"/>
      <c r="W707" s="60"/>
    </row>
    <row r="708" spans="1:23" ht="29" customHeight="1" x14ac:dyDescent="0.35">
      <c r="A708" s="61"/>
      <c r="B708" s="55"/>
      <c r="C708" s="70"/>
      <c r="D708" s="12"/>
      <c r="E708" s="128"/>
      <c r="F708" s="12"/>
      <c r="G708" s="71"/>
      <c r="H708" s="71"/>
      <c r="I708" s="11"/>
      <c r="J708" s="71"/>
      <c r="K708" s="11"/>
      <c r="L708" s="71"/>
      <c r="M708" s="11"/>
      <c r="N708" s="12"/>
      <c r="O708" s="12"/>
      <c r="P708" s="57"/>
      <c r="Q708" s="50"/>
      <c r="R708" s="50"/>
      <c r="S708" s="58"/>
      <c r="T708" s="58"/>
      <c r="U708" s="58"/>
      <c r="V708" s="59"/>
      <c r="W708" s="60"/>
    </row>
    <row r="709" spans="1:23" ht="29" customHeight="1" x14ac:dyDescent="0.35">
      <c r="A709" s="61"/>
      <c r="B709" s="55"/>
      <c r="C709" s="70"/>
      <c r="D709" s="12"/>
      <c r="E709" s="128"/>
      <c r="F709" s="12"/>
      <c r="G709" s="71"/>
      <c r="H709" s="71"/>
      <c r="I709" s="11"/>
      <c r="J709" s="71"/>
      <c r="K709" s="11"/>
      <c r="L709" s="71"/>
      <c r="M709" s="11"/>
      <c r="N709" s="12"/>
      <c r="O709" s="12"/>
      <c r="P709" s="57"/>
      <c r="Q709" s="50"/>
      <c r="R709" s="50"/>
      <c r="S709" s="58"/>
      <c r="T709" s="58"/>
      <c r="U709" s="58"/>
      <c r="V709" s="59"/>
      <c r="W709" s="60"/>
    </row>
    <row r="710" spans="1:23" ht="29" customHeight="1" x14ac:dyDescent="0.35">
      <c r="A710" s="61"/>
      <c r="B710" s="55"/>
      <c r="C710" s="70"/>
      <c r="D710" s="12"/>
      <c r="E710" s="128"/>
      <c r="F710" s="12"/>
      <c r="G710" s="71"/>
      <c r="H710" s="71"/>
      <c r="I710" s="11"/>
      <c r="J710" s="71"/>
      <c r="K710" s="11"/>
      <c r="L710" s="71"/>
      <c r="M710" s="11"/>
      <c r="N710" s="12"/>
      <c r="O710" s="12"/>
      <c r="P710" s="57"/>
      <c r="Q710" s="50"/>
      <c r="R710" s="50"/>
      <c r="S710" s="58"/>
      <c r="T710" s="58"/>
      <c r="U710" s="58"/>
      <c r="V710" s="59"/>
      <c r="W710" s="60"/>
    </row>
    <row r="711" spans="1:23" ht="29" customHeight="1" x14ac:dyDescent="0.35">
      <c r="A711" s="61"/>
      <c r="B711" s="55"/>
      <c r="C711" s="70"/>
      <c r="D711" s="12"/>
      <c r="E711" s="128"/>
      <c r="F711" s="12"/>
      <c r="G711" s="71"/>
      <c r="H711" s="71"/>
      <c r="I711" s="11"/>
      <c r="J711" s="71"/>
      <c r="K711" s="11"/>
      <c r="L711" s="71"/>
      <c r="M711" s="11"/>
      <c r="N711" s="12"/>
      <c r="O711" s="12"/>
      <c r="P711" s="57"/>
      <c r="Q711" s="50"/>
      <c r="R711" s="50"/>
      <c r="S711" s="58"/>
      <c r="T711" s="58"/>
      <c r="U711" s="58"/>
      <c r="V711" s="59"/>
      <c r="W711" s="60"/>
    </row>
    <row r="712" spans="1:23" ht="29" customHeight="1" x14ac:dyDescent="0.35">
      <c r="A712" s="61"/>
      <c r="B712" s="55"/>
      <c r="C712" s="70"/>
      <c r="D712" s="12"/>
      <c r="E712" s="128"/>
      <c r="F712" s="12"/>
      <c r="G712" s="71"/>
      <c r="H712" s="71"/>
      <c r="I712" s="11"/>
      <c r="J712" s="71"/>
      <c r="K712" s="11"/>
      <c r="L712" s="71"/>
      <c r="M712" s="11"/>
      <c r="N712" s="12"/>
      <c r="O712" s="12"/>
      <c r="P712" s="57"/>
      <c r="Q712" s="50"/>
      <c r="R712" s="50"/>
      <c r="S712" s="58"/>
      <c r="T712" s="58"/>
      <c r="U712" s="58"/>
      <c r="V712" s="59"/>
      <c r="W712" s="60"/>
    </row>
    <row r="713" spans="1:23" ht="29" customHeight="1" x14ac:dyDescent="0.35">
      <c r="A713" s="61"/>
      <c r="B713" s="55"/>
      <c r="C713" s="70"/>
      <c r="D713" s="12"/>
      <c r="E713" s="128"/>
      <c r="F713" s="12"/>
      <c r="G713" s="71"/>
      <c r="H713" s="71"/>
      <c r="I713" s="11"/>
      <c r="J713" s="71"/>
      <c r="K713" s="11"/>
      <c r="L713" s="71"/>
      <c r="M713" s="11"/>
      <c r="N713" s="12"/>
      <c r="O713" s="12"/>
      <c r="P713" s="57"/>
      <c r="Q713" s="50"/>
      <c r="R713" s="50"/>
      <c r="S713" s="58"/>
      <c r="T713" s="58"/>
      <c r="U713" s="58"/>
      <c r="V713" s="59"/>
      <c r="W713" s="60"/>
    </row>
    <row r="714" spans="1:23" ht="29" customHeight="1" x14ac:dyDescent="0.35">
      <c r="A714" s="61"/>
      <c r="B714" s="55"/>
      <c r="C714" s="70"/>
      <c r="D714" s="12"/>
      <c r="E714" s="128"/>
      <c r="F714" s="12"/>
      <c r="G714" s="71"/>
      <c r="H714" s="71"/>
      <c r="I714" s="11"/>
      <c r="J714" s="71"/>
      <c r="K714" s="11"/>
      <c r="L714" s="71"/>
      <c r="M714" s="11"/>
      <c r="N714" s="12"/>
      <c r="O714" s="12"/>
      <c r="P714" s="57"/>
      <c r="Q714" s="50"/>
      <c r="R714" s="50"/>
      <c r="S714" s="58"/>
      <c r="T714" s="58"/>
      <c r="U714" s="58"/>
      <c r="V714" s="59"/>
      <c r="W714" s="60"/>
    </row>
    <row r="715" spans="1:23" ht="29" customHeight="1" x14ac:dyDescent="0.35">
      <c r="A715" s="61"/>
      <c r="B715" s="55"/>
      <c r="C715" s="70"/>
      <c r="D715" s="12"/>
      <c r="E715" s="128"/>
      <c r="F715" s="12"/>
      <c r="G715" s="71"/>
      <c r="H715" s="71"/>
      <c r="I715" s="11"/>
      <c r="J715" s="71"/>
      <c r="K715" s="11"/>
      <c r="L715" s="71"/>
      <c r="M715" s="11"/>
      <c r="N715" s="12"/>
      <c r="O715" s="12"/>
      <c r="P715" s="57"/>
      <c r="Q715" s="50"/>
      <c r="R715" s="50"/>
      <c r="S715" s="58"/>
      <c r="T715" s="58"/>
      <c r="U715" s="58"/>
      <c r="V715" s="59"/>
      <c r="W715" s="60"/>
    </row>
    <row r="716" spans="1:23" ht="29" customHeight="1" x14ac:dyDescent="0.35">
      <c r="A716" s="61"/>
      <c r="B716" s="55"/>
      <c r="C716" s="70"/>
      <c r="D716" s="12"/>
      <c r="E716" s="128"/>
      <c r="F716" s="12"/>
      <c r="G716" s="71"/>
      <c r="H716" s="71"/>
      <c r="I716" s="11"/>
      <c r="J716" s="71"/>
      <c r="K716" s="11"/>
      <c r="L716" s="71"/>
      <c r="M716" s="11"/>
      <c r="N716" s="12"/>
      <c r="O716" s="12"/>
      <c r="P716" s="57"/>
      <c r="Q716" s="50"/>
      <c r="R716" s="50"/>
      <c r="S716" s="58"/>
      <c r="T716" s="58"/>
      <c r="U716" s="58"/>
      <c r="V716" s="59"/>
      <c r="W716" s="60"/>
    </row>
    <row r="717" spans="1:23" ht="29" customHeight="1" x14ac:dyDescent="0.35">
      <c r="A717" s="61"/>
      <c r="B717" s="55"/>
      <c r="C717" s="70"/>
      <c r="D717" s="12"/>
      <c r="E717" s="128"/>
      <c r="F717" s="12"/>
      <c r="G717" s="71"/>
      <c r="H717" s="71"/>
      <c r="I717" s="11"/>
      <c r="J717" s="71"/>
      <c r="K717" s="11"/>
      <c r="L717" s="71"/>
      <c r="M717" s="11"/>
      <c r="N717" s="12"/>
      <c r="O717" s="12"/>
      <c r="P717" s="57"/>
      <c r="Q717" s="50"/>
      <c r="R717" s="50"/>
      <c r="S717" s="58"/>
      <c r="T717" s="58"/>
      <c r="U717" s="58"/>
      <c r="V717" s="59"/>
      <c r="W717" s="60"/>
    </row>
    <row r="718" spans="1:23" ht="29" customHeight="1" x14ac:dyDescent="0.35">
      <c r="A718" s="61"/>
      <c r="B718" s="55"/>
      <c r="C718" s="70"/>
      <c r="D718" s="12"/>
      <c r="E718" s="128"/>
      <c r="F718" s="12"/>
      <c r="G718" s="71"/>
      <c r="H718" s="71"/>
      <c r="I718" s="11"/>
      <c r="J718" s="71"/>
      <c r="K718" s="11"/>
      <c r="L718" s="71"/>
      <c r="M718" s="11"/>
      <c r="N718" s="12"/>
      <c r="O718" s="12"/>
      <c r="P718" s="57"/>
      <c r="Q718" s="50"/>
      <c r="R718" s="50"/>
      <c r="S718" s="58"/>
      <c r="T718" s="58"/>
      <c r="U718" s="58"/>
      <c r="V718" s="59"/>
      <c r="W718" s="60"/>
    </row>
    <row r="719" spans="1:23" ht="29" customHeight="1" x14ac:dyDescent="0.35">
      <c r="A719" s="61"/>
      <c r="B719" s="55"/>
      <c r="C719" s="70"/>
      <c r="D719" s="12"/>
      <c r="E719" s="128"/>
      <c r="F719" s="12"/>
      <c r="G719" s="71"/>
      <c r="H719" s="71"/>
      <c r="I719" s="11"/>
      <c r="J719" s="71"/>
      <c r="K719" s="11"/>
      <c r="L719" s="71"/>
      <c r="M719" s="11"/>
      <c r="N719" s="12"/>
      <c r="O719" s="12"/>
      <c r="P719" s="57"/>
      <c r="Q719" s="50"/>
      <c r="R719" s="50"/>
      <c r="S719" s="58"/>
      <c r="T719" s="58"/>
      <c r="U719" s="58"/>
      <c r="V719" s="59"/>
      <c r="W719" s="60"/>
    </row>
    <row r="720" spans="1:23" ht="29" customHeight="1" x14ac:dyDescent="0.35">
      <c r="A720" s="61"/>
      <c r="B720" s="55"/>
      <c r="C720" s="70"/>
      <c r="D720" s="12"/>
      <c r="E720" s="128"/>
      <c r="F720" s="12"/>
      <c r="G720" s="71"/>
      <c r="H720" s="71"/>
      <c r="I720" s="11"/>
      <c r="J720" s="71"/>
      <c r="K720" s="11"/>
      <c r="L720" s="71"/>
      <c r="M720" s="11"/>
      <c r="N720" s="12"/>
      <c r="O720" s="12"/>
      <c r="P720" s="57"/>
      <c r="Q720" s="50"/>
      <c r="R720" s="50"/>
      <c r="S720" s="58"/>
      <c r="T720" s="58"/>
      <c r="U720" s="58"/>
      <c r="V720" s="59"/>
      <c r="W720" s="60"/>
    </row>
    <row r="721" spans="1:23" ht="29" customHeight="1" x14ac:dyDescent="0.35">
      <c r="A721" s="61"/>
      <c r="B721" s="55"/>
      <c r="C721" s="70"/>
      <c r="D721" s="12"/>
      <c r="E721" s="128"/>
      <c r="F721" s="12"/>
      <c r="G721" s="71"/>
      <c r="H721" s="71"/>
      <c r="I721" s="11"/>
      <c r="J721" s="71"/>
      <c r="K721" s="11"/>
      <c r="L721" s="71"/>
      <c r="M721" s="11"/>
      <c r="N721" s="12"/>
      <c r="O721" s="12"/>
      <c r="P721" s="57"/>
      <c r="Q721" s="50"/>
      <c r="R721" s="50"/>
      <c r="S721" s="58"/>
      <c r="T721" s="58"/>
      <c r="U721" s="58"/>
      <c r="V721" s="59"/>
      <c r="W721" s="60"/>
    </row>
    <row r="722" spans="1:23" ht="29" customHeight="1" x14ac:dyDescent="0.35">
      <c r="A722" s="61"/>
      <c r="B722" s="55"/>
      <c r="C722" s="70"/>
      <c r="D722" s="12"/>
      <c r="E722" s="128"/>
      <c r="F722" s="12"/>
      <c r="G722" s="71"/>
      <c r="H722" s="71"/>
      <c r="I722" s="11"/>
      <c r="J722" s="71"/>
      <c r="K722" s="11"/>
      <c r="L722" s="71"/>
      <c r="M722" s="11"/>
      <c r="N722" s="12"/>
      <c r="O722" s="12"/>
      <c r="P722" s="57"/>
      <c r="Q722" s="50"/>
      <c r="R722" s="50"/>
      <c r="S722" s="58"/>
      <c r="T722" s="58"/>
      <c r="U722" s="58"/>
      <c r="V722" s="59"/>
      <c r="W722" s="60"/>
    </row>
    <row r="723" spans="1:23" ht="29" customHeight="1" x14ac:dyDescent="0.35">
      <c r="A723" s="61"/>
      <c r="B723" s="55"/>
      <c r="C723" s="70"/>
      <c r="D723" s="12"/>
      <c r="E723" s="128"/>
      <c r="F723" s="12"/>
      <c r="G723" s="71"/>
      <c r="H723" s="71"/>
      <c r="I723" s="11"/>
      <c r="J723" s="71"/>
      <c r="K723" s="11"/>
      <c r="L723" s="71"/>
      <c r="M723" s="11"/>
      <c r="N723" s="12"/>
      <c r="O723" s="12"/>
      <c r="P723" s="57"/>
      <c r="Q723" s="50"/>
      <c r="R723" s="50"/>
      <c r="S723" s="58"/>
      <c r="T723" s="58"/>
      <c r="U723" s="58"/>
      <c r="V723" s="59"/>
      <c r="W723" s="60"/>
    </row>
    <row r="724" spans="1:23" ht="29" customHeight="1" x14ac:dyDescent="0.35">
      <c r="A724" s="61"/>
      <c r="B724" s="55"/>
      <c r="C724" s="70"/>
      <c r="D724" s="12"/>
      <c r="E724" s="128"/>
      <c r="F724" s="12"/>
      <c r="G724" s="71"/>
      <c r="H724" s="71"/>
      <c r="I724" s="11"/>
      <c r="J724" s="71"/>
      <c r="K724" s="11"/>
      <c r="L724" s="71"/>
      <c r="M724" s="11"/>
      <c r="N724" s="12"/>
      <c r="O724" s="12"/>
      <c r="P724" s="57"/>
      <c r="Q724" s="50"/>
      <c r="R724" s="50"/>
      <c r="S724" s="58"/>
      <c r="T724" s="58"/>
      <c r="U724" s="58"/>
      <c r="V724" s="59"/>
      <c r="W724" s="60"/>
    </row>
    <row r="725" spans="1:23" ht="29" customHeight="1" x14ac:dyDescent="0.35">
      <c r="A725" s="61"/>
      <c r="B725" s="55"/>
      <c r="C725" s="70"/>
      <c r="D725" s="12"/>
      <c r="E725" s="128"/>
      <c r="F725" s="12"/>
      <c r="G725" s="71"/>
      <c r="H725" s="71"/>
      <c r="I725" s="11"/>
      <c r="J725" s="71"/>
      <c r="K725" s="11"/>
      <c r="L725" s="71"/>
      <c r="M725" s="11"/>
      <c r="N725" s="12"/>
      <c r="O725" s="12"/>
      <c r="P725" s="57"/>
      <c r="Q725" s="50"/>
      <c r="R725" s="50"/>
      <c r="S725" s="58"/>
      <c r="T725" s="58"/>
      <c r="U725" s="58"/>
      <c r="V725" s="59"/>
      <c r="W725" s="60"/>
    </row>
    <row r="726" spans="1:23" ht="29" customHeight="1" x14ac:dyDescent="0.35">
      <c r="A726" s="61"/>
      <c r="B726" s="55"/>
      <c r="C726" s="70"/>
      <c r="D726" s="12"/>
      <c r="E726" s="128"/>
      <c r="F726" s="12"/>
      <c r="G726" s="71"/>
      <c r="H726" s="71"/>
      <c r="I726" s="11"/>
      <c r="J726" s="71"/>
      <c r="K726" s="11"/>
      <c r="L726" s="71"/>
      <c r="M726" s="11"/>
      <c r="N726" s="12"/>
      <c r="O726" s="12"/>
      <c r="P726" s="57"/>
      <c r="Q726" s="50"/>
      <c r="R726" s="50"/>
      <c r="S726" s="58"/>
      <c r="T726" s="58"/>
      <c r="U726" s="58"/>
      <c r="V726" s="59"/>
      <c r="W726" s="60"/>
    </row>
    <row r="727" spans="1:23" ht="29" customHeight="1" x14ac:dyDescent="0.35">
      <c r="A727" s="61"/>
      <c r="B727" s="55"/>
      <c r="C727" s="70"/>
      <c r="D727" s="12"/>
      <c r="E727" s="128"/>
      <c r="F727" s="12"/>
      <c r="G727" s="71"/>
      <c r="H727" s="71"/>
      <c r="I727" s="11"/>
      <c r="J727" s="71"/>
      <c r="K727" s="11"/>
      <c r="L727" s="71"/>
      <c r="M727" s="11"/>
      <c r="N727" s="12"/>
      <c r="O727" s="12"/>
      <c r="P727" s="57"/>
      <c r="Q727" s="50"/>
      <c r="R727" s="50"/>
      <c r="S727" s="58"/>
      <c r="T727" s="58"/>
      <c r="U727" s="58"/>
      <c r="V727" s="59"/>
      <c r="W727" s="60"/>
    </row>
    <row r="728" spans="1:23" ht="29" customHeight="1" x14ac:dyDescent="0.35">
      <c r="A728" s="61"/>
      <c r="B728" s="55"/>
      <c r="C728" s="70"/>
      <c r="D728" s="12"/>
      <c r="E728" s="128"/>
      <c r="F728" s="12"/>
      <c r="G728" s="71"/>
      <c r="H728" s="71"/>
      <c r="I728" s="11"/>
      <c r="J728" s="71"/>
      <c r="K728" s="11"/>
      <c r="L728" s="71"/>
      <c r="M728" s="11"/>
      <c r="N728" s="12"/>
      <c r="O728" s="12"/>
      <c r="P728" s="57"/>
      <c r="Q728" s="50"/>
      <c r="R728" s="50"/>
      <c r="S728" s="58"/>
      <c r="T728" s="58"/>
      <c r="U728" s="58"/>
      <c r="V728" s="59"/>
      <c r="W728" s="60"/>
    </row>
    <row r="729" spans="1:23" ht="29" customHeight="1" x14ac:dyDescent="0.35">
      <c r="A729" s="61"/>
      <c r="B729" s="55"/>
      <c r="C729" s="70"/>
      <c r="D729" s="12"/>
      <c r="E729" s="128"/>
      <c r="F729" s="12"/>
      <c r="G729" s="71"/>
      <c r="H729" s="71"/>
      <c r="I729" s="11"/>
      <c r="J729" s="71"/>
      <c r="K729" s="11"/>
      <c r="L729" s="71"/>
      <c r="M729" s="11"/>
      <c r="N729" s="12"/>
      <c r="O729" s="12"/>
      <c r="P729" s="57"/>
      <c r="Q729" s="50"/>
      <c r="R729" s="50"/>
      <c r="S729" s="58"/>
      <c r="T729" s="58"/>
      <c r="U729" s="58"/>
      <c r="V729" s="59"/>
      <c r="W729" s="60"/>
    </row>
    <row r="730" spans="1:23" ht="29" customHeight="1" x14ac:dyDescent="0.35">
      <c r="A730" s="61"/>
      <c r="B730" s="55"/>
      <c r="C730" s="70"/>
      <c r="D730" s="12"/>
      <c r="E730" s="128"/>
      <c r="F730" s="12"/>
      <c r="G730" s="71"/>
      <c r="H730" s="71"/>
      <c r="I730" s="11"/>
      <c r="J730" s="71"/>
      <c r="K730" s="11"/>
      <c r="L730" s="71"/>
      <c r="M730" s="11"/>
      <c r="N730" s="12"/>
      <c r="O730" s="12"/>
      <c r="P730" s="57"/>
      <c r="Q730" s="50"/>
      <c r="R730" s="50"/>
      <c r="S730" s="58"/>
      <c r="T730" s="58"/>
      <c r="U730" s="58"/>
      <c r="V730" s="59"/>
      <c r="W730" s="60"/>
    </row>
    <row r="731" spans="1:23" ht="29" customHeight="1" x14ac:dyDescent="0.35">
      <c r="A731" s="61"/>
      <c r="B731" s="55"/>
      <c r="C731" s="70"/>
      <c r="D731" s="12"/>
      <c r="E731" s="128"/>
      <c r="F731" s="12"/>
      <c r="G731" s="71"/>
      <c r="H731" s="71"/>
      <c r="I731" s="11"/>
      <c r="J731" s="71"/>
      <c r="K731" s="11"/>
      <c r="L731" s="71"/>
      <c r="M731" s="11"/>
      <c r="N731" s="12"/>
      <c r="O731" s="12"/>
      <c r="P731" s="57"/>
      <c r="Q731" s="50"/>
      <c r="R731" s="50"/>
      <c r="S731" s="58"/>
      <c r="T731" s="58"/>
      <c r="U731" s="58"/>
      <c r="V731" s="59"/>
      <c r="W731" s="60"/>
    </row>
    <row r="732" spans="1:23" ht="29" customHeight="1" x14ac:dyDescent="0.35">
      <c r="A732" s="61"/>
      <c r="B732" s="55"/>
      <c r="C732" s="70"/>
      <c r="D732" s="12"/>
      <c r="E732" s="128"/>
      <c r="F732" s="12"/>
      <c r="G732" s="71"/>
      <c r="H732" s="71"/>
      <c r="I732" s="11"/>
      <c r="J732" s="71"/>
      <c r="K732" s="11"/>
      <c r="L732" s="71"/>
      <c r="M732" s="11"/>
      <c r="N732" s="12"/>
      <c r="O732" s="12"/>
      <c r="P732" s="57"/>
      <c r="Q732" s="50"/>
      <c r="R732" s="50"/>
      <c r="S732" s="58"/>
      <c r="T732" s="58"/>
      <c r="U732" s="58"/>
      <c r="V732" s="59"/>
      <c r="W732" s="60"/>
    </row>
    <row r="733" spans="1:23" ht="29" customHeight="1" x14ac:dyDescent="0.35">
      <c r="A733" s="61"/>
      <c r="B733" s="55"/>
      <c r="C733" s="70"/>
      <c r="D733" s="12"/>
      <c r="E733" s="128"/>
      <c r="F733" s="12"/>
      <c r="G733" s="71"/>
      <c r="H733" s="71"/>
      <c r="I733" s="11"/>
      <c r="J733" s="71"/>
      <c r="K733" s="11"/>
      <c r="L733" s="71"/>
      <c r="M733" s="11"/>
      <c r="N733" s="12"/>
      <c r="O733" s="12"/>
      <c r="P733" s="57"/>
      <c r="Q733" s="50"/>
      <c r="R733" s="50"/>
      <c r="S733" s="58"/>
      <c r="T733" s="58"/>
      <c r="U733" s="58"/>
      <c r="V733" s="59"/>
      <c r="W733" s="60"/>
    </row>
    <row r="734" spans="1:23" ht="29" customHeight="1" x14ac:dyDescent="0.35">
      <c r="A734" s="61"/>
      <c r="B734" s="55"/>
      <c r="C734" s="70"/>
      <c r="D734" s="12"/>
      <c r="E734" s="128"/>
      <c r="F734" s="12"/>
      <c r="G734" s="71"/>
      <c r="H734" s="71"/>
      <c r="I734" s="11"/>
      <c r="J734" s="71"/>
      <c r="K734" s="11"/>
      <c r="L734" s="71"/>
      <c r="M734" s="11"/>
      <c r="N734" s="12"/>
      <c r="O734" s="12"/>
      <c r="P734" s="57"/>
      <c r="Q734" s="50"/>
      <c r="R734" s="50"/>
      <c r="S734" s="58"/>
      <c r="T734" s="58"/>
      <c r="U734" s="58"/>
      <c r="V734" s="59"/>
      <c r="W734" s="60"/>
    </row>
    <row r="735" spans="1:23" ht="29" customHeight="1" x14ac:dyDescent="0.35">
      <c r="A735" s="61"/>
      <c r="B735" s="55"/>
      <c r="C735" s="70"/>
      <c r="D735" s="12"/>
      <c r="E735" s="128"/>
      <c r="F735" s="12"/>
      <c r="G735" s="71"/>
      <c r="H735" s="71"/>
      <c r="I735" s="11"/>
      <c r="J735" s="71"/>
      <c r="K735" s="11"/>
      <c r="L735" s="71"/>
      <c r="M735" s="11"/>
      <c r="N735" s="12"/>
      <c r="O735" s="12"/>
      <c r="P735" s="57"/>
      <c r="Q735" s="50"/>
      <c r="R735" s="50"/>
      <c r="S735" s="58"/>
      <c r="T735" s="58"/>
      <c r="U735" s="58"/>
      <c r="V735" s="59"/>
      <c r="W735" s="60"/>
    </row>
    <row r="736" spans="1:23" ht="29" customHeight="1" x14ac:dyDescent="0.35">
      <c r="A736" s="61"/>
      <c r="B736" s="55"/>
      <c r="C736" s="70"/>
      <c r="D736" s="12"/>
      <c r="E736" s="128"/>
      <c r="F736" s="12"/>
      <c r="G736" s="71"/>
      <c r="H736" s="71"/>
      <c r="I736" s="11"/>
      <c r="J736" s="71"/>
      <c r="K736" s="11"/>
      <c r="L736" s="71"/>
      <c r="M736" s="11"/>
      <c r="N736" s="12"/>
      <c r="O736" s="12"/>
      <c r="P736" s="57"/>
      <c r="Q736" s="50"/>
      <c r="R736" s="50"/>
      <c r="S736" s="58"/>
      <c r="T736" s="58"/>
      <c r="U736" s="58"/>
      <c r="V736" s="59"/>
      <c r="W736" s="60"/>
    </row>
    <row r="737" spans="1:23" ht="29" customHeight="1" x14ac:dyDescent="0.35">
      <c r="A737" s="61"/>
      <c r="B737" s="55"/>
      <c r="C737" s="70"/>
      <c r="D737" s="12"/>
      <c r="E737" s="128"/>
      <c r="F737" s="12"/>
      <c r="G737" s="71"/>
      <c r="H737" s="71"/>
      <c r="I737" s="11"/>
      <c r="J737" s="71"/>
      <c r="K737" s="11"/>
      <c r="L737" s="71"/>
      <c r="M737" s="11"/>
      <c r="N737" s="12"/>
      <c r="O737" s="12"/>
      <c r="P737" s="57"/>
      <c r="Q737" s="50"/>
      <c r="R737" s="50"/>
      <c r="S737" s="58"/>
      <c r="T737" s="58"/>
      <c r="U737" s="58"/>
      <c r="V737" s="59"/>
      <c r="W737" s="60"/>
    </row>
    <row r="738" spans="1:23" ht="29" customHeight="1" x14ac:dyDescent="0.35">
      <c r="A738" s="61"/>
      <c r="B738" s="55"/>
      <c r="C738" s="70"/>
      <c r="D738" s="12"/>
      <c r="E738" s="128"/>
      <c r="F738" s="12"/>
      <c r="G738" s="71"/>
      <c r="H738" s="71"/>
      <c r="I738" s="11"/>
      <c r="J738" s="71"/>
      <c r="K738" s="11"/>
      <c r="L738" s="71"/>
      <c r="M738" s="11"/>
      <c r="N738" s="12"/>
      <c r="O738" s="12"/>
      <c r="P738" s="57"/>
      <c r="Q738" s="50"/>
      <c r="R738" s="50"/>
      <c r="S738" s="58"/>
      <c r="T738" s="58"/>
      <c r="U738" s="58"/>
      <c r="V738" s="59"/>
      <c r="W738" s="60"/>
    </row>
    <row r="739" spans="1:23" ht="29" customHeight="1" x14ac:dyDescent="0.35">
      <c r="A739" s="61"/>
      <c r="B739" s="55"/>
      <c r="C739" s="70"/>
      <c r="D739" s="12"/>
      <c r="E739" s="128"/>
      <c r="F739" s="12"/>
      <c r="G739" s="71"/>
      <c r="H739" s="71"/>
      <c r="I739" s="11"/>
      <c r="J739" s="71"/>
      <c r="K739" s="11"/>
      <c r="L739" s="71"/>
      <c r="M739" s="11"/>
      <c r="N739" s="12"/>
      <c r="O739" s="12"/>
      <c r="P739" s="57"/>
      <c r="Q739" s="50"/>
      <c r="R739" s="50"/>
      <c r="S739" s="58"/>
      <c r="T739" s="58"/>
      <c r="U739" s="58"/>
      <c r="V739" s="59"/>
      <c r="W739" s="60"/>
    </row>
    <row r="740" spans="1:23" ht="29" customHeight="1" x14ac:dyDescent="0.35">
      <c r="A740" s="61"/>
      <c r="B740" s="55"/>
      <c r="C740" s="70"/>
      <c r="D740" s="12"/>
      <c r="E740" s="128"/>
      <c r="F740" s="12"/>
      <c r="G740" s="71"/>
      <c r="H740" s="71"/>
      <c r="I740" s="11"/>
      <c r="J740" s="71"/>
      <c r="K740" s="11"/>
      <c r="L740" s="71"/>
      <c r="M740" s="11"/>
      <c r="N740" s="12"/>
      <c r="O740" s="12"/>
      <c r="P740" s="57"/>
      <c r="Q740" s="50"/>
      <c r="R740" s="50"/>
      <c r="S740" s="58"/>
      <c r="T740" s="58"/>
      <c r="U740" s="58"/>
      <c r="V740" s="59"/>
      <c r="W740" s="60"/>
    </row>
    <row r="741" spans="1:23" ht="29" customHeight="1" x14ac:dyDescent="0.35">
      <c r="A741" s="61"/>
      <c r="B741" s="55"/>
      <c r="C741" s="70"/>
      <c r="D741" s="12"/>
      <c r="E741" s="128"/>
      <c r="F741" s="12"/>
      <c r="G741" s="71"/>
      <c r="H741" s="71"/>
      <c r="I741" s="11"/>
      <c r="J741" s="71"/>
      <c r="K741" s="11"/>
      <c r="L741" s="71"/>
      <c r="M741" s="11"/>
      <c r="N741" s="12"/>
      <c r="O741" s="12"/>
      <c r="P741" s="57"/>
      <c r="Q741" s="50"/>
      <c r="R741" s="50"/>
      <c r="S741" s="58"/>
      <c r="T741" s="58"/>
      <c r="U741" s="58"/>
      <c r="V741" s="59"/>
      <c r="W741" s="60"/>
    </row>
    <row r="742" spans="1:23" ht="29" customHeight="1" x14ac:dyDescent="0.35">
      <c r="A742" s="61"/>
      <c r="B742" s="55"/>
      <c r="C742" s="70"/>
      <c r="D742" s="12"/>
      <c r="E742" s="128"/>
      <c r="F742" s="12"/>
      <c r="G742" s="71"/>
      <c r="H742" s="71"/>
      <c r="I742" s="11"/>
      <c r="J742" s="71"/>
      <c r="K742" s="11"/>
      <c r="L742" s="71"/>
      <c r="M742" s="11"/>
      <c r="N742" s="12"/>
      <c r="O742" s="12"/>
      <c r="P742" s="57"/>
      <c r="Q742" s="50"/>
      <c r="R742" s="50"/>
      <c r="S742" s="58"/>
      <c r="T742" s="58"/>
      <c r="U742" s="58"/>
      <c r="V742" s="59"/>
      <c r="W742" s="60"/>
    </row>
    <row r="743" spans="1:23" ht="29" customHeight="1" x14ac:dyDescent="0.35">
      <c r="A743" s="61"/>
      <c r="B743" s="55"/>
      <c r="C743" s="70"/>
      <c r="D743" s="12"/>
      <c r="E743" s="128"/>
      <c r="F743" s="12"/>
      <c r="G743" s="71"/>
      <c r="H743" s="71"/>
      <c r="I743" s="11"/>
      <c r="J743" s="71"/>
      <c r="K743" s="11"/>
      <c r="L743" s="71"/>
      <c r="M743" s="11"/>
      <c r="N743" s="12"/>
      <c r="O743" s="12"/>
      <c r="P743" s="57"/>
      <c r="Q743" s="50"/>
      <c r="R743" s="50"/>
      <c r="S743" s="58"/>
      <c r="T743" s="58"/>
      <c r="U743" s="58"/>
      <c r="V743" s="59"/>
      <c r="W743" s="60"/>
    </row>
    <row r="744" spans="1:23" ht="29" customHeight="1" x14ac:dyDescent="0.35">
      <c r="A744" s="61"/>
      <c r="B744" s="55"/>
      <c r="C744" s="70"/>
      <c r="D744" s="12"/>
      <c r="E744" s="128"/>
      <c r="F744" s="12"/>
      <c r="G744" s="71"/>
      <c r="H744" s="71"/>
      <c r="I744" s="11"/>
      <c r="J744" s="71"/>
      <c r="K744" s="11"/>
      <c r="L744" s="71"/>
      <c r="M744" s="11"/>
      <c r="N744" s="12"/>
      <c r="O744" s="12"/>
      <c r="P744" s="57"/>
      <c r="Q744" s="50"/>
      <c r="R744" s="50"/>
      <c r="S744" s="58"/>
      <c r="T744" s="58"/>
      <c r="U744" s="58"/>
      <c r="V744" s="59"/>
      <c r="W744" s="60"/>
    </row>
    <row r="745" spans="1:23" ht="29" customHeight="1" x14ac:dyDescent="0.35">
      <c r="A745" s="61"/>
      <c r="B745" s="55"/>
      <c r="C745" s="70"/>
      <c r="D745" s="12"/>
      <c r="E745" s="128"/>
      <c r="F745" s="12"/>
      <c r="G745" s="71"/>
      <c r="H745" s="71"/>
      <c r="I745" s="11"/>
      <c r="J745" s="71"/>
      <c r="K745" s="11"/>
      <c r="L745" s="71"/>
      <c r="M745" s="11"/>
      <c r="N745" s="12"/>
      <c r="O745" s="12"/>
      <c r="P745" s="57"/>
      <c r="Q745" s="50"/>
      <c r="R745" s="50"/>
      <c r="S745" s="58"/>
      <c r="T745" s="58"/>
      <c r="U745" s="58"/>
      <c r="V745" s="59"/>
      <c r="W745" s="60"/>
    </row>
    <row r="746" spans="1:23" ht="29" customHeight="1" x14ac:dyDescent="0.35">
      <c r="A746" s="61"/>
      <c r="B746" s="55"/>
      <c r="C746" s="70"/>
      <c r="D746" s="12"/>
      <c r="E746" s="128"/>
      <c r="F746" s="12"/>
      <c r="G746" s="71"/>
      <c r="H746" s="71"/>
      <c r="I746" s="11"/>
      <c r="J746" s="71"/>
      <c r="K746" s="11"/>
      <c r="L746" s="71"/>
      <c r="M746" s="11"/>
      <c r="N746" s="12"/>
      <c r="O746" s="12"/>
      <c r="P746" s="57"/>
      <c r="Q746" s="50"/>
      <c r="R746" s="50"/>
      <c r="S746" s="58"/>
      <c r="T746" s="58"/>
      <c r="U746" s="58"/>
      <c r="V746" s="59"/>
      <c r="W746" s="60"/>
    </row>
    <row r="747" spans="1:23" ht="29" customHeight="1" x14ac:dyDescent="0.35">
      <c r="A747" s="61"/>
      <c r="B747" s="55"/>
      <c r="C747" s="70"/>
      <c r="D747" s="12"/>
      <c r="E747" s="128"/>
      <c r="F747" s="12"/>
      <c r="G747" s="71"/>
      <c r="H747" s="71"/>
      <c r="I747" s="11"/>
      <c r="J747" s="71"/>
      <c r="K747" s="11"/>
      <c r="L747" s="71"/>
      <c r="M747" s="11"/>
      <c r="N747" s="12"/>
      <c r="O747" s="12"/>
      <c r="P747" s="57"/>
      <c r="Q747" s="50"/>
      <c r="R747" s="50"/>
      <c r="S747" s="58"/>
      <c r="T747" s="58"/>
      <c r="U747" s="58"/>
      <c r="V747" s="59"/>
      <c r="W747" s="60"/>
    </row>
    <row r="748" spans="1:23" ht="29" customHeight="1" x14ac:dyDescent="0.35">
      <c r="A748" s="61"/>
      <c r="B748" s="55"/>
      <c r="C748" s="70"/>
      <c r="D748" s="12"/>
      <c r="E748" s="128"/>
      <c r="F748" s="12"/>
      <c r="G748" s="71"/>
      <c r="H748" s="71"/>
      <c r="I748" s="11"/>
      <c r="J748" s="71"/>
      <c r="K748" s="11"/>
      <c r="L748" s="71"/>
      <c r="M748" s="11"/>
      <c r="N748" s="12"/>
      <c r="O748" s="12"/>
      <c r="P748" s="57"/>
      <c r="Q748" s="50"/>
      <c r="R748" s="50"/>
      <c r="S748" s="58"/>
      <c r="T748" s="58"/>
      <c r="U748" s="58"/>
      <c r="V748" s="59"/>
      <c r="W748" s="60"/>
    </row>
    <row r="749" spans="1:23" ht="29" customHeight="1" x14ac:dyDescent="0.35">
      <c r="A749" s="61"/>
      <c r="B749" s="55"/>
      <c r="C749" s="70"/>
      <c r="D749" s="12"/>
      <c r="E749" s="128"/>
      <c r="F749" s="12"/>
      <c r="G749" s="71"/>
      <c r="H749" s="71"/>
      <c r="I749" s="11"/>
      <c r="J749" s="71"/>
      <c r="K749" s="11"/>
      <c r="L749" s="71"/>
      <c r="M749" s="11"/>
      <c r="N749" s="12"/>
      <c r="O749" s="12"/>
      <c r="P749" s="57"/>
      <c r="Q749" s="50"/>
      <c r="R749" s="50"/>
      <c r="S749" s="58"/>
      <c r="T749" s="58"/>
      <c r="U749" s="58"/>
      <c r="V749" s="59"/>
      <c r="W749" s="60"/>
    </row>
    <row r="750" spans="1:23" ht="29" customHeight="1" x14ac:dyDescent="0.35">
      <c r="A750" s="61"/>
      <c r="B750" s="55"/>
      <c r="C750" s="70"/>
      <c r="D750" s="12"/>
      <c r="E750" s="128"/>
      <c r="F750" s="12"/>
      <c r="G750" s="71"/>
      <c r="H750" s="71"/>
      <c r="I750" s="11"/>
      <c r="J750" s="71"/>
      <c r="K750" s="11"/>
      <c r="L750" s="71"/>
      <c r="M750" s="11"/>
      <c r="N750" s="12"/>
      <c r="O750" s="12"/>
      <c r="P750" s="57"/>
      <c r="Q750" s="50"/>
      <c r="R750" s="50"/>
      <c r="S750" s="58"/>
      <c r="T750" s="58"/>
      <c r="U750" s="58"/>
      <c r="V750" s="59"/>
      <c r="W750" s="60"/>
    </row>
    <row r="751" spans="1:23" ht="29" customHeight="1" x14ac:dyDescent="0.35">
      <c r="A751" s="61"/>
      <c r="B751" s="55"/>
      <c r="C751" s="70"/>
      <c r="D751" s="12"/>
      <c r="E751" s="128"/>
      <c r="F751" s="12"/>
      <c r="G751" s="71"/>
      <c r="H751" s="71"/>
      <c r="I751" s="11"/>
      <c r="J751" s="71"/>
      <c r="K751" s="11"/>
      <c r="L751" s="71"/>
      <c r="M751" s="11"/>
      <c r="N751" s="12"/>
      <c r="O751" s="12"/>
      <c r="P751" s="57"/>
      <c r="Q751" s="50"/>
      <c r="R751" s="50"/>
      <c r="S751" s="58"/>
      <c r="T751" s="58"/>
      <c r="U751" s="58"/>
      <c r="V751" s="59"/>
      <c r="W751" s="60"/>
    </row>
    <row r="752" spans="1:23" ht="29" customHeight="1" x14ac:dyDescent="0.35">
      <c r="A752" s="61"/>
      <c r="B752" s="55"/>
      <c r="C752" s="70"/>
      <c r="D752" s="12"/>
      <c r="E752" s="128"/>
      <c r="F752" s="12"/>
      <c r="G752" s="71"/>
      <c r="H752" s="71"/>
      <c r="I752" s="11"/>
      <c r="J752" s="71"/>
      <c r="K752" s="11"/>
      <c r="L752" s="71"/>
      <c r="M752" s="11"/>
      <c r="N752" s="12"/>
      <c r="O752" s="12"/>
      <c r="P752" s="57"/>
      <c r="Q752" s="50"/>
      <c r="R752" s="50"/>
      <c r="S752" s="58"/>
      <c r="T752" s="58"/>
      <c r="U752" s="58"/>
      <c r="V752" s="59"/>
      <c r="W752" s="60"/>
    </row>
    <row r="753" spans="1:23" ht="29" customHeight="1" x14ac:dyDescent="0.35">
      <c r="A753" s="61"/>
      <c r="B753" s="55"/>
      <c r="C753" s="70"/>
      <c r="D753" s="12"/>
      <c r="E753" s="128"/>
      <c r="F753" s="12"/>
      <c r="G753" s="71"/>
      <c r="H753" s="71"/>
      <c r="I753" s="11"/>
      <c r="J753" s="71"/>
      <c r="K753" s="11"/>
      <c r="L753" s="71"/>
      <c r="M753" s="11"/>
      <c r="N753" s="12"/>
      <c r="O753" s="12"/>
      <c r="P753" s="57"/>
      <c r="Q753" s="50"/>
      <c r="R753" s="50"/>
      <c r="S753" s="58"/>
      <c r="T753" s="58"/>
      <c r="U753" s="58"/>
      <c r="V753" s="59"/>
      <c r="W753" s="60"/>
    </row>
    <row r="754" spans="1:23" ht="29" customHeight="1" x14ac:dyDescent="0.35">
      <c r="A754" s="61"/>
      <c r="B754" s="55"/>
      <c r="C754" s="70"/>
      <c r="D754" s="12"/>
      <c r="E754" s="128"/>
      <c r="F754" s="12"/>
      <c r="G754" s="71"/>
      <c r="H754" s="71"/>
      <c r="I754" s="11"/>
      <c r="J754" s="71"/>
      <c r="K754" s="11"/>
      <c r="L754" s="71"/>
      <c r="M754" s="11"/>
      <c r="N754" s="12"/>
      <c r="O754" s="12"/>
      <c r="P754" s="57"/>
      <c r="Q754" s="50"/>
      <c r="R754" s="50"/>
      <c r="S754" s="58"/>
      <c r="T754" s="58"/>
      <c r="U754" s="58"/>
      <c r="V754" s="59"/>
      <c r="W754" s="60"/>
    </row>
    <row r="755" spans="1:23" ht="29" customHeight="1" x14ac:dyDescent="0.35">
      <c r="A755" s="61"/>
      <c r="B755" s="55"/>
      <c r="C755" s="70"/>
      <c r="D755" s="12"/>
      <c r="E755" s="128"/>
      <c r="F755" s="12"/>
      <c r="G755" s="71"/>
      <c r="H755" s="71"/>
      <c r="I755" s="11"/>
      <c r="J755" s="71"/>
      <c r="K755" s="11"/>
      <c r="L755" s="71"/>
      <c r="M755" s="11"/>
      <c r="N755" s="12"/>
      <c r="O755" s="12"/>
      <c r="P755" s="57"/>
      <c r="Q755" s="50"/>
      <c r="R755" s="50"/>
      <c r="S755" s="58"/>
      <c r="T755" s="58"/>
      <c r="U755" s="58"/>
      <c r="V755" s="59"/>
      <c r="W755" s="60"/>
    </row>
    <row r="756" spans="1:23" ht="29" customHeight="1" x14ac:dyDescent="0.35">
      <c r="A756" s="61"/>
      <c r="B756" s="55"/>
      <c r="C756" s="70"/>
      <c r="D756" s="12"/>
      <c r="E756" s="128"/>
      <c r="F756" s="12"/>
      <c r="G756" s="71"/>
      <c r="H756" s="71"/>
      <c r="I756" s="11"/>
      <c r="J756" s="71"/>
      <c r="K756" s="11"/>
      <c r="L756" s="71"/>
      <c r="M756" s="11"/>
      <c r="N756" s="12"/>
      <c r="O756" s="12"/>
      <c r="P756" s="57"/>
      <c r="Q756" s="50"/>
      <c r="R756" s="50"/>
      <c r="S756" s="58"/>
      <c r="T756" s="58"/>
      <c r="U756" s="58"/>
      <c r="V756" s="59"/>
      <c r="W756" s="60"/>
    </row>
    <row r="757" spans="1:23" ht="29" customHeight="1" x14ac:dyDescent="0.35">
      <c r="A757" s="61"/>
      <c r="B757" s="55"/>
      <c r="C757" s="70"/>
      <c r="D757" s="12"/>
      <c r="E757" s="128"/>
      <c r="F757" s="12"/>
      <c r="G757" s="71"/>
      <c r="H757" s="71"/>
      <c r="I757" s="11"/>
      <c r="J757" s="71"/>
      <c r="K757" s="11"/>
      <c r="L757" s="71"/>
      <c r="M757" s="11"/>
      <c r="N757" s="12"/>
      <c r="O757" s="12"/>
      <c r="P757" s="57"/>
      <c r="Q757" s="50"/>
      <c r="R757" s="50"/>
      <c r="S757" s="58"/>
      <c r="T757" s="58"/>
      <c r="U757" s="58"/>
      <c r="V757" s="59"/>
      <c r="W757" s="60"/>
    </row>
    <row r="758" spans="1:23" ht="29" customHeight="1" x14ac:dyDescent="0.35">
      <c r="A758" s="61"/>
      <c r="B758" s="55"/>
      <c r="C758" s="70"/>
      <c r="D758" s="12"/>
      <c r="E758" s="128"/>
      <c r="F758" s="12"/>
      <c r="G758" s="71"/>
      <c r="H758" s="71"/>
      <c r="I758" s="11"/>
      <c r="J758" s="71"/>
      <c r="K758" s="11"/>
      <c r="L758" s="71"/>
      <c r="M758" s="11"/>
      <c r="N758" s="12"/>
      <c r="O758" s="12"/>
      <c r="P758" s="57"/>
      <c r="Q758" s="50"/>
      <c r="R758" s="50"/>
      <c r="S758" s="58"/>
      <c r="T758" s="58"/>
      <c r="U758" s="58"/>
      <c r="V758" s="59"/>
      <c r="W758" s="60"/>
    </row>
    <row r="759" spans="1:23" ht="29" customHeight="1" x14ac:dyDescent="0.35">
      <c r="A759" s="61"/>
      <c r="B759" s="55"/>
      <c r="C759" s="70"/>
      <c r="D759" s="12"/>
      <c r="E759" s="128"/>
      <c r="F759" s="12"/>
      <c r="G759" s="71"/>
      <c r="H759" s="71"/>
      <c r="I759" s="11"/>
      <c r="J759" s="71"/>
      <c r="K759" s="11"/>
      <c r="L759" s="71"/>
      <c r="M759" s="11"/>
      <c r="N759" s="12"/>
      <c r="O759" s="12"/>
      <c r="P759" s="57"/>
      <c r="Q759" s="50"/>
      <c r="R759" s="50"/>
      <c r="S759" s="58"/>
      <c r="T759" s="58"/>
      <c r="U759" s="58"/>
      <c r="V759" s="59"/>
      <c r="W759" s="60"/>
    </row>
    <row r="760" spans="1:23" ht="29" customHeight="1" x14ac:dyDescent="0.35">
      <c r="A760" s="61"/>
      <c r="B760" s="55"/>
      <c r="C760" s="70"/>
      <c r="D760" s="12"/>
      <c r="E760" s="128"/>
      <c r="F760" s="12"/>
      <c r="G760" s="71"/>
      <c r="H760" s="71"/>
      <c r="I760" s="11"/>
      <c r="J760" s="71"/>
      <c r="K760" s="11"/>
      <c r="L760" s="71"/>
      <c r="M760" s="11"/>
      <c r="N760" s="12"/>
      <c r="O760" s="12"/>
      <c r="P760" s="57"/>
      <c r="Q760" s="50"/>
      <c r="R760" s="50"/>
      <c r="S760" s="58"/>
      <c r="T760" s="58"/>
      <c r="U760" s="58"/>
      <c r="V760" s="59"/>
      <c r="W760" s="60"/>
    </row>
    <row r="761" spans="1:23" ht="29" customHeight="1" x14ac:dyDescent="0.35">
      <c r="A761" s="61"/>
      <c r="B761" s="55"/>
      <c r="C761" s="70"/>
      <c r="D761" s="12"/>
      <c r="E761" s="128"/>
      <c r="F761" s="12"/>
      <c r="G761" s="71"/>
      <c r="H761" s="71"/>
      <c r="I761" s="11"/>
      <c r="J761" s="71"/>
      <c r="K761" s="11"/>
      <c r="L761" s="71"/>
      <c r="M761" s="11"/>
      <c r="N761" s="12"/>
      <c r="O761" s="12"/>
      <c r="P761" s="57"/>
      <c r="Q761" s="50"/>
      <c r="R761" s="50"/>
      <c r="S761" s="58"/>
      <c r="T761" s="58"/>
      <c r="U761" s="58"/>
      <c r="V761" s="59"/>
      <c r="W761" s="60"/>
    </row>
    <row r="762" spans="1:23" ht="29" customHeight="1" x14ac:dyDescent="0.35">
      <c r="A762" s="61"/>
      <c r="B762" s="55"/>
      <c r="C762" s="70"/>
      <c r="D762" s="12"/>
      <c r="E762" s="128"/>
      <c r="F762" s="12"/>
      <c r="G762" s="71"/>
      <c r="H762" s="71"/>
      <c r="I762" s="11"/>
      <c r="J762" s="71"/>
      <c r="K762" s="11"/>
      <c r="L762" s="71"/>
      <c r="M762" s="11"/>
      <c r="N762" s="12"/>
      <c r="O762" s="12"/>
      <c r="P762" s="57"/>
      <c r="Q762" s="50"/>
      <c r="R762" s="50"/>
      <c r="S762" s="58"/>
      <c r="T762" s="58"/>
      <c r="U762" s="58"/>
      <c r="V762" s="59"/>
      <c r="W762" s="60"/>
    </row>
    <row r="763" spans="1:23" ht="29" customHeight="1" x14ac:dyDescent="0.35">
      <c r="A763" s="61"/>
      <c r="B763" s="55"/>
      <c r="C763" s="70"/>
      <c r="D763" s="12"/>
      <c r="E763" s="128"/>
      <c r="F763" s="12"/>
      <c r="G763" s="71"/>
      <c r="H763" s="71"/>
      <c r="I763" s="11"/>
      <c r="J763" s="71"/>
      <c r="K763" s="11"/>
      <c r="L763" s="71"/>
      <c r="M763" s="11"/>
      <c r="N763" s="12"/>
      <c r="O763" s="12"/>
      <c r="P763" s="57"/>
      <c r="Q763" s="50"/>
      <c r="R763" s="50"/>
      <c r="S763" s="58"/>
      <c r="T763" s="58"/>
      <c r="U763" s="58"/>
      <c r="V763" s="59"/>
      <c r="W763" s="60"/>
    </row>
    <row r="764" spans="1:23" ht="29" customHeight="1" x14ac:dyDescent="0.35">
      <c r="A764" s="61"/>
      <c r="B764" s="55"/>
      <c r="C764" s="70"/>
      <c r="D764" s="12"/>
      <c r="E764" s="128"/>
      <c r="F764" s="12"/>
      <c r="G764" s="71"/>
      <c r="H764" s="71"/>
      <c r="I764" s="11"/>
      <c r="J764" s="71"/>
      <c r="K764" s="11"/>
      <c r="L764" s="71"/>
      <c r="M764" s="11"/>
      <c r="N764" s="12"/>
      <c r="O764" s="12"/>
      <c r="P764" s="57"/>
      <c r="Q764" s="50"/>
      <c r="R764" s="50"/>
      <c r="S764" s="58"/>
      <c r="T764" s="58"/>
      <c r="U764" s="58"/>
      <c r="V764" s="59"/>
      <c r="W764" s="60"/>
    </row>
    <row r="765" spans="1:23" ht="29" customHeight="1" x14ac:dyDescent="0.35">
      <c r="A765" s="61"/>
      <c r="B765" s="55"/>
      <c r="C765" s="70"/>
      <c r="D765" s="12"/>
      <c r="E765" s="128"/>
      <c r="F765" s="12"/>
      <c r="G765" s="71"/>
      <c r="H765" s="71"/>
      <c r="I765" s="11"/>
      <c r="J765" s="71"/>
      <c r="K765" s="11"/>
      <c r="L765" s="71"/>
      <c r="M765" s="11"/>
      <c r="N765" s="12"/>
      <c r="O765" s="12"/>
      <c r="P765" s="57"/>
      <c r="Q765" s="50"/>
      <c r="R765" s="50"/>
      <c r="S765" s="58"/>
      <c r="T765" s="58"/>
      <c r="U765" s="58"/>
      <c r="V765" s="59"/>
      <c r="W765" s="60"/>
    </row>
    <row r="766" spans="1:23" ht="29" customHeight="1" x14ac:dyDescent="0.35">
      <c r="A766" s="61"/>
      <c r="B766" s="55"/>
      <c r="C766" s="70"/>
      <c r="D766" s="12"/>
      <c r="E766" s="128"/>
      <c r="F766" s="12"/>
      <c r="G766" s="71"/>
      <c r="H766" s="71"/>
      <c r="I766" s="11"/>
      <c r="J766" s="71"/>
      <c r="K766" s="11"/>
      <c r="L766" s="71"/>
      <c r="M766" s="11"/>
      <c r="N766" s="12"/>
      <c r="O766" s="12"/>
      <c r="P766" s="57"/>
      <c r="Q766" s="50"/>
      <c r="R766" s="50"/>
      <c r="S766" s="58"/>
      <c r="T766" s="58"/>
      <c r="U766" s="58"/>
      <c r="V766" s="59"/>
      <c r="W766" s="60"/>
    </row>
    <row r="767" spans="1:23" ht="29" customHeight="1" x14ac:dyDescent="0.35">
      <c r="A767" s="61"/>
      <c r="B767" s="55"/>
      <c r="C767" s="70"/>
      <c r="D767" s="12"/>
      <c r="E767" s="128"/>
      <c r="F767" s="12"/>
      <c r="G767" s="71"/>
      <c r="H767" s="71"/>
      <c r="I767" s="11"/>
      <c r="J767" s="71"/>
      <c r="K767" s="11"/>
      <c r="L767" s="71"/>
      <c r="M767" s="11"/>
      <c r="N767" s="12"/>
      <c r="O767" s="12"/>
      <c r="P767" s="57"/>
      <c r="Q767" s="50"/>
      <c r="R767" s="50"/>
      <c r="S767" s="58"/>
      <c r="T767" s="58"/>
      <c r="U767" s="58"/>
      <c r="V767" s="59"/>
      <c r="W767" s="60"/>
    </row>
    <row r="768" spans="1:23" ht="29" customHeight="1" x14ac:dyDescent="0.35">
      <c r="A768" s="61"/>
      <c r="B768" s="55"/>
      <c r="C768" s="70"/>
      <c r="D768" s="12"/>
      <c r="E768" s="128"/>
      <c r="F768" s="12"/>
      <c r="G768" s="71"/>
      <c r="H768" s="71"/>
      <c r="I768" s="11"/>
      <c r="J768" s="71"/>
      <c r="K768" s="11"/>
      <c r="L768" s="71"/>
      <c r="M768" s="11"/>
      <c r="N768" s="12"/>
      <c r="O768" s="12"/>
      <c r="P768" s="57"/>
      <c r="Q768" s="50"/>
      <c r="R768" s="50"/>
      <c r="S768" s="58"/>
      <c r="T768" s="58"/>
      <c r="U768" s="58"/>
      <c r="V768" s="59"/>
      <c r="W768" s="60"/>
    </row>
    <row r="769" spans="1:23" ht="29" customHeight="1" x14ac:dyDescent="0.35">
      <c r="A769" s="61"/>
      <c r="B769" s="55"/>
      <c r="C769" s="70"/>
      <c r="D769" s="12"/>
      <c r="E769" s="128"/>
      <c r="F769" s="12"/>
      <c r="G769" s="71"/>
      <c r="H769" s="71"/>
      <c r="I769" s="11"/>
      <c r="J769" s="71"/>
      <c r="K769" s="11"/>
      <c r="L769" s="71"/>
      <c r="M769" s="11"/>
      <c r="N769" s="12"/>
      <c r="O769" s="12"/>
      <c r="P769" s="57"/>
      <c r="Q769" s="50"/>
      <c r="R769" s="50"/>
      <c r="S769" s="58"/>
      <c r="T769" s="58"/>
      <c r="U769" s="58"/>
      <c r="V769" s="59"/>
      <c r="W769" s="60"/>
    </row>
    <row r="770" spans="1:23" ht="29" customHeight="1" x14ac:dyDescent="0.35">
      <c r="A770" s="61"/>
      <c r="B770" s="55"/>
      <c r="C770" s="70"/>
      <c r="D770" s="12"/>
      <c r="E770" s="128"/>
      <c r="F770" s="12"/>
      <c r="G770" s="71"/>
      <c r="H770" s="71"/>
      <c r="I770" s="11"/>
      <c r="J770" s="71"/>
      <c r="K770" s="11"/>
      <c r="L770" s="71"/>
      <c r="M770" s="11"/>
      <c r="N770" s="12"/>
      <c r="O770" s="12"/>
      <c r="P770" s="57"/>
      <c r="Q770" s="50"/>
      <c r="R770" s="50"/>
      <c r="S770" s="58"/>
      <c r="T770" s="58"/>
      <c r="U770" s="58"/>
      <c r="V770" s="59"/>
      <c r="W770" s="60"/>
    </row>
    <row r="771" spans="1:23" ht="29" customHeight="1" x14ac:dyDescent="0.35">
      <c r="A771" s="61"/>
      <c r="B771" s="55"/>
      <c r="C771" s="70"/>
      <c r="D771" s="12"/>
      <c r="E771" s="128"/>
      <c r="F771" s="12"/>
      <c r="G771" s="71"/>
      <c r="H771" s="71"/>
      <c r="I771" s="11"/>
      <c r="J771" s="71"/>
      <c r="K771" s="11"/>
      <c r="L771" s="71"/>
      <c r="M771" s="11"/>
      <c r="N771" s="12"/>
      <c r="O771" s="12"/>
      <c r="P771" s="57"/>
      <c r="Q771" s="50"/>
      <c r="R771" s="50"/>
      <c r="S771" s="58"/>
      <c r="T771" s="58"/>
      <c r="U771" s="58"/>
      <c r="V771" s="59"/>
      <c r="W771" s="60"/>
    </row>
    <row r="772" spans="1:23" ht="29" customHeight="1" x14ac:dyDescent="0.35">
      <c r="A772" s="61"/>
      <c r="B772" s="55"/>
      <c r="C772" s="70"/>
      <c r="D772" s="12"/>
      <c r="E772" s="128"/>
      <c r="F772" s="12"/>
      <c r="G772" s="71"/>
      <c r="H772" s="71"/>
      <c r="I772" s="11"/>
      <c r="J772" s="71"/>
      <c r="K772" s="11"/>
      <c r="L772" s="71"/>
      <c r="M772" s="11"/>
      <c r="N772" s="12"/>
      <c r="O772" s="12"/>
      <c r="P772" s="57"/>
      <c r="Q772" s="50"/>
      <c r="R772" s="50"/>
      <c r="S772" s="58"/>
      <c r="T772" s="58"/>
      <c r="U772" s="58"/>
      <c r="V772" s="59"/>
      <c r="W772" s="60"/>
    </row>
    <row r="773" spans="1:23" ht="29" customHeight="1" x14ac:dyDescent="0.35">
      <c r="A773" s="61"/>
      <c r="B773" s="55"/>
      <c r="C773" s="70"/>
      <c r="D773" s="12"/>
      <c r="E773" s="128"/>
      <c r="F773" s="12"/>
      <c r="G773" s="71"/>
      <c r="H773" s="71"/>
      <c r="I773" s="11"/>
      <c r="J773" s="71"/>
      <c r="K773" s="11"/>
      <c r="L773" s="71"/>
      <c r="M773" s="11"/>
      <c r="N773" s="12"/>
      <c r="O773" s="12"/>
      <c r="P773" s="57"/>
      <c r="Q773" s="50"/>
      <c r="R773" s="50"/>
      <c r="S773" s="58"/>
      <c r="T773" s="58"/>
      <c r="U773" s="58"/>
      <c r="V773" s="59"/>
      <c r="W773" s="60"/>
    </row>
    <row r="774" spans="1:23" ht="29" customHeight="1" x14ac:dyDescent="0.35">
      <c r="A774" s="61"/>
      <c r="B774" s="55"/>
      <c r="C774" s="70"/>
      <c r="D774" s="12"/>
      <c r="E774" s="128"/>
      <c r="F774" s="12"/>
      <c r="G774" s="71"/>
      <c r="H774" s="71"/>
      <c r="I774" s="11"/>
      <c r="J774" s="71"/>
      <c r="K774" s="11"/>
      <c r="L774" s="71"/>
      <c r="M774" s="11"/>
      <c r="N774" s="12"/>
      <c r="O774" s="12"/>
      <c r="P774" s="57"/>
      <c r="Q774" s="50"/>
      <c r="R774" s="50"/>
      <c r="S774" s="58"/>
      <c r="T774" s="58"/>
      <c r="U774" s="58"/>
      <c r="V774" s="59"/>
      <c r="W774" s="60"/>
    </row>
    <row r="775" spans="1:23" ht="29" customHeight="1" x14ac:dyDescent="0.35">
      <c r="A775" s="61"/>
      <c r="B775" s="55"/>
      <c r="C775" s="70"/>
      <c r="D775" s="12"/>
      <c r="E775" s="128"/>
      <c r="F775" s="12"/>
      <c r="G775" s="71"/>
      <c r="H775" s="71"/>
      <c r="I775" s="11"/>
      <c r="J775" s="71"/>
      <c r="K775" s="11"/>
      <c r="L775" s="71"/>
      <c r="M775" s="11"/>
      <c r="N775" s="12"/>
      <c r="O775" s="12"/>
      <c r="P775" s="57"/>
      <c r="Q775" s="50"/>
      <c r="R775" s="50"/>
      <c r="S775" s="58"/>
      <c r="T775" s="58"/>
      <c r="U775" s="58"/>
      <c r="V775" s="59"/>
      <c r="W775" s="60"/>
    </row>
    <row r="776" spans="1:23" ht="29" customHeight="1" x14ac:dyDescent="0.35">
      <c r="A776" s="61"/>
      <c r="B776" s="55"/>
      <c r="C776" s="70"/>
      <c r="D776" s="12"/>
      <c r="E776" s="128"/>
      <c r="F776" s="12"/>
      <c r="G776" s="71"/>
      <c r="H776" s="71"/>
      <c r="I776" s="11"/>
      <c r="J776" s="71"/>
      <c r="K776" s="11"/>
      <c r="L776" s="71"/>
      <c r="M776" s="11"/>
      <c r="N776" s="12"/>
      <c r="O776" s="12"/>
      <c r="P776" s="57"/>
      <c r="Q776" s="50"/>
      <c r="R776" s="50"/>
      <c r="S776" s="58"/>
      <c r="T776" s="58"/>
      <c r="U776" s="58"/>
      <c r="V776" s="59"/>
      <c r="W776" s="60"/>
    </row>
    <row r="777" spans="1:23" ht="29" customHeight="1" x14ac:dyDescent="0.35">
      <c r="A777" s="61"/>
      <c r="B777" s="55"/>
      <c r="C777" s="70"/>
      <c r="D777" s="12"/>
      <c r="E777" s="128"/>
      <c r="F777" s="12"/>
      <c r="G777" s="71"/>
      <c r="H777" s="71"/>
      <c r="I777" s="11"/>
      <c r="J777" s="71"/>
      <c r="K777" s="11"/>
      <c r="L777" s="71"/>
      <c r="M777" s="11"/>
      <c r="N777" s="12"/>
      <c r="O777" s="12"/>
      <c r="P777" s="57"/>
      <c r="Q777" s="50"/>
      <c r="R777" s="50"/>
      <c r="S777" s="58"/>
      <c r="T777" s="58"/>
      <c r="U777" s="58"/>
      <c r="V777" s="59"/>
      <c r="W777" s="60"/>
    </row>
    <row r="778" spans="1:23" ht="29" customHeight="1" x14ac:dyDescent="0.35">
      <c r="A778" s="61"/>
      <c r="B778" s="55"/>
      <c r="C778" s="70"/>
      <c r="D778" s="12"/>
      <c r="E778" s="128"/>
      <c r="F778" s="12"/>
      <c r="G778" s="71"/>
      <c r="H778" s="71"/>
      <c r="I778" s="11"/>
      <c r="J778" s="71"/>
      <c r="K778" s="11"/>
      <c r="L778" s="71"/>
      <c r="M778" s="11"/>
      <c r="N778" s="12"/>
      <c r="O778" s="12"/>
      <c r="P778" s="57"/>
      <c r="Q778" s="50"/>
      <c r="R778" s="50"/>
      <c r="S778" s="58"/>
      <c r="T778" s="58"/>
      <c r="U778" s="58"/>
      <c r="V778" s="59"/>
      <c r="W778" s="60"/>
    </row>
    <row r="779" spans="1:23" ht="29" customHeight="1" x14ac:dyDescent="0.35">
      <c r="A779" s="61"/>
      <c r="B779" s="55"/>
      <c r="C779" s="70"/>
      <c r="D779" s="12"/>
      <c r="E779" s="128"/>
      <c r="F779" s="12"/>
      <c r="G779" s="71"/>
      <c r="H779" s="71"/>
      <c r="I779" s="11"/>
      <c r="J779" s="71"/>
      <c r="K779" s="11"/>
      <c r="L779" s="71"/>
      <c r="M779" s="11"/>
      <c r="N779" s="12"/>
      <c r="O779" s="12"/>
      <c r="P779" s="57"/>
      <c r="Q779" s="50"/>
      <c r="R779" s="50"/>
      <c r="S779" s="58"/>
      <c r="T779" s="58"/>
      <c r="U779" s="58"/>
      <c r="V779" s="59"/>
      <c r="W779" s="60"/>
    </row>
    <row r="780" spans="1:23" ht="29" customHeight="1" x14ac:dyDescent="0.35">
      <c r="A780" s="61"/>
      <c r="B780" s="55"/>
      <c r="C780" s="70"/>
      <c r="D780" s="12"/>
      <c r="E780" s="128"/>
      <c r="F780" s="12"/>
      <c r="G780" s="71"/>
      <c r="H780" s="71"/>
      <c r="I780" s="11"/>
      <c r="J780" s="71"/>
      <c r="K780" s="11"/>
      <c r="L780" s="71"/>
      <c r="M780" s="11"/>
      <c r="N780" s="12"/>
      <c r="O780" s="12"/>
      <c r="P780" s="57"/>
      <c r="Q780" s="50"/>
      <c r="R780" s="50"/>
      <c r="S780" s="58"/>
      <c r="T780" s="58"/>
      <c r="U780" s="58"/>
      <c r="V780" s="59"/>
      <c r="W780" s="60"/>
    </row>
    <row r="781" spans="1:23" ht="29" customHeight="1" x14ac:dyDescent="0.35">
      <c r="A781" s="61"/>
      <c r="B781" s="55"/>
      <c r="C781" s="70"/>
      <c r="D781" s="12"/>
      <c r="E781" s="128"/>
      <c r="F781" s="12"/>
      <c r="G781" s="71"/>
      <c r="H781" s="71"/>
      <c r="I781" s="11"/>
      <c r="J781" s="71"/>
      <c r="K781" s="11"/>
      <c r="L781" s="71"/>
      <c r="M781" s="11"/>
      <c r="N781" s="12"/>
      <c r="O781" s="12"/>
      <c r="P781" s="57"/>
      <c r="Q781" s="50"/>
      <c r="R781" s="50"/>
      <c r="S781" s="58"/>
      <c r="T781" s="58"/>
      <c r="U781" s="58"/>
      <c r="V781" s="59"/>
      <c r="W781" s="60"/>
    </row>
    <row r="782" spans="1:23" ht="29" customHeight="1" x14ac:dyDescent="0.35">
      <c r="A782" s="61"/>
      <c r="B782" s="55"/>
      <c r="C782" s="70"/>
      <c r="D782" s="12"/>
      <c r="E782" s="128"/>
      <c r="F782" s="12"/>
      <c r="G782" s="71"/>
      <c r="H782" s="71"/>
      <c r="I782" s="11"/>
      <c r="J782" s="71"/>
      <c r="K782" s="11"/>
      <c r="L782" s="71"/>
      <c r="M782" s="11"/>
      <c r="N782" s="12"/>
      <c r="O782" s="12"/>
      <c r="P782" s="57"/>
      <c r="Q782" s="50"/>
      <c r="R782" s="50"/>
      <c r="S782" s="58"/>
      <c r="T782" s="58"/>
      <c r="U782" s="58"/>
      <c r="V782" s="59"/>
      <c r="W782" s="60"/>
    </row>
    <row r="783" spans="1:23" ht="29" customHeight="1" x14ac:dyDescent="0.35">
      <c r="A783" s="61"/>
      <c r="B783" s="55"/>
      <c r="C783" s="70"/>
      <c r="D783" s="12"/>
      <c r="E783" s="128"/>
      <c r="F783" s="12"/>
      <c r="G783" s="71"/>
      <c r="H783" s="71"/>
      <c r="I783" s="11"/>
      <c r="J783" s="71"/>
      <c r="K783" s="11"/>
      <c r="L783" s="71"/>
      <c r="M783" s="11"/>
      <c r="N783" s="12"/>
      <c r="O783" s="12"/>
      <c r="P783" s="57"/>
      <c r="Q783" s="50"/>
      <c r="R783" s="50"/>
      <c r="S783" s="58"/>
      <c r="T783" s="58"/>
      <c r="U783" s="58"/>
      <c r="V783" s="59"/>
      <c r="W783" s="60"/>
    </row>
    <row r="784" spans="1:23" ht="29" customHeight="1" x14ac:dyDescent="0.35">
      <c r="A784" s="61"/>
      <c r="B784" s="55"/>
      <c r="C784" s="70"/>
      <c r="D784" s="12"/>
      <c r="E784" s="128"/>
      <c r="F784" s="12"/>
      <c r="G784" s="71"/>
      <c r="H784" s="71"/>
      <c r="I784" s="11"/>
      <c r="J784" s="71"/>
      <c r="K784" s="11"/>
      <c r="L784" s="71"/>
      <c r="M784" s="11"/>
      <c r="N784" s="12"/>
      <c r="O784" s="12"/>
      <c r="P784" s="57"/>
      <c r="Q784" s="50"/>
      <c r="R784" s="50"/>
      <c r="S784" s="58"/>
      <c r="T784" s="58"/>
      <c r="U784" s="58"/>
      <c r="V784" s="59"/>
      <c r="W784" s="60"/>
    </row>
    <row r="785" spans="1:23" ht="29" customHeight="1" x14ac:dyDescent="0.35">
      <c r="A785" s="61"/>
      <c r="B785" s="55"/>
      <c r="C785" s="70"/>
      <c r="D785" s="12"/>
      <c r="E785" s="128"/>
      <c r="F785" s="12"/>
      <c r="G785" s="71"/>
      <c r="H785" s="71"/>
      <c r="I785" s="11"/>
      <c r="J785" s="71"/>
      <c r="K785" s="11"/>
      <c r="L785" s="71"/>
      <c r="M785" s="11"/>
      <c r="N785" s="12"/>
      <c r="O785" s="12"/>
      <c r="P785" s="57"/>
      <c r="Q785" s="50"/>
      <c r="R785" s="50"/>
      <c r="S785" s="58"/>
      <c r="T785" s="58"/>
      <c r="U785" s="58"/>
      <c r="V785" s="59"/>
      <c r="W785" s="60"/>
    </row>
    <row r="786" spans="1:23" ht="29" customHeight="1" x14ac:dyDescent="0.35">
      <c r="A786" s="61"/>
      <c r="B786" s="55"/>
      <c r="C786" s="70"/>
      <c r="D786" s="12"/>
      <c r="E786" s="128"/>
      <c r="F786" s="12"/>
      <c r="G786" s="71"/>
      <c r="H786" s="71"/>
      <c r="I786" s="11"/>
      <c r="J786" s="71"/>
      <c r="K786" s="11"/>
      <c r="L786" s="71"/>
      <c r="M786" s="11"/>
      <c r="N786" s="12"/>
      <c r="O786" s="12"/>
      <c r="P786" s="57"/>
      <c r="Q786" s="50"/>
      <c r="R786" s="50"/>
      <c r="S786" s="58"/>
      <c r="T786" s="58"/>
      <c r="U786" s="58"/>
      <c r="V786" s="59"/>
      <c r="W786" s="60"/>
    </row>
    <row r="787" spans="1:23" ht="29" customHeight="1" x14ac:dyDescent="0.35">
      <c r="A787" s="61"/>
      <c r="B787" s="55"/>
      <c r="C787" s="70"/>
      <c r="D787" s="12"/>
      <c r="E787" s="128"/>
      <c r="F787" s="12"/>
      <c r="G787" s="71"/>
      <c r="H787" s="71"/>
      <c r="I787" s="11"/>
      <c r="J787" s="71"/>
      <c r="K787" s="11"/>
      <c r="L787" s="71"/>
      <c r="M787" s="11"/>
      <c r="N787" s="12"/>
      <c r="O787" s="12"/>
      <c r="P787" s="57"/>
      <c r="Q787" s="50"/>
      <c r="R787" s="50"/>
      <c r="S787" s="58"/>
      <c r="T787" s="58"/>
      <c r="U787" s="58"/>
      <c r="V787" s="59"/>
      <c r="W787" s="60"/>
    </row>
    <row r="788" spans="1:23" ht="29" customHeight="1" x14ac:dyDescent="0.35">
      <c r="A788" s="61"/>
      <c r="B788" s="55"/>
      <c r="C788" s="70"/>
      <c r="D788" s="12"/>
      <c r="E788" s="128"/>
      <c r="F788" s="12"/>
      <c r="G788" s="71"/>
      <c r="H788" s="71"/>
      <c r="I788" s="11"/>
      <c r="J788" s="71"/>
      <c r="K788" s="11"/>
      <c r="L788" s="71"/>
      <c r="M788" s="11"/>
      <c r="N788" s="12"/>
      <c r="O788" s="12"/>
      <c r="P788" s="57"/>
      <c r="Q788" s="50"/>
      <c r="R788" s="50"/>
      <c r="S788" s="58"/>
      <c r="T788" s="58"/>
      <c r="U788" s="58"/>
      <c r="V788" s="59"/>
      <c r="W788" s="60"/>
    </row>
    <row r="789" spans="1:23" ht="29" customHeight="1" x14ac:dyDescent="0.35">
      <c r="A789" s="61"/>
      <c r="B789" s="55"/>
      <c r="C789" s="70"/>
      <c r="D789" s="12"/>
      <c r="E789" s="128"/>
      <c r="F789" s="12"/>
      <c r="G789" s="71"/>
      <c r="H789" s="71"/>
      <c r="I789" s="11"/>
      <c r="J789" s="71"/>
      <c r="K789" s="11"/>
      <c r="L789" s="71"/>
      <c r="M789" s="11"/>
      <c r="N789" s="12"/>
      <c r="O789" s="12"/>
      <c r="P789" s="57"/>
      <c r="Q789" s="50"/>
      <c r="R789" s="50"/>
      <c r="S789" s="58"/>
      <c r="T789" s="58"/>
      <c r="U789" s="58"/>
      <c r="V789" s="59"/>
      <c r="W789" s="60"/>
    </row>
    <row r="790" spans="1:23" ht="29" customHeight="1" x14ac:dyDescent="0.35">
      <c r="A790" s="61"/>
      <c r="B790" s="55"/>
      <c r="C790" s="70"/>
      <c r="D790" s="12"/>
      <c r="E790" s="128"/>
      <c r="F790" s="12"/>
      <c r="G790" s="71"/>
      <c r="H790" s="71"/>
      <c r="I790" s="11"/>
      <c r="J790" s="71"/>
      <c r="K790" s="11"/>
      <c r="L790" s="71"/>
      <c r="M790" s="11"/>
      <c r="N790" s="12"/>
      <c r="O790" s="12"/>
      <c r="P790" s="57"/>
      <c r="Q790" s="50"/>
      <c r="R790" s="50"/>
      <c r="S790" s="58"/>
      <c r="T790" s="58"/>
      <c r="U790" s="58"/>
      <c r="V790" s="59"/>
      <c r="W790" s="60"/>
    </row>
    <row r="791" spans="1:23" ht="29" customHeight="1" x14ac:dyDescent="0.35">
      <c r="A791" s="61"/>
      <c r="B791" s="55"/>
      <c r="C791" s="70"/>
      <c r="D791" s="12"/>
      <c r="E791" s="128"/>
      <c r="F791" s="12"/>
      <c r="G791" s="71"/>
      <c r="H791" s="71"/>
      <c r="I791" s="11"/>
      <c r="J791" s="71"/>
      <c r="K791" s="11"/>
      <c r="L791" s="71"/>
      <c r="M791" s="11"/>
      <c r="N791" s="12"/>
      <c r="O791" s="12"/>
      <c r="P791" s="57"/>
      <c r="Q791" s="50"/>
      <c r="R791" s="50"/>
      <c r="S791" s="58"/>
      <c r="T791" s="58"/>
      <c r="U791" s="58"/>
      <c r="V791" s="59"/>
      <c r="W791" s="60"/>
    </row>
    <row r="792" spans="1:23" ht="29" customHeight="1" x14ac:dyDescent="0.35">
      <c r="A792" s="61"/>
      <c r="B792" s="55"/>
      <c r="C792" s="70"/>
      <c r="D792" s="12"/>
      <c r="E792" s="128"/>
      <c r="F792" s="12"/>
      <c r="G792" s="71"/>
      <c r="H792" s="71"/>
      <c r="I792" s="11"/>
      <c r="J792" s="71"/>
      <c r="K792" s="11"/>
      <c r="L792" s="71"/>
      <c r="M792" s="11"/>
      <c r="N792" s="12"/>
      <c r="O792" s="12"/>
      <c r="P792" s="57"/>
      <c r="Q792" s="50"/>
      <c r="R792" s="50"/>
      <c r="S792" s="58"/>
      <c r="T792" s="58"/>
      <c r="U792" s="58"/>
      <c r="V792" s="59"/>
      <c r="W792" s="60"/>
    </row>
    <row r="793" spans="1:23" ht="29" customHeight="1" x14ac:dyDescent="0.35">
      <c r="A793" s="61"/>
      <c r="B793" s="55"/>
      <c r="C793" s="70"/>
      <c r="D793" s="12"/>
      <c r="E793" s="128"/>
      <c r="F793" s="12"/>
      <c r="G793" s="71"/>
      <c r="H793" s="71"/>
      <c r="I793" s="11"/>
      <c r="J793" s="71"/>
      <c r="K793" s="11"/>
      <c r="L793" s="71"/>
      <c r="M793" s="11"/>
      <c r="N793" s="12"/>
      <c r="O793" s="12"/>
      <c r="P793" s="57"/>
      <c r="Q793" s="50"/>
      <c r="R793" s="50"/>
      <c r="S793" s="58"/>
      <c r="T793" s="58"/>
      <c r="U793" s="58"/>
      <c r="V793" s="59"/>
      <c r="W793" s="60"/>
    </row>
    <row r="794" spans="1:23" ht="29" customHeight="1" x14ac:dyDescent="0.35">
      <c r="A794" s="61"/>
      <c r="B794" s="55"/>
      <c r="C794" s="70"/>
      <c r="D794" s="12"/>
      <c r="E794" s="128"/>
      <c r="F794" s="12"/>
      <c r="G794" s="71"/>
      <c r="H794" s="71"/>
      <c r="I794" s="11"/>
      <c r="J794" s="71"/>
      <c r="K794" s="11"/>
      <c r="L794" s="71"/>
      <c r="M794" s="11"/>
      <c r="N794" s="12"/>
      <c r="O794" s="12"/>
      <c r="P794" s="57"/>
      <c r="Q794" s="50"/>
      <c r="R794" s="50"/>
      <c r="S794" s="58"/>
      <c r="T794" s="58"/>
      <c r="U794" s="58"/>
      <c r="V794" s="59"/>
      <c r="W794" s="60"/>
    </row>
    <row r="795" spans="1:23" ht="29" customHeight="1" x14ac:dyDescent="0.35">
      <c r="A795" s="61"/>
      <c r="B795" s="55"/>
      <c r="C795" s="70"/>
      <c r="D795" s="12"/>
      <c r="E795" s="128"/>
      <c r="F795" s="12"/>
      <c r="G795" s="71"/>
      <c r="H795" s="71"/>
      <c r="I795" s="11"/>
      <c r="J795" s="71"/>
      <c r="K795" s="11"/>
      <c r="L795" s="71"/>
      <c r="M795" s="11"/>
      <c r="N795" s="12"/>
      <c r="O795" s="12"/>
      <c r="P795" s="57"/>
      <c r="Q795" s="50"/>
      <c r="R795" s="50"/>
      <c r="S795" s="58"/>
      <c r="T795" s="58"/>
      <c r="U795" s="58"/>
      <c r="V795" s="59"/>
      <c r="W795" s="60"/>
    </row>
    <row r="796" spans="1:23" ht="29" customHeight="1" x14ac:dyDescent="0.35">
      <c r="A796" s="61"/>
      <c r="B796" s="55"/>
      <c r="C796" s="70"/>
      <c r="D796" s="12"/>
      <c r="E796" s="128"/>
      <c r="F796" s="12"/>
      <c r="G796" s="71"/>
      <c r="H796" s="71"/>
      <c r="I796" s="11"/>
      <c r="J796" s="71"/>
      <c r="K796" s="11"/>
      <c r="L796" s="71"/>
      <c r="M796" s="11"/>
      <c r="N796" s="12"/>
      <c r="O796" s="12"/>
      <c r="P796" s="57"/>
      <c r="Q796" s="50"/>
      <c r="R796" s="50"/>
      <c r="S796" s="58"/>
      <c r="T796" s="58"/>
      <c r="U796" s="58"/>
      <c r="V796" s="59"/>
      <c r="W796" s="60"/>
    </row>
    <row r="797" spans="1:23" ht="29" customHeight="1" x14ac:dyDescent="0.35">
      <c r="A797" s="61"/>
      <c r="B797" s="55"/>
      <c r="C797" s="70"/>
      <c r="D797" s="12"/>
      <c r="E797" s="128"/>
      <c r="F797" s="12"/>
      <c r="G797" s="71"/>
      <c r="H797" s="71"/>
      <c r="I797" s="11"/>
      <c r="J797" s="71"/>
      <c r="K797" s="11"/>
      <c r="L797" s="71"/>
      <c r="M797" s="11"/>
      <c r="N797" s="12"/>
      <c r="O797" s="12"/>
      <c r="P797" s="57"/>
      <c r="Q797" s="50"/>
      <c r="R797" s="50"/>
      <c r="S797" s="58"/>
      <c r="T797" s="58"/>
      <c r="U797" s="58"/>
      <c r="V797" s="59"/>
      <c r="W797" s="60"/>
    </row>
    <row r="798" spans="1:23" ht="29" customHeight="1" x14ac:dyDescent="0.35">
      <c r="A798" s="61"/>
      <c r="B798" s="55"/>
      <c r="C798" s="70"/>
      <c r="D798" s="12"/>
      <c r="E798" s="128"/>
      <c r="F798" s="12"/>
      <c r="G798" s="71"/>
      <c r="H798" s="71"/>
      <c r="I798" s="11"/>
      <c r="J798" s="71"/>
      <c r="K798" s="11"/>
      <c r="L798" s="71"/>
      <c r="M798" s="11"/>
      <c r="N798" s="12"/>
      <c r="O798" s="12"/>
      <c r="P798" s="57"/>
      <c r="Q798" s="50"/>
      <c r="R798" s="50"/>
      <c r="S798" s="58"/>
      <c r="T798" s="58"/>
      <c r="U798" s="58"/>
      <c r="V798" s="59"/>
      <c r="W798" s="60"/>
    </row>
    <row r="799" spans="1:23" ht="29" customHeight="1" x14ac:dyDescent="0.35">
      <c r="A799" s="61"/>
      <c r="B799" s="55"/>
      <c r="C799" s="70"/>
      <c r="D799" s="12"/>
      <c r="E799" s="128"/>
      <c r="F799" s="12"/>
      <c r="G799" s="71"/>
      <c r="H799" s="71"/>
      <c r="I799" s="11"/>
      <c r="J799" s="71"/>
      <c r="K799" s="11"/>
      <c r="L799" s="71"/>
      <c r="M799" s="11"/>
      <c r="N799" s="12"/>
      <c r="O799" s="12"/>
      <c r="P799" s="57"/>
      <c r="Q799" s="50"/>
      <c r="R799" s="50"/>
      <c r="S799" s="58"/>
      <c r="T799" s="58"/>
      <c r="U799" s="58"/>
      <c r="V799" s="59"/>
      <c r="W799" s="60"/>
    </row>
    <row r="800" spans="1:23" ht="29" customHeight="1" x14ac:dyDescent="0.35">
      <c r="A800" s="61"/>
      <c r="B800" s="55"/>
      <c r="C800" s="70"/>
      <c r="D800" s="12"/>
      <c r="E800" s="128"/>
      <c r="F800" s="12"/>
      <c r="G800" s="71"/>
      <c r="H800" s="71"/>
      <c r="I800" s="11"/>
      <c r="J800" s="71"/>
      <c r="K800" s="11"/>
      <c r="L800" s="71"/>
      <c r="M800" s="11"/>
      <c r="N800" s="12"/>
      <c r="O800" s="12"/>
      <c r="P800" s="57"/>
      <c r="Q800" s="50"/>
      <c r="R800" s="50"/>
      <c r="S800" s="58"/>
      <c r="T800" s="58"/>
      <c r="U800" s="58"/>
      <c r="V800" s="59"/>
      <c r="W800" s="60"/>
    </row>
    <row r="801" spans="1:23" ht="29" customHeight="1" x14ac:dyDescent="0.35">
      <c r="A801" s="61"/>
      <c r="B801" s="55"/>
      <c r="C801" s="70"/>
      <c r="D801" s="12"/>
      <c r="E801" s="128"/>
      <c r="F801" s="12"/>
      <c r="G801" s="71"/>
      <c r="H801" s="71"/>
      <c r="I801" s="11"/>
      <c r="J801" s="71"/>
      <c r="K801" s="11"/>
      <c r="L801" s="71"/>
      <c r="M801" s="11"/>
      <c r="N801" s="12"/>
      <c r="O801" s="12"/>
      <c r="P801" s="57"/>
      <c r="Q801" s="50"/>
      <c r="R801" s="50"/>
      <c r="S801" s="58"/>
      <c r="T801" s="58"/>
      <c r="U801" s="58"/>
      <c r="V801" s="59"/>
      <c r="W801" s="60"/>
    </row>
    <row r="802" spans="1:23" ht="29" customHeight="1" x14ac:dyDescent="0.35">
      <c r="A802" s="61"/>
      <c r="B802" s="55"/>
      <c r="C802" s="70"/>
      <c r="D802" s="12"/>
      <c r="E802" s="128"/>
      <c r="F802" s="12"/>
      <c r="G802" s="71"/>
      <c r="H802" s="71"/>
      <c r="I802" s="11"/>
      <c r="J802" s="71"/>
      <c r="K802" s="11"/>
      <c r="L802" s="71"/>
      <c r="M802" s="11"/>
      <c r="N802" s="12"/>
      <c r="O802" s="12"/>
      <c r="P802" s="57"/>
      <c r="Q802" s="50"/>
      <c r="R802" s="50"/>
      <c r="S802" s="58"/>
      <c r="T802" s="58"/>
      <c r="U802" s="58"/>
      <c r="V802" s="59"/>
      <c r="W802" s="60"/>
    </row>
    <row r="803" spans="1:23" ht="29" customHeight="1" x14ac:dyDescent="0.35">
      <c r="A803" s="61"/>
      <c r="B803" s="55"/>
      <c r="C803" s="70"/>
      <c r="D803" s="12"/>
      <c r="E803" s="128"/>
      <c r="F803" s="12"/>
      <c r="G803" s="71"/>
      <c r="H803" s="71"/>
      <c r="I803" s="11"/>
      <c r="J803" s="71"/>
      <c r="K803" s="11"/>
      <c r="L803" s="71"/>
      <c r="M803" s="11"/>
      <c r="N803" s="12"/>
      <c r="O803" s="12"/>
      <c r="P803" s="57"/>
      <c r="Q803" s="50"/>
      <c r="R803" s="50"/>
      <c r="S803" s="58"/>
      <c r="T803" s="58"/>
      <c r="U803" s="58"/>
      <c r="V803" s="59"/>
      <c r="W803" s="60"/>
    </row>
    <row r="804" spans="1:23" ht="29" customHeight="1" x14ac:dyDescent="0.35">
      <c r="A804" s="61"/>
      <c r="B804" s="55"/>
      <c r="C804" s="70"/>
      <c r="D804" s="12"/>
      <c r="E804" s="128"/>
      <c r="F804" s="12"/>
      <c r="G804" s="71"/>
      <c r="H804" s="71"/>
      <c r="I804" s="11"/>
      <c r="J804" s="71"/>
      <c r="K804" s="11"/>
      <c r="L804" s="71"/>
      <c r="M804" s="11"/>
      <c r="N804" s="12"/>
      <c r="O804" s="12"/>
      <c r="P804" s="57"/>
      <c r="Q804" s="50"/>
      <c r="R804" s="50"/>
      <c r="S804" s="58"/>
      <c r="T804" s="58"/>
      <c r="U804" s="58"/>
      <c r="V804" s="59"/>
      <c r="W804" s="60"/>
    </row>
    <row r="805" spans="1:23" ht="29" customHeight="1" x14ac:dyDescent="0.35">
      <c r="A805" s="61"/>
      <c r="B805" s="55"/>
      <c r="C805" s="70"/>
      <c r="D805" s="12"/>
      <c r="E805" s="128"/>
      <c r="F805" s="12"/>
      <c r="G805" s="71"/>
      <c r="H805" s="71"/>
      <c r="I805" s="11"/>
      <c r="J805" s="71"/>
      <c r="K805" s="11"/>
      <c r="L805" s="71"/>
      <c r="M805" s="11"/>
      <c r="N805" s="12"/>
      <c r="O805" s="12"/>
      <c r="P805" s="57"/>
      <c r="Q805" s="50"/>
      <c r="R805" s="50"/>
      <c r="S805" s="58"/>
      <c r="T805" s="58"/>
      <c r="U805" s="58"/>
      <c r="V805" s="59"/>
      <c r="W805" s="60"/>
    </row>
    <row r="806" spans="1:23" ht="29" customHeight="1" x14ac:dyDescent="0.35">
      <c r="A806" s="61"/>
      <c r="B806" s="55"/>
      <c r="C806" s="70"/>
      <c r="D806" s="12"/>
      <c r="E806" s="128"/>
      <c r="F806" s="12"/>
      <c r="G806" s="71"/>
      <c r="H806" s="71"/>
      <c r="I806" s="11"/>
      <c r="J806" s="71"/>
      <c r="K806" s="11"/>
      <c r="L806" s="71"/>
      <c r="M806" s="11"/>
      <c r="N806" s="12"/>
      <c r="O806" s="12"/>
      <c r="P806" s="57"/>
      <c r="Q806" s="50"/>
      <c r="R806" s="50"/>
      <c r="S806" s="58"/>
      <c r="T806" s="58"/>
      <c r="U806" s="58"/>
      <c r="V806" s="59"/>
      <c r="W806" s="60"/>
    </row>
    <row r="807" spans="1:23" ht="29" customHeight="1" x14ac:dyDescent="0.35">
      <c r="A807" s="61"/>
      <c r="B807" s="55"/>
      <c r="C807" s="70"/>
      <c r="D807" s="12"/>
      <c r="E807" s="128"/>
      <c r="F807" s="12"/>
      <c r="G807" s="71"/>
      <c r="H807" s="71"/>
      <c r="I807" s="11"/>
      <c r="J807" s="71"/>
      <c r="K807" s="11"/>
      <c r="L807" s="71"/>
      <c r="M807" s="11"/>
      <c r="N807" s="12"/>
      <c r="O807" s="12"/>
      <c r="P807" s="57"/>
      <c r="Q807" s="50"/>
      <c r="R807" s="50"/>
      <c r="S807" s="58"/>
      <c r="T807" s="58"/>
      <c r="U807" s="58"/>
      <c r="V807" s="59"/>
      <c r="W807" s="60"/>
    </row>
    <row r="808" spans="1:23" ht="29" customHeight="1" x14ac:dyDescent="0.35">
      <c r="A808" s="61"/>
      <c r="B808" s="55"/>
      <c r="C808" s="70"/>
      <c r="D808" s="12"/>
      <c r="E808" s="128"/>
      <c r="F808" s="12"/>
      <c r="G808" s="71"/>
      <c r="H808" s="71"/>
      <c r="I808" s="11"/>
      <c r="J808" s="71"/>
      <c r="K808" s="11"/>
      <c r="L808" s="71"/>
      <c r="M808" s="11"/>
      <c r="N808" s="12"/>
      <c r="O808" s="12"/>
      <c r="P808" s="57"/>
      <c r="Q808" s="50"/>
      <c r="R808" s="50"/>
      <c r="S808" s="58"/>
      <c r="T808" s="58"/>
      <c r="U808" s="58"/>
      <c r="V808" s="59"/>
      <c r="W808" s="60"/>
    </row>
    <row r="809" spans="1:23" ht="29" customHeight="1" x14ac:dyDescent="0.35">
      <c r="A809" s="61"/>
      <c r="B809" s="55"/>
      <c r="C809" s="70"/>
      <c r="D809" s="12"/>
      <c r="E809" s="128"/>
      <c r="F809" s="12"/>
      <c r="G809" s="71"/>
      <c r="H809" s="71"/>
      <c r="I809" s="11"/>
      <c r="J809" s="71"/>
      <c r="K809" s="11"/>
      <c r="L809" s="71"/>
      <c r="M809" s="11"/>
      <c r="N809" s="12"/>
      <c r="O809" s="12"/>
      <c r="P809" s="57"/>
      <c r="Q809" s="50"/>
      <c r="R809" s="50"/>
      <c r="S809" s="58"/>
      <c r="T809" s="58"/>
      <c r="U809" s="58"/>
      <c r="V809" s="59"/>
      <c r="W809" s="60"/>
    </row>
    <row r="810" spans="1:23" ht="29" customHeight="1" x14ac:dyDescent="0.35">
      <c r="A810" s="61"/>
      <c r="B810" s="55"/>
      <c r="C810" s="70"/>
      <c r="D810" s="12"/>
      <c r="E810" s="128"/>
      <c r="F810" s="12"/>
      <c r="G810" s="71"/>
      <c r="H810" s="71"/>
      <c r="I810" s="11"/>
      <c r="J810" s="71"/>
      <c r="K810" s="11"/>
      <c r="L810" s="71"/>
      <c r="M810" s="11"/>
      <c r="N810" s="12"/>
      <c r="O810" s="12"/>
      <c r="P810" s="57"/>
      <c r="Q810" s="50"/>
      <c r="R810" s="50"/>
      <c r="S810" s="58"/>
      <c r="T810" s="58"/>
      <c r="U810" s="58"/>
      <c r="V810" s="59"/>
      <c r="W810" s="60"/>
    </row>
    <row r="811" spans="1:23" ht="29" customHeight="1" x14ac:dyDescent="0.35">
      <c r="A811" s="61"/>
      <c r="B811" s="55"/>
      <c r="C811" s="70"/>
      <c r="D811" s="12"/>
      <c r="E811" s="128"/>
      <c r="F811" s="12"/>
      <c r="G811" s="71"/>
      <c r="H811" s="71"/>
      <c r="I811" s="11"/>
      <c r="J811" s="71"/>
      <c r="K811" s="11"/>
      <c r="L811" s="71"/>
      <c r="M811" s="11"/>
      <c r="N811" s="12"/>
      <c r="O811" s="12"/>
      <c r="P811" s="57"/>
      <c r="Q811" s="50"/>
      <c r="R811" s="50"/>
      <c r="S811" s="58"/>
      <c r="T811" s="58"/>
      <c r="U811" s="58"/>
      <c r="V811" s="59"/>
      <c r="W811" s="60"/>
    </row>
    <row r="812" spans="1:23" ht="29" customHeight="1" x14ac:dyDescent="0.35">
      <c r="A812" s="61"/>
      <c r="B812" s="55"/>
      <c r="C812" s="70"/>
      <c r="D812" s="12"/>
      <c r="E812" s="128"/>
      <c r="F812" s="12"/>
      <c r="G812" s="71"/>
      <c r="H812" s="71"/>
      <c r="I812" s="11"/>
      <c r="J812" s="71"/>
      <c r="K812" s="11"/>
      <c r="L812" s="71"/>
      <c r="M812" s="11"/>
      <c r="N812" s="12"/>
      <c r="O812" s="12"/>
      <c r="P812" s="57"/>
      <c r="Q812" s="50"/>
      <c r="R812" s="50"/>
      <c r="S812" s="58"/>
      <c r="T812" s="58"/>
      <c r="U812" s="58"/>
      <c r="V812" s="59"/>
      <c r="W812" s="60"/>
    </row>
    <row r="813" spans="1:23" ht="29" customHeight="1" x14ac:dyDescent="0.35">
      <c r="A813" s="61"/>
      <c r="B813" s="55"/>
      <c r="C813" s="70"/>
      <c r="D813" s="12"/>
      <c r="E813" s="128"/>
      <c r="F813" s="12"/>
      <c r="G813" s="71"/>
      <c r="H813" s="71"/>
      <c r="I813" s="11"/>
      <c r="J813" s="71"/>
      <c r="K813" s="11"/>
      <c r="L813" s="71"/>
      <c r="M813" s="11"/>
      <c r="N813" s="12"/>
      <c r="O813" s="12"/>
      <c r="P813" s="57"/>
      <c r="Q813" s="50"/>
      <c r="R813" s="50"/>
      <c r="S813" s="58"/>
      <c r="T813" s="58"/>
      <c r="U813" s="58"/>
      <c r="V813" s="59"/>
      <c r="W813" s="60"/>
    </row>
    <row r="814" spans="1:23" ht="29" customHeight="1" x14ac:dyDescent="0.35">
      <c r="A814" s="61"/>
      <c r="B814" s="55"/>
      <c r="C814" s="70"/>
      <c r="D814" s="12"/>
      <c r="E814" s="128"/>
      <c r="F814" s="12"/>
      <c r="G814" s="71"/>
      <c r="H814" s="71"/>
      <c r="I814" s="11"/>
      <c r="J814" s="71"/>
      <c r="K814" s="11"/>
      <c r="L814" s="71"/>
      <c r="M814" s="11"/>
      <c r="N814" s="12"/>
      <c r="O814" s="12"/>
      <c r="P814" s="57"/>
      <c r="Q814" s="50"/>
      <c r="R814" s="50"/>
      <c r="S814" s="58"/>
      <c r="T814" s="58"/>
      <c r="U814" s="58"/>
      <c r="V814" s="59"/>
      <c r="W814" s="60"/>
    </row>
    <row r="815" spans="1:23" ht="29" customHeight="1" x14ac:dyDescent="0.35">
      <c r="A815" s="61"/>
      <c r="B815" s="55"/>
      <c r="C815" s="70"/>
      <c r="D815" s="12"/>
      <c r="E815" s="128"/>
      <c r="F815" s="12"/>
      <c r="G815" s="71"/>
      <c r="H815" s="71"/>
      <c r="I815" s="11"/>
      <c r="J815" s="71"/>
      <c r="K815" s="11"/>
      <c r="L815" s="71"/>
      <c r="M815" s="11"/>
      <c r="N815" s="12"/>
      <c r="O815" s="12"/>
      <c r="P815" s="57"/>
      <c r="Q815" s="50"/>
      <c r="R815" s="50"/>
      <c r="S815" s="58"/>
      <c r="T815" s="58"/>
      <c r="U815" s="58"/>
      <c r="V815" s="59"/>
      <c r="W815" s="60"/>
    </row>
    <row r="816" spans="1:23" ht="29" customHeight="1" x14ac:dyDescent="0.35">
      <c r="A816" s="61"/>
      <c r="B816" s="55"/>
      <c r="C816" s="70"/>
      <c r="D816" s="12"/>
      <c r="E816" s="128"/>
      <c r="F816" s="12"/>
      <c r="G816" s="71"/>
      <c r="H816" s="71"/>
      <c r="I816" s="11"/>
      <c r="J816" s="71"/>
      <c r="K816" s="11"/>
      <c r="L816" s="71"/>
      <c r="M816" s="11"/>
      <c r="N816" s="12"/>
      <c r="O816" s="12"/>
      <c r="P816" s="57"/>
      <c r="Q816" s="50"/>
      <c r="R816" s="50"/>
      <c r="S816" s="58"/>
      <c r="T816" s="58"/>
      <c r="U816" s="58"/>
      <c r="V816" s="59"/>
      <c r="W816" s="60"/>
    </row>
    <row r="817" spans="1:23" ht="29" customHeight="1" x14ac:dyDescent="0.35">
      <c r="A817" s="61"/>
      <c r="B817" s="55"/>
      <c r="C817" s="70"/>
      <c r="D817" s="12"/>
      <c r="E817" s="128"/>
      <c r="F817" s="12"/>
      <c r="G817" s="71"/>
      <c r="H817" s="71"/>
      <c r="I817" s="11"/>
      <c r="J817" s="71"/>
      <c r="K817" s="11"/>
      <c r="L817" s="71"/>
      <c r="M817" s="11"/>
      <c r="N817" s="12"/>
      <c r="O817" s="12"/>
      <c r="P817" s="57"/>
      <c r="Q817" s="50"/>
      <c r="R817" s="50"/>
      <c r="S817" s="58"/>
      <c r="T817" s="58"/>
      <c r="U817" s="58"/>
      <c r="V817" s="59"/>
      <c r="W817" s="60"/>
    </row>
    <row r="818" spans="1:23" ht="29" customHeight="1" x14ac:dyDescent="0.35">
      <c r="A818" s="61"/>
      <c r="B818" s="55"/>
      <c r="C818" s="70"/>
      <c r="D818" s="12"/>
      <c r="E818" s="128"/>
      <c r="F818" s="12"/>
      <c r="G818" s="71"/>
      <c r="H818" s="71"/>
      <c r="I818" s="11"/>
      <c r="J818" s="71"/>
      <c r="K818" s="11"/>
      <c r="L818" s="71"/>
      <c r="M818" s="11"/>
      <c r="N818" s="12"/>
      <c r="O818" s="12"/>
      <c r="P818" s="57"/>
      <c r="Q818" s="50"/>
      <c r="R818" s="50"/>
      <c r="S818" s="58"/>
      <c r="T818" s="58"/>
      <c r="U818" s="58"/>
      <c r="V818" s="59"/>
      <c r="W818" s="60"/>
    </row>
    <row r="819" spans="1:23" ht="29" customHeight="1" x14ac:dyDescent="0.35">
      <c r="A819" s="61"/>
      <c r="B819" s="55"/>
      <c r="C819" s="70"/>
      <c r="D819" s="12"/>
      <c r="E819" s="128"/>
      <c r="F819" s="12"/>
      <c r="G819" s="71"/>
      <c r="H819" s="71"/>
      <c r="I819" s="11"/>
      <c r="J819" s="71"/>
      <c r="K819" s="11"/>
      <c r="L819" s="71"/>
      <c r="M819" s="11"/>
      <c r="N819" s="12"/>
      <c r="O819" s="12"/>
      <c r="P819" s="57"/>
      <c r="Q819" s="50"/>
      <c r="R819" s="50"/>
      <c r="S819" s="58"/>
      <c r="T819" s="58"/>
      <c r="U819" s="58"/>
      <c r="V819" s="59"/>
      <c r="W819" s="60"/>
    </row>
    <row r="820" spans="1:23" ht="29" customHeight="1" x14ac:dyDescent="0.35">
      <c r="A820" s="61"/>
      <c r="B820" s="55"/>
      <c r="C820" s="70"/>
      <c r="D820" s="12"/>
      <c r="E820" s="128"/>
      <c r="F820" s="12"/>
      <c r="G820" s="71"/>
      <c r="H820" s="71"/>
      <c r="I820" s="11"/>
      <c r="J820" s="71"/>
      <c r="K820" s="11"/>
      <c r="L820" s="71"/>
      <c r="M820" s="11"/>
      <c r="N820" s="12"/>
      <c r="O820" s="12"/>
      <c r="P820" s="57"/>
      <c r="Q820" s="50"/>
      <c r="R820" s="50"/>
      <c r="S820" s="58"/>
      <c r="T820" s="58"/>
      <c r="U820" s="58"/>
      <c r="V820" s="59"/>
      <c r="W820" s="60"/>
    </row>
    <row r="821" spans="1:23" ht="29" customHeight="1" x14ac:dyDescent="0.35">
      <c r="A821" s="61"/>
      <c r="B821" s="55"/>
      <c r="C821" s="70"/>
      <c r="D821" s="12"/>
      <c r="E821" s="128"/>
      <c r="F821" s="12"/>
      <c r="G821" s="71"/>
      <c r="H821" s="71"/>
      <c r="I821" s="11"/>
      <c r="J821" s="71"/>
      <c r="K821" s="11"/>
      <c r="L821" s="71"/>
      <c r="M821" s="11"/>
      <c r="N821" s="12"/>
      <c r="O821" s="12"/>
      <c r="P821" s="57"/>
      <c r="Q821" s="50"/>
      <c r="R821" s="50"/>
      <c r="S821" s="58"/>
      <c r="T821" s="58"/>
      <c r="U821" s="58"/>
      <c r="V821" s="59"/>
      <c r="W821" s="60"/>
    </row>
    <row r="822" spans="1:23" ht="29" customHeight="1" x14ac:dyDescent="0.35">
      <c r="A822" s="61"/>
      <c r="B822" s="55"/>
      <c r="C822" s="70"/>
      <c r="D822" s="12"/>
      <c r="E822" s="128"/>
      <c r="F822" s="12"/>
      <c r="G822" s="71"/>
      <c r="H822" s="71"/>
      <c r="I822" s="11"/>
      <c r="J822" s="71"/>
      <c r="K822" s="11"/>
      <c r="L822" s="71"/>
      <c r="M822" s="11"/>
      <c r="N822" s="12"/>
      <c r="O822" s="12"/>
      <c r="P822" s="57"/>
      <c r="Q822" s="50"/>
      <c r="R822" s="50"/>
      <c r="S822" s="58"/>
      <c r="T822" s="58"/>
      <c r="U822" s="58"/>
      <c r="V822" s="59"/>
      <c r="W822" s="60"/>
    </row>
    <row r="823" spans="1:23" ht="29" customHeight="1" x14ac:dyDescent="0.35">
      <c r="A823" s="61"/>
      <c r="B823" s="55"/>
      <c r="C823" s="70"/>
      <c r="D823" s="12"/>
      <c r="E823" s="128"/>
      <c r="F823" s="12"/>
      <c r="G823" s="71"/>
      <c r="H823" s="71"/>
      <c r="I823" s="11"/>
      <c r="J823" s="71"/>
      <c r="K823" s="11"/>
      <c r="L823" s="71"/>
      <c r="M823" s="11"/>
      <c r="N823" s="12"/>
      <c r="O823" s="12"/>
      <c r="P823" s="57"/>
      <c r="Q823" s="50"/>
      <c r="R823" s="50"/>
      <c r="S823" s="58"/>
      <c r="T823" s="58"/>
      <c r="U823" s="58"/>
      <c r="V823" s="59"/>
      <c r="W823" s="60"/>
    </row>
    <row r="824" spans="1:23" ht="29" customHeight="1" x14ac:dyDescent="0.35">
      <c r="A824" s="61"/>
      <c r="B824" s="55"/>
      <c r="C824" s="70"/>
      <c r="D824" s="12"/>
      <c r="E824" s="128"/>
      <c r="F824" s="12"/>
      <c r="G824" s="71"/>
      <c r="H824" s="71"/>
      <c r="I824" s="11"/>
      <c r="J824" s="71"/>
      <c r="K824" s="11"/>
      <c r="L824" s="71"/>
      <c r="M824" s="11"/>
      <c r="N824" s="12"/>
      <c r="O824" s="12"/>
      <c r="P824" s="57"/>
      <c r="Q824" s="50"/>
      <c r="R824" s="50"/>
      <c r="S824" s="58"/>
      <c r="T824" s="58"/>
      <c r="U824" s="58"/>
      <c r="V824" s="59"/>
      <c r="W824" s="60"/>
    </row>
    <row r="825" spans="1:23" ht="29" customHeight="1" x14ac:dyDescent="0.35">
      <c r="A825" s="61"/>
      <c r="B825" s="55"/>
      <c r="C825" s="70"/>
      <c r="D825" s="12"/>
      <c r="E825" s="128"/>
      <c r="F825" s="12"/>
      <c r="G825" s="71"/>
      <c r="H825" s="71"/>
      <c r="I825" s="11"/>
      <c r="J825" s="71"/>
      <c r="K825" s="11"/>
      <c r="L825" s="71"/>
      <c r="M825" s="11"/>
      <c r="N825" s="12"/>
      <c r="O825" s="12"/>
      <c r="P825" s="57"/>
      <c r="Q825" s="50"/>
      <c r="R825" s="50"/>
      <c r="S825" s="58"/>
      <c r="T825" s="58"/>
      <c r="U825" s="58"/>
      <c r="V825" s="59"/>
      <c r="W825" s="60"/>
    </row>
    <row r="826" spans="1:23" ht="29" customHeight="1" x14ac:dyDescent="0.35">
      <c r="A826" s="61"/>
      <c r="B826" s="55"/>
      <c r="C826" s="70"/>
      <c r="D826" s="12"/>
      <c r="E826" s="128"/>
      <c r="F826" s="12"/>
      <c r="G826" s="71"/>
      <c r="H826" s="71"/>
      <c r="I826" s="11"/>
      <c r="J826" s="71"/>
      <c r="K826" s="11"/>
      <c r="L826" s="71"/>
      <c r="M826" s="11"/>
      <c r="N826" s="12"/>
      <c r="O826" s="12"/>
      <c r="P826" s="57"/>
      <c r="Q826" s="50"/>
      <c r="R826" s="50"/>
      <c r="S826" s="58"/>
      <c r="T826" s="58"/>
      <c r="U826" s="58"/>
      <c r="V826" s="59"/>
      <c r="W826" s="60"/>
    </row>
    <row r="827" spans="1:23" ht="29" customHeight="1" x14ac:dyDescent="0.35">
      <c r="A827" s="61"/>
      <c r="B827" s="55"/>
      <c r="C827" s="70"/>
      <c r="D827" s="12"/>
      <c r="E827" s="128"/>
      <c r="F827" s="12"/>
      <c r="G827" s="71"/>
      <c r="H827" s="71"/>
      <c r="I827" s="11"/>
      <c r="J827" s="71"/>
      <c r="K827" s="11"/>
      <c r="L827" s="71"/>
      <c r="M827" s="11"/>
      <c r="N827" s="12"/>
      <c r="O827" s="12"/>
      <c r="P827" s="57"/>
      <c r="Q827" s="50"/>
      <c r="R827" s="50"/>
      <c r="S827" s="58"/>
      <c r="T827" s="58"/>
      <c r="U827" s="58"/>
      <c r="V827" s="59"/>
      <c r="W827" s="60"/>
    </row>
    <row r="828" spans="1:23" ht="29" customHeight="1" x14ac:dyDescent="0.35">
      <c r="A828" s="61"/>
      <c r="B828" s="55"/>
      <c r="C828" s="70"/>
      <c r="D828" s="12"/>
      <c r="E828" s="128"/>
      <c r="F828" s="12"/>
      <c r="G828" s="71"/>
      <c r="H828" s="71"/>
      <c r="I828" s="11"/>
      <c r="J828" s="71"/>
      <c r="K828" s="11"/>
      <c r="L828" s="71"/>
      <c r="M828" s="11"/>
      <c r="N828" s="12"/>
      <c r="O828" s="12"/>
      <c r="P828" s="57"/>
      <c r="Q828" s="50"/>
      <c r="R828" s="50"/>
      <c r="S828" s="58"/>
      <c r="T828" s="58"/>
      <c r="U828" s="58"/>
      <c r="V828" s="59"/>
      <c r="W828" s="60"/>
    </row>
    <row r="829" spans="1:23" ht="29" customHeight="1" x14ac:dyDescent="0.35">
      <c r="A829" s="61"/>
      <c r="B829" s="55"/>
      <c r="C829" s="70"/>
      <c r="D829" s="12"/>
      <c r="E829" s="128"/>
      <c r="F829" s="12"/>
      <c r="G829" s="71"/>
      <c r="H829" s="71"/>
      <c r="I829" s="11"/>
      <c r="J829" s="71"/>
      <c r="K829" s="11"/>
      <c r="L829" s="71"/>
      <c r="M829" s="11"/>
      <c r="N829" s="12"/>
      <c r="O829" s="12"/>
      <c r="P829" s="57"/>
      <c r="Q829" s="50"/>
      <c r="R829" s="50"/>
      <c r="S829" s="58"/>
      <c r="T829" s="58"/>
      <c r="U829" s="58"/>
      <c r="V829" s="59"/>
      <c r="W829" s="60"/>
    </row>
    <row r="830" spans="1:23" ht="29" customHeight="1" x14ac:dyDescent="0.35">
      <c r="A830" s="61"/>
      <c r="B830" s="55"/>
      <c r="C830" s="70"/>
      <c r="D830" s="12"/>
      <c r="E830" s="128"/>
      <c r="F830" s="12"/>
      <c r="G830" s="71"/>
      <c r="H830" s="71"/>
      <c r="I830" s="11"/>
      <c r="J830" s="71"/>
      <c r="K830" s="11"/>
      <c r="L830" s="71"/>
      <c r="M830" s="11"/>
      <c r="N830" s="12"/>
      <c r="O830" s="12"/>
      <c r="P830" s="57"/>
      <c r="Q830" s="50"/>
      <c r="R830" s="50"/>
      <c r="S830" s="58"/>
      <c r="T830" s="58"/>
      <c r="U830" s="58"/>
      <c r="V830" s="59"/>
      <c r="W830" s="60"/>
    </row>
    <row r="831" spans="1:23" ht="29" customHeight="1" x14ac:dyDescent="0.35">
      <c r="A831" s="61"/>
      <c r="B831" s="55"/>
      <c r="C831" s="70"/>
      <c r="D831" s="12"/>
      <c r="E831" s="128"/>
      <c r="F831" s="12"/>
      <c r="G831" s="71"/>
      <c r="H831" s="71"/>
      <c r="I831" s="11"/>
      <c r="J831" s="71"/>
      <c r="K831" s="11"/>
      <c r="L831" s="71"/>
      <c r="M831" s="11"/>
      <c r="N831" s="12"/>
      <c r="O831" s="12"/>
      <c r="P831" s="57"/>
      <c r="Q831" s="50"/>
      <c r="R831" s="50"/>
      <c r="S831" s="58"/>
      <c r="T831" s="58"/>
      <c r="U831" s="58"/>
      <c r="V831" s="59"/>
      <c r="W831" s="60"/>
    </row>
    <row r="832" spans="1:23" ht="29" customHeight="1" x14ac:dyDescent="0.35">
      <c r="A832" s="61"/>
      <c r="B832" s="55"/>
      <c r="C832" s="70"/>
      <c r="D832" s="12"/>
      <c r="E832" s="128"/>
      <c r="F832" s="12"/>
      <c r="G832" s="71"/>
      <c r="H832" s="71"/>
      <c r="I832" s="11"/>
      <c r="J832" s="71"/>
      <c r="K832" s="11"/>
      <c r="L832" s="71"/>
      <c r="M832" s="11"/>
      <c r="N832" s="12"/>
      <c r="O832" s="12"/>
      <c r="P832" s="57"/>
      <c r="Q832" s="50"/>
      <c r="R832" s="50"/>
      <c r="S832" s="58"/>
      <c r="T832" s="58"/>
      <c r="U832" s="58"/>
      <c r="V832" s="59"/>
      <c r="W832" s="60"/>
    </row>
    <row r="833" spans="1:23" ht="29" customHeight="1" x14ac:dyDescent="0.35">
      <c r="A833" s="61"/>
      <c r="B833" s="55"/>
      <c r="C833" s="70"/>
      <c r="D833" s="12"/>
      <c r="E833" s="128"/>
      <c r="F833" s="12"/>
      <c r="G833" s="71"/>
      <c r="H833" s="71"/>
      <c r="I833" s="11"/>
      <c r="J833" s="71"/>
      <c r="K833" s="11"/>
      <c r="L833" s="71"/>
      <c r="M833" s="11"/>
      <c r="N833" s="12"/>
      <c r="O833" s="12"/>
      <c r="P833" s="57"/>
      <c r="Q833" s="50"/>
      <c r="R833" s="50"/>
      <c r="S833" s="58"/>
      <c r="T833" s="58"/>
      <c r="U833" s="58"/>
      <c r="V833" s="59"/>
      <c r="W833" s="60"/>
    </row>
    <row r="834" spans="1:23" ht="29" customHeight="1" x14ac:dyDescent="0.35">
      <c r="A834" s="61"/>
      <c r="B834" s="55"/>
      <c r="C834" s="70"/>
      <c r="D834" s="12"/>
      <c r="E834" s="128"/>
      <c r="F834" s="12"/>
      <c r="G834" s="71"/>
      <c r="H834" s="71"/>
      <c r="I834" s="11"/>
      <c r="J834" s="71"/>
      <c r="K834" s="11"/>
      <c r="L834" s="71"/>
      <c r="M834" s="11"/>
      <c r="N834" s="12"/>
      <c r="O834" s="12"/>
      <c r="P834" s="57"/>
      <c r="Q834" s="50"/>
      <c r="R834" s="50"/>
      <c r="S834" s="58"/>
      <c r="T834" s="58"/>
      <c r="U834" s="58"/>
      <c r="V834" s="59"/>
      <c r="W834" s="60"/>
    </row>
    <row r="835" spans="1:23" ht="29" customHeight="1" x14ac:dyDescent="0.35">
      <c r="A835" s="61"/>
      <c r="B835" s="55"/>
      <c r="C835" s="70"/>
      <c r="D835" s="12"/>
      <c r="E835" s="128"/>
      <c r="F835" s="12"/>
      <c r="G835" s="71"/>
      <c r="H835" s="71"/>
      <c r="I835" s="11"/>
      <c r="J835" s="71"/>
      <c r="K835" s="11"/>
      <c r="L835" s="71"/>
      <c r="M835" s="11"/>
      <c r="N835" s="12"/>
      <c r="O835" s="12"/>
      <c r="P835" s="57"/>
      <c r="Q835" s="50"/>
      <c r="R835" s="50"/>
      <c r="S835" s="58"/>
      <c r="T835" s="58"/>
      <c r="U835" s="58"/>
      <c r="V835" s="59"/>
      <c r="W835" s="60"/>
    </row>
    <row r="836" spans="1:23" ht="29" customHeight="1" x14ac:dyDescent="0.35">
      <c r="A836" s="61"/>
      <c r="B836" s="55"/>
      <c r="C836" s="70"/>
      <c r="D836" s="12"/>
      <c r="E836" s="128"/>
      <c r="F836" s="12"/>
      <c r="G836" s="71"/>
      <c r="H836" s="71"/>
      <c r="I836" s="11"/>
      <c r="J836" s="71"/>
      <c r="K836" s="11"/>
      <c r="L836" s="71"/>
      <c r="M836" s="11"/>
      <c r="N836" s="12"/>
      <c r="O836" s="12"/>
      <c r="P836" s="57"/>
      <c r="Q836" s="50"/>
      <c r="R836" s="50"/>
      <c r="S836" s="58"/>
      <c r="T836" s="58"/>
      <c r="U836" s="58"/>
      <c r="V836" s="59"/>
      <c r="W836" s="60"/>
    </row>
    <row r="837" spans="1:23" ht="29" customHeight="1" x14ac:dyDescent="0.35">
      <c r="A837" s="61"/>
      <c r="B837" s="55"/>
      <c r="C837" s="70"/>
      <c r="D837" s="12"/>
      <c r="E837" s="128"/>
      <c r="F837" s="12"/>
      <c r="G837" s="71"/>
      <c r="H837" s="71"/>
      <c r="I837" s="11"/>
      <c r="J837" s="71"/>
      <c r="K837" s="11"/>
      <c r="L837" s="71"/>
      <c r="M837" s="11"/>
      <c r="N837" s="12"/>
      <c r="O837" s="12"/>
      <c r="P837" s="57"/>
      <c r="Q837" s="50"/>
      <c r="R837" s="50"/>
      <c r="S837" s="58"/>
      <c r="T837" s="58"/>
      <c r="U837" s="58"/>
      <c r="V837" s="59"/>
      <c r="W837" s="60"/>
    </row>
    <row r="838" spans="1:23" ht="29" customHeight="1" x14ac:dyDescent="0.35">
      <c r="A838" s="61"/>
      <c r="B838" s="55"/>
      <c r="C838" s="70"/>
      <c r="D838" s="12"/>
      <c r="E838" s="128"/>
      <c r="F838" s="12"/>
      <c r="G838" s="71"/>
      <c r="H838" s="71"/>
      <c r="I838" s="11"/>
      <c r="J838" s="71"/>
      <c r="K838" s="11"/>
      <c r="L838" s="71"/>
      <c r="M838" s="11"/>
      <c r="N838" s="12"/>
      <c r="O838" s="12"/>
      <c r="P838" s="57"/>
      <c r="Q838" s="50"/>
      <c r="R838" s="50"/>
      <c r="S838" s="58"/>
      <c r="T838" s="58"/>
      <c r="U838" s="58"/>
      <c r="V838" s="59"/>
      <c r="W838" s="60"/>
    </row>
    <row r="839" spans="1:23" ht="29" customHeight="1" x14ac:dyDescent="0.35">
      <c r="A839" s="61"/>
      <c r="B839" s="55"/>
      <c r="C839" s="70"/>
      <c r="D839" s="12"/>
      <c r="E839" s="128"/>
      <c r="F839" s="12"/>
      <c r="G839" s="71"/>
      <c r="H839" s="71"/>
      <c r="I839" s="11"/>
      <c r="J839" s="71"/>
      <c r="K839" s="11"/>
      <c r="L839" s="71"/>
      <c r="M839" s="11"/>
      <c r="N839" s="12"/>
      <c r="O839" s="12"/>
      <c r="P839" s="57"/>
      <c r="Q839" s="50"/>
      <c r="R839" s="50"/>
      <c r="S839" s="58"/>
      <c r="T839" s="58"/>
      <c r="U839" s="58"/>
      <c r="V839" s="59"/>
      <c r="W839" s="60"/>
    </row>
    <row r="840" spans="1:23" ht="29" customHeight="1" x14ac:dyDescent="0.35">
      <c r="A840" s="61"/>
      <c r="B840" s="55"/>
      <c r="C840" s="70"/>
      <c r="D840" s="12"/>
      <c r="E840" s="128"/>
      <c r="F840" s="12"/>
      <c r="G840" s="71"/>
      <c r="H840" s="71"/>
      <c r="I840" s="11"/>
      <c r="J840" s="71"/>
      <c r="K840" s="11"/>
      <c r="L840" s="71"/>
      <c r="M840" s="11"/>
      <c r="N840" s="12"/>
      <c r="O840" s="12"/>
      <c r="P840" s="57"/>
      <c r="Q840" s="50"/>
      <c r="R840" s="50"/>
      <c r="S840" s="58"/>
      <c r="T840" s="58"/>
      <c r="U840" s="58"/>
      <c r="V840" s="59"/>
      <c r="W840" s="60"/>
    </row>
    <row r="841" spans="1:23" ht="29" customHeight="1" x14ac:dyDescent="0.35">
      <c r="A841" s="61"/>
      <c r="B841" s="55"/>
      <c r="C841" s="70"/>
      <c r="D841" s="12"/>
      <c r="E841" s="128"/>
      <c r="F841" s="12"/>
      <c r="G841" s="71"/>
      <c r="H841" s="71"/>
      <c r="I841" s="11"/>
      <c r="J841" s="71"/>
      <c r="K841" s="11"/>
      <c r="L841" s="71"/>
      <c r="M841" s="11"/>
      <c r="N841" s="12"/>
      <c r="O841" s="12"/>
      <c r="P841" s="57"/>
      <c r="Q841" s="50"/>
      <c r="R841" s="50"/>
      <c r="S841" s="58"/>
      <c r="T841" s="58"/>
      <c r="U841" s="58"/>
      <c r="V841" s="59"/>
      <c r="W841" s="60"/>
    </row>
    <row r="842" spans="1:23" ht="29" customHeight="1" x14ac:dyDescent="0.35">
      <c r="A842" s="61"/>
      <c r="B842" s="55"/>
      <c r="C842" s="70"/>
      <c r="D842" s="12"/>
      <c r="E842" s="128"/>
      <c r="F842" s="12"/>
      <c r="G842" s="71"/>
      <c r="H842" s="71"/>
      <c r="I842" s="11"/>
      <c r="J842" s="71"/>
      <c r="K842" s="11"/>
      <c r="L842" s="71"/>
      <c r="M842" s="11"/>
      <c r="N842" s="12"/>
      <c r="O842" s="12"/>
      <c r="P842" s="57"/>
      <c r="Q842" s="50"/>
      <c r="R842" s="50"/>
      <c r="S842" s="58"/>
      <c r="T842" s="58"/>
      <c r="U842" s="58"/>
      <c r="V842" s="59"/>
      <c r="W842" s="60"/>
    </row>
    <row r="843" spans="1:23" ht="29" customHeight="1" x14ac:dyDescent="0.35">
      <c r="A843" s="61"/>
      <c r="B843" s="55"/>
      <c r="C843" s="70"/>
      <c r="D843" s="12"/>
      <c r="E843" s="128"/>
      <c r="F843" s="12"/>
      <c r="G843" s="71"/>
      <c r="H843" s="71"/>
      <c r="I843" s="11"/>
      <c r="J843" s="71"/>
      <c r="K843" s="11"/>
      <c r="L843" s="71"/>
      <c r="M843" s="11"/>
      <c r="N843" s="12"/>
      <c r="O843" s="12"/>
      <c r="P843" s="57"/>
      <c r="Q843" s="50"/>
      <c r="R843" s="50"/>
      <c r="S843" s="58"/>
      <c r="T843" s="58"/>
      <c r="U843" s="58"/>
      <c r="V843" s="59"/>
      <c r="W843" s="60"/>
    </row>
    <row r="844" spans="1:23" ht="29" customHeight="1" x14ac:dyDescent="0.35">
      <c r="A844" s="61"/>
      <c r="B844" s="55"/>
      <c r="C844" s="70"/>
      <c r="D844" s="12"/>
      <c r="E844" s="128"/>
      <c r="F844" s="12"/>
      <c r="G844" s="71"/>
      <c r="H844" s="71"/>
      <c r="I844" s="11"/>
      <c r="J844" s="71"/>
      <c r="K844" s="11"/>
      <c r="L844" s="71"/>
      <c r="M844" s="11"/>
      <c r="N844" s="12"/>
      <c r="O844" s="12"/>
      <c r="P844" s="57"/>
      <c r="Q844" s="50"/>
      <c r="R844" s="50"/>
      <c r="S844" s="58"/>
      <c r="T844" s="58"/>
      <c r="U844" s="58"/>
      <c r="V844" s="59"/>
      <c r="W844" s="60"/>
    </row>
    <row r="845" spans="1:23" ht="29" customHeight="1" x14ac:dyDescent="0.35">
      <c r="A845" s="61"/>
      <c r="B845" s="55"/>
      <c r="C845" s="70"/>
      <c r="D845" s="12"/>
      <c r="E845" s="128"/>
      <c r="F845" s="12"/>
      <c r="G845" s="71"/>
      <c r="H845" s="71"/>
      <c r="I845" s="11"/>
      <c r="J845" s="71"/>
      <c r="K845" s="11"/>
      <c r="L845" s="71"/>
      <c r="M845" s="11"/>
      <c r="N845" s="12"/>
      <c r="O845" s="12"/>
      <c r="P845" s="57"/>
      <c r="Q845" s="50"/>
      <c r="R845" s="50"/>
      <c r="S845" s="58"/>
      <c r="T845" s="58"/>
      <c r="U845" s="58"/>
      <c r="V845" s="59"/>
      <c r="W845" s="60"/>
    </row>
    <row r="846" spans="1:23" ht="29" customHeight="1" x14ac:dyDescent="0.35">
      <c r="A846" s="61"/>
      <c r="B846" s="55"/>
      <c r="C846" s="70"/>
      <c r="D846" s="12"/>
      <c r="E846" s="128"/>
      <c r="F846" s="12"/>
      <c r="G846" s="71"/>
      <c r="H846" s="71"/>
      <c r="I846" s="11"/>
      <c r="J846" s="71"/>
      <c r="K846" s="11"/>
      <c r="L846" s="71"/>
      <c r="M846" s="11"/>
      <c r="N846" s="12"/>
      <c r="O846" s="12"/>
      <c r="P846" s="57"/>
      <c r="Q846" s="50"/>
      <c r="R846" s="50"/>
      <c r="S846" s="58"/>
      <c r="T846" s="58"/>
      <c r="U846" s="58"/>
      <c r="V846" s="59"/>
      <c r="W846" s="60"/>
    </row>
    <row r="847" spans="1:23" ht="29" customHeight="1" x14ac:dyDescent="0.35">
      <c r="A847" s="61"/>
      <c r="B847" s="55"/>
      <c r="C847" s="70"/>
      <c r="D847" s="12"/>
      <c r="E847" s="128"/>
      <c r="F847" s="12"/>
      <c r="G847" s="71"/>
      <c r="H847" s="71"/>
      <c r="I847" s="11"/>
      <c r="J847" s="71"/>
      <c r="K847" s="11"/>
      <c r="L847" s="71"/>
      <c r="M847" s="11"/>
      <c r="N847" s="12"/>
      <c r="O847" s="12"/>
      <c r="P847" s="57"/>
      <c r="Q847" s="50"/>
      <c r="R847" s="50"/>
      <c r="S847" s="58"/>
      <c r="T847" s="58"/>
      <c r="U847" s="58"/>
      <c r="V847" s="59"/>
      <c r="W847" s="60"/>
    </row>
    <row r="848" spans="1:23" ht="29" customHeight="1" x14ac:dyDescent="0.35">
      <c r="A848" s="61"/>
      <c r="B848" s="55"/>
      <c r="C848" s="70"/>
      <c r="D848" s="12"/>
      <c r="E848" s="128"/>
      <c r="F848" s="12"/>
      <c r="G848" s="71"/>
      <c r="H848" s="71"/>
      <c r="I848" s="11"/>
      <c r="J848" s="71"/>
      <c r="K848" s="11"/>
      <c r="L848" s="71"/>
      <c r="M848" s="11"/>
      <c r="N848" s="12"/>
      <c r="O848" s="12"/>
      <c r="P848" s="57"/>
      <c r="Q848" s="50"/>
      <c r="R848" s="50"/>
      <c r="S848" s="58"/>
      <c r="T848" s="58"/>
      <c r="U848" s="58"/>
      <c r="V848" s="59"/>
      <c r="W848" s="60"/>
    </row>
    <row r="849" spans="1:23" ht="29" customHeight="1" x14ac:dyDescent="0.35">
      <c r="A849" s="61"/>
      <c r="B849" s="55"/>
      <c r="C849" s="70"/>
      <c r="D849" s="12"/>
      <c r="E849" s="128"/>
      <c r="F849" s="12"/>
      <c r="G849" s="71"/>
      <c r="H849" s="71"/>
      <c r="I849" s="11"/>
      <c r="J849" s="71"/>
      <c r="K849" s="11"/>
      <c r="L849" s="71"/>
      <c r="M849" s="11"/>
      <c r="N849" s="12"/>
      <c r="O849" s="12"/>
      <c r="P849" s="57"/>
      <c r="Q849" s="50"/>
      <c r="R849" s="50"/>
      <c r="S849" s="58"/>
      <c r="T849" s="58"/>
      <c r="U849" s="58"/>
      <c r="V849" s="59"/>
      <c r="W849" s="60"/>
    </row>
    <row r="850" spans="1:23" ht="29" customHeight="1" x14ac:dyDescent="0.35">
      <c r="A850" s="61"/>
      <c r="B850" s="55"/>
      <c r="C850" s="70"/>
      <c r="D850" s="12"/>
      <c r="E850" s="128"/>
      <c r="F850" s="12"/>
      <c r="G850" s="71"/>
      <c r="H850" s="71"/>
      <c r="I850" s="11"/>
      <c r="J850" s="71"/>
      <c r="K850" s="11"/>
      <c r="L850" s="71"/>
      <c r="M850" s="11"/>
      <c r="N850" s="12"/>
      <c r="O850" s="12"/>
      <c r="P850" s="57"/>
      <c r="Q850" s="50"/>
      <c r="R850" s="50"/>
      <c r="S850" s="58"/>
      <c r="T850" s="58"/>
      <c r="U850" s="58"/>
      <c r="V850" s="59"/>
      <c r="W850" s="60"/>
    </row>
    <row r="851" spans="1:23" ht="29" customHeight="1" x14ac:dyDescent="0.35">
      <c r="A851" s="61"/>
      <c r="B851" s="55"/>
      <c r="C851" s="70"/>
      <c r="D851" s="12"/>
      <c r="E851" s="128"/>
      <c r="F851" s="12"/>
      <c r="G851" s="71"/>
      <c r="H851" s="71"/>
      <c r="I851" s="11"/>
      <c r="J851" s="71"/>
      <c r="K851" s="11"/>
      <c r="L851" s="71"/>
      <c r="M851" s="11"/>
      <c r="N851" s="12"/>
      <c r="O851" s="12"/>
      <c r="P851" s="57"/>
      <c r="Q851" s="50"/>
      <c r="R851" s="50"/>
      <c r="S851" s="58"/>
      <c r="T851" s="58"/>
      <c r="U851" s="58"/>
      <c r="V851" s="59"/>
      <c r="W851" s="60"/>
    </row>
    <row r="852" spans="1:23" ht="29" customHeight="1" x14ac:dyDescent="0.35">
      <c r="A852" s="61"/>
      <c r="B852" s="55"/>
      <c r="C852" s="70"/>
      <c r="D852" s="12"/>
      <c r="E852" s="128"/>
      <c r="F852" s="12"/>
      <c r="G852" s="71"/>
      <c r="H852" s="71"/>
      <c r="I852" s="11"/>
      <c r="J852" s="71"/>
      <c r="K852" s="11"/>
      <c r="L852" s="71"/>
      <c r="M852" s="11"/>
      <c r="N852" s="12"/>
      <c r="O852" s="12"/>
      <c r="P852" s="57"/>
      <c r="Q852" s="50"/>
      <c r="R852" s="50"/>
      <c r="S852" s="58"/>
      <c r="T852" s="58"/>
      <c r="U852" s="58"/>
      <c r="V852" s="59"/>
      <c r="W852" s="60"/>
    </row>
    <row r="853" spans="1:23" ht="29" customHeight="1" x14ac:dyDescent="0.35">
      <c r="A853" s="61"/>
      <c r="B853" s="55"/>
      <c r="C853" s="70"/>
      <c r="D853" s="12"/>
      <c r="E853" s="128"/>
      <c r="F853" s="12"/>
      <c r="G853" s="71"/>
      <c r="H853" s="71"/>
      <c r="I853" s="11"/>
      <c r="J853" s="71"/>
      <c r="K853" s="11"/>
      <c r="L853" s="71"/>
      <c r="M853" s="11"/>
      <c r="N853" s="12"/>
      <c r="O853" s="12"/>
      <c r="P853" s="57"/>
      <c r="Q853" s="50"/>
      <c r="R853" s="50"/>
      <c r="S853" s="58"/>
      <c r="T853" s="58"/>
      <c r="U853" s="58"/>
      <c r="V853" s="59"/>
      <c r="W853" s="60"/>
    </row>
    <row r="854" spans="1:23" ht="29" customHeight="1" x14ac:dyDescent="0.35">
      <c r="A854" s="61"/>
      <c r="B854" s="55"/>
      <c r="C854" s="70"/>
      <c r="D854" s="12"/>
      <c r="E854" s="128"/>
      <c r="F854" s="12"/>
      <c r="G854" s="71"/>
      <c r="H854" s="71"/>
      <c r="I854" s="11"/>
      <c r="J854" s="71"/>
      <c r="K854" s="11"/>
      <c r="L854" s="71"/>
      <c r="M854" s="11"/>
      <c r="N854" s="12"/>
      <c r="O854" s="12"/>
      <c r="P854" s="57"/>
      <c r="Q854" s="50"/>
      <c r="R854" s="50"/>
      <c r="S854" s="58"/>
      <c r="T854" s="58"/>
      <c r="U854" s="58"/>
      <c r="V854" s="59"/>
      <c r="W854" s="60"/>
    </row>
    <row r="855" spans="1:23" ht="29" customHeight="1" x14ac:dyDescent="0.35">
      <c r="A855" s="61"/>
      <c r="B855" s="55"/>
      <c r="C855" s="70"/>
      <c r="D855" s="12"/>
      <c r="E855" s="128"/>
      <c r="F855" s="12"/>
      <c r="G855" s="71"/>
      <c r="H855" s="71"/>
      <c r="I855" s="11"/>
      <c r="J855" s="71"/>
      <c r="K855" s="11"/>
      <c r="L855" s="71"/>
      <c r="M855" s="11"/>
      <c r="N855" s="12"/>
      <c r="O855" s="12"/>
      <c r="P855" s="57"/>
      <c r="Q855" s="50"/>
      <c r="R855" s="50"/>
      <c r="S855" s="58"/>
      <c r="T855" s="58"/>
      <c r="U855" s="58"/>
      <c r="V855" s="59"/>
      <c r="W855" s="60"/>
    </row>
    <row r="856" spans="1:23" ht="29" customHeight="1" x14ac:dyDescent="0.35">
      <c r="A856" s="61"/>
      <c r="B856" s="55"/>
      <c r="C856" s="70"/>
      <c r="D856" s="12"/>
      <c r="E856" s="128"/>
      <c r="F856" s="12"/>
      <c r="G856" s="71"/>
      <c r="H856" s="71"/>
      <c r="I856" s="11"/>
      <c r="J856" s="71"/>
      <c r="K856" s="11"/>
      <c r="L856" s="71"/>
      <c r="M856" s="11"/>
      <c r="N856" s="12"/>
      <c r="O856" s="12"/>
      <c r="P856" s="57"/>
      <c r="Q856" s="50"/>
      <c r="R856" s="50"/>
      <c r="S856" s="58"/>
      <c r="T856" s="58"/>
      <c r="U856" s="58"/>
      <c r="V856" s="59"/>
      <c r="W856" s="60"/>
    </row>
    <row r="857" spans="1:23" ht="29" customHeight="1" x14ac:dyDescent="0.35">
      <c r="A857" s="61"/>
      <c r="B857" s="55"/>
      <c r="C857" s="70"/>
      <c r="D857" s="12"/>
      <c r="E857" s="128"/>
      <c r="F857" s="12"/>
      <c r="G857" s="71"/>
      <c r="H857" s="71"/>
      <c r="I857" s="11"/>
      <c r="J857" s="71"/>
      <c r="K857" s="11"/>
      <c r="L857" s="71"/>
      <c r="M857" s="11"/>
      <c r="N857" s="12"/>
      <c r="O857" s="12"/>
      <c r="P857" s="57"/>
      <c r="Q857" s="50"/>
      <c r="R857" s="50"/>
      <c r="S857" s="58"/>
      <c r="T857" s="58"/>
      <c r="U857" s="58"/>
      <c r="V857" s="59"/>
      <c r="W857" s="60"/>
    </row>
    <row r="858" spans="1:23" ht="29" customHeight="1" x14ac:dyDescent="0.35">
      <c r="A858" s="61"/>
      <c r="B858" s="55"/>
      <c r="C858" s="70"/>
      <c r="D858" s="12"/>
      <c r="E858" s="128"/>
      <c r="F858" s="12"/>
      <c r="G858" s="71"/>
      <c r="H858" s="71"/>
      <c r="I858" s="11"/>
      <c r="J858" s="71"/>
      <c r="K858" s="11"/>
      <c r="L858" s="71"/>
      <c r="M858" s="11"/>
      <c r="N858" s="12"/>
      <c r="O858" s="12"/>
      <c r="P858" s="57"/>
      <c r="Q858" s="50"/>
      <c r="R858" s="50"/>
      <c r="S858" s="58"/>
      <c r="T858" s="58"/>
      <c r="U858" s="58"/>
      <c r="V858" s="59"/>
      <c r="W858" s="60"/>
    </row>
    <row r="859" spans="1:23" ht="29" customHeight="1" x14ac:dyDescent="0.35">
      <c r="A859" s="61"/>
      <c r="B859" s="55"/>
      <c r="C859" s="70"/>
      <c r="D859" s="12"/>
      <c r="E859" s="128"/>
      <c r="F859" s="12"/>
      <c r="G859" s="71"/>
      <c r="H859" s="71"/>
      <c r="I859" s="11"/>
      <c r="J859" s="71"/>
      <c r="K859" s="11"/>
      <c r="L859" s="71"/>
      <c r="M859" s="11"/>
      <c r="N859" s="12"/>
      <c r="O859" s="12"/>
      <c r="P859" s="57"/>
      <c r="Q859" s="50"/>
      <c r="R859" s="50"/>
      <c r="S859" s="58"/>
      <c r="T859" s="58"/>
      <c r="U859" s="58"/>
      <c r="V859" s="59"/>
      <c r="W859" s="60"/>
    </row>
    <row r="860" spans="1:23" ht="29" customHeight="1" x14ac:dyDescent="0.35">
      <c r="A860" s="61"/>
      <c r="B860" s="55"/>
      <c r="C860" s="70"/>
      <c r="D860" s="12"/>
      <c r="E860" s="128"/>
      <c r="F860" s="12"/>
      <c r="G860" s="71"/>
      <c r="H860" s="71"/>
      <c r="I860" s="11"/>
      <c r="J860" s="71"/>
      <c r="K860" s="11"/>
      <c r="L860" s="71"/>
      <c r="M860" s="11"/>
      <c r="N860" s="12"/>
      <c r="O860" s="12"/>
      <c r="P860" s="57"/>
      <c r="Q860" s="50"/>
      <c r="R860" s="50"/>
      <c r="S860" s="58"/>
      <c r="T860" s="58"/>
      <c r="U860" s="58"/>
      <c r="V860" s="59"/>
      <c r="W860" s="60"/>
    </row>
    <row r="861" spans="1:23" ht="29" customHeight="1" x14ac:dyDescent="0.35">
      <c r="A861" s="61"/>
      <c r="B861" s="55"/>
      <c r="C861" s="70"/>
      <c r="D861" s="12"/>
      <c r="E861" s="128"/>
      <c r="F861" s="12"/>
      <c r="G861" s="71"/>
      <c r="H861" s="71"/>
      <c r="I861" s="11"/>
      <c r="J861" s="71"/>
      <c r="K861" s="11"/>
      <c r="L861" s="71"/>
      <c r="M861" s="11"/>
      <c r="N861" s="12"/>
      <c r="O861" s="12"/>
      <c r="P861" s="57"/>
      <c r="Q861" s="50"/>
      <c r="R861" s="50"/>
      <c r="S861" s="58"/>
      <c r="T861" s="58"/>
      <c r="U861" s="58"/>
      <c r="V861" s="59"/>
      <c r="W861" s="60"/>
    </row>
    <row r="862" spans="1:23" ht="29" customHeight="1" x14ac:dyDescent="0.35">
      <c r="A862" s="61"/>
      <c r="B862" s="55"/>
      <c r="C862" s="70"/>
      <c r="D862" s="12"/>
      <c r="E862" s="128"/>
      <c r="F862" s="12"/>
      <c r="G862" s="71"/>
      <c r="H862" s="71"/>
      <c r="I862" s="11"/>
      <c r="J862" s="71"/>
      <c r="K862" s="11"/>
      <c r="L862" s="71"/>
      <c r="M862" s="11"/>
      <c r="N862" s="12"/>
      <c r="O862" s="12"/>
      <c r="P862" s="57"/>
      <c r="Q862" s="50"/>
      <c r="R862" s="50"/>
      <c r="S862" s="58"/>
      <c r="T862" s="58"/>
      <c r="U862" s="58"/>
      <c r="V862" s="59"/>
      <c r="W862" s="60"/>
    </row>
    <row r="863" spans="1:23" ht="29" customHeight="1" x14ac:dyDescent="0.35">
      <c r="A863" s="61"/>
      <c r="B863" s="55"/>
      <c r="C863" s="70"/>
      <c r="D863" s="12"/>
      <c r="E863" s="128"/>
      <c r="F863" s="12"/>
      <c r="G863" s="71"/>
      <c r="H863" s="71"/>
      <c r="I863" s="11"/>
      <c r="J863" s="71"/>
      <c r="K863" s="11"/>
      <c r="L863" s="71"/>
      <c r="M863" s="11"/>
      <c r="N863" s="12"/>
      <c r="O863" s="12"/>
      <c r="P863" s="57"/>
      <c r="Q863" s="50"/>
      <c r="R863" s="50"/>
      <c r="S863" s="58"/>
      <c r="T863" s="58"/>
      <c r="U863" s="58"/>
      <c r="V863" s="59"/>
      <c r="W863" s="60"/>
    </row>
    <row r="864" spans="1:23" ht="29" customHeight="1" x14ac:dyDescent="0.35">
      <c r="A864" s="61"/>
      <c r="B864" s="55"/>
      <c r="C864" s="70"/>
      <c r="D864" s="12"/>
      <c r="E864" s="128"/>
      <c r="F864" s="12"/>
      <c r="G864" s="71"/>
      <c r="H864" s="71"/>
      <c r="I864" s="11"/>
      <c r="J864" s="71"/>
      <c r="K864" s="11"/>
      <c r="L864" s="71"/>
      <c r="M864" s="11"/>
      <c r="N864" s="12"/>
      <c r="O864" s="12"/>
      <c r="P864" s="57"/>
      <c r="Q864" s="50"/>
      <c r="R864" s="50"/>
      <c r="S864" s="58"/>
      <c r="T864" s="58"/>
      <c r="U864" s="58"/>
      <c r="V864" s="59"/>
      <c r="W864" s="60"/>
    </row>
    <row r="865" spans="1:23" ht="29" customHeight="1" x14ac:dyDescent="0.35">
      <c r="A865" s="61"/>
      <c r="B865" s="55"/>
      <c r="C865" s="70"/>
      <c r="D865" s="12"/>
      <c r="E865" s="128"/>
      <c r="F865" s="12"/>
      <c r="G865" s="71"/>
      <c r="H865" s="71"/>
      <c r="I865" s="11"/>
      <c r="J865" s="71"/>
      <c r="K865" s="11"/>
      <c r="L865" s="71"/>
      <c r="M865" s="11"/>
      <c r="N865" s="12"/>
      <c r="O865" s="12"/>
      <c r="P865" s="57"/>
      <c r="Q865" s="50"/>
      <c r="R865" s="50"/>
      <c r="S865" s="58"/>
      <c r="T865" s="58"/>
      <c r="U865" s="58"/>
      <c r="V865" s="59"/>
      <c r="W865" s="60"/>
    </row>
    <row r="866" spans="1:23" ht="29" customHeight="1" x14ac:dyDescent="0.35">
      <c r="A866" s="61"/>
      <c r="B866" s="55"/>
      <c r="C866" s="70"/>
      <c r="D866" s="12"/>
      <c r="E866" s="128"/>
      <c r="F866" s="12"/>
      <c r="G866" s="71"/>
      <c r="H866" s="71"/>
      <c r="I866" s="11"/>
      <c r="J866" s="71"/>
      <c r="K866" s="11"/>
      <c r="L866" s="71"/>
      <c r="M866" s="11"/>
      <c r="N866" s="12"/>
      <c r="O866" s="12"/>
      <c r="P866" s="57"/>
      <c r="Q866" s="50"/>
      <c r="R866" s="50"/>
      <c r="S866" s="58"/>
      <c r="T866" s="58"/>
      <c r="U866" s="58"/>
      <c r="V866" s="59"/>
      <c r="W866" s="60"/>
    </row>
    <row r="867" spans="1:23" ht="29" customHeight="1" x14ac:dyDescent="0.35">
      <c r="A867" s="61"/>
      <c r="B867" s="55"/>
      <c r="C867" s="70"/>
      <c r="D867" s="12"/>
      <c r="E867" s="128"/>
      <c r="F867" s="12"/>
      <c r="G867" s="71"/>
      <c r="H867" s="71"/>
      <c r="I867" s="11"/>
      <c r="J867" s="71"/>
      <c r="K867" s="11"/>
      <c r="L867" s="71"/>
      <c r="M867" s="11"/>
      <c r="N867" s="12"/>
      <c r="O867" s="12"/>
      <c r="P867" s="57"/>
      <c r="Q867" s="50"/>
      <c r="R867" s="50"/>
      <c r="S867" s="58"/>
      <c r="T867" s="58"/>
      <c r="U867" s="58"/>
      <c r="V867" s="59"/>
      <c r="W867" s="60"/>
    </row>
    <row r="868" spans="1:23" ht="29" customHeight="1" x14ac:dyDescent="0.35">
      <c r="A868" s="61"/>
      <c r="B868" s="55"/>
      <c r="C868" s="70"/>
      <c r="D868" s="12"/>
      <c r="E868" s="128"/>
      <c r="F868" s="12"/>
      <c r="G868" s="71"/>
      <c r="H868" s="71"/>
      <c r="I868" s="11"/>
      <c r="J868" s="71"/>
      <c r="K868" s="11"/>
      <c r="L868" s="71"/>
      <c r="M868" s="11"/>
      <c r="N868" s="12"/>
      <c r="O868" s="12"/>
      <c r="P868" s="57"/>
      <c r="Q868" s="50"/>
      <c r="R868" s="50"/>
      <c r="S868" s="58"/>
      <c r="T868" s="58"/>
      <c r="U868" s="58"/>
      <c r="V868" s="59"/>
      <c r="W868" s="60"/>
    </row>
    <row r="869" spans="1:23" ht="29" customHeight="1" x14ac:dyDescent="0.35">
      <c r="A869" s="61"/>
      <c r="B869" s="55"/>
      <c r="C869" s="70"/>
      <c r="D869" s="12"/>
      <c r="E869" s="128"/>
      <c r="F869" s="12"/>
      <c r="G869" s="71"/>
      <c r="H869" s="71"/>
      <c r="I869" s="11"/>
      <c r="J869" s="71"/>
      <c r="K869" s="11"/>
      <c r="L869" s="71"/>
      <c r="M869" s="11"/>
      <c r="N869" s="12"/>
      <c r="O869" s="12"/>
      <c r="P869" s="57"/>
      <c r="Q869" s="50"/>
      <c r="R869" s="50"/>
      <c r="S869" s="58"/>
      <c r="T869" s="58"/>
      <c r="U869" s="58"/>
      <c r="V869" s="59"/>
      <c r="W869" s="60"/>
    </row>
    <row r="870" spans="1:23" ht="29" customHeight="1" x14ac:dyDescent="0.35">
      <c r="A870" s="61"/>
      <c r="B870" s="55"/>
      <c r="C870" s="70"/>
      <c r="D870" s="12"/>
      <c r="E870" s="128"/>
      <c r="F870" s="12"/>
      <c r="G870" s="71"/>
      <c r="H870" s="71"/>
      <c r="I870" s="11"/>
      <c r="J870" s="71"/>
      <c r="K870" s="11"/>
      <c r="L870" s="71"/>
      <c r="M870" s="11"/>
      <c r="N870" s="12"/>
      <c r="O870" s="12"/>
      <c r="P870" s="57"/>
      <c r="Q870" s="50"/>
      <c r="R870" s="50"/>
      <c r="S870" s="58"/>
      <c r="T870" s="58"/>
      <c r="U870" s="58"/>
      <c r="V870" s="59"/>
      <c r="W870" s="60"/>
    </row>
    <row r="871" spans="1:23" ht="29" customHeight="1" x14ac:dyDescent="0.35">
      <c r="A871" s="61"/>
      <c r="B871" s="55"/>
      <c r="C871" s="70"/>
      <c r="D871" s="12"/>
      <c r="E871" s="128"/>
      <c r="F871" s="12"/>
      <c r="G871" s="71"/>
      <c r="H871" s="71"/>
      <c r="I871" s="11"/>
      <c r="J871" s="71"/>
      <c r="K871" s="11"/>
      <c r="L871" s="71"/>
      <c r="M871" s="11"/>
      <c r="N871" s="12"/>
      <c r="O871" s="12"/>
      <c r="P871" s="57"/>
      <c r="Q871" s="50"/>
      <c r="R871" s="50"/>
      <c r="S871" s="58"/>
      <c r="T871" s="58"/>
      <c r="U871" s="58"/>
      <c r="V871" s="59"/>
      <c r="W871" s="60"/>
    </row>
    <row r="872" spans="1:23" ht="29" customHeight="1" x14ac:dyDescent="0.35">
      <c r="A872" s="61"/>
      <c r="B872" s="55"/>
      <c r="C872" s="70"/>
      <c r="D872" s="12"/>
      <c r="E872" s="128"/>
      <c r="F872" s="12"/>
      <c r="G872" s="71"/>
      <c r="H872" s="71"/>
      <c r="I872" s="11"/>
      <c r="J872" s="71"/>
      <c r="K872" s="11"/>
      <c r="L872" s="71"/>
      <c r="M872" s="11"/>
      <c r="N872" s="12"/>
      <c r="O872" s="12"/>
      <c r="P872" s="57"/>
      <c r="Q872" s="50"/>
      <c r="R872" s="50"/>
      <c r="S872" s="58"/>
      <c r="T872" s="58"/>
      <c r="U872" s="58"/>
      <c r="V872" s="59"/>
      <c r="W872" s="60"/>
    </row>
    <row r="873" spans="1:23" ht="29" customHeight="1" x14ac:dyDescent="0.35">
      <c r="A873" s="61"/>
      <c r="B873" s="55"/>
      <c r="C873" s="70"/>
      <c r="D873" s="12"/>
      <c r="E873" s="128"/>
      <c r="F873" s="12"/>
      <c r="G873" s="71"/>
      <c r="H873" s="71"/>
      <c r="I873" s="11"/>
      <c r="J873" s="71"/>
      <c r="K873" s="11"/>
      <c r="L873" s="71"/>
      <c r="M873" s="11"/>
      <c r="N873" s="12"/>
      <c r="O873" s="12"/>
      <c r="P873" s="57"/>
      <c r="Q873" s="50"/>
      <c r="R873" s="50"/>
      <c r="S873" s="58"/>
      <c r="T873" s="58"/>
      <c r="U873" s="58"/>
      <c r="V873" s="59"/>
      <c r="W873" s="60"/>
    </row>
    <row r="874" spans="1:23" ht="29" customHeight="1" x14ac:dyDescent="0.35">
      <c r="A874" s="61"/>
      <c r="B874" s="55"/>
      <c r="C874" s="70"/>
      <c r="D874" s="12"/>
      <c r="E874" s="128"/>
      <c r="F874" s="12"/>
      <c r="G874" s="71"/>
      <c r="H874" s="71"/>
      <c r="I874" s="11"/>
      <c r="J874" s="71"/>
      <c r="K874" s="11"/>
      <c r="L874" s="71"/>
      <c r="M874" s="11"/>
      <c r="N874" s="12"/>
      <c r="O874" s="12"/>
      <c r="P874" s="57"/>
      <c r="Q874" s="50"/>
      <c r="R874" s="50"/>
      <c r="S874" s="58"/>
      <c r="T874" s="58"/>
      <c r="U874" s="58"/>
      <c r="V874" s="59"/>
      <c r="W874" s="60"/>
    </row>
    <row r="875" spans="1:23" ht="29" customHeight="1" x14ac:dyDescent="0.35">
      <c r="A875" s="61"/>
      <c r="B875" s="55"/>
      <c r="C875" s="70"/>
      <c r="D875" s="12"/>
      <c r="E875" s="128"/>
      <c r="F875" s="12"/>
      <c r="G875" s="71"/>
      <c r="H875" s="71"/>
      <c r="I875" s="11"/>
      <c r="J875" s="71"/>
      <c r="K875" s="11"/>
      <c r="L875" s="71"/>
      <c r="M875" s="11"/>
      <c r="N875" s="12"/>
      <c r="O875" s="12"/>
      <c r="P875" s="57"/>
      <c r="Q875" s="50"/>
      <c r="R875" s="50"/>
      <c r="S875" s="58"/>
      <c r="T875" s="58"/>
      <c r="U875" s="58"/>
      <c r="V875" s="59"/>
      <c r="W875" s="60"/>
    </row>
    <row r="876" spans="1:23" ht="29" customHeight="1" x14ac:dyDescent="0.35">
      <c r="A876" s="61"/>
      <c r="B876" s="55"/>
      <c r="C876" s="70"/>
      <c r="D876" s="12"/>
      <c r="E876" s="128"/>
      <c r="F876" s="12"/>
      <c r="G876" s="71"/>
      <c r="H876" s="71"/>
      <c r="I876" s="11"/>
      <c r="J876" s="71"/>
      <c r="K876" s="11"/>
      <c r="L876" s="71"/>
      <c r="M876" s="11"/>
      <c r="N876" s="12"/>
      <c r="O876" s="12"/>
      <c r="P876" s="57"/>
      <c r="Q876" s="50"/>
      <c r="R876" s="50"/>
      <c r="S876" s="58"/>
      <c r="T876" s="58"/>
      <c r="U876" s="58"/>
      <c r="V876" s="59"/>
      <c r="W876" s="60"/>
    </row>
    <row r="877" spans="1:23" ht="29" customHeight="1" x14ac:dyDescent="0.35">
      <c r="A877" s="61"/>
      <c r="B877" s="55"/>
      <c r="C877" s="70"/>
      <c r="D877" s="12"/>
      <c r="E877" s="128"/>
      <c r="F877" s="12"/>
      <c r="G877" s="71"/>
      <c r="H877" s="71"/>
      <c r="I877" s="11"/>
      <c r="J877" s="71"/>
      <c r="K877" s="11"/>
      <c r="L877" s="71"/>
      <c r="M877" s="11"/>
      <c r="N877" s="12"/>
      <c r="O877" s="12"/>
      <c r="P877" s="57"/>
      <c r="Q877" s="50"/>
      <c r="R877" s="50"/>
      <c r="S877" s="58"/>
      <c r="T877" s="58"/>
      <c r="U877" s="58"/>
      <c r="V877" s="59"/>
      <c r="W877" s="60"/>
    </row>
    <row r="878" spans="1:23" ht="29" customHeight="1" x14ac:dyDescent="0.35">
      <c r="A878" s="61"/>
      <c r="B878" s="55"/>
      <c r="C878" s="70"/>
      <c r="D878" s="12"/>
      <c r="E878" s="128"/>
      <c r="F878" s="12"/>
      <c r="G878" s="71"/>
      <c r="H878" s="71"/>
      <c r="I878" s="11"/>
      <c r="J878" s="71"/>
      <c r="K878" s="11"/>
      <c r="L878" s="71"/>
      <c r="M878" s="11"/>
      <c r="N878" s="12"/>
      <c r="O878" s="12"/>
      <c r="P878" s="57"/>
      <c r="Q878" s="50"/>
      <c r="R878" s="50"/>
      <c r="S878" s="58"/>
      <c r="T878" s="58"/>
      <c r="U878" s="58"/>
      <c r="V878" s="59"/>
      <c r="W878" s="60"/>
    </row>
    <row r="879" spans="1:23" ht="29" customHeight="1" x14ac:dyDescent="0.35">
      <c r="A879" s="61"/>
      <c r="B879" s="55"/>
      <c r="C879" s="70"/>
      <c r="D879" s="12"/>
      <c r="E879" s="128"/>
      <c r="F879" s="12"/>
      <c r="G879" s="71"/>
      <c r="H879" s="71"/>
      <c r="I879" s="11"/>
      <c r="J879" s="71"/>
      <c r="K879" s="11"/>
      <c r="L879" s="71"/>
      <c r="M879" s="11"/>
      <c r="N879" s="12"/>
      <c r="O879" s="12"/>
      <c r="P879" s="57"/>
      <c r="Q879" s="50"/>
      <c r="R879" s="50"/>
      <c r="S879" s="58"/>
      <c r="T879" s="58"/>
      <c r="U879" s="58"/>
      <c r="V879" s="59"/>
      <c r="W879" s="60"/>
    </row>
    <row r="880" spans="1:23" ht="29" customHeight="1" x14ac:dyDescent="0.35">
      <c r="A880" s="61"/>
      <c r="B880" s="55"/>
      <c r="C880" s="70"/>
      <c r="D880" s="12"/>
      <c r="E880" s="128"/>
      <c r="F880" s="12"/>
      <c r="G880" s="71"/>
      <c r="H880" s="71"/>
      <c r="I880" s="11"/>
      <c r="J880" s="71"/>
      <c r="K880" s="11"/>
      <c r="L880" s="71"/>
      <c r="M880" s="11"/>
      <c r="N880" s="12"/>
      <c r="O880" s="12"/>
      <c r="P880" s="57"/>
      <c r="Q880" s="50"/>
      <c r="R880" s="50"/>
      <c r="S880" s="58"/>
      <c r="T880" s="58"/>
      <c r="U880" s="58"/>
      <c r="V880" s="59"/>
      <c r="W880" s="60"/>
    </row>
    <row r="881" spans="1:23" ht="29" customHeight="1" x14ac:dyDescent="0.35">
      <c r="A881" s="61"/>
      <c r="B881" s="55"/>
      <c r="C881" s="70"/>
      <c r="D881" s="12"/>
      <c r="E881" s="128"/>
      <c r="F881" s="12"/>
      <c r="G881" s="71"/>
      <c r="H881" s="71"/>
      <c r="I881" s="11"/>
      <c r="J881" s="71"/>
      <c r="K881" s="11"/>
      <c r="L881" s="71"/>
      <c r="M881" s="11"/>
      <c r="N881" s="12"/>
      <c r="O881" s="12"/>
      <c r="P881" s="57"/>
      <c r="Q881" s="50"/>
      <c r="R881" s="50"/>
      <c r="S881" s="58"/>
      <c r="T881" s="58"/>
      <c r="U881" s="58"/>
      <c r="V881" s="59"/>
      <c r="W881" s="60"/>
    </row>
    <row r="882" spans="1:23" ht="29" customHeight="1" x14ac:dyDescent="0.35">
      <c r="A882" s="61"/>
      <c r="B882" s="55"/>
      <c r="C882" s="70"/>
      <c r="D882" s="12"/>
      <c r="E882" s="128"/>
      <c r="F882" s="12"/>
      <c r="G882" s="71"/>
      <c r="H882" s="71"/>
      <c r="I882" s="11"/>
      <c r="J882" s="71"/>
      <c r="K882" s="11"/>
      <c r="L882" s="71"/>
      <c r="M882" s="11"/>
      <c r="N882" s="12"/>
      <c r="O882" s="12"/>
      <c r="P882" s="57"/>
      <c r="Q882" s="50"/>
      <c r="R882" s="50"/>
      <c r="S882" s="58"/>
      <c r="T882" s="58"/>
      <c r="U882" s="58"/>
      <c r="V882" s="59"/>
      <c r="W882" s="60"/>
    </row>
    <row r="883" spans="1:23" ht="29" customHeight="1" x14ac:dyDescent="0.35">
      <c r="A883" s="61"/>
      <c r="B883" s="55"/>
      <c r="C883" s="70"/>
      <c r="D883" s="12"/>
      <c r="E883" s="128"/>
      <c r="F883" s="12"/>
      <c r="G883" s="71"/>
      <c r="H883" s="71"/>
      <c r="I883" s="11"/>
      <c r="J883" s="71"/>
      <c r="K883" s="11"/>
      <c r="L883" s="71"/>
      <c r="M883" s="11"/>
      <c r="N883" s="12"/>
      <c r="O883" s="12"/>
      <c r="P883" s="57"/>
      <c r="Q883" s="50"/>
      <c r="R883" s="50"/>
      <c r="S883" s="58"/>
      <c r="T883" s="58"/>
      <c r="U883" s="58"/>
      <c r="V883" s="59"/>
      <c r="W883" s="60"/>
    </row>
    <row r="884" spans="1:23" ht="29" customHeight="1" x14ac:dyDescent="0.35">
      <c r="A884" s="61"/>
      <c r="B884" s="55"/>
      <c r="C884" s="70"/>
      <c r="D884" s="12"/>
      <c r="E884" s="128"/>
      <c r="F884" s="12"/>
      <c r="G884" s="71"/>
      <c r="H884" s="71"/>
      <c r="I884" s="11"/>
      <c r="J884" s="71"/>
      <c r="K884" s="11"/>
      <c r="L884" s="71"/>
      <c r="M884" s="11"/>
      <c r="N884" s="12"/>
      <c r="O884" s="12"/>
      <c r="P884" s="57"/>
      <c r="Q884" s="50"/>
      <c r="R884" s="50"/>
      <c r="S884" s="58"/>
      <c r="T884" s="58"/>
      <c r="U884" s="58"/>
      <c r="V884" s="59"/>
      <c r="W884" s="60"/>
    </row>
    <row r="885" spans="1:23" ht="29" customHeight="1" x14ac:dyDescent="0.35">
      <c r="A885" s="61"/>
      <c r="B885" s="55"/>
      <c r="C885" s="70"/>
      <c r="D885" s="12"/>
      <c r="E885" s="128"/>
      <c r="F885" s="12"/>
      <c r="G885" s="71"/>
      <c r="H885" s="71"/>
      <c r="I885" s="11"/>
      <c r="J885" s="71"/>
      <c r="K885" s="11"/>
      <c r="L885" s="71"/>
      <c r="M885" s="11"/>
      <c r="N885" s="12"/>
      <c r="O885" s="12"/>
      <c r="P885" s="57"/>
      <c r="Q885" s="50"/>
      <c r="R885" s="50"/>
      <c r="S885" s="58"/>
      <c r="T885" s="58"/>
      <c r="U885" s="58"/>
      <c r="V885" s="59"/>
      <c r="W885" s="60"/>
    </row>
    <row r="886" spans="1:23" ht="29" customHeight="1" x14ac:dyDescent="0.35">
      <c r="A886" s="61"/>
      <c r="B886" s="55"/>
      <c r="C886" s="70"/>
      <c r="D886" s="12"/>
      <c r="E886" s="128"/>
      <c r="F886" s="12"/>
      <c r="G886" s="71"/>
      <c r="H886" s="71"/>
      <c r="I886" s="11"/>
      <c r="J886" s="71"/>
      <c r="K886" s="11"/>
      <c r="L886" s="71"/>
      <c r="M886" s="11"/>
      <c r="N886" s="12"/>
      <c r="O886" s="12"/>
      <c r="P886" s="57"/>
      <c r="Q886" s="50"/>
      <c r="R886" s="50"/>
      <c r="S886" s="58"/>
      <c r="T886" s="58"/>
      <c r="U886" s="58"/>
      <c r="V886" s="59"/>
      <c r="W886" s="60"/>
    </row>
    <row r="887" spans="1:23" ht="29" customHeight="1" x14ac:dyDescent="0.35">
      <c r="A887" s="61"/>
      <c r="B887" s="55"/>
      <c r="C887" s="70"/>
      <c r="D887" s="12"/>
      <c r="E887" s="128"/>
      <c r="F887" s="12"/>
      <c r="G887" s="71"/>
      <c r="H887" s="71"/>
      <c r="I887" s="11"/>
      <c r="J887" s="71"/>
      <c r="K887" s="11"/>
      <c r="L887" s="71"/>
      <c r="M887" s="11"/>
      <c r="N887" s="12"/>
      <c r="O887" s="12"/>
      <c r="P887" s="57"/>
      <c r="Q887" s="50"/>
      <c r="R887" s="50"/>
      <c r="S887" s="58"/>
      <c r="T887" s="58"/>
      <c r="U887" s="58"/>
      <c r="V887" s="59"/>
      <c r="W887" s="60"/>
    </row>
    <row r="888" spans="1:23" ht="29" customHeight="1" x14ac:dyDescent="0.35">
      <c r="A888" s="61"/>
      <c r="B888" s="55"/>
      <c r="C888" s="70"/>
      <c r="D888" s="12"/>
      <c r="E888" s="128"/>
      <c r="F888" s="12"/>
      <c r="G888" s="71"/>
      <c r="H888" s="71"/>
      <c r="I888" s="11"/>
      <c r="J888" s="71"/>
      <c r="K888" s="11"/>
      <c r="L888" s="71"/>
      <c r="M888" s="11"/>
      <c r="N888" s="12"/>
      <c r="O888" s="12"/>
      <c r="P888" s="57"/>
      <c r="Q888" s="50"/>
      <c r="R888" s="50"/>
      <c r="S888" s="58"/>
      <c r="T888" s="58"/>
      <c r="U888" s="58"/>
      <c r="V888" s="59"/>
      <c r="W888" s="60"/>
    </row>
    <row r="889" spans="1:23" ht="29" customHeight="1" x14ac:dyDescent="0.35">
      <c r="A889" s="61"/>
      <c r="B889" s="55"/>
      <c r="C889" s="70"/>
      <c r="D889" s="12"/>
      <c r="E889" s="128"/>
      <c r="F889" s="12"/>
      <c r="G889" s="71"/>
      <c r="H889" s="71"/>
      <c r="I889" s="11"/>
      <c r="J889" s="71"/>
      <c r="K889" s="11"/>
      <c r="L889" s="71"/>
      <c r="M889" s="11"/>
      <c r="N889" s="12"/>
      <c r="O889" s="12"/>
      <c r="P889" s="57"/>
      <c r="Q889" s="50"/>
      <c r="R889" s="50"/>
      <c r="S889" s="58"/>
      <c r="T889" s="58"/>
      <c r="U889" s="58"/>
      <c r="V889" s="59"/>
      <c r="W889" s="60"/>
    </row>
    <row r="890" spans="1:23" ht="29" customHeight="1" x14ac:dyDescent="0.35">
      <c r="A890" s="61"/>
      <c r="B890" s="55"/>
      <c r="C890" s="70"/>
      <c r="D890" s="12"/>
      <c r="E890" s="128"/>
      <c r="F890" s="12"/>
      <c r="G890" s="71"/>
      <c r="H890" s="71"/>
      <c r="I890" s="11"/>
      <c r="J890" s="71"/>
      <c r="K890" s="11"/>
      <c r="L890" s="71"/>
      <c r="M890" s="11"/>
      <c r="N890" s="12"/>
      <c r="O890" s="12"/>
      <c r="P890" s="57"/>
      <c r="Q890" s="50"/>
      <c r="R890" s="50"/>
      <c r="S890" s="58"/>
      <c r="T890" s="58"/>
      <c r="U890" s="58"/>
      <c r="V890" s="59"/>
      <c r="W890" s="60"/>
    </row>
    <row r="891" spans="1:23" ht="29" customHeight="1" x14ac:dyDescent="0.35">
      <c r="A891" s="61"/>
      <c r="B891" s="55"/>
      <c r="C891" s="70"/>
      <c r="D891" s="12"/>
      <c r="E891" s="128"/>
      <c r="F891" s="12"/>
      <c r="G891" s="71"/>
      <c r="H891" s="71"/>
      <c r="I891" s="11"/>
      <c r="J891" s="71"/>
      <c r="K891" s="11"/>
      <c r="L891" s="71"/>
      <c r="M891" s="11"/>
      <c r="N891" s="12"/>
      <c r="O891" s="12"/>
      <c r="P891" s="57"/>
      <c r="Q891" s="50"/>
      <c r="R891" s="50"/>
      <c r="S891" s="58"/>
      <c r="T891" s="58"/>
      <c r="U891" s="58"/>
      <c r="V891" s="59"/>
      <c r="W891" s="60"/>
    </row>
    <row r="892" spans="1:23" ht="29" customHeight="1" x14ac:dyDescent="0.35">
      <c r="A892" s="61"/>
      <c r="B892" s="55"/>
      <c r="C892" s="70"/>
      <c r="D892" s="12"/>
      <c r="E892" s="128"/>
      <c r="F892" s="12"/>
      <c r="G892" s="71"/>
      <c r="H892" s="71"/>
      <c r="I892" s="11"/>
      <c r="J892" s="71"/>
      <c r="K892" s="11"/>
      <c r="L892" s="71"/>
      <c r="M892" s="11"/>
      <c r="N892" s="12"/>
      <c r="O892" s="12"/>
      <c r="P892" s="57"/>
      <c r="Q892" s="50"/>
      <c r="R892" s="50"/>
      <c r="S892" s="58"/>
      <c r="T892" s="58"/>
      <c r="U892" s="58"/>
      <c r="V892" s="59"/>
      <c r="W892" s="60"/>
    </row>
    <row r="893" spans="1:23" ht="29" customHeight="1" x14ac:dyDescent="0.35">
      <c r="A893" s="61"/>
      <c r="B893" s="55"/>
      <c r="C893" s="70"/>
      <c r="D893" s="12"/>
      <c r="E893" s="128"/>
      <c r="F893" s="12"/>
      <c r="G893" s="71"/>
      <c r="H893" s="71"/>
      <c r="I893" s="11"/>
      <c r="J893" s="71"/>
      <c r="K893" s="11"/>
      <c r="L893" s="71"/>
      <c r="M893" s="11"/>
      <c r="N893" s="12"/>
      <c r="O893" s="12"/>
      <c r="P893" s="57"/>
      <c r="Q893" s="50"/>
      <c r="R893" s="50"/>
      <c r="S893" s="58"/>
      <c r="T893" s="58"/>
      <c r="U893" s="58"/>
      <c r="V893" s="59"/>
      <c r="W893" s="60"/>
    </row>
    <row r="894" spans="1:23" ht="29" customHeight="1" x14ac:dyDescent="0.35">
      <c r="A894" s="61"/>
      <c r="B894" s="55"/>
      <c r="C894" s="70"/>
      <c r="D894" s="12"/>
      <c r="E894" s="128"/>
      <c r="F894" s="12"/>
      <c r="G894" s="71"/>
      <c r="H894" s="71"/>
      <c r="I894" s="11"/>
      <c r="J894" s="71"/>
      <c r="K894" s="11"/>
      <c r="L894" s="71"/>
      <c r="M894" s="11"/>
      <c r="N894" s="12"/>
      <c r="O894" s="12"/>
      <c r="P894" s="57"/>
      <c r="Q894" s="50"/>
      <c r="R894" s="50"/>
      <c r="S894" s="58"/>
      <c r="T894" s="58"/>
      <c r="U894" s="58"/>
      <c r="V894" s="59"/>
      <c r="W894" s="60"/>
    </row>
    <row r="895" spans="1:23" ht="29" customHeight="1" x14ac:dyDescent="0.35">
      <c r="A895" s="61"/>
      <c r="B895" s="55"/>
      <c r="C895" s="70"/>
      <c r="D895" s="12"/>
      <c r="E895" s="128"/>
      <c r="F895" s="12"/>
      <c r="G895" s="71"/>
      <c r="H895" s="71"/>
      <c r="I895" s="11"/>
      <c r="J895" s="71"/>
      <c r="K895" s="11"/>
      <c r="L895" s="71"/>
      <c r="M895" s="11"/>
      <c r="N895" s="12"/>
      <c r="O895" s="12"/>
      <c r="P895" s="57"/>
      <c r="Q895" s="50"/>
      <c r="R895" s="50"/>
      <c r="S895" s="58"/>
      <c r="T895" s="58"/>
      <c r="U895" s="58"/>
      <c r="V895" s="59"/>
      <c r="W895" s="60"/>
    </row>
    <row r="896" spans="1:23" ht="29" customHeight="1" x14ac:dyDescent="0.35">
      <c r="A896" s="61"/>
      <c r="B896" s="55"/>
      <c r="C896" s="70"/>
      <c r="D896" s="12"/>
      <c r="E896" s="128"/>
      <c r="F896" s="12"/>
      <c r="G896" s="71"/>
      <c r="H896" s="71"/>
      <c r="I896" s="11"/>
      <c r="J896" s="71"/>
      <c r="K896" s="11"/>
      <c r="L896" s="71"/>
      <c r="M896" s="11"/>
      <c r="N896" s="12"/>
      <c r="O896" s="12"/>
      <c r="P896" s="57"/>
      <c r="Q896" s="50"/>
      <c r="R896" s="50"/>
      <c r="S896" s="58"/>
      <c r="T896" s="58"/>
      <c r="U896" s="58"/>
      <c r="V896" s="59"/>
      <c r="W896" s="60"/>
    </row>
    <row r="897" spans="1:23" ht="29" customHeight="1" x14ac:dyDescent="0.35">
      <c r="A897" s="61"/>
      <c r="B897" s="55"/>
      <c r="C897" s="70"/>
      <c r="D897" s="12"/>
      <c r="E897" s="128"/>
      <c r="F897" s="12"/>
      <c r="G897" s="71"/>
      <c r="H897" s="71"/>
      <c r="I897" s="11"/>
      <c r="J897" s="71"/>
      <c r="K897" s="11"/>
      <c r="L897" s="71"/>
      <c r="M897" s="11"/>
      <c r="N897" s="12"/>
      <c r="O897" s="12"/>
      <c r="P897" s="57"/>
      <c r="Q897" s="50"/>
      <c r="R897" s="50"/>
      <c r="S897" s="58"/>
      <c r="T897" s="58"/>
      <c r="U897" s="58"/>
      <c r="V897" s="59"/>
      <c r="W897" s="60"/>
    </row>
    <row r="898" spans="1:23" ht="29" customHeight="1" x14ac:dyDescent="0.35">
      <c r="A898" s="61"/>
      <c r="B898" s="55"/>
      <c r="C898" s="70"/>
      <c r="D898" s="12"/>
      <c r="E898" s="128"/>
      <c r="F898" s="12"/>
      <c r="G898" s="71"/>
      <c r="H898" s="71"/>
      <c r="I898" s="11"/>
      <c r="J898" s="71"/>
      <c r="K898" s="11"/>
      <c r="L898" s="71"/>
      <c r="M898" s="11"/>
      <c r="N898" s="12"/>
      <c r="O898" s="12"/>
      <c r="P898" s="57"/>
      <c r="Q898" s="50"/>
      <c r="R898" s="50"/>
      <c r="S898" s="58"/>
      <c r="T898" s="58"/>
      <c r="U898" s="58"/>
      <c r="V898" s="59"/>
      <c r="W898" s="60"/>
    </row>
    <row r="899" spans="1:23" ht="29" customHeight="1" x14ac:dyDescent="0.35">
      <c r="A899" s="61"/>
      <c r="B899" s="55"/>
      <c r="C899" s="70"/>
      <c r="D899" s="12"/>
      <c r="E899" s="128"/>
      <c r="F899" s="12"/>
      <c r="G899" s="71"/>
      <c r="H899" s="71"/>
      <c r="I899" s="11"/>
      <c r="J899" s="71"/>
      <c r="K899" s="11"/>
      <c r="L899" s="71"/>
      <c r="M899" s="11"/>
      <c r="N899" s="12"/>
      <c r="O899" s="12"/>
      <c r="P899" s="57"/>
      <c r="Q899" s="50"/>
      <c r="R899" s="50"/>
      <c r="S899" s="58"/>
      <c r="T899" s="58"/>
      <c r="U899" s="58"/>
      <c r="V899" s="59"/>
      <c r="W899" s="60"/>
    </row>
    <row r="900" spans="1:23" ht="29" customHeight="1" x14ac:dyDescent="0.35">
      <c r="A900" s="61"/>
      <c r="B900" s="55"/>
      <c r="C900" s="70"/>
      <c r="D900" s="12"/>
      <c r="E900" s="128"/>
      <c r="F900" s="12"/>
      <c r="G900" s="71"/>
      <c r="H900" s="71"/>
      <c r="I900" s="11"/>
      <c r="J900" s="71"/>
      <c r="K900" s="11"/>
      <c r="L900" s="71"/>
      <c r="M900" s="11"/>
      <c r="N900" s="12"/>
      <c r="O900" s="12"/>
      <c r="P900" s="57"/>
      <c r="Q900" s="50"/>
      <c r="R900" s="50"/>
      <c r="S900" s="58"/>
      <c r="T900" s="58"/>
      <c r="U900" s="58"/>
      <c r="V900" s="59"/>
      <c r="W900" s="60"/>
    </row>
    <row r="901" spans="1:23" ht="29" customHeight="1" x14ac:dyDescent="0.35">
      <c r="A901" s="61"/>
      <c r="B901" s="55"/>
      <c r="C901" s="70"/>
      <c r="D901" s="12"/>
      <c r="E901" s="128"/>
      <c r="F901" s="12"/>
      <c r="G901" s="71"/>
      <c r="H901" s="71"/>
      <c r="I901" s="11"/>
      <c r="J901" s="71"/>
      <c r="K901" s="11"/>
      <c r="L901" s="71"/>
      <c r="M901" s="11"/>
      <c r="N901" s="12"/>
      <c r="O901" s="12"/>
      <c r="P901" s="57"/>
      <c r="Q901" s="50"/>
      <c r="R901" s="50"/>
      <c r="S901" s="58"/>
      <c r="T901" s="58"/>
      <c r="U901" s="58"/>
      <c r="V901" s="59"/>
      <c r="W901" s="60"/>
    </row>
    <row r="902" spans="1:23" ht="29" customHeight="1" x14ac:dyDescent="0.35">
      <c r="A902" s="61"/>
      <c r="B902" s="55"/>
      <c r="C902" s="70"/>
      <c r="D902" s="12"/>
      <c r="E902" s="128"/>
      <c r="F902" s="12"/>
      <c r="G902" s="71"/>
      <c r="H902" s="71"/>
      <c r="I902" s="11"/>
      <c r="J902" s="71"/>
      <c r="K902" s="11"/>
      <c r="L902" s="71"/>
      <c r="M902" s="11"/>
      <c r="N902" s="12"/>
      <c r="O902" s="12"/>
      <c r="P902" s="57"/>
      <c r="Q902" s="50"/>
      <c r="R902" s="50"/>
      <c r="S902" s="58"/>
      <c r="T902" s="58"/>
      <c r="U902" s="58"/>
      <c r="V902" s="59"/>
      <c r="W902" s="60"/>
    </row>
    <row r="903" spans="1:23" ht="29" customHeight="1" x14ac:dyDescent="0.35">
      <c r="A903" s="61"/>
      <c r="B903" s="55"/>
      <c r="C903" s="70"/>
      <c r="D903" s="12"/>
      <c r="E903" s="128"/>
      <c r="F903" s="12"/>
      <c r="G903" s="71"/>
      <c r="H903" s="71"/>
      <c r="I903" s="11"/>
      <c r="J903" s="71"/>
      <c r="K903" s="11"/>
      <c r="L903" s="71"/>
      <c r="M903" s="11"/>
      <c r="N903" s="12"/>
      <c r="O903" s="12"/>
      <c r="P903" s="57"/>
      <c r="Q903" s="50"/>
      <c r="R903" s="50"/>
      <c r="S903" s="58"/>
      <c r="T903" s="58"/>
      <c r="U903" s="58"/>
      <c r="V903" s="59"/>
      <c r="W903" s="60"/>
    </row>
    <row r="904" spans="1:23" ht="29" customHeight="1" x14ac:dyDescent="0.35">
      <c r="A904" s="61"/>
      <c r="B904" s="55"/>
      <c r="C904" s="70"/>
      <c r="D904" s="12"/>
      <c r="E904" s="128"/>
      <c r="F904" s="12"/>
      <c r="G904" s="71"/>
      <c r="H904" s="71"/>
      <c r="I904" s="11"/>
      <c r="J904" s="71"/>
      <c r="K904" s="11"/>
      <c r="L904" s="71"/>
      <c r="M904" s="11"/>
      <c r="N904" s="12"/>
      <c r="O904" s="12"/>
      <c r="P904" s="57"/>
      <c r="Q904" s="50"/>
      <c r="R904" s="50"/>
      <c r="S904" s="58"/>
      <c r="T904" s="58"/>
      <c r="U904" s="58"/>
      <c r="V904" s="59"/>
      <c r="W904" s="60"/>
    </row>
    <row r="905" spans="1:23" ht="29" customHeight="1" x14ac:dyDescent="0.35">
      <c r="A905" s="61"/>
      <c r="B905" s="55"/>
      <c r="C905" s="70"/>
      <c r="D905" s="12"/>
      <c r="E905" s="128"/>
      <c r="F905" s="12"/>
      <c r="G905" s="71"/>
      <c r="H905" s="71"/>
      <c r="I905" s="11"/>
      <c r="J905" s="71"/>
      <c r="K905" s="11"/>
      <c r="L905" s="71"/>
      <c r="M905" s="11"/>
      <c r="N905" s="12"/>
      <c r="O905" s="12"/>
      <c r="P905" s="57"/>
      <c r="Q905" s="50"/>
      <c r="R905" s="50"/>
      <c r="S905" s="58"/>
      <c r="T905" s="58"/>
      <c r="U905" s="58"/>
      <c r="V905" s="59"/>
      <c r="W905" s="60"/>
    </row>
    <row r="906" spans="1:23" ht="29" customHeight="1" x14ac:dyDescent="0.35">
      <c r="A906" s="61"/>
      <c r="B906" s="55"/>
      <c r="C906" s="70"/>
      <c r="D906" s="12"/>
      <c r="E906" s="128"/>
      <c r="F906" s="12"/>
      <c r="G906" s="71"/>
      <c r="H906" s="71"/>
      <c r="I906" s="11"/>
      <c r="J906" s="71"/>
      <c r="K906" s="11"/>
      <c r="L906" s="71"/>
      <c r="M906" s="11"/>
      <c r="N906" s="12"/>
      <c r="O906" s="12"/>
      <c r="P906" s="57"/>
      <c r="Q906" s="50"/>
      <c r="R906" s="50"/>
      <c r="S906" s="58"/>
      <c r="T906" s="58"/>
      <c r="U906" s="58"/>
      <c r="V906" s="59"/>
      <c r="W906" s="60"/>
    </row>
    <row r="907" spans="1:23" ht="29" customHeight="1" x14ac:dyDescent="0.35">
      <c r="A907" s="61"/>
      <c r="B907" s="55"/>
      <c r="C907" s="70"/>
      <c r="D907" s="12"/>
      <c r="E907" s="128"/>
      <c r="F907" s="12"/>
      <c r="G907" s="71"/>
      <c r="H907" s="71"/>
      <c r="I907" s="11"/>
      <c r="J907" s="71"/>
      <c r="K907" s="11"/>
      <c r="L907" s="71"/>
      <c r="M907" s="11"/>
      <c r="N907" s="12"/>
      <c r="O907" s="12"/>
      <c r="P907" s="57"/>
      <c r="Q907" s="50"/>
      <c r="R907" s="50"/>
      <c r="S907" s="58"/>
      <c r="T907" s="58"/>
      <c r="U907" s="58"/>
      <c r="V907" s="59"/>
      <c r="W907" s="60"/>
    </row>
    <row r="908" spans="1:23" ht="29" customHeight="1" x14ac:dyDescent="0.35">
      <c r="A908" s="61"/>
      <c r="B908" s="55"/>
      <c r="C908" s="70"/>
      <c r="D908" s="12"/>
      <c r="E908" s="128"/>
      <c r="F908" s="12"/>
      <c r="G908" s="71"/>
      <c r="H908" s="71"/>
      <c r="I908" s="11"/>
      <c r="J908" s="71"/>
      <c r="K908" s="11"/>
      <c r="L908" s="71"/>
      <c r="M908" s="11"/>
      <c r="N908" s="12"/>
      <c r="O908" s="12"/>
      <c r="P908" s="57"/>
      <c r="Q908" s="50"/>
      <c r="R908" s="50"/>
      <c r="S908" s="58"/>
      <c r="T908" s="58"/>
      <c r="U908" s="58"/>
      <c r="V908" s="59"/>
      <c r="W908" s="60"/>
    </row>
    <row r="909" spans="1:23" ht="29" customHeight="1" x14ac:dyDescent="0.35">
      <c r="A909" s="61"/>
      <c r="B909" s="55"/>
      <c r="C909" s="70"/>
      <c r="D909" s="12"/>
      <c r="E909" s="128"/>
      <c r="F909" s="12"/>
      <c r="G909" s="71"/>
      <c r="H909" s="71"/>
      <c r="I909" s="11"/>
      <c r="J909" s="71"/>
      <c r="K909" s="11"/>
      <c r="L909" s="71"/>
      <c r="M909" s="11"/>
      <c r="N909" s="12"/>
      <c r="O909" s="12"/>
      <c r="P909" s="57"/>
      <c r="Q909" s="50"/>
      <c r="R909" s="50"/>
      <c r="S909" s="58"/>
      <c r="T909" s="58"/>
      <c r="U909" s="58"/>
      <c r="V909" s="59"/>
      <c r="W909" s="60"/>
    </row>
    <row r="910" spans="1:23" ht="29" customHeight="1" x14ac:dyDescent="0.35">
      <c r="A910" s="61"/>
      <c r="B910" s="55"/>
      <c r="C910" s="70"/>
      <c r="D910" s="12"/>
      <c r="E910" s="128"/>
      <c r="F910" s="12"/>
      <c r="G910" s="71"/>
      <c r="H910" s="71"/>
      <c r="I910" s="11"/>
      <c r="J910" s="71"/>
      <c r="K910" s="11"/>
      <c r="L910" s="71"/>
      <c r="M910" s="11"/>
      <c r="N910" s="12"/>
      <c r="O910" s="12"/>
      <c r="P910" s="57"/>
      <c r="Q910" s="50"/>
      <c r="R910" s="50"/>
      <c r="S910" s="58"/>
      <c r="T910" s="58"/>
      <c r="U910" s="58"/>
      <c r="V910" s="59"/>
      <c r="W910" s="60"/>
    </row>
    <row r="911" spans="1:23" ht="29" customHeight="1" x14ac:dyDescent="0.35">
      <c r="A911" s="61"/>
      <c r="B911" s="55"/>
      <c r="C911" s="70"/>
      <c r="D911" s="12"/>
      <c r="E911" s="128"/>
      <c r="F911" s="12"/>
      <c r="G911" s="71"/>
      <c r="H911" s="71"/>
      <c r="I911" s="11"/>
      <c r="J911" s="71"/>
      <c r="K911" s="11"/>
      <c r="L911" s="71"/>
      <c r="M911" s="11"/>
      <c r="N911" s="12"/>
      <c r="O911" s="12"/>
      <c r="P911" s="57"/>
      <c r="Q911" s="50"/>
      <c r="R911" s="50"/>
      <c r="S911" s="58"/>
      <c r="T911" s="58"/>
      <c r="U911" s="58"/>
      <c r="V911" s="59"/>
      <c r="W911" s="60"/>
    </row>
    <row r="912" spans="1:23" ht="29" customHeight="1" x14ac:dyDescent="0.35">
      <c r="A912" s="61"/>
      <c r="B912" s="55"/>
      <c r="C912" s="70"/>
      <c r="D912" s="12"/>
      <c r="E912" s="128"/>
      <c r="F912" s="12"/>
      <c r="G912" s="71"/>
      <c r="H912" s="71"/>
      <c r="I912" s="11"/>
      <c r="J912" s="71"/>
      <c r="K912" s="11"/>
      <c r="L912" s="71"/>
      <c r="M912" s="11"/>
      <c r="N912" s="12"/>
      <c r="O912" s="12"/>
      <c r="P912" s="57"/>
      <c r="Q912" s="50"/>
      <c r="R912" s="50"/>
      <c r="S912" s="58"/>
      <c r="T912" s="58"/>
      <c r="U912" s="58"/>
      <c r="V912" s="59"/>
      <c r="W912" s="60"/>
    </row>
    <row r="913" spans="1:23" ht="29" customHeight="1" x14ac:dyDescent="0.35">
      <c r="A913" s="61"/>
      <c r="B913" s="55"/>
      <c r="C913" s="70"/>
      <c r="D913" s="12"/>
      <c r="E913" s="128"/>
      <c r="F913" s="12"/>
      <c r="G913" s="71"/>
      <c r="H913" s="71"/>
      <c r="I913" s="11"/>
      <c r="J913" s="71"/>
      <c r="K913" s="11"/>
      <c r="L913" s="71"/>
      <c r="M913" s="11"/>
      <c r="N913" s="12"/>
      <c r="O913" s="12"/>
      <c r="P913" s="57"/>
      <c r="Q913" s="50"/>
      <c r="R913" s="50"/>
      <c r="S913" s="58"/>
      <c r="T913" s="58"/>
      <c r="U913" s="58"/>
      <c r="V913" s="59"/>
      <c r="W913" s="60"/>
    </row>
    <row r="914" spans="1:23" ht="29" customHeight="1" x14ac:dyDescent="0.35">
      <c r="A914" s="61"/>
      <c r="B914" s="55"/>
      <c r="C914" s="70"/>
      <c r="D914" s="12"/>
      <c r="E914" s="128"/>
      <c r="F914" s="12"/>
      <c r="G914" s="71"/>
      <c r="H914" s="71"/>
      <c r="I914" s="11"/>
      <c r="J914" s="71"/>
      <c r="K914" s="11"/>
      <c r="L914" s="71"/>
      <c r="M914" s="11"/>
      <c r="N914" s="12"/>
      <c r="O914" s="12"/>
      <c r="P914" s="57"/>
      <c r="Q914" s="50"/>
      <c r="R914" s="50"/>
      <c r="S914" s="58"/>
      <c r="T914" s="58"/>
      <c r="U914" s="58"/>
      <c r="V914" s="59"/>
      <c r="W914" s="60"/>
    </row>
    <row r="915" spans="1:23" ht="29" customHeight="1" x14ac:dyDescent="0.35">
      <c r="A915" s="61"/>
      <c r="B915" s="55"/>
      <c r="C915" s="70"/>
      <c r="D915" s="12"/>
      <c r="E915" s="128"/>
      <c r="F915" s="12"/>
      <c r="G915" s="71"/>
      <c r="H915" s="71"/>
      <c r="I915" s="11"/>
      <c r="J915" s="71"/>
      <c r="K915" s="11"/>
      <c r="L915" s="71"/>
      <c r="M915" s="11"/>
      <c r="N915" s="12"/>
      <c r="O915" s="12"/>
      <c r="P915" s="57"/>
      <c r="Q915" s="50"/>
      <c r="R915" s="50"/>
      <c r="S915" s="58"/>
      <c r="T915" s="58"/>
      <c r="U915" s="58"/>
      <c r="V915" s="59"/>
      <c r="W915" s="60"/>
    </row>
    <row r="916" spans="1:23" ht="29" customHeight="1" x14ac:dyDescent="0.35">
      <c r="A916" s="61"/>
      <c r="B916" s="55"/>
      <c r="C916" s="70"/>
      <c r="D916" s="12"/>
      <c r="E916" s="128"/>
      <c r="F916" s="12"/>
      <c r="G916" s="71"/>
      <c r="H916" s="71"/>
      <c r="I916" s="11"/>
      <c r="J916" s="71"/>
      <c r="K916" s="11"/>
      <c r="L916" s="71"/>
      <c r="M916" s="11"/>
      <c r="N916" s="12"/>
      <c r="O916" s="12"/>
      <c r="P916" s="57"/>
      <c r="Q916" s="50"/>
      <c r="R916" s="50"/>
      <c r="S916" s="58"/>
      <c r="T916" s="58"/>
      <c r="U916" s="58"/>
      <c r="V916" s="59"/>
      <c r="W916" s="60"/>
    </row>
    <row r="917" spans="1:23" ht="29" customHeight="1" x14ac:dyDescent="0.35">
      <c r="A917" s="61"/>
      <c r="B917" s="55"/>
      <c r="C917" s="70"/>
      <c r="D917" s="12"/>
      <c r="E917" s="128"/>
      <c r="F917" s="12"/>
      <c r="G917" s="71"/>
      <c r="H917" s="71"/>
      <c r="I917" s="11"/>
      <c r="J917" s="71"/>
      <c r="K917" s="11"/>
      <c r="L917" s="71"/>
      <c r="M917" s="11"/>
      <c r="N917" s="12"/>
      <c r="O917" s="12"/>
      <c r="P917" s="57"/>
      <c r="Q917" s="50"/>
      <c r="R917" s="50"/>
      <c r="S917" s="58"/>
      <c r="T917" s="58"/>
      <c r="U917" s="58"/>
      <c r="V917" s="59"/>
      <c r="W917" s="60"/>
    </row>
    <row r="918" spans="1:23" ht="29" customHeight="1" x14ac:dyDescent="0.35">
      <c r="A918" s="61"/>
      <c r="B918" s="55"/>
      <c r="C918" s="70"/>
      <c r="D918" s="12"/>
      <c r="E918" s="128"/>
      <c r="F918" s="12"/>
      <c r="G918" s="71"/>
      <c r="H918" s="71"/>
      <c r="I918" s="11"/>
      <c r="J918" s="71"/>
      <c r="K918" s="11"/>
      <c r="L918" s="71"/>
      <c r="M918" s="11"/>
      <c r="N918" s="12"/>
      <c r="O918" s="12"/>
      <c r="P918" s="57"/>
      <c r="Q918" s="50"/>
      <c r="R918" s="50"/>
      <c r="S918" s="58"/>
      <c r="T918" s="58"/>
      <c r="U918" s="58"/>
      <c r="V918" s="59"/>
      <c r="W918" s="60"/>
    </row>
    <row r="919" spans="1:23" ht="29" customHeight="1" x14ac:dyDescent="0.35">
      <c r="A919" s="61"/>
      <c r="B919" s="55"/>
      <c r="C919" s="70"/>
      <c r="D919" s="12"/>
      <c r="E919" s="128"/>
      <c r="F919" s="12"/>
      <c r="G919" s="71"/>
      <c r="H919" s="71"/>
      <c r="I919" s="11"/>
      <c r="J919" s="71"/>
      <c r="K919" s="11"/>
      <c r="L919" s="71"/>
      <c r="M919" s="11"/>
      <c r="N919" s="12"/>
      <c r="O919" s="12"/>
      <c r="P919" s="57"/>
      <c r="Q919" s="50"/>
      <c r="R919" s="50"/>
      <c r="S919" s="58"/>
      <c r="T919" s="58"/>
      <c r="U919" s="58"/>
      <c r="V919" s="59"/>
      <c r="W919" s="60"/>
    </row>
    <row r="920" spans="1:23" ht="29" customHeight="1" x14ac:dyDescent="0.35">
      <c r="A920" s="61"/>
      <c r="B920" s="55"/>
      <c r="C920" s="70"/>
      <c r="D920" s="12"/>
      <c r="E920" s="128"/>
      <c r="F920" s="12"/>
      <c r="G920" s="71"/>
      <c r="H920" s="71"/>
      <c r="I920" s="11"/>
      <c r="J920" s="71"/>
      <c r="K920" s="11"/>
      <c r="L920" s="71"/>
      <c r="M920" s="11"/>
      <c r="N920" s="12"/>
      <c r="O920" s="12"/>
      <c r="P920" s="57"/>
      <c r="Q920" s="50"/>
      <c r="R920" s="50"/>
      <c r="S920" s="58"/>
      <c r="T920" s="58"/>
      <c r="U920" s="58"/>
      <c r="V920" s="59"/>
      <c r="W920" s="60"/>
    </row>
    <row r="921" spans="1:23" ht="29" customHeight="1" x14ac:dyDescent="0.35">
      <c r="A921" s="61"/>
      <c r="B921" s="55"/>
      <c r="C921" s="70"/>
      <c r="D921" s="12"/>
      <c r="E921" s="128"/>
      <c r="F921" s="12"/>
      <c r="G921" s="71"/>
      <c r="H921" s="71"/>
      <c r="I921" s="11"/>
      <c r="J921" s="71"/>
      <c r="K921" s="11"/>
      <c r="L921" s="71"/>
      <c r="M921" s="11"/>
      <c r="N921" s="12"/>
      <c r="O921" s="12"/>
      <c r="P921" s="57"/>
      <c r="Q921" s="50"/>
      <c r="R921" s="50"/>
      <c r="S921" s="58"/>
      <c r="T921" s="58"/>
      <c r="U921" s="58"/>
      <c r="V921" s="59"/>
      <c r="W921" s="60"/>
    </row>
    <row r="922" spans="1:23" ht="29" customHeight="1" x14ac:dyDescent="0.35">
      <c r="A922" s="61"/>
      <c r="B922" s="55"/>
      <c r="C922" s="70"/>
      <c r="D922" s="12"/>
      <c r="E922" s="128"/>
      <c r="F922" s="12"/>
      <c r="G922" s="71"/>
      <c r="H922" s="71"/>
      <c r="I922" s="11"/>
      <c r="J922" s="71"/>
      <c r="K922" s="11"/>
      <c r="L922" s="71"/>
      <c r="M922" s="11"/>
      <c r="N922" s="12"/>
      <c r="O922" s="12"/>
      <c r="P922" s="57"/>
      <c r="Q922" s="50"/>
      <c r="R922" s="50"/>
      <c r="S922" s="58"/>
      <c r="T922" s="58"/>
      <c r="U922" s="58"/>
      <c r="V922" s="59"/>
      <c r="W922" s="60"/>
    </row>
    <row r="923" spans="1:23" ht="29" customHeight="1" x14ac:dyDescent="0.35">
      <c r="A923" s="61"/>
      <c r="B923" s="55"/>
      <c r="C923" s="70"/>
      <c r="D923" s="12"/>
      <c r="E923" s="128"/>
      <c r="F923" s="12"/>
      <c r="G923" s="71"/>
      <c r="H923" s="71"/>
      <c r="I923" s="11"/>
      <c r="J923" s="71"/>
      <c r="K923" s="11"/>
      <c r="L923" s="71"/>
      <c r="M923" s="11"/>
      <c r="N923" s="12"/>
      <c r="O923" s="12"/>
      <c r="P923" s="57"/>
      <c r="Q923" s="50"/>
      <c r="R923" s="50"/>
      <c r="S923" s="58"/>
      <c r="T923" s="58"/>
      <c r="U923" s="58"/>
      <c r="V923" s="59"/>
      <c r="W923" s="60"/>
    </row>
    <row r="924" spans="1:23" ht="29" customHeight="1" x14ac:dyDescent="0.35">
      <c r="A924" s="61"/>
      <c r="B924" s="55"/>
      <c r="C924" s="70"/>
      <c r="D924" s="12"/>
      <c r="E924" s="128"/>
      <c r="F924" s="12"/>
      <c r="G924" s="71"/>
      <c r="H924" s="71"/>
      <c r="I924" s="11"/>
      <c r="J924" s="71"/>
      <c r="K924" s="11"/>
      <c r="L924" s="71"/>
      <c r="M924" s="11"/>
      <c r="N924" s="12"/>
      <c r="O924" s="12"/>
      <c r="P924" s="57"/>
      <c r="Q924" s="50"/>
      <c r="R924" s="50"/>
      <c r="S924" s="58"/>
      <c r="T924" s="58"/>
      <c r="U924" s="58"/>
      <c r="V924" s="59"/>
      <c r="W924" s="60"/>
    </row>
    <row r="925" spans="1:23" ht="29" customHeight="1" x14ac:dyDescent="0.35">
      <c r="A925" s="61"/>
      <c r="B925" s="55"/>
      <c r="C925" s="70"/>
      <c r="D925" s="12"/>
      <c r="E925" s="128"/>
      <c r="F925" s="12"/>
      <c r="G925" s="71"/>
      <c r="H925" s="71"/>
      <c r="I925" s="11"/>
      <c r="J925" s="71"/>
      <c r="K925" s="11"/>
      <c r="L925" s="71"/>
      <c r="M925" s="11"/>
      <c r="N925" s="12"/>
      <c r="O925" s="12"/>
      <c r="P925" s="57"/>
      <c r="Q925" s="50"/>
      <c r="R925" s="50"/>
      <c r="S925" s="58"/>
      <c r="T925" s="58"/>
      <c r="U925" s="58"/>
      <c r="V925" s="59"/>
      <c r="W925" s="60"/>
    </row>
    <row r="926" spans="1:23" ht="29" customHeight="1" x14ac:dyDescent="0.35">
      <c r="A926" s="61"/>
      <c r="B926" s="55"/>
      <c r="C926" s="70"/>
      <c r="D926" s="12"/>
      <c r="E926" s="128"/>
      <c r="F926" s="12"/>
      <c r="G926" s="71"/>
      <c r="H926" s="71"/>
      <c r="I926" s="11"/>
      <c r="J926" s="71"/>
      <c r="K926" s="11"/>
      <c r="L926" s="71"/>
      <c r="M926" s="11"/>
      <c r="N926" s="12"/>
      <c r="O926" s="12"/>
      <c r="P926" s="57"/>
      <c r="Q926" s="50"/>
      <c r="R926" s="50"/>
      <c r="S926" s="58"/>
      <c r="T926" s="58"/>
      <c r="U926" s="58"/>
      <c r="V926" s="59"/>
      <c r="W926" s="60"/>
    </row>
    <row r="927" spans="1:23" ht="29" customHeight="1" x14ac:dyDescent="0.35">
      <c r="A927" s="61"/>
      <c r="B927" s="55"/>
      <c r="C927" s="70"/>
      <c r="D927" s="12"/>
      <c r="E927" s="128"/>
      <c r="F927" s="12"/>
      <c r="G927" s="71"/>
      <c r="H927" s="71"/>
      <c r="I927" s="11"/>
      <c r="J927" s="71"/>
      <c r="K927" s="11"/>
      <c r="L927" s="71"/>
      <c r="M927" s="11"/>
      <c r="N927" s="12"/>
      <c r="O927" s="12"/>
      <c r="P927" s="57"/>
      <c r="Q927" s="50"/>
      <c r="R927" s="50"/>
      <c r="S927" s="58"/>
      <c r="T927" s="58"/>
      <c r="U927" s="58"/>
      <c r="V927" s="59"/>
      <c r="W927" s="60"/>
    </row>
    <row r="928" spans="1:23" ht="29" customHeight="1" x14ac:dyDescent="0.35">
      <c r="A928" s="61"/>
      <c r="B928" s="55"/>
      <c r="C928" s="70"/>
      <c r="D928" s="12"/>
      <c r="E928" s="128"/>
      <c r="F928" s="12"/>
      <c r="G928" s="71"/>
      <c r="H928" s="71"/>
      <c r="I928" s="11"/>
      <c r="J928" s="71"/>
      <c r="K928" s="11"/>
      <c r="L928" s="71"/>
      <c r="M928" s="11"/>
      <c r="N928" s="12"/>
      <c r="O928" s="12"/>
      <c r="P928" s="57"/>
      <c r="Q928" s="50"/>
      <c r="R928" s="50"/>
      <c r="S928" s="58"/>
      <c r="T928" s="58"/>
      <c r="U928" s="58"/>
      <c r="V928" s="59"/>
      <c r="W928" s="60"/>
    </row>
    <row r="929" spans="1:23" ht="29" customHeight="1" x14ac:dyDescent="0.35">
      <c r="A929" s="61"/>
      <c r="B929" s="55"/>
      <c r="C929" s="70"/>
      <c r="D929" s="12"/>
      <c r="E929" s="128"/>
      <c r="F929" s="12"/>
      <c r="G929" s="71"/>
      <c r="H929" s="71"/>
      <c r="I929" s="11"/>
      <c r="J929" s="71"/>
      <c r="K929" s="11"/>
      <c r="L929" s="71"/>
      <c r="M929" s="11"/>
      <c r="N929" s="12"/>
      <c r="O929" s="12"/>
      <c r="P929" s="57"/>
      <c r="Q929" s="50"/>
      <c r="R929" s="50"/>
      <c r="S929" s="58"/>
      <c r="T929" s="58"/>
      <c r="U929" s="58"/>
      <c r="V929" s="59"/>
      <c r="W929" s="60"/>
    </row>
    <row r="930" spans="1:23" ht="29" customHeight="1" x14ac:dyDescent="0.35">
      <c r="A930" s="61"/>
      <c r="B930" s="55"/>
      <c r="C930" s="70"/>
      <c r="D930" s="12"/>
      <c r="E930" s="128"/>
      <c r="F930" s="12"/>
      <c r="G930" s="71"/>
      <c r="H930" s="71"/>
      <c r="I930" s="11"/>
      <c r="J930" s="71"/>
      <c r="K930" s="11"/>
      <c r="L930" s="71"/>
      <c r="M930" s="11"/>
      <c r="N930" s="12"/>
      <c r="O930" s="12"/>
      <c r="P930" s="57"/>
      <c r="Q930" s="50"/>
      <c r="R930" s="50"/>
      <c r="S930" s="58"/>
      <c r="T930" s="58"/>
      <c r="U930" s="58"/>
      <c r="V930" s="59"/>
      <c r="W930" s="60"/>
    </row>
    <row r="931" spans="1:23" ht="29" customHeight="1" x14ac:dyDescent="0.35">
      <c r="A931" s="61"/>
      <c r="B931" s="55"/>
      <c r="C931" s="70"/>
      <c r="D931" s="12"/>
      <c r="E931" s="128"/>
      <c r="F931" s="12"/>
      <c r="G931" s="71"/>
      <c r="H931" s="71"/>
      <c r="I931" s="11"/>
      <c r="J931" s="71"/>
      <c r="K931" s="11"/>
      <c r="L931" s="71"/>
      <c r="M931" s="11"/>
      <c r="N931" s="12"/>
      <c r="O931" s="12"/>
      <c r="P931" s="57"/>
      <c r="Q931" s="50"/>
      <c r="R931" s="50"/>
      <c r="S931" s="58"/>
      <c r="T931" s="58"/>
      <c r="U931" s="58"/>
      <c r="V931" s="59"/>
      <c r="W931" s="60"/>
    </row>
    <row r="932" spans="1:23" ht="29" customHeight="1" x14ac:dyDescent="0.35">
      <c r="A932" s="61"/>
      <c r="B932" s="55"/>
      <c r="C932" s="70"/>
      <c r="D932" s="12"/>
      <c r="E932" s="128"/>
      <c r="F932" s="12"/>
      <c r="G932" s="71"/>
      <c r="H932" s="71"/>
      <c r="I932" s="11"/>
      <c r="J932" s="71"/>
      <c r="K932" s="11"/>
      <c r="L932" s="71"/>
      <c r="M932" s="11"/>
      <c r="N932" s="12"/>
      <c r="O932" s="12"/>
      <c r="P932" s="57"/>
      <c r="Q932" s="50"/>
      <c r="R932" s="50"/>
      <c r="S932" s="58"/>
      <c r="T932" s="58"/>
      <c r="U932" s="58"/>
      <c r="V932" s="59"/>
      <c r="W932" s="60"/>
    </row>
    <row r="933" spans="1:23" ht="29" customHeight="1" x14ac:dyDescent="0.35">
      <c r="A933" s="61"/>
      <c r="B933" s="55"/>
      <c r="C933" s="70"/>
      <c r="D933" s="12"/>
      <c r="E933" s="128"/>
      <c r="F933" s="12"/>
      <c r="G933" s="71"/>
      <c r="H933" s="71"/>
      <c r="I933" s="11"/>
      <c r="J933" s="71"/>
      <c r="K933" s="11"/>
      <c r="L933" s="71"/>
      <c r="M933" s="11"/>
      <c r="N933" s="12"/>
      <c r="O933" s="12"/>
      <c r="P933" s="57"/>
      <c r="Q933" s="50"/>
      <c r="R933" s="50"/>
      <c r="S933" s="58"/>
      <c r="T933" s="58"/>
      <c r="U933" s="58"/>
      <c r="V933" s="59"/>
      <c r="W933" s="60"/>
    </row>
    <row r="934" spans="1:23" ht="29" customHeight="1" x14ac:dyDescent="0.35">
      <c r="A934" s="61"/>
      <c r="B934" s="55"/>
      <c r="C934" s="70"/>
      <c r="D934" s="12"/>
      <c r="E934" s="128"/>
      <c r="F934" s="12"/>
      <c r="G934" s="71"/>
      <c r="H934" s="71"/>
      <c r="I934" s="11"/>
      <c r="J934" s="71"/>
      <c r="K934" s="11"/>
      <c r="L934" s="71"/>
      <c r="M934" s="11"/>
      <c r="N934" s="12"/>
      <c r="O934" s="12"/>
      <c r="P934" s="57"/>
      <c r="Q934" s="50"/>
      <c r="R934" s="50"/>
      <c r="S934" s="58"/>
      <c r="T934" s="58"/>
      <c r="U934" s="58"/>
      <c r="V934" s="59"/>
      <c r="W934" s="60"/>
    </row>
    <row r="935" spans="1:23" ht="29" customHeight="1" x14ac:dyDescent="0.35">
      <c r="A935" s="61"/>
      <c r="B935" s="55"/>
      <c r="C935" s="70"/>
      <c r="D935" s="12"/>
      <c r="E935" s="128"/>
      <c r="F935" s="12"/>
      <c r="G935" s="71"/>
      <c r="H935" s="71"/>
      <c r="I935" s="11"/>
      <c r="J935" s="71"/>
      <c r="K935" s="11"/>
      <c r="L935" s="71"/>
      <c r="M935" s="11"/>
      <c r="N935" s="12"/>
      <c r="O935" s="12"/>
      <c r="P935" s="57"/>
      <c r="Q935" s="50"/>
      <c r="R935" s="50"/>
      <c r="S935" s="58"/>
      <c r="T935" s="58"/>
      <c r="U935" s="58"/>
      <c r="V935" s="59"/>
      <c r="W935" s="60"/>
    </row>
    <row r="936" spans="1:23" ht="29" customHeight="1" x14ac:dyDescent="0.35">
      <c r="A936" s="61"/>
      <c r="B936" s="55"/>
      <c r="C936" s="70"/>
      <c r="D936" s="12"/>
      <c r="E936" s="128"/>
      <c r="F936" s="12"/>
      <c r="G936" s="71"/>
      <c r="H936" s="71"/>
      <c r="I936" s="11"/>
      <c r="J936" s="71"/>
      <c r="K936" s="11"/>
      <c r="L936" s="71"/>
      <c r="M936" s="11"/>
      <c r="N936" s="12"/>
      <c r="O936" s="12"/>
      <c r="P936" s="57"/>
      <c r="Q936" s="50"/>
      <c r="R936" s="50"/>
      <c r="S936" s="58"/>
      <c r="T936" s="58"/>
      <c r="U936" s="58"/>
      <c r="V936" s="59"/>
      <c r="W936" s="60"/>
    </row>
    <row r="937" spans="1:23" ht="29" customHeight="1" x14ac:dyDescent="0.35">
      <c r="A937" s="61"/>
      <c r="B937" s="55"/>
      <c r="C937" s="70"/>
      <c r="D937" s="12"/>
      <c r="E937" s="128"/>
      <c r="F937" s="12"/>
      <c r="G937" s="71"/>
      <c r="H937" s="71"/>
      <c r="I937" s="11"/>
      <c r="J937" s="71"/>
      <c r="K937" s="11"/>
      <c r="L937" s="71"/>
      <c r="M937" s="11"/>
      <c r="N937" s="12"/>
      <c r="O937" s="12"/>
      <c r="P937" s="57"/>
      <c r="Q937" s="50"/>
      <c r="R937" s="50"/>
      <c r="S937" s="58"/>
      <c r="T937" s="58"/>
      <c r="U937" s="58"/>
      <c r="V937" s="59"/>
      <c r="W937" s="60"/>
    </row>
    <row r="938" spans="1:23" ht="29" customHeight="1" x14ac:dyDescent="0.35">
      <c r="A938" s="61"/>
      <c r="B938" s="55"/>
      <c r="C938" s="70"/>
      <c r="D938" s="12"/>
      <c r="E938" s="128"/>
      <c r="F938" s="12"/>
      <c r="G938" s="71"/>
      <c r="H938" s="71"/>
      <c r="I938" s="11"/>
      <c r="J938" s="71"/>
      <c r="K938" s="11"/>
      <c r="L938" s="71"/>
      <c r="M938" s="11"/>
      <c r="N938" s="12"/>
      <c r="O938" s="12"/>
      <c r="P938" s="57"/>
      <c r="Q938" s="50"/>
      <c r="R938" s="50"/>
      <c r="S938" s="58"/>
      <c r="T938" s="58"/>
      <c r="U938" s="58"/>
      <c r="V938" s="59"/>
      <c r="W938" s="60"/>
    </row>
    <row r="939" spans="1:23" ht="29" customHeight="1" x14ac:dyDescent="0.35">
      <c r="A939" s="61"/>
      <c r="B939" s="55"/>
      <c r="C939" s="70"/>
      <c r="D939" s="12"/>
      <c r="E939" s="128"/>
      <c r="F939" s="12"/>
      <c r="G939" s="71"/>
      <c r="H939" s="71"/>
      <c r="I939" s="11"/>
      <c r="J939" s="71"/>
      <c r="K939" s="11"/>
      <c r="L939" s="71"/>
      <c r="M939" s="11"/>
      <c r="N939" s="12"/>
      <c r="O939" s="12"/>
      <c r="P939" s="57"/>
      <c r="Q939" s="50"/>
      <c r="R939" s="50"/>
      <c r="S939" s="58"/>
      <c r="T939" s="58"/>
      <c r="U939" s="58"/>
      <c r="V939" s="59"/>
      <c r="W939" s="60"/>
    </row>
    <row r="940" spans="1:23" ht="29" customHeight="1" x14ac:dyDescent="0.35">
      <c r="A940" s="61"/>
      <c r="B940" s="55"/>
      <c r="C940" s="70"/>
      <c r="D940" s="12"/>
      <c r="E940" s="128"/>
      <c r="F940" s="12"/>
      <c r="G940" s="71"/>
      <c r="H940" s="71"/>
      <c r="I940" s="11"/>
      <c r="J940" s="71"/>
      <c r="K940" s="11"/>
      <c r="L940" s="71"/>
      <c r="M940" s="11"/>
      <c r="N940" s="12"/>
      <c r="O940" s="12"/>
      <c r="P940" s="57"/>
      <c r="Q940" s="50"/>
      <c r="R940" s="50"/>
      <c r="S940" s="58"/>
      <c r="T940" s="58"/>
      <c r="U940" s="58"/>
      <c r="V940" s="59"/>
      <c r="W940" s="60"/>
    </row>
    <row r="941" spans="1:23" ht="29" customHeight="1" x14ac:dyDescent="0.35">
      <c r="A941" s="61"/>
      <c r="B941" s="55"/>
      <c r="C941" s="70"/>
      <c r="D941" s="12"/>
      <c r="E941" s="128"/>
      <c r="F941" s="12"/>
      <c r="G941" s="71"/>
      <c r="H941" s="71"/>
      <c r="I941" s="11"/>
      <c r="J941" s="71"/>
      <c r="K941" s="11"/>
      <c r="L941" s="71"/>
      <c r="M941" s="11"/>
      <c r="N941" s="12"/>
      <c r="O941" s="12"/>
      <c r="P941" s="57"/>
      <c r="Q941" s="50"/>
      <c r="R941" s="50"/>
      <c r="S941" s="58"/>
      <c r="T941" s="58"/>
      <c r="U941" s="58"/>
      <c r="V941" s="59"/>
      <c r="W941" s="60"/>
    </row>
    <row r="942" spans="1:23" ht="29" customHeight="1" x14ac:dyDescent="0.35">
      <c r="A942" s="61"/>
      <c r="B942" s="55"/>
      <c r="C942" s="70"/>
      <c r="D942" s="12"/>
      <c r="E942" s="128"/>
      <c r="F942" s="12"/>
      <c r="G942" s="71"/>
      <c r="H942" s="71"/>
      <c r="I942" s="11"/>
      <c r="J942" s="71"/>
      <c r="K942" s="11"/>
      <c r="L942" s="71"/>
      <c r="M942" s="11"/>
      <c r="N942" s="12"/>
      <c r="O942" s="12"/>
      <c r="P942" s="57"/>
      <c r="Q942" s="50"/>
      <c r="R942" s="50"/>
      <c r="S942" s="58"/>
      <c r="T942" s="58"/>
      <c r="U942" s="58"/>
      <c r="V942" s="59"/>
      <c r="W942" s="60"/>
    </row>
    <row r="943" spans="1:23" ht="29" customHeight="1" x14ac:dyDescent="0.35">
      <c r="A943" s="61"/>
      <c r="B943" s="55"/>
      <c r="C943" s="70"/>
      <c r="D943" s="12"/>
      <c r="E943" s="128"/>
      <c r="F943" s="12"/>
      <c r="G943" s="71"/>
      <c r="H943" s="71"/>
      <c r="I943" s="11"/>
      <c r="J943" s="71"/>
      <c r="K943" s="11"/>
      <c r="L943" s="71"/>
      <c r="M943" s="11"/>
      <c r="N943" s="12"/>
      <c r="O943" s="12"/>
      <c r="P943" s="57"/>
      <c r="Q943" s="50"/>
      <c r="R943" s="50"/>
      <c r="S943" s="58"/>
      <c r="T943" s="58"/>
      <c r="U943" s="58"/>
      <c r="V943" s="59"/>
      <c r="W943" s="60"/>
    </row>
    <row r="944" spans="1:23" ht="29" customHeight="1" x14ac:dyDescent="0.35">
      <c r="A944" s="61"/>
      <c r="B944" s="55"/>
      <c r="C944" s="70"/>
      <c r="D944" s="12"/>
      <c r="E944" s="128"/>
      <c r="F944" s="12"/>
      <c r="G944" s="71"/>
      <c r="H944" s="71"/>
      <c r="I944" s="11"/>
      <c r="J944" s="71"/>
      <c r="K944" s="11"/>
      <c r="L944" s="71"/>
      <c r="M944" s="11"/>
      <c r="N944" s="12"/>
      <c r="O944" s="12"/>
      <c r="P944" s="57"/>
      <c r="Q944" s="50"/>
      <c r="R944" s="50"/>
      <c r="S944" s="58"/>
      <c r="T944" s="58"/>
      <c r="U944" s="58"/>
      <c r="V944" s="59"/>
      <c r="W944" s="60"/>
    </row>
    <row r="945" spans="1:23" ht="29" customHeight="1" x14ac:dyDescent="0.35">
      <c r="A945" s="61"/>
      <c r="B945" s="55"/>
      <c r="C945" s="70"/>
      <c r="D945" s="12"/>
      <c r="E945" s="128"/>
      <c r="F945" s="12"/>
      <c r="G945" s="71"/>
      <c r="H945" s="71"/>
      <c r="I945" s="11"/>
      <c r="J945" s="71"/>
      <c r="K945" s="11"/>
      <c r="L945" s="71"/>
      <c r="M945" s="11"/>
      <c r="N945" s="12"/>
      <c r="O945" s="12"/>
      <c r="P945" s="57"/>
      <c r="Q945" s="50"/>
      <c r="R945" s="50"/>
      <c r="S945" s="58"/>
      <c r="T945" s="58"/>
      <c r="U945" s="58"/>
      <c r="V945" s="59"/>
      <c r="W945" s="60"/>
    </row>
    <row r="946" spans="1:23" ht="29" customHeight="1" x14ac:dyDescent="0.35">
      <c r="A946" s="61"/>
      <c r="B946" s="55"/>
      <c r="C946" s="70"/>
      <c r="D946" s="12"/>
      <c r="E946" s="128"/>
      <c r="F946" s="12"/>
      <c r="G946" s="71"/>
      <c r="H946" s="71"/>
      <c r="I946" s="11"/>
      <c r="J946" s="71"/>
      <c r="K946" s="11"/>
      <c r="L946" s="71"/>
      <c r="M946" s="11"/>
      <c r="N946" s="12"/>
      <c r="O946" s="12"/>
      <c r="P946" s="57"/>
      <c r="Q946" s="50"/>
      <c r="R946" s="50"/>
      <c r="S946" s="58"/>
      <c r="T946" s="58"/>
      <c r="U946" s="58"/>
      <c r="V946" s="59"/>
      <c r="W946" s="60"/>
    </row>
    <row r="947" spans="1:23" ht="29" customHeight="1" x14ac:dyDescent="0.35">
      <c r="A947" s="61"/>
      <c r="B947" s="55"/>
      <c r="C947" s="70"/>
      <c r="D947" s="12"/>
      <c r="E947" s="128"/>
      <c r="F947" s="12"/>
      <c r="G947" s="71"/>
      <c r="H947" s="71"/>
      <c r="I947" s="11"/>
      <c r="J947" s="71"/>
      <c r="K947" s="11"/>
      <c r="L947" s="71"/>
      <c r="M947" s="11"/>
      <c r="N947" s="12"/>
      <c r="O947" s="12"/>
      <c r="P947" s="57"/>
      <c r="Q947" s="50"/>
      <c r="R947" s="50"/>
      <c r="S947" s="58"/>
      <c r="T947" s="58"/>
      <c r="U947" s="58"/>
      <c r="V947" s="59"/>
      <c r="W947" s="60"/>
    </row>
    <row r="948" spans="1:23" ht="29" customHeight="1" x14ac:dyDescent="0.35">
      <c r="A948" s="61"/>
      <c r="B948" s="55"/>
      <c r="C948" s="70"/>
      <c r="D948" s="12"/>
      <c r="E948" s="128"/>
      <c r="F948" s="12"/>
      <c r="G948" s="71"/>
      <c r="H948" s="71"/>
      <c r="I948" s="11"/>
      <c r="J948" s="71"/>
      <c r="K948" s="11"/>
      <c r="L948" s="71"/>
      <c r="M948" s="11"/>
      <c r="N948" s="12"/>
      <c r="O948" s="12"/>
      <c r="P948" s="57"/>
      <c r="Q948" s="50"/>
      <c r="R948" s="50"/>
      <c r="S948" s="58"/>
      <c r="T948" s="58"/>
      <c r="U948" s="58"/>
      <c r="V948" s="59"/>
      <c r="W948" s="60"/>
    </row>
    <row r="949" spans="1:23" ht="29" customHeight="1" x14ac:dyDescent="0.35">
      <c r="A949" s="61"/>
      <c r="B949" s="55"/>
      <c r="C949" s="70"/>
      <c r="D949" s="12"/>
      <c r="E949" s="128"/>
      <c r="F949" s="12"/>
      <c r="G949" s="71"/>
      <c r="H949" s="71"/>
      <c r="I949" s="11"/>
      <c r="J949" s="71"/>
      <c r="K949" s="11"/>
      <c r="L949" s="71"/>
      <c r="M949" s="11"/>
      <c r="N949" s="12"/>
      <c r="O949" s="12"/>
      <c r="P949" s="57"/>
      <c r="Q949" s="50"/>
      <c r="R949" s="50"/>
      <c r="S949" s="58"/>
      <c r="T949" s="58"/>
      <c r="U949" s="58"/>
      <c r="V949" s="59"/>
      <c r="W949" s="60"/>
    </row>
    <row r="950" spans="1:23" ht="29" customHeight="1" x14ac:dyDescent="0.35">
      <c r="A950" s="61"/>
      <c r="B950" s="55"/>
      <c r="C950" s="70"/>
      <c r="D950" s="12"/>
      <c r="E950" s="128"/>
      <c r="F950" s="12"/>
      <c r="G950" s="71"/>
      <c r="H950" s="71"/>
      <c r="I950" s="11"/>
      <c r="J950" s="71"/>
      <c r="K950" s="11"/>
      <c r="L950" s="71"/>
      <c r="M950" s="11"/>
      <c r="N950" s="12"/>
      <c r="O950" s="12"/>
      <c r="P950" s="57"/>
      <c r="Q950" s="50"/>
      <c r="R950" s="50"/>
      <c r="S950" s="58"/>
      <c r="T950" s="58"/>
      <c r="U950" s="58"/>
      <c r="V950" s="59"/>
      <c r="W950" s="60"/>
    </row>
    <row r="951" spans="1:23" ht="29" customHeight="1" x14ac:dyDescent="0.35">
      <c r="A951" s="61"/>
      <c r="B951" s="55"/>
      <c r="C951" s="70"/>
      <c r="D951" s="12"/>
      <c r="E951" s="128"/>
      <c r="F951" s="12"/>
      <c r="G951" s="71"/>
      <c r="H951" s="71"/>
      <c r="I951" s="11"/>
      <c r="J951" s="71"/>
      <c r="K951" s="11"/>
      <c r="L951" s="71"/>
      <c r="M951" s="11"/>
      <c r="N951" s="12"/>
      <c r="O951" s="12"/>
      <c r="P951" s="57"/>
      <c r="Q951" s="50"/>
      <c r="R951" s="50"/>
      <c r="S951" s="58"/>
      <c r="T951" s="58"/>
      <c r="U951" s="58"/>
      <c r="V951" s="59"/>
      <c r="W951" s="60"/>
    </row>
    <row r="952" spans="1:23" ht="29" customHeight="1" x14ac:dyDescent="0.35">
      <c r="A952" s="61"/>
      <c r="B952" s="55"/>
      <c r="C952" s="70"/>
      <c r="D952" s="12"/>
      <c r="E952" s="128"/>
      <c r="F952" s="12"/>
      <c r="G952" s="71"/>
      <c r="H952" s="71"/>
      <c r="I952" s="11"/>
      <c r="J952" s="71"/>
      <c r="K952" s="11"/>
      <c r="L952" s="71"/>
      <c r="M952" s="11"/>
      <c r="N952" s="12"/>
      <c r="O952" s="12"/>
      <c r="P952" s="57"/>
      <c r="Q952" s="50"/>
      <c r="R952" s="50"/>
      <c r="S952" s="58"/>
      <c r="T952" s="58"/>
      <c r="U952" s="58"/>
      <c r="V952" s="59"/>
      <c r="W952" s="60"/>
    </row>
    <row r="953" spans="1:23" ht="29" customHeight="1" x14ac:dyDescent="0.35">
      <c r="A953" s="61"/>
      <c r="B953" s="55"/>
      <c r="C953" s="70"/>
      <c r="D953" s="12"/>
      <c r="E953" s="128"/>
      <c r="F953" s="12"/>
      <c r="G953" s="71"/>
      <c r="H953" s="71"/>
      <c r="I953" s="11"/>
      <c r="J953" s="71"/>
      <c r="K953" s="11"/>
      <c r="L953" s="71"/>
      <c r="M953" s="11"/>
      <c r="N953" s="12"/>
      <c r="O953" s="12"/>
      <c r="P953" s="57"/>
      <c r="Q953" s="50"/>
      <c r="R953" s="50"/>
      <c r="S953" s="58"/>
      <c r="T953" s="58"/>
      <c r="U953" s="58"/>
      <c r="V953" s="59"/>
      <c r="W953" s="60"/>
    </row>
    <row r="954" spans="1:23" ht="29" customHeight="1" x14ac:dyDescent="0.35">
      <c r="A954" s="61"/>
      <c r="B954" s="55"/>
      <c r="C954" s="70"/>
      <c r="D954" s="12"/>
      <c r="E954" s="128"/>
      <c r="F954" s="12"/>
      <c r="G954" s="71"/>
      <c r="H954" s="71"/>
      <c r="I954" s="11"/>
      <c r="J954" s="71"/>
      <c r="K954" s="11"/>
      <c r="L954" s="71"/>
      <c r="M954" s="11"/>
      <c r="N954" s="12"/>
      <c r="O954" s="12"/>
      <c r="P954" s="57"/>
      <c r="Q954" s="50"/>
      <c r="R954" s="50"/>
      <c r="S954" s="58"/>
      <c r="T954" s="58"/>
      <c r="U954" s="58"/>
      <c r="V954" s="59"/>
      <c r="W954" s="60"/>
    </row>
    <row r="955" spans="1:23" ht="29" customHeight="1" x14ac:dyDescent="0.35">
      <c r="A955" s="61"/>
      <c r="B955" s="55"/>
      <c r="C955" s="70"/>
      <c r="D955" s="12"/>
      <c r="E955" s="128"/>
      <c r="F955" s="12"/>
      <c r="G955" s="71"/>
      <c r="H955" s="71"/>
      <c r="I955" s="11"/>
      <c r="J955" s="71"/>
      <c r="K955" s="11"/>
      <c r="L955" s="71"/>
      <c r="M955" s="11"/>
      <c r="N955" s="12"/>
      <c r="O955" s="12"/>
      <c r="P955" s="57"/>
      <c r="Q955" s="50"/>
      <c r="R955" s="50"/>
      <c r="S955" s="58"/>
      <c r="T955" s="58"/>
      <c r="U955" s="58"/>
      <c r="V955" s="59"/>
      <c r="W955" s="60"/>
    </row>
    <row r="956" spans="1:23" ht="29" customHeight="1" x14ac:dyDescent="0.35">
      <c r="A956" s="61"/>
      <c r="B956" s="55"/>
      <c r="C956" s="70"/>
      <c r="D956" s="12"/>
      <c r="E956" s="128"/>
      <c r="F956" s="12"/>
      <c r="G956" s="71"/>
      <c r="H956" s="71"/>
      <c r="I956" s="11"/>
      <c r="J956" s="71"/>
      <c r="K956" s="11"/>
      <c r="L956" s="71"/>
      <c r="M956" s="11"/>
      <c r="N956" s="12"/>
      <c r="O956" s="12"/>
      <c r="P956" s="57"/>
      <c r="Q956" s="50"/>
      <c r="R956" s="50"/>
      <c r="S956" s="58"/>
      <c r="T956" s="58"/>
      <c r="U956" s="58"/>
      <c r="V956" s="59"/>
      <c r="W956" s="60"/>
    </row>
    <row r="957" spans="1:23" ht="29" customHeight="1" x14ac:dyDescent="0.35">
      <c r="A957" s="61"/>
      <c r="B957" s="55"/>
      <c r="C957" s="70"/>
      <c r="D957" s="12"/>
      <c r="E957" s="128"/>
      <c r="F957" s="12"/>
      <c r="G957" s="71"/>
      <c r="H957" s="71"/>
      <c r="I957" s="11"/>
      <c r="J957" s="71"/>
      <c r="K957" s="11"/>
      <c r="L957" s="71"/>
      <c r="M957" s="11"/>
      <c r="N957" s="12"/>
      <c r="O957" s="12"/>
      <c r="P957" s="57"/>
      <c r="Q957" s="50"/>
      <c r="R957" s="50"/>
      <c r="S957" s="58"/>
      <c r="T957" s="58"/>
      <c r="U957" s="58"/>
      <c r="V957" s="59"/>
      <c r="W957" s="60"/>
    </row>
    <row r="958" spans="1:23" ht="29" customHeight="1" x14ac:dyDescent="0.35">
      <c r="A958" s="61"/>
      <c r="B958" s="55"/>
      <c r="C958" s="70"/>
      <c r="D958" s="12"/>
      <c r="E958" s="128"/>
      <c r="F958" s="12"/>
      <c r="G958" s="71"/>
      <c r="H958" s="71"/>
      <c r="I958" s="11"/>
      <c r="J958" s="71"/>
      <c r="K958" s="11"/>
      <c r="L958" s="71"/>
      <c r="M958" s="11"/>
      <c r="N958" s="12"/>
      <c r="O958" s="12"/>
      <c r="P958" s="57"/>
      <c r="Q958" s="50"/>
      <c r="R958" s="50"/>
      <c r="S958" s="58"/>
      <c r="T958" s="58"/>
      <c r="U958" s="58"/>
      <c r="V958" s="59"/>
      <c r="W958" s="60"/>
    </row>
    <row r="959" spans="1:23" ht="29" customHeight="1" x14ac:dyDescent="0.35">
      <c r="A959" s="61"/>
      <c r="B959" s="55"/>
      <c r="C959" s="70"/>
      <c r="D959" s="12"/>
      <c r="E959" s="128"/>
      <c r="F959" s="12"/>
      <c r="G959" s="71"/>
      <c r="H959" s="71"/>
      <c r="I959" s="11"/>
      <c r="J959" s="71"/>
      <c r="K959" s="11"/>
      <c r="L959" s="71"/>
      <c r="M959" s="11"/>
      <c r="N959" s="12"/>
      <c r="O959" s="12"/>
      <c r="P959" s="57"/>
      <c r="Q959" s="50"/>
      <c r="R959" s="50"/>
      <c r="S959" s="58"/>
      <c r="T959" s="58"/>
      <c r="U959" s="58"/>
      <c r="V959" s="59"/>
      <c r="W959" s="60"/>
    </row>
    <row r="960" spans="1:23" ht="29" customHeight="1" x14ac:dyDescent="0.35">
      <c r="A960" s="61"/>
      <c r="B960" s="55"/>
      <c r="C960" s="70"/>
      <c r="D960" s="12"/>
      <c r="E960" s="128"/>
      <c r="F960" s="12"/>
      <c r="G960" s="71"/>
      <c r="H960" s="71"/>
      <c r="I960" s="11"/>
      <c r="J960" s="71"/>
      <c r="K960" s="11"/>
      <c r="L960" s="71"/>
      <c r="M960" s="11"/>
      <c r="N960" s="12"/>
      <c r="O960" s="12"/>
      <c r="P960" s="57"/>
      <c r="Q960" s="50"/>
      <c r="R960" s="50"/>
      <c r="S960" s="58"/>
      <c r="T960" s="58"/>
      <c r="U960" s="58"/>
      <c r="V960" s="59"/>
      <c r="W960" s="60"/>
    </row>
    <row r="961" spans="1:23" ht="29" customHeight="1" x14ac:dyDescent="0.35">
      <c r="A961" s="61"/>
      <c r="B961" s="55"/>
      <c r="C961" s="70"/>
      <c r="D961" s="12"/>
      <c r="E961" s="128"/>
      <c r="F961" s="12"/>
      <c r="G961" s="71"/>
      <c r="H961" s="71"/>
      <c r="I961" s="11"/>
      <c r="J961" s="71"/>
      <c r="K961" s="11"/>
      <c r="L961" s="71"/>
      <c r="M961" s="11"/>
      <c r="N961" s="12"/>
      <c r="O961" s="12"/>
      <c r="P961" s="57"/>
      <c r="Q961" s="50"/>
      <c r="R961" s="50"/>
      <c r="S961" s="58"/>
      <c r="T961" s="58"/>
      <c r="U961" s="58"/>
      <c r="V961" s="59"/>
      <c r="W961" s="60"/>
    </row>
    <row r="962" spans="1:23" ht="29" customHeight="1" x14ac:dyDescent="0.35">
      <c r="A962" s="61"/>
      <c r="B962" s="55"/>
      <c r="C962" s="70"/>
      <c r="D962" s="12"/>
      <c r="E962" s="128"/>
      <c r="F962" s="12"/>
      <c r="G962" s="71"/>
      <c r="H962" s="71"/>
      <c r="I962" s="11"/>
      <c r="J962" s="71"/>
      <c r="K962" s="11"/>
      <c r="L962" s="71"/>
      <c r="M962" s="11"/>
      <c r="N962" s="12"/>
      <c r="O962" s="12"/>
      <c r="P962" s="57"/>
      <c r="Q962" s="50"/>
      <c r="R962" s="50"/>
      <c r="S962" s="58"/>
      <c r="T962" s="58"/>
      <c r="U962" s="58"/>
      <c r="V962" s="59"/>
      <c r="W962" s="60"/>
    </row>
    <row r="963" spans="1:23" ht="29" customHeight="1" x14ac:dyDescent="0.35">
      <c r="A963" s="61"/>
      <c r="B963" s="55"/>
      <c r="C963" s="70"/>
      <c r="D963" s="12"/>
      <c r="E963" s="128"/>
      <c r="F963" s="12"/>
      <c r="G963" s="71"/>
      <c r="H963" s="71"/>
      <c r="I963" s="11"/>
      <c r="J963" s="71"/>
      <c r="K963" s="11"/>
      <c r="L963" s="71"/>
      <c r="M963" s="11"/>
      <c r="N963" s="12"/>
      <c r="O963" s="12"/>
      <c r="P963" s="57"/>
      <c r="Q963" s="50"/>
      <c r="R963" s="50"/>
      <c r="S963" s="58"/>
      <c r="T963" s="58"/>
      <c r="U963" s="58"/>
      <c r="V963" s="59"/>
      <c r="W963" s="60"/>
    </row>
    <row r="964" spans="1:23" ht="29" customHeight="1" x14ac:dyDescent="0.35">
      <c r="A964" s="61"/>
      <c r="B964" s="55"/>
      <c r="C964" s="70"/>
      <c r="D964" s="12"/>
      <c r="E964" s="128"/>
      <c r="F964" s="12"/>
      <c r="G964" s="71"/>
      <c r="H964" s="71"/>
      <c r="I964" s="11"/>
      <c r="J964" s="71"/>
      <c r="K964" s="11"/>
      <c r="L964" s="71"/>
      <c r="M964" s="11"/>
      <c r="N964" s="12"/>
      <c r="O964" s="12"/>
      <c r="P964" s="57"/>
      <c r="Q964" s="50"/>
      <c r="R964" s="50"/>
      <c r="S964" s="58"/>
      <c r="T964" s="58"/>
      <c r="U964" s="58"/>
      <c r="V964" s="59"/>
      <c r="W964" s="60"/>
    </row>
    <row r="965" spans="1:23" ht="29" customHeight="1" x14ac:dyDescent="0.35">
      <c r="A965" s="61"/>
      <c r="B965" s="55"/>
      <c r="C965" s="70"/>
      <c r="D965" s="12"/>
      <c r="E965" s="128"/>
      <c r="F965" s="12"/>
      <c r="G965" s="71"/>
      <c r="H965" s="71"/>
      <c r="I965" s="11"/>
      <c r="J965" s="71"/>
      <c r="K965" s="11"/>
      <c r="L965" s="71"/>
      <c r="M965" s="11"/>
      <c r="N965" s="12"/>
      <c r="O965" s="12"/>
      <c r="P965" s="57"/>
      <c r="Q965" s="50"/>
      <c r="R965" s="50"/>
      <c r="S965" s="58"/>
      <c r="T965" s="58"/>
      <c r="U965" s="58"/>
      <c r="V965" s="59"/>
      <c r="W965" s="60"/>
    </row>
    <row r="966" spans="1:23" ht="29" customHeight="1" x14ac:dyDescent="0.35">
      <c r="A966" s="61"/>
      <c r="B966" s="55"/>
      <c r="C966" s="70"/>
      <c r="D966" s="12"/>
      <c r="E966" s="128"/>
      <c r="F966" s="12"/>
      <c r="G966" s="71"/>
      <c r="H966" s="71"/>
      <c r="I966" s="11"/>
      <c r="J966" s="71"/>
      <c r="K966" s="11"/>
      <c r="L966" s="71"/>
      <c r="M966" s="11"/>
      <c r="N966" s="12"/>
      <c r="O966" s="12"/>
      <c r="P966" s="57"/>
      <c r="Q966" s="50"/>
      <c r="R966" s="50"/>
      <c r="S966" s="58"/>
      <c r="T966" s="58"/>
      <c r="U966" s="58"/>
      <c r="V966" s="59"/>
      <c r="W966" s="60"/>
    </row>
    <row r="967" spans="1:23" ht="29" customHeight="1" x14ac:dyDescent="0.35">
      <c r="A967" s="61"/>
      <c r="B967" s="55"/>
      <c r="C967" s="70"/>
      <c r="D967" s="12"/>
      <c r="E967" s="128"/>
      <c r="F967" s="12"/>
      <c r="G967" s="71"/>
      <c r="H967" s="71"/>
      <c r="I967" s="11"/>
      <c r="J967" s="71"/>
      <c r="K967" s="11"/>
      <c r="L967" s="71"/>
      <c r="M967" s="11"/>
      <c r="N967" s="12"/>
      <c r="O967" s="12"/>
      <c r="P967" s="57"/>
      <c r="Q967" s="50"/>
      <c r="R967" s="50"/>
      <c r="S967" s="58"/>
      <c r="T967" s="58"/>
      <c r="U967" s="58"/>
      <c r="V967" s="59"/>
      <c r="W967" s="60"/>
    </row>
    <row r="968" spans="1:23" ht="29" customHeight="1" x14ac:dyDescent="0.35">
      <c r="A968" s="61"/>
      <c r="B968" s="55"/>
      <c r="C968" s="70"/>
      <c r="D968" s="12"/>
      <c r="E968" s="128"/>
      <c r="F968" s="12"/>
      <c r="G968" s="71"/>
      <c r="H968" s="71"/>
      <c r="I968" s="11"/>
      <c r="J968" s="71"/>
      <c r="K968" s="11"/>
      <c r="L968" s="71"/>
      <c r="M968" s="11"/>
      <c r="N968" s="12"/>
      <c r="O968" s="12"/>
      <c r="P968" s="57"/>
      <c r="Q968" s="50"/>
      <c r="R968" s="50"/>
      <c r="S968" s="58"/>
      <c r="T968" s="58"/>
      <c r="U968" s="58"/>
      <c r="V968" s="59"/>
      <c r="W968" s="60"/>
    </row>
    <row r="969" spans="1:23" ht="29" customHeight="1" x14ac:dyDescent="0.35">
      <c r="A969" s="61"/>
      <c r="B969" s="55"/>
      <c r="C969" s="70"/>
      <c r="D969" s="12"/>
      <c r="E969" s="128"/>
      <c r="F969" s="12"/>
      <c r="G969" s="71"/>
      <c r="H969" s="71"/>
      <c r="I969" s="11"/>
      <c r="J969" s="71"/>
      <c r="K969" s="11"/>
      <c r="L969" s="71"/>
      <c r="M969" s="11"/>
      <c r="N969" s="12"/>
      <c r="O969" s="12"/>
      <c r="P969" s="57"/>
      <c r="Q969" s="50"/>
      <c r="R969" s="50"/>
      <c r="S969" s="58"/>
      <c r="T969" s="58"/>
      <c r="U969" s="58"/>
      <c r="V969" s="59"/>
      <c r="W969" s="60"/>
    </row>
    <row r="970" spans="1:23" ht="29" customHeight="1" x14ac:dyDescent="0.35">
      <c r="A970" s="61"/>
      <c r="B970" s="55"/>
      <c r="C970" s="70"/>
      <c r="D970" s="12"/>
      <c r="E970" s="128"/>
      <c r="F970" s="12"/>
      <c r="G970" s="71"/>
      <c r="H970" s="71"/>
      <c r="I970" s="11"/>
      <c r="J970" s="71"/>
      <c r="K970" s="11"/>
      <c r="L970" s="71"/>
      <c r="M970" s="11"/>
      <c r="N970" s="12"/>
      <c r="O970" s="12"/>
      <c r="P970" s="57"/>
      <c r="Q970" s="50"/>
      <c r="R970" s="50"/>
      <c r="S970" s="58"/>
      <c r="T970" s="58"/>
      <c r="U970" s="58"/>
      <c r="V970" s="59"/>
      <c r="W970" s="60"/>
    </row>
    <row r="971" spans="1:23" ht="29" customHeight="1" x14ac:dyDescent="0.35">
      <c r="A971" s="61"/>
      <c r="B971" s="55"/>
      <c r="C971" s="70"/>
      <c r="D971" s="12"/>
      <c r="E971" s="128"/>
      <c r="F971" s="12"/>
      <c r="G971" s="71"/>
      <c r="H971" s="71"/>
      <c r="I971" s="11"/>
      <c r="J971" s="71"/>
      <c r="K971" s="11"/>
      <c r="L971" s="71"/>
      <c r="M971" s="11"/>
      <c r="N971" s="12"/>
      <c r="O971" s="12"/>
      <c r="P971" s="57"/>
      <c r="Q971" s="50"/>
      <c r="R971" s="50"/>
      <c r="S971" s="58"/>
      <c r="T971" s="58"/>
      <c r="U971" s="58"/>
      <c r="V971" s="59"/>
      <c r="W971" s="60"/>
    </row>
    <row r="972" spans="1:23" ht="29" customHeight="1" x14ac:dyDescent="0.35">
      <c r="A972" s="61"/>
      <c r="B972" s="55"/>
      <c r="C972" s="70"/>
      <c r="D972" s="12"/>
      <c r="E972" s="128"/>
      <c r="F972" s="12"/>
      <c r="G972" s="71"/>
      <c r="H972" s="71"/>
      <c r="I972" s="56"/>
      <c r="J972" s="71"/>
      <c r="K972" s="56"/>
      <c r="L972" s="71"/>
      <c r="M972" s="56"/>
      <c r="N972" s="12"/>
      <c r="O972" s="12"/>
      <c r="P972" s="57"/>
      <c r="Q972" s="50"/>
      <c r="R972" s="50"/>
      <c r="S972" s="58"/>
      <c r="T972" s="58"/>
      <c r="U972" s="58"/>
      <c r="V972" s="59"/>
      <c r="W972" s="60"/>
    </row>
    <row r="973" spans="1:23" ht="29" customHeight="1" x14ac:dyDescent="0.35">
      <c r="A973" s="61"/>
      <c r="B973" s="55"/>
      <c r="C973" s="70"/>
      <c r="D973" s="12"/>
      <c r="E973" s="128"/>
      <c r="F973" s="12"/>
      <c r="G973" s="71"/>
      <c r="H973" s="71"/>
      <c r="I973" s="56"/>
      <c r="J973" s="71"/>
      <c r="K973" s="56"/>
      <c r="L973" s="71"/>
      <c r="M973" s="56"/>
      <c r="N973" s="12"/>
      <c r="O973" s="12"/>
      <c r="P973" s="57"/>
      <c r="Q973" s="50"/>
      <c r="R973" s="50"/>
      <c r="S973" s="58"/>
      <c r="T973" s="58"/>
      <c r="U973" s="58"/>
      <c r="V973" s="59"/>
      <c r="W973" s="60"/>
    </row>
    <row r="974" spans="1:23" ht="29" customHeight="1" x14ac:dyDescent="0.35">
      <c r="A974" s="61"/>
      <c r="B974" s="55"/>
      <c r="C974" s="70"/>
      <c r="D974" s="12"/>
      <c r="E974" s="128"/>
      <c r="F974" s="12"/>
      <c r="G974" s="71"/>
      <c r="H974" s="71"/>
      <c r="I974" s="56"/>
      <c r="J974" s="71"/>
      <c r="K974" s="56"/>
      <c r="L974" s="71"/>
      <c r="M974" s="56"/>
      <c r="N974" s="12"/>
      <c r="O974" s="12"/>
      <c r="P974" s="57"/>
      <c r="Q974" s="50"/>
      <c r="R974" s="50"/>
      <c r="S974" s="58"/>
      <c r="T974" s="58"/>
      <c r="U974" s="58"/>
      <c r="V974" s="59"/>
      <c r="W974" s="60"/>
    </row>
    <row r="975" spans="1:23" ht="29" customHeight="1" x14ac:dyDescent="0.35">
      <c r="A975" s="61"/>
      <c r="B975" s="55"/>
      <c r="C975" s="70"/>
      <c r="D975" s="12"/>
      <c r="E975" s="128"/>
      <c r="F975" s="12"/>
      <c r="G975" s="71"/>
      <c r="H975" s="71"/>
      <c r="I975" s="56"/>
      <c r="J975" s="71"/>
      <c r="K975" s="56"/>
      <c r="L975" s="71"/>
      <c r="M975" s="56"/>
      <c r="N975" s="12"/>
      <c r="O975" s="12"/>
      <c r="P975" s="57"/>
      <c r="Q975" s="50"/>
      <c r="R975" s="50"/>
      <c r="S975" s="58"/>
      <c r="T975" s="58"/>
      <c r="U975" s="58"/>
      <c r="V975" s="59"/>
      <c r="W975" s="60"/>
    </row>
    <row r="976" spans="1:23" ht="29" customHeight="1" x14ac:dyDescent="0.35">
      <c r="A976" s="61"/>
      <c r="B976" s="55"/>
      <c r="C976" s="70"/>
      <c r="D976" s="12"/>
      <c r="E976" s="128"/>
      <c r="F976" s="12"/>
      <c r="G976" s="71"/>
      <c r="H976" s="71"/>
      <c r="I976" s="56"/>
      <c r="J976" s="71"/>
      <c r="K976" s="56"/>
      <c r="L976" s="71"/>
      <c r="M976" s="56"/>
      <c r="N976" s="12"/>
      <c r="O976" s="12"/>
      <c r="P976" s="57"/>
      <c r="Q976" s="50"/>
      <c r="R976" s="50"/>
      <c r="S976" s="58"/>
      <c r="T976" s="58"/>
      <c r="U976" s="58"/>
      <c r="V976" s="59"/>
      <c r="W976" s="60"/>
    </row>
    <row r="977" spans="1:23" ht="29" customHeight="1" x14ac:dyDescent="0.35">
      <c r="A977" s="61"/>
      <c r="B977" s="55"/>
      <c r="C977" s="70"/>
      <c r="D977" s="12"/>
      <c r="E977" s="128"/>
      <c r="F977" s="12"/>
      <c r="G977" s="71"/>
      <c r="H977" s="71"/>
      <c r="I977" s="56"/>
      <c r="J977" s="71"/>
      <c r="K977" s="56"/>
      <c r="L977" s="71"/>
      <c r="M977" s="56"/>
      <c r="N977" s="12"/>
      <c r="O977" s="12"/>
      <c r="P977" s="57"/>
      <c r="Q977" s="50"/>
      <c r="R977" s="50"/>
      <c r="S977" s="58"/>
      <c r="T977" s="58"/>
      <c r="U977" s="58"/>
      <c r="V977" s="59"/>
      <c r="W977" s="60"/>
    </row>
    <row r="978" spans="1:23" ht="29" customHeight="1" x14ac:dyDescent="0.35">
      <c r="A978" s="61"/>
      <c r="B978" s="55"/>
      <c r="C978" s="70"/>
      <c r="D978" s="12"/>
      <c r="E978" s="128"/>
      <c r="F978" s="12"/>
      <c r="G978" s="71"/>
      <c r="H978" s="71"/>
      <c r="I978" s="56"/>
      <c r="J978" s="71"/>
      <c r="K978" s="56"/>
      <c r="L978" s="71"/>
      <c r="M978" s="56"/>
      <c r="N978" s="12"/>
      <c r="O978" s="12"/>
      <c r="P978" s="57"/>
      <c r="Q978" s="50"/>
      <c r="R978" s="50"/>
      <c r="S978" s="58"/>
      <c r="T978" s="58"/>
      <c r="U978" s="58"/>
      <c r="V978" s="59"/>
      <c r="W978" s="60"/>
    </row>
    <row r="979" spans="1:23" ht="29" customHeight="1" x14ac:dyDescent="0.35">
      <c r="A979" s="61"/>
      <c r="B979" s="55"/>
      <c r="C979" s="70"/>
      <c r="D979" s="12"/>
      <c r="E979" s="128"/>
      <c r="F979" s="12"/>
      <c r="G979" s="71"/>
      <c r="H979" s="71"/>
      <c r="I979" s="56"/>
      <c r="J979" s="71"/>
      <c r="K979" s="56"/>
      <c r="L979" s="71"/>
      <c r="M979" s="56"/>
      <c r="N979" s="12"/>
      <c r="O979" s="12"/>
      <c r="P979" s="57"/>
      <c r="Q979" s="50"/>
      <c r="R979" s="50"/>
      <c r="S979" s="58"/>
      <c r="T979" s="58"/>
      <c r="U979" s="58"/>
      <c r="V979" s="59"/>
      <c r="W979" s="60"/>
    </row>
    <row r="980" spans="1:23" ht="29" customHeight="1" x14ac:dyDescent="0.35">
      <c r="A980" s="61"/>
      <c r="B980" s="55"/>
      <c r="C980" s="70"/>
      <c r="D980" s="12"/>
      <c r="E980" s="128"/>
      <c r="F980" s="12"/>
      <c r="G980" s="71"/>
      <c r="H980" s="71"/>
      <c r="I980" s="56"/>
      <c r="J980" s="71"/>
      <c r="K980" s="56"/>
      <c r="L980" s="71"/>
      <c r="M980" s="56"/>
      <c r="N980" s="12"/>
      <c r="O980" s="12"/>
      <c r="P980" s="57"/>
      <c r="Q980" s="50"/>
      <c r="R980" s="50"/>
      <c r="S980" s="58"/>
      <c r="T980" s="58"/>
      <c r="U980" s="58"/>
      <c r="V980" s="59"/>
      <c r="W980" s="60"/>
    </row>
    <row r="981" spans="1:23" ht="29" customHeight="1" x14ac:dyDescent="0.35">
      <c r="A981" s="61"/>
      <c r="B981" s="55"/>
      <c r="C981" s="70"/>
      <c r="D981" s="12"/>
      <c r="E981" s="128"/>
      <c r="F981" s="12"/>
      <c r="G981" s="71"/>
      <c r="H981" s="71"/>
      <c r="I981" s="56"/>
      <c r="J981" s="71"/>
      <c r="K981" s="56"/>
      <c r="L981" s="71"/>
      <c r="M981" s="56"/>
      <c r="N981" s="12"/>
      <c r="O981" s="12"/>
      <c r="P981" s="57"/>
      <c r="Q981" s="50"/>
      <c r="R981" s="50"/>
      <c r="S981" s="58"/>
      <c r="T981" s="58"/>
      <c r="U981" s="58"/>
      <c r="V981" s="59"/>
      <c r="W981" s="60"/>
    </row>
    <row r="982" spans="1:23" ht="29" customHeight="1" x14ac:dyDescent="0.35">
      <c r="A982" s="61"/>
      <c r="B982" s="55"/>
      <c r="C982" s="70"/>
      <c r="D982" s="12"/>
      <c r="E982" s="128"/>
      <c r="F982" s="12"/>
      <c r="G982" s="71"/>
      <c r="H982" s="71"/>
      <c r="I982" s="56"/>
      <c r="J982" s="71"/>
      <c r="K982" s="56"/>
      <c r="L982" s="71"/>
      <c r="M982" s="56"/>
      <c r="N982" s="12"/>
      <c r="O982" s="12"/>
      <c r="P982" s="57"/>
      <c r="Q982" s="50"/>
      <c r="R982" s="50"/>
      <c r="S982" s="58"/>
      <c r="T982" s="58"/>
      <c r="U982" s="58"/>
      <c r="V982" s="59"/>
      <c r="W982" s="60"/>
    </row>
    <row r="983" spans="1:23" ht="29" customHeight="1" x14ac:dyDescent="0.35">
      <c r="A983" s="61"/>
      <c r="B983" s="55"/>
      <c r="C983" s="70"/>
      <c r="D983" s="12"/>
      <c r="E983" s="128"/>
      <c r="F983" s="12"/>
      <c r="G983" s="71"/>
      <c r="H983" s="71"/>
      <c r="I983" s="56"/>
      <c r="J983" s="71"/>
      <c r="K983" s="56"/>
      <c r="L983" s="71"/>
      <c r="M983" s="56"/>
      <c r="N983" s="12"/>
      <c r="O983" s="12"/>
      <c r="P983" s="57"/>
      <c r="Q983" s="50"/>
      <c r="R983" s="50"/>
      <c r="S983" s="58"/>
      <c r="T983" s="58"/>
      <c r="U983" s="58"/>
      <c r="V983" s="59"/>
      <c r="W983" s="60"/>
    </row>
    <row r="984" spans="1:23" ht="29" customHeight="1" x14ac:dyDescent="0.35">
      <c r="A984" s="61"/>
      <c r="B984" s="55"/>
      <c r="C984" s="70"/>
      <c r="D984" s="12"/>
      <c r="E984" s="128"/>
      <c r="F984" s="12"/>
      <c r="G984" s="71"/>
      <c r="H984" s="71"/>
      <c r="I984" s="56"/>
      <c r="J984" s="71"/>
      <c r="K984" s="56"/>
      <c r="L984" s="71"/>
      <c r="M984" s="56"/>
      <c r="N984" s="12"/>
      <c r="O984" s="12"/>
      <c r="P984" s="57"/>
      <c r="Q984" s="50"/>
      <c r="R984" s="50"/>
      <c r="S984" s="58"/>
      <c r="T984" s="58"/>
      <c r="U984" s="58"/>
      <c r="V984" s="59"/>
      <c r="W984" s="60"/>
    </row>
    <row r="985" spans="1:23" ht="29" customHeight="1" x14ac:dyDescent="0.35">
      <c r="A985" s="61"/>
      <c r="B985" s="55"/>
      <c r="C985" s="70"/>
      <c r="D985" s="12"/>
      <c r="E985" s="128"/>
      <c r="F985" s="12"/>
      <c r="G985" s="71"/>
      <c r="H985" s="71"/>
      <c r="I985" s="56"/>
      <c r="J985" s="71"/>
      <c r="K985" s="56"/>
      <c r="L985" s="71"/>
      <c r="M985" s="56"/>
      <c r="N985" s="12"/>
      <c r="O985" s="12"/>
      <c r="P985" s="57"/>
      <c r="Q985" s="50"/>
      <c r="R985" s="50"/>
      <c r="S985" s="58"/>
      <c r="T985" s="58"/>
      <c r="U985" s="58"/>
      <c r="V985" s="59"/>
      <c r="W985" s="60"/>
    </row>
    <row r="986" spans="1:23" ht="29" customHeight="1" x14ac:dyDescent="0.35">
      <c r="A986" s="61"/>
      <c r="B986" s="55"/>
      <c r="C986" s="70"/>
      <c r="D986" s="12"/>
      <c r="E986" s="128"/>
      <c r="F986" s="12"/>
      <c r="G986" s="71"/>
      <c r="H986" s="71"/>
      <c r="I986" s="56"/>
      <c r="J986" s="71"/>
      <c r="K986" s="56"/>
      <c r="L986" s="71"/>
      <c r="M986" s="56"/>
      <c r="N986" s="12"/>
      <c r="O986" s="12"/>
      <c r="P986" s="57"/>
      <c r="Q986" s="50"/>
      <c r="R986" s="50"/>
      <c r="S986" s="58"/>
      <c r="T986" s="58"/>
      <c r="U986" s="58"/>
      <c r="V986" s="59"/>
      <c r="W986" s="60"/>
    </row>
    <row r="987" spans="1:23" ht="29" customHeight="1" x14ac:dyDescent="0.35">
      <c r="A987" s="61"/>
      <c r="B987" s="55"/>
      <c r="C987" s="70"/>
      <c r="D987" s="12"/>
      <c r="E987" s="128"/>
      <c r="F987" s="12"/>
      <c r="G987" s="71"/>
      <c r="H987" s="71"/>
      <c r="I987" s="56"/>
      <c r="J987" s="71"/>
      <c r="K987" s="56"/>
      <c r="L987" s="71"/>
      <c r="M987" s="56"/>
      <c r="N987" s="12"/>
      <c r="O987" s="12"/>
      <c r="P987" s="57"/>
      <c r="Q987" s="50"/>
      <c r="R987" s="50"/>
      <c r="S987" s="58"/>
      <c r="T987" s="58"/>
      <c r="U987" s="58"/>
      <c r="V987" s="59"/>
      <c r="W987" s="60"/>
    </row>
    <row r="988" spans="1:23" ht="29" customHeight="1" x14ac:dyDescent="0.35">
      <c r="A988" s="61"/>
      <c r="B988" s="55"/>
      <c r="C988" s="70"/>
      <c r="D988" s="12"/>
      <c r="E988" s="128"/>
      <c r="F988" s="12"/>
      <c r="G988" s="71"/>
      <c r="H988" s="71"/>
      <c r="I988" s="56"/>
      <c r="J988" s="71"/>
      <c r="K988" s="56"/>
      <c r="L988" s="71"/>
      <c r="M988" s="56"/>
      <c r="N988" s="12"/>
      <c r="O988" s="12"/>
      <c r="P988" s="57"/>
      <c r="Q988" s="50"/>
      <c r="R988" s="50"/>
      <c r="S988" s="58"/>
      <c r="T988" s="58"/>
      <c r="U988" s="58"/>
      <c r="V988" s="59"/>
      <c r="W988" s="60"/>
    </row>
    <row r="989" spans="1:23" ht="29" customHeight="1" x14ac:dyDescent="0.35">
      <c r="A989" s="61"/>
      <c r="B989" s="55"/>
      <c r="C989" s="70"/>
      <c r="D989" s="12"/>
      <c r="E989" s="128"/>
      <c r="F989" s="12"/>
      <c r="G989" s="71"/>
      <c r="H989" s="71"/>
      <c r="I989" s="56"/>
      <c r="J989" s="71"/>
      <c r="K989" s="56"/>
      <c r="L989" s="71"/>
      <c r="M989" s="56"/>
      <c r="N989" s="12"/>
      <c r="O989" s="12"/>
      <c r="P989" s="57"/>
      <c r="Q989" s="50"/>
      <c r="R989" s="50"/>
      <c r="S989" s="58"/>
      <c r="T989" s="58"/>
      <c r="U989" s="58"/>
      <c r="V989" s="59"/>
      <c r="W989" s="60"/>
    </row>
    <row r="990" spans="1:23" ht="29" customHeight="1" x14ac:dyDescent="0.35">
      <c r="A990" s="61"/>
      <c r="B990" s="55"/>
      <c r="C990" s="70"/>
      <c r="D990" s="12"/>
      <c r="E990" s="128"/>
      <c r="F990" s="12"/>
      <c r="G990" s="71"/>
      <c r="H990" s="71"/>
      <c r="I990" s="56"/>
      <c r="J990" s="71"/>
      <c r="K990" s="56"/>
      <c r="L990" s="71"/>
      <c r="M990" s="56"/>
      <c r="N990" s="12"/>
      <c r="O990" s="12"/>
      <c r="P990" s="57"/>
      <c r="Q990" s="50"/>
      <c r="R990" s="50"/>
      <c r="S990" s="58"/>
      <c r="T990" s="58"/>
      <c r="U990" s="58"/>
      <c r="V990" s="59"/>
      <c r="W990" s="60"/>
    </row>
    <row r="991" spans="1:23" ht="29" customHeight="1" x14ac:dyDescent="0.35">
      <c r="A991" s="61"/>
      <c r="B991" s="55"/>
      <c r="C991" s="70"/>
      <c r="D991" s="12"/>
      <c r="E991" s="128"/>
      <c r="F991" s="12"/>
      <c r="G991" s="71"/>
      <c r="H991" s="71"/>
      <c r="I991" s="56"/>
      <c r="J991" s="71"/>
      <c r="K991" s="56"/>
      <c r="L991" s="71"/>
      <c r="M991" s="56"/>
      <c r="N991" s="12"/>
      <c r="O991" s="12"/>
      <c r="P991" s="57"/>
      <c r="Q991" s="50"/>
      <c r="R991" s="50"/>
      <c r="S991" s="58"/>
      <c r="T991" s="58"/>
      <c r="U991" s="58"/>
      <c r="V991" s="59"/>
      <c r="W991" s="60"/>
    </row>
    <row r="992" spans="1:23" ht="29" customHeight="1" x14ac:dyDescent="0.35">
      <c r="A992" s="61"/>
      <c r="B992" s="55"/>
      <c r="C992" s="70"/>
      <c r="D992" s="12"/>
      <c r="E992" s="128"/>
      <c r="F992" s="12"/>
      <c r="G992" s="71"/>
      <c r="H992" s="71"/>
      <c r="I992" s="56"/>
      <c r="J992" s="71"/>
      <c r="K992" s="56"/>
      <c r="L992" s="71"/>
      <c r="M992" s="56"/>
      <c r="N992" s="12"/>
      <c r="O992" s="12"/>
      <c r="P992" s="57"/>
      <c r="Q992" s="50"/>
      <c r="R992" s="50"/>
      <c r="S992" s="58"/>
      <c r="T992" s="58"/>
      <c r="U992" s="58"/>
      <c r="V992" s="59"/>
      <c r="W992" s="60"/>
    </row>
    <row r="993" spans="1:23" ht="29" customHeight="1" x14ac:dyDescent="0.35">
      <c r="A993" s="61"/>
      <c r="B993" s="55"/>
      <c r="C993" s="70"/>
      <c r="D993" s="12"/>
      <c r="E993" s="128"/>
      <c r="F993" s="12"/>
      <c r="G993" s="71"/>
      <c r="H993" s="71"/>
      <c r="I993" s="56"/>
      <c r="J993" s="71"/>
      <c r="K993" s="56"/>
      <c r="L993" s="71"/>
      <c r="M993" s="56"/>
      <c r="N993" s="12"/>
      <c r="O993" s="12"/>
      <c r="P993" s="57"/>
      <c r="Q993" s="50"/>
      <c r="R993" s="50"/>
      <c r="S993" s="58"/>
      <c r="T993" s="58"/>
      <c r="U993" s="58"/>
      <c r="V993" s="59"/>
      <c r="W993" s="60"/>
    </row>
    <row r="994" spans="1:23" ht="29" customHeight="1" x14ac:dyDescent="0.35">
      <c r="A994" s="61"/>
      <c r="B994" s="55"/>
      <c r="C994" s="70"/>
      <c r="D994" s="12"/>
      <c r="E994" s="128"/>
      <c r="F994" s="12"/>
      <c r="G994" s="71"/>
      <c r="H994" s="71"/>
      <c r="I994" s="56"/>
      <c r="J994" s="71"/>
      <c r="K994" s="56"/>
      <c r="L994" s="71"/>
      <c r="M994" s="56"/>
      <c r="N994" s="12"/>
      <c r="O994" s="12"/>
      <c r="P994" s="57"/>
      <c r="Q994" s="50"/>
      <c r="R994" s="50"/>
      <c r="S994" s="58"/>
      <c r="T994" s="58"/>
      <c r="U994" s="58"/>
      <c r="V994" s="59"/>
      <c r="W994" s="60"/>
    </row>
    <row r="995" spans="1:23" ht="29" customHeight="1" x14ac:dyDescent="0.35">
      <c r="A995" s="61"/>
      <c r="B995" s="55"/>
      <c r="C995" s="70"/>
      <c r="D995" s="12"/>
      <c r="E995" s="128"/>
      <c r="F995" s="12"/>
      <c r="G995" s="71"/>
      <c r="H995" s="71"/>
      <c r="I995" s="56"/>
      <c r="J995" s="71"/>
      <c r="K995" s="56"/>
      <c r="L995" s="71"/>
      <c r="M995" s="56"/>
      <c r="N995" s="12"/>
      <c r="O995" s="12"/>
      <c r="P995" s="57"/>
      <c r="Q995" s="50"/>
      <c r="R995" s="50"/>
      <c r="S995" s="58"/>
      <c r="T995" s="58"/>
      <c r="U995" s="58"/>
      <c r="V995" s="59"/>
      <c r="W995" s="60"/>
    </row>
    <row r="996" spans="1:23" ht="29" customHeight="1" x14ac:dyDescent="0.35">
      <c r="A996" s="61"/>
      <c r="B996" s="55"/>
      <c r="C996" s="70"/>
      <c r="D996" s="12"/>
      <c r="E996" s="128"/>
      <c r="F996" s="12"/>
      <c r="G996" s="71"/>
      <c r="H996" s="71"/>
      <c r="I996" s="56"/>
      <c r="J996" s="71"/>
      <c r="K996" s="56"/>
      <c r="L996" s="71"/>
      <c r="M996" s="56"/>
      <c r="N996" s="12"/>
      <c r="O996" s="12"/>
      <c r="P996" s="57"/>
      <c r="Q996" s="50"/>
      <c r="R996" s="50"/>
      <c r="S996" s="58"/>
      <c r="T996" s="58"/>
      <c r="U996" s="58"/>
      <c r="V996" s="59"/>
      <c r="W996" s="60"/>
    </row>
    <row r="997" spans="1:23" ht="29" customHeight="1" x14ac:dyDescent="0.35">
      <c r="A997" s="61"/>
      <c r="B997" s="55"/>
      <c r="C997" s="70"/>
      <c r="D997" s="12"/>
      <c r="E997" s="128"/>
      <c r="F997" s="12"/>
      <c r="G997" s="71"/>
      <c r="H997" s="71"/>
      <c r="I997" s="56"/>
      <c r="J997" s="71"/>
      <c r="K997" s="56"/>
      <c r="L997" s="71"/>
      <c r="M997" s="56"/>
      <c r="N997" s="12"/>
      <c r="O997" s="12"/>
      <c r="P997" s="57"/>
      <c r="Q997" s="50"/>
      <c r="R997" s="50"/>
      <c r="S997" s="58"/>
      <c r="T997" s="58"/>
      <c r="U997" s="58"/>
      <c r="V997" s="59"/>
      <c r="W997" s="60"/>
    </row>
    <row r="998" spans="1:23" ht="29" customHeight="1" x14ac:dyDescent="0.35">
      <c r="A998" s="61"/>
      <c r="B998" s="55"/>
      <c r="C998" s="70"/>
      <c r="D998" s="12"/>
      <c r="E998" s="128"/>
      <c r="F998" s="12"/>
      <c r="G998" s="71"/>
      <c r="H998" s="71"/>
      <c r="I998" s="56"/>
      <c r="J998" s="71"/>
      <c r="K998" s="56"/>
      <c r="L998" s="71"/>
      <c r="M998" s="56"/>
      <c r="N998" s="12"/>
      <c r="O998" s="12"/>
      <c r="P998" s="57"/>
      <c r="Q998" s="50"/>
      <c r="R998" s="50"/>
      <c r="S998" s="58"/>
      <c r="T998" s="58"/>
      <c r="U998" s="58"/>
      <c r="V998" s="59"/>
      <c r="W998" s="60"/>
    </row>
    <row r="999" spans="1:23" ht="29" customHeight="1" x14ac:dyDescent="0.35">
      <c r="A999" s="61"/>
      <c r="B999" s="55"/>
      <c r="C999" s="70"/>
      <c r="D999" s="12"/>
      <c r="E999" s="128"/>
      <c r="F999" s="12"/>
      <c r="G999" s="71"/>
      <c r="H999" s="71"/>
      <c r="I999" s="56"/>
      <c r="J999" s="71"/>
      <c r="K999" s="56"/>
      <c r="L999" s="71"/>
      <c r="M999" s="56"/>
      <c r="N999" s="12"/>
      <c r="O999" s="12"/>
      <c r="P999" s="57"/>
      <c r="Q999" s="50"/>
      <c r="R999" s="50"/>
      <c r="S999" s="58"/>
      <c r="T999" s="58"/>
      <c r="U999" s="58"/>
      <c r="V999" s="59"/>
      <c r="W999" s="60"/>
    </row>
    <row r="1000" spans="1:23" ht="29" customHeight="1" x14ac:dyDescent="0.35">
      <c r="A1000" s="61"/>
      <c r="B1000" s="55"/>
      <c r="C1000" s="70"/>
      <c r="D1000" s="12"/>
      <c r="E1000" s="128"/>
      <c r="F1000" s="12"/>
      <c r="G1000" s="71"/>
      <c r="H1000" s="71"/>
      <c r="I1000" s="56"/>
      <c r="J1000" s="71"/>
      <c r="K1000" s="56"/>
      <c r="L1000" s="71"/>
      <c r="M1000" s="56"/>
      <c r="N1000" s="12"/>
      <c r="O1000" s="12"/>
      <c r="P1000" s="57"/>
      <c r="Q1000" s="50"/>
      <c r="R1000" s="50"/>
      <c r="S1000" s="58"/>
      <c r="T1000" s="58"/>
      <c r="U1000" s="58"/>
      <c r="V1000" s="59"/>
      <c r="W1000" s="60"/>
    </row>
    <row r="1001" spans="1:23" ht="29" customHeight="1" x14ac:dyDescent="0.35">
      <c r="A1001" s="61"/>
      <c r="B1001" s="55"/>
      <c r="C1001" s="70"/>
      <c r="D1001" s="12"/>
      <c r="E1001" s="128"/>
      <c r="F1001" s="12"/>
      <c r="G1001" s="71"/>
      <c r="H1001" s="71"/>
      <c r="I1001" s="56"/>
      <c r="J1001" s="71"/>
      <c r="K1001" s="56"/>
      <c r="L1001" s="71"/>
      <c r="M1001" s="56"/>
      <c r="N1001" s="12"/>
      <c r="O1001" s="12"/>
      <c r="P1001" s="57"/>
      <c r="Q1001" s="50"/>
      <c r="R1001" s="50"/>
      <c r="S1001" s="58"/>
      <c r="T1001" s="58"/>
      <c r="U1001" s="58"/>
      <c r="V1001" s="59"/>
      <c r="W1001" s="60"/>
    </row>
    <row r="1002" spans="1:23" ht="29" customHeight="1" x14ac:dyDescent="0.35">
      <c r="A1002" s="61"/>
      <c r="B1002" s="55"/>
      <c r="C1002" s="70"/>
      <c r="D1002" s="12"/>
      <c r="E1002" s="128"/>
      <c r="F1002" s="12"/>
      <c r="G1002" s="71"/>
      <c r="H1002" s="71"/>
      <c r="I1002" s="56"/>
      <c r="J1002" s="71"/>
      <c r="K1002" s="56"/>
      <c r="L1002" s="71"/>
      <c r="M1002" s="56"/>
      <c r="N1002" s="12"/>
      <c r="O1002" s="12"/>
      <c r="P1002" s="57"/>
      <c r="Q1002" s="50"/>
      <c r="R1002" s="50"/>
      <c r="S1002" s="58"/>
      <c r="T1002" s="58"/>
      <c r="U1002" s="58"/>
      <c r="V1002" s="59"/>
      <c r="W1002" s="60"/>
    </row>
    <row r="1003" spans="1:23" ht="29" customHeight="1" x14ac:dyDescent="0.35">
      <c r="A1003" s="61"/>
      <c r="B1003" s="55"/>
      <c r="C1003" s="70"/>
      <c r="D1003" s="12"/>
      <c r="E1003" s="128"/>
      <c r="F1003" s="12"/>
      <c r="G1003" s="71"/>
      <c r="H1003" s="71"/>
      <c r="I1003" s="56"/>
      <c r="J1003" s="71"/>
      <c r="K1003" s="56"/>
      <c r="L1003" s="71"/>
      <c r="M1003" s="56"/>
      <c r="N1003" s="12"/>
      <c r="O1003" s="12"/>
      <c r="P1003" s="57"/>
      <c r="Q1003" s="50"/>
      <c r="R1003" s="50"/>
      <c r="S1003" s="58"/>
      <c r="T1003" s="58"/>
      <c r="U1003" s="58"/>
      <c r="V1003" s="59"/>
      <c r="W1003" s="60"/>
    </row>
    <row r="1004" spans="1:23" ht="29" customHeight="1" x14ac:dyDescent="0.35">
      <c r="A1004" s="61"/>
      <c r="B1004" s="55"/>
      <c r="C1004" s="70"/>
      <c r="D1004" s="12"/>
      <c r="E1004" s="128"/>
      <c r="F1004" s="12"/>
      <c r="G1004" s="71"/>
      <c r="H1004" s="71"/>
      <c r="I1004" s="56"/>
      <c r="J1004" s="71"/>
      <c r="K1004" s="56"/>
      <c r="L1004" s="71"/>
      <c r="M1004" s="56"/>
      <c r="N1004" s="12"/>
      <c r="O1004" s="12"/>
      <c r="P1004" s="57"/>
      <c r="Q1004" s="50"/>
      <c r="R1004" s="50"/>
      <c r="S1004" s="58"/>
      <c r="T1004" s="58"/>
      <c r="U1004" s="58"/>
      <c r="V1004" s="59"/>
      <c r="W1004" s="60"/>
    </row>
    <row r="1005" spans="1:23" ht="29" customHeight="1" x14ac:dyDescent="0.35">
      <c r="A1005" s="61"/>
      <c r="B1005" s="55"/>
      <c r="C1005" s="70"/>
      <c r="D1005" s="12"/>
      <c r="E1005" s="128"/>
      <c r="F1005" s="12"/>
      <c r="G1005" s="71"/>
      <c r="H1005" s="71"/>
      <c r="I1005" s="56"/>
      <c r="J1005" s="71"/>
      <c r="K1005" s="56"/>
      <c r="L1005" s="71"/>
      <c r="M1005" s="56"/>
      <c r="N1005" s="12"/>
      <c r="O1005" s="12"/>
      <c r="P1005" s="57"/>
      <c r="Q1005" s="50"/>
      <c r="R1005" s="50"/>
      <c r="S1005" s="58"/>
      <c r="T1005" s="58"/>
      <c r="U1005" s="58"/>
      <c r="V1005" s="59"/>
      <c r="W1005" s="60"/>
    </row>
    <row r="1006" spans="1:23" ht="29" customHeight="1" x14ac:dyDescent="0.35">
      <c r="A1006" s="61"/>
      <c r="B1006" s="55"/>
      <c r="C1006" s="70"/>
      <c r="D1006" s="12"/>
      <c r="E1006" s="128"/>
      <c r="F1006" s="12"/>
      <c r="G1006" s="71"/>
      <c r="H1006" s="71"/>
      <c r="I1006" s="56"/>
      <c r="J1006" s="71"/>
      <c r="K1006" s="56"/>
      <c r="L1006" s="71"/>
      <c r="M1006" s="56"/>
      <c r="N1006" s="12"/>
      <c r="O1006" s="12"/>
      <c r="P1006" s="57"/>
      <c r="Q1006" s="50"/>
      <c r="R1006" s="50"/>
      <c r="S1006" s="58"/>
      <c r="T1006" s="58"/>
      <c r="U1006" s="58"/>
      <c r="V1006" s="59"/>
      <c r="W1006" s="60"/>
    </row>
    <row r="1007" spans="1:23" ht="29" customHeight="1" x14ac:dyDescent="0.35">
      <c r="A1007" s="61"/>
      <c r="B1007" s="55"/>
      <c r="C1007" s="70"/>
      <c r="D1007" s="12"/>
      <c r="E1007" s="128"/>
      <c r="F1007" s="12"/>
      <c r="G1007" s="71"/>
      <c r="H1007" s="71"/>
      <c r="I1007" s="56"/>
      <c r="J1007" s="71"/>
      <c r="K1007" s="56"/>
      <c r="L1007" s="71"/>
      <c r="M1007" s="56"/>
      <c r="N1007" s="12"/>
      <c r="O1007" s="12"/>
      <c r="P1007" s="57"/>
      <c r="Q1007" s="50"/>
      <c r="R1007" s="50"/>
      <c r="S1007" s="58"/>
      <c r="T1007" s="58"/>
      <c r="U1007" s="58"/>
      <c r="V1007" s="59"/>
      <c r="W1007" s="60"/>
    </row>
    <row r="1008" spans="1:23" ht="29" customHeight="1" x14ac:dyDescent="0.35">
      <c r="A1008" s="61"/>
      <c r="B1008" s="55"/>
      <c r="C1008" s="70"/>
      <c r="D1008" s="12"/>
      <c r="E1008" s="128"/>
      <c r="F1008" s="12"/>
      <c r="G1008" s="71"/>
      <c r="H1008" s="71"/>
      <c r="I1008" s="56"/>
      <c r="J1008" s="71"/>
      <c r="K1008" s="56"/>
      <c r="L1008" s="71"/>
      <c r="M1008" s="56"/>
      <c r="N1008" s="12"/>
      <c r="O1008" s="12"/>
      <c r="P1008" s="57"/>
      <c r="Q1008" s="50"/>
      <c r="R1008" s="50"/>
      <c r="S1008" s="58"/>
      <c r="T1008" s="58"/>
      <c r="U1008" s="58"/>
      <c r="V1008" s="59"/>
      <c r="W1008" s="60"/>
    </row>
    <row r="1009" spans="1:23" ht="29" customHeight="1" x14ac:dyDescent="0.35">
      <c r="A1009" s="61"/>
      <c r="B1009" s="55"/>
      <c r="C1009" s="70"/>
      <c r="D1009" s="12"/>
      <c r="E1009" s="128"/>
      <c r="F1009" s="12"/>
      <c r="G1009" s="71"/>
      <c r="H1009" s="71"/>
      <c r="I1009" s="56"/>
      <c r="J1009" s="71"/>
      <c r="K1009" s="56"/>
      <c r="L1009" s="71"/>
      <c r="M1009" s="56"/>
      <c r="N1009" s="12"/>
      <c r="O1009" s="12"/>
      <c r="P1009" s="57"/>
      <c r="Q1009" s="50"/>
      <c r="R1009" s="50"/>
      <c r="S1009" s="58"/>
      <c r="T1009" s="58"/>
      <c r="U1009" s="58"/>
      <c r="V1009" s="59"/>
      <c r="W1009" s="60"/>
    </row>
    <row r="1010" spans="1:23" ht="29" customHeight="1" x14ac:dyDescent="0.35">
      <c r="A1010" s="61"/>
      <c r="B1010" s="55"/>
      <c r="C1010" s="70"/>
      <c r="D1010" s="12"/>
      <c r="E1010" s="128"/>
      <c r="F1010" s="12"/>
      <c r="G1010" s="71"/>
      <c r="H1010" s="71"/>
      <c r="I1010" s="56"/>
      <c r="J1010" s="71"/>
      <c r="K1010" s="56"/>
      <c r="L1010" s="71"/>
      <c r="M1010" s="56"/>
      <c r="N1010" s="12"/>
      <c r="O1010" s="12"/>
      <c r="P1010" s="57"/>
      <c r="Q1010" s="50"/>
      <c r="R1010" s="50"/>
      <c r="S1010" s="58"/>
      <c r="T1010" s="58"/>
      <c r="U1010" s="58"/>
      <c r="V1010" s="59"/>
      <c r="W1010" s="60"/>
    </row>
    <row r="1011" spans="1:23" ht="29" customHeight="1" x14ac:dyDescent="0.35">
      <c r="A1011" s="61"/>
      <c r="B1011" s="55"/>
      <c r="C1011" s="70"/>
      <c r="D1011" s="12"/>
      <c r="E1011" s="128"/>
      <c r="F1011" s="12"/>
      <c r="G1011" s="71"/>
      <c r="H1011" s="71"/>
      <c r="I1011" s="56"/>
      <c r="J1011" s="71"/>
      <c r="K1011" s="56"/>
      <c r="L1011" s="71"/>
      <c r="M1011" s="56"/>
      <c r="N1011" s="12"/>
      <c r="O1011" s="12"/>
      <c r="P1011" s="57"/>
      <c r="Q1011" s="50"/>
      <c r="R1011" s="50"/>
      <c r="S1011" s="58"/>
      <c r="T1011" s="58"/>
      <c r="U1011" s="58"/>
      <c r="V1011" s="59"/>
      <c r="W1011" s="60"/>
    </row>
    <row r="1012" spans="1:23" ht="29" customHeight="1" x14ac:dyDescent="0.35">
      <c r="A1012" s="61"/>
      <c r="B1012" s="55"/>
      <c r="C1012" s="70"/>
      <c r="D1012" s="12"/>
      <c r="E1012" s="128"/>
      <c r="F1012" s="12"/>
      <c r="G1012" s="71"/>
      <c r="H1012" s="71"/>
      <c r="I1012" s="56"/>
      <c r="J1012" s="71"/>
      <c r="K1012" s="56"/>
      <c r="L1012" s="71"/>
      <c r="M1012" s="56"/>
      <c r="N1012" s="12"/>
      <c r="O1012" s="12"/>
      <c r="P1012" s="57"/>
      <c r="Q1012" s="50"/>
      <c r="R1012" s="50"/>
      <c r="S1012" s="58"/>
      <c r="T1012" s="58"/>
      <c r="U1012" s="58"/>
      <c r="V1012" s="59"/>
      <c r="W1012" s="60"/>
    </row>
    <row r="1013" spans="1:23" ht="29" customHeight="1" x14ac:dyDescent="0.35">
      <c r="A1013" s="61"/>
      <c r="B1013" s="55"/>
      <c r="C1013" s="70"/>
      <c r="D1013" s="12"/>
      <c r="E1013" s="128"/>
      <c r="F1013" s="12"/>
      <c r="G1013" s="71"/>
      <c r="H1013" s="71"/>
      <c r="I1013" s="56"/>
      <c r="J1013" s="71"/>
      <c r="K1013" s="56"/>
      <c r="L1013" s="71"/>
      <c r="M1013" s="56"/>
      <c r="N1013" s="12"/>
      <c r="O1013" s="12"/>
      <c r="P1013" s="57"/>
      <c r="Q1013" s="50"/>
      <c r="R1013" s="50"/>
      <c r="S1013" s="58"/>
      <c r="T1013" s="58"/>
      <c r="U1013" s="58"/>
      <c r="V1013" s="59"/>
      <c r="W1013" s="60"/>
    </row>
    <row r="1014" spans="1:23" ht="29" customHeight="1" x14ac:dyDescent="0.35">
      <c r="A1014" s="61"/>
      <c r="B1014" s="55"/>
      <c r="C1014" s="70"/>
      <c r="D1014" s="12"/>
      <c r="E1014" s="128"/>
      <c r="F1014" s="12"/>
      <c r="G1014" s="71"/>
      <c r="H1014" s="71"/>
      <c r="I1014" s="56"/>
      <c r="J1014" s="71"/>
      <c r="K1014" s="56"/>
      <c r="L1014" s="71"/>
      <c r="M1014" s="56"/>
      <c r="N1014" s="12"/>
      <c r="O1014" s="12"/>
      <c r="P1014" s="57"/>
      <c r="Q1014" s="50"/>
      <c r="R1014" s="50"/>
      <c r="S1014" s="58"/>
      <c r="T1014" s="58"/>
      <c r="U1014" s="58"/>
      <c r="V1014" s="59"/>
      <c r="W1014" s="60"/>
    </row>
    <row r="1015" spans="1:23" ht="29" customHeight="1" x14ac:dyDescent="0.35">
      <c r="A1015" s="61"/>
      <c r="B1015" s="55"/>
      <c r="C1015" s="70"/>
      <c r="D1015" s="12"/>
      <c r="E1015" s="128"/>
      <c r="F1015" s="12"/>
      <c r="G1015" s="71"/>
      <c r="H1015" s="71"/>
      <c r="I1015" s="56"/>
      <c r="J1015" s="71"/>
      <c r="K1015" s="56"/>
      <c r="L1015" s="71"/>
      <c r="M1015" s="56"/>
      <c r="N1015" s="12"/>
      <c r="O1015" s="12"/>
      <c r="P1015" s="57"/>
      <c r="Q1015" s="50"/>
      <c r="R1015" s="50"/>
      <c r="S1015" s="58"/>
      <c r="T1015" s="58"/>
      <c r="U1015" s="58"/>
      <c r="V1015" s="59"/>
      <c r="W1015" s="60"/>
    </row>
    <row r="1016" spans="1:23" ht="29" customHeight="1" x14ac:dyDescent="0.35">
      <c r="A1016" s="61"/>
      <c r="B1016" s="55"/>
      <c r="C1016" s="70"/>
      <c r="D1016" s="12"/>
      <c r="E1016" s="128"/>
      <c r="F1016" s="12"/>
      <c r="G1016" s="71"/>
      <c r="H1016" s="71"/>
      <c r="I1016" s="56"/>
      <c r="J1016" s="71"/>
      <c r="K1016" s="56"/>
      <c r="L1016" s="71"/>
      <c r="M1016" s="56"/>
      <c r="N1016" s="12"/>
      <c r="O1016" s="12"/>
      <c r="P1016" s="57"/>
      <c r="Q1016" s="50"/>
      <c r="R1016" s="50"/>
      <c r="S1016" s="58"/>
      <c r="T1016" s="58"/>
      <c r="U1016" s="58"/>
      <c r="V1016" s="59"/>
      <c r="W1016" s="60"/>
    </row>
    <row r="1017" spans="1:23" ht="29" customHeight="1" x14ac:dyDescent="0.35">
      <c r="A1017" s="61"/>
      <c r="B1017" s="55"/>
      <c r="C1017" s="70"/>
      <c r="D1017" s="12"/>
      <c r="E1017" s="128"/>
      <c r="F1017" s="12"/>
      <c r="G1017" s="71"/>
      <c r="H1017" s="71"/>
      <c r="I1017" s="56"/>
      <c r="J1017" s="71"/>
      <c r="K1017" s="56"/>
      <c r="L1017" s="71"/>
      <c r="M1017" s="56"/>
      <c r="N1017" s="12"/>
      <c r="O1017" s="12"/>
      <c r="P1017" s="57"/>
      <c r="Q1017" s="50"/>
      <c r="R1017" s="50"/>
      <c r="S1017" s="58"/>
      <c r="T1017" s="58"/>
      <c r="U1017" s="58"/>
      <c r="V1017" s="59"/>
      <c r="W1017" s="60"/>
    </row>
    <row r="1018" spans="1:23" ht="29" customHeight="1" x14ac:dyDescent="0.35">
      <c r="A1018" s="61"/>
      <c r="B1018" s="55"/>
      <c r="C1018" s="70"/>
      <c r="D1018" s="12"/>
      <c r="E1018" s="128"/>
      <c r="F1018" s="12"/>
      <c r="G1018" s="71"/>
      <c r="H1018" s="71"/>
      <c r="I1018" s="56"/>
      <c r="J1018" s="71"/>
      <c r="K1018" s="56"/>
      <c r="L1018" s="71"/>
      <c r="M1018" s="56"/>
      <c r="N1018" s="12"/>
      <c r="O1018" s="12"/>
      <c r="P1018" s="57"/>
      <c r="Q1018" s="50"/>
      <c r="R1018" s="50"/>
      <c r="S1018" s="58"/>
      <c r="T1018" s="58"/>
      <c r="U1018" s="58"/>
      <c r="V1018" s="59"/>
      <c r="W1018" s="60"/>
    </row>
    <row r="1019" spans="1:23" ht="29" customHeight="1" x14ac:dyDescent="0.35">
      <c r="A1019" s="61"/>
      <c r="B1019" s="55"/>
      <c r="C1019" s="70"/>
      <c r="D1019" s="12"/>
      <c r="E1019" s="128"/>
      <c r="F1019" s="12"/>
      <c r="G1019" s="71"/>
      <c r="H1019" s="71"/>
      <c r="I1019" s="56"/>
      <c r="J1019" s="71"/>
      <c r="K1019" s="56"/>
      <c r="L1019" s="71"/>
      <c r="M1019" s="56"/>
      <c r="N1019" s="12"/>
      <c r="O1019" s="12"/>
      <c r="P1019" s="57"/>
      <c r="Q1019" s="50"/>
      <c r="R1019" s="50"/>
      <c r="S1019" s="58"/>
      <c r="T1019" s="58"/>
      <c r="U1019" s="58"/>
      <c r="V1019" s="59"/>
      <c r="W1019" s="60"/>
    </row>
    <row r="1020" spans="1:23" ht="29" customHeight="1" x14ac:dyDescent="0.35">
      <c r="A1020" s="61"/>
      <c r="B1020" s="55"/>
      <c r="C1020" s="70"/>
      <c r="D1020" s="12"/>
      <c r="E1020" s="128"/>
      <c r="F1020" s="12"/>
      <c r="G1020" s="71"/>
      <c r="H1020" s="71"/>
      <c r="I1020" s="56"/>
      <c r="J1020" s="71"/>
      <c r="K1020" s="56"/>
      <c r="L1020" s="71"/>
      <c r="M1020" s="56"/>
      <c r="N1020" s="12"/>
      <c r="O1020" s="12"/>
      <c r="P1020" s="57"/>
      <c r="Q1020" s="50"/>
      <c r="R1020" s="50"/>
      <c r="S1020" s="58"/>
      <c r="T1020" s="58"/>
      <c r="U1020" s="58"/>
      <c r="V1020" s="59"/>
      <c r="W1020" s="60"/>
    </row>
    <row r="1021" spans="1:23" ht="29" customHeight="1" x14ac:dyDescent="0.35">
      <c r="A1021" s="61"/>
      <c r="B1021" s="55"/>
      <c r="C1021" s="70"/>
      <c r="D1021" s="12"/>
      <c r="E1021" s="128"/>
      <c r="F1021" s="12"/>
      <c r="G1021" s="71"/>
      <c r="H1021" s="71"/>
      <c r="I1021" s="56"/>
      <c r="J1021" s="71"/>
      <c r="K1021" s="56"/>
      <c r="L1021" s="71"/>
      <c r="M1021" s="56"/>
      <c r="N1021" s="12"/>
      <c r="O1021" s="12"/>
      <c r="P1021" s="57"/>
      <c r="Q1021" s="50"/>
      <c r="R1021" s="50"/>
      <c r="S1021" s="58"/>
      <c r="T1021" s="58"/>
      <c r="U1021" s="58"/>
      <c r="V1021" s="59"/>
      <c r="W1021" s="60"/>
    </row>
    <row r="1022" spans="1:23" ht="29" customHeight="1" x14ac:dyDescent="0.35">
      <c r="A1022" s="61"/>
      <c r="B1022" s="55"/>
      <c r="C1022" s="70"/>
      <c r="D1022" s="12"/>
      <c r="E1022" s="128"/>
      <c r="F1022" s="12"/>
      <c r="G1022" s="71"/>
      <c r="H1022" s="71"/>
      <c r="I1022" s="56"/>
      <c r="J1022" s="71"/>
      <c r="K1022" s="56"/>
      <c r="L1022" s="71"/>
      <c r="M1022" s="56"/>
      <c r="N1022" s="12"/>
      <c r="O1022" s="12"/>
      <c r="P1022" s="57"/>
      <c r="Q1022" s="50"/>
      <c r="R1022" s="50"/>
      <c r="S1022" s="58"/>
      <c r="T1022" s="58"/>
      <c r="U1022" s="58"/>
      <c r="V1022" s="59"/>
      <c r="W1022" s="60"/>
    </row>
    <row r="1023" spans="1:23" ht="29" customHeight="1" x14ac:dyDescent="0.35">
      <c r="A1023" s="61"/>
      <c r="B1023" s="55"/>
      <c r="C1023" s="70"/>
      <c r="D1023" s="12"/>
      <c r="E1023" s="128"/>
      <c r="F1023" s="12"/>
      <c r="G1023" s="71"/>
      <c r="H1023" s="71"/>
      <c r="I1023" s="56"/>
      <c r="J1023" s="71"/>
      <c r="K1023" s="56"/>
      <c r="L1023" s="71"/>
      <c r="M1023" s="56"/>
      <c r="N1023" s="12"/>
      <c r="O1023" s="12"/>
      <c r="P1023" s="57"/>
      <c r="Q1023" s="50"/>
      <c r="R1023" s="50"/>
      <c r="S1023" s="58"/>
      <c r="T1023" s="58"/>
      <c r="U1023" s="58"/>
      <c r="V1023" s="59"/>
      <c r="W1023" s="60"/>
    </row>
    <row r="1024" spans="1:23" ht="29" customHeight="1" x14ac:dyDescent="0.35">
      <c r="A1024" s="61"/>
      <c r="B1024" s="55"/>
      <c r="C1024" s="70"/>
      <c r="D1024" s="12"/>
      <c r="E1024" s="128"/>
      <c r="F1024" s="12"/>
      <c r="G1024" s="71"/>
      <c r="H1024" s="71"/>
      <c r="I1024" s="56"/>
      <c r="J1024" s="71"/>
      <c r="K1024" s="56"/>
      <c r="L1024" s="71"/>
      <c r="M1024" s="56"/>
      <c r="N1024" s="12"/>
      <c r="O1024" s="12"/>
      <c r="P1024" s="57"/>
      <c r="Q1024" s="50"/>
      <c r="R1024" s="50"/>
      <c r="S1024" s="58"/>
      <c r="T1024" s="58"/>
      <c r="U1024" s="58"/>
      <c r="V1024" s="59"/>
      <c r="W1024" s="60"/>
    </row>
    <row r="1025" spans="1:23" ht="29" customHeight="1" x14ac:dyDescent="0.35">
      <c r="A1025" s="61"/>
      <c r="B1025" s="55"/>
      <c r="C1025" s="70"/>
      <c r="D1025" s="12"/>
      <c r="E1025" s="128"/>
      <c r="F1025" s="12"/>
      <c r="G1025" s="71"/>
      <c r="H1025" s="71"/>
      <c r="I1025" s="56"/>
      <c r="J1025" s="71"/>
      <c r="K1025" s="56"/>
      <c r="L1025" s="71"/>
      <c r="M1025" s="56"/>
      <c r="N1025" s="12"/>
      <c r="O1025" s="12"/>
      <c r="P1025" s="57"/>
      <c r="Q1025" s="50"/>
      <c r="R1025" s="50"/>
      <c r="S1025" s="58"/>
      <c r="T1025" s="58"/>
      <c r="U1025" s="58"/>
      <c r="V1025" s="59"/>
      <c r="W1025" s="60"/>
    </row>
    <row r="1026" spans="1:23" ht="29" customHeight="1" x14ac:dyDescent="0.35">
      <c r="A1026" s="61"/>
      <c r="B1026" s="55"/>
      <c r="C1026" s="70"/>
      <c r="D1026" s="12"/>
      <c r="E1026" s="128"/>
      <c r="F1026" s="12"/>
      <c r="G1026" s="71"/>
      <c r="H1026" s="71"/>
      <c r="I1026" s="56"/>
      <c r="J1026" s="71"/>
      <c r="K1026" s="56"/>
      <c r="L1026" s="71"/>
      <c r="M1026" s="56"/>
      <c r="N1026" s="12"/>
      <c r="O1026" s="12"/>
      <c r="P1026" s="57"/>
      <c r="Q1026" s="50"/>
      <c r="R1026" s="50"/>
      <c r="S1026" s="58"/>
      <c r="T1026" s="58"/>
      <c r="U1026" s="58"/>
      <c r="V1026" s="59"/>
      <c r="W1026" s="60"/>
    </row>
    <row r="1027" spans="1:23" ht="29" customHeight="1" x14ac:dyDescent="0.35">
      <c r="A1027" s="61"/>
      <c r="B1027" s="55"/>
      <c r="C1027" s="70"/>
      <c r="D1027" s="12"/>
      <c r="E1027" s="128"/>
      <c r="F1027" s="12"/>
      <c r="G1027" s="71"/>
      <c r="H1027" s="71"/>
      <c r="I1027" s="56"/>
      <c r="J1027" s="71"/>
      <c r="K1027" s="56"/>
      <c r="L1027" s="71"/>
      <c r="M1027" s="56"/>
      <c r="N1027" s="12"/>
      <c r="O1027" s="12"/>
      <c r="P1027" s="57"/>
      <c r="Q1027" s="50"/>
      <c r="R1027" s="50"/>
      <c r="S1027" s="58"/>
      <c r="T1027" s="58"/>
      <c r="U1027" s="58"/>
      <c r="V1027" s="59"/>
      <c r="W1027" s="60"/>
    </row>
    <row r="1028" spans="1:23" ht="29" customHeight="1" x14ac:dyDescent="0.35">
      <c r="A1028" s="61"/>
      <c r="B1028" s="55"/>
      <c r="C1028" s="70"/>
      <c r="D1028" s="12"/>
      <c r="E1028" s="128"/>
      <c r="F1028" s="12"/>
      <c r="G1028" s="71"/>
      <c r="H1028" s="71"/>
      <c r="I1028" s="56"/>
      <c r="J1028" s="71"/>
      <c r="K1028" s="56"/>
      <c r="L1028" s="71"/>
      <c r="M1028" s="56"/>
      <c r="N1028" s="12"/>
      <c r="O1028" s="12"/>
      <c r="P1028" s="57"/>
      <c r="Q1028" s="50"/>
      <c r="R1028" s="50"/>
      <c r="S1028" s="58"/>
      <c r="T1028" s="58"/>
      <c r="U1028" s="58"/>
      <c r="V1028" s="59"/>
      <c r="W1028" s="60"/>
    </row>
    <row r="1029" spans="1:23" ht="29" customHeight="1" x14ac:dyDescent="0.35">
      <c r="A1029" s="61"/>
      <c r="B1029" s="55"/>
      <c r="C1029" s="70"/>
      <c r="D1029" s="12"/>
      <c r="E1029" s="128"/>
      <c r="F1029" s="12"/>
      <c r="G1029" s="71"/>
      <c r="H1029" s="71"/>
      <c r="I1029" s="56"/>
      <c r="J1029" s="71"/>
      <c r="K1029" s="56"/>
      <c r="L1029" s="71"/>
      <c r="M1029" s="56"/>
      <c r="N1029" s="12"/>
      <c r="O1029" s="12"/>
      <c r="P1029" s="57"/>
      <c r="Q1029" s="50"/>
      <c r="R1029" s="50"/>
      <c r="S1029" s="58"/>
      <c r="T1029" s="58"/>
      <c r="U1029" s="58"/>
      <c r="V1029" s="59"/>
      <c r="W1029" s="60"/>
    </row>
    <row r="1030" spans="1:23" ht="29" customHeight="1" x14ac:dyDescent="0.35">
      <c r="A1030" s="61"/>
      <c r="B1030" s="55"/>
      <c r="C1030" s="70"/>
      <c r="D1030" s="12"/>
      <c r="E1030" s="128"/>
      <c r="F1030" s="12"/>
      <c r="G1030" s="71"/>
      <c r="H1030" s="71"/>
      <c r="I1030" s="56"/>
      <c r="J1030" s="71"/>
      <c r="K1030" s="56"/>
      <c r="L1030" s="71"/>
      <c r="M1030" s="56"/>
      <c r="N1030" s="12"/>
      <c r="O1030" s="12"/>
      <c r="P1030" s="57"/>
      <c r="Q1030" s="50"/>
      <c r="R1030" s="50"/>
      <c r="S1030" s="58"/>
      <c r="T1030" s="58"/>
      <c r="U1030" s="58"/>
      <c r="V1030" s="59"/>
      <c r="W1030" s="60"/>
    </row>
    <row r="1031" spans="1:23" ht="29" customHeight="1" x14ac:dyDescent="0.35">
      <c r="A1031" s="61"/>
      <c r="B1031" s="55"/>
      <c r="C1031" s="70"/>
      <c r="D1031" s="12"/>
      <c r="E1031" s="128"/>
      <c r="F1031" s="12"/>
      <c r="G1031" s="71"/>
      <c r="H1031" s="71"/>
      <c r="I1031" s="56"/>
      <c r="J1031" s="71"/>
      <c r="K1031" s="56"/>
      <c r="L1031" s="71"/>
      <c r="M1031" s="56"/>
      <c r="N1031" s="12"/>
      <c r="O1031" s="12"/>
      <c r="P1031" s="57"/>
      <c r="Q1031" s="50"/>
      <c r="R1031" s="50"/>
      <c r="S1031" s="58"/>
      <c r="T1031" s="58"/>
      <c r="U1031" s="58"/>
      <c r="V1031" s="59"/>
      <c r="W1031" s="60"/>
    </row>
    <row r="1032" spans="1:23" ht="29" customHeight="1" x14ac:dyDescent="0.35">
      <c r="A1032" s="61"/>
      <c r="B1032" s="55"/>
      <c r="C1032" s="70"/>
      <c r="D1032" s="12"/>
      <c r="E1032" s="128"/>
      <c r="F1032" s="12"/>
      <c r="G1032" s="71"/>
      <c r="H1032" s="71"/>
      <c r="I1032" s="56"/>
      <c r="J1032" s="71"/>
      <c r="K1032" s="56"/>
      <c r="L1032" s="71"/>
      <c r="M1032" s="56"/>
      <c r="N1032" s="12"/>
      <c r="O1032" s="12"/>
      <c r="P1032" s="57"/>
      <c r="Q1032" s="50"/>
      <c r="R1032" s="50"/>
      <c r="S1032" s="58"/>
      <c r="T1032" s="58"/>
      <c r="U1032" s="58"/>
      <c r="V1032" s="59"/>
      <c r="W1032" s="60"/>
    </row>
    <row r="1033" spans="1:23" ht="29" customHeight="1" x14ac:dyDescent="0.35">
      <c r="A1033" s="61"/>
      <c r="B1033" s="55"/>
      <c r="C1033" s="70"/>
      <c r="D1033" s="12"/>
      <c r="E1033" s="128"/>
      <c r="F1033" s="12"/>
      <c r="G1033" s="71"/>
      <c r="H1033" s="71"/>
      <c r="I1033" s="56"/>
      <c r="J1033" s="71"/>
      <c r="K1033" s="56"/>
      <c r="L1033" s="71"/>
      <c r="M1033" s="56"/>
      <c r="N1033" s="12"/>
      <c r="O1033" s="12"/>
      <c r="P1033" s="57"/>
      <c r="Q1033" s="50"/>
      <c r="R1033" s="50"/>
      <c r="S1033" s="58"/>
      <c r="T1033" s="58"/>
      <c r="U1033" s="58"/>
      <c r="V1033" s="59"/>
      <c r="W1033" s="60"/>
    </row>
    <row r="1034" spans="1:23" ht="29" customHeight="1" x14ac:dyDescent="0.35">
      <c r="A1034" s="61"/>
      <c r="B1034" s="55"/>
      <c r="C1034" s="70"/>
      <c r="D1034" s="12"/>
      <c r="E1034" s="128"/>
      <c r="F1034" s="12"/>
      <c r="G1034" s="71"/>
      <c r="H1034" s="71"/>
      <c r="I1034" s="56"/>
      <c r="J1034" s="71"/>
      <c r="K1034" s="56"/>
      <c r="L1034" s="71"/>
      <c r="M1034" s="56"/>
      <c r="N1034" s="12"/>
      <c r="O1034" s="12"/>
      <c r="P1034" s="57"/>
      <c r="Q1034" s="50"/>
      <c r="R1034" s="50"/>
      <c r="S1034" s="58"/>
      <c r="T1034" s="58"/>
      <c r="U1034" s="58"/>
      <c r="V1034" s="59"/>
      <c r="W1034" s="60"/>
    </row>
    <row r="1035" spans="1:23" ht="29" customHeight="1" x14ac:dyDescent="0.35">
      <c r="A1035" s="61"/>
      <c r="B1035" s="55"/>
      <c r="C1035" s="70"/>
      <c r="D1035" s="12"/>
      <c r="E1035" s="128"/>
      <c r="F1035" s="12"/>
      <c r="G1035" s="71"/>
      <c r="H1035" s="71"/>
      <c r="I1035" s="56"/>
      <c r="J1035" s="71"/>
      <c r="K1035" s="56"/>
      <c r="L1035" s="71"/>
      <c r="M1035" s="56"/>
      <c r="N1035" s="12"/>
      <c r="O1035" s="12"/>
      <c r="P1035" s="57"/>
      <c r="Q1035" s="50"/>
      <c r="R1035" s="50"/>
      <c r="S1035" s="58"/>
      <c r="T1035" s="58"/>
      <c r="U1035" s="58"/>
      <c r="V1035" s="59"/>
      <c r="W1035" s="60"/>
    </row>
    <row r="1036" spans="1:23" ht="29" customHeight="1" x14ac:dyDescent="0.35">
      <c r="A1036" s="61"/>
      <c r="B1036" s="55"/>
      <c r="C1036" s="70"/>
      <c r="D1036" s="12"/>
      <c r="E1036" s="128"/>
      <c r="F1036" s="12"/>
      <c r="G1036" s="71"/>
      <c r="H1036" s="71"/>
      <c r="I1036" s="56"/>
      <c r="J1036" s="71"/>
      <c r="K1036" s="56"/>
      <c r="L1036" s="71"/>
      <c r="M1036" s="56"/>
      <c r="N1036" s="12"/>
      <c r="O1036" s="12"/>
      <c r="P1036" s="57"/>
      <c r="Q1036" s="50"/>
      <c r="R1036" s="50"/>
      <c r="S1036" s="58"/>
      <c r="T1036" s="58"/>
      <c r="U1036" s="58"/>
      <c r="V1036" s="59"/>
      <c r="W1036" s="60"/>
    </row>
    <row r="1037" spans="1:23" ht="29" customHeight="1" x14ac:dyDescent="0.35">
      <c r="A1037" s="61"/>
      <c r="B1037" s="55"/>
      <c r="C1037" s="70"/>
      <c r="D1037" s="12"/>
      <c r="E1037" s="128"/>
      <c r="F1037" s="12"/>
      <c r="G1037" s="71"/>
      <c r="H1037" s="71"/>
      <c r="I1037" s="56"/>
      <c r="J1037" s="71"/>
      <c r="K1037" s="56"/>
      <c r="L1037" s="71"/>
      <c r="M1037" s="56"/>
      <c r="N1037" s="12"/>
      <c r="O1037" s="12"/>
      <c r="P1037" s="57"/>
      <c r="Q1037" s="50"/>
      <c r="R1037" s="50"/>
      <c r="S1037" s="58"/>
      <c r="T1037" s="58"/>
      <c r="U1037" s="58"/>
      <c r="V1037" s="59"/>
      <c r="W1037" s="60"/>
    </row>
    <row r="1038" spans="1:23" ht="29" customHeight="1" x14ac:dyDescent="0.35">
      <c r="A1038" s="61"/>
      <c r="B1038" s="55"/>
      <c r="C1038" s="70"/>
      <c r="D1038" s="12"/>
      <c r="E1038" s="128"/>
      <c r="F1038" s="12"/>
      <c r="G1038" s="71"/>
      <c r="H1038" s="71"/>
      <c r="I1038" s="56"/>
      <c r="J1038" s="71"/>
      <c r="K1038" s="56"/>
      <c r="L1038" s="71"/>
      <c r="M1038" s="56"/>
      <c r="N1038" s="12"/>
      <c r="O1038" s="12"/>
      <c r="P1038" s="57"/>
      <c r="Q1038" s="50"/>
      <c r="R1038" s="50"/>
      <c r="S1038" s="58"/>
      <c r="T1038" s="58"/>
      <c r="U1038" s="58"/>
      <c r="V1038" s="59"/>
      <c r="W1038" s="60"/>
    </row>
    <row r="1039" spans="1:23" ht="29" customHeight="1" x14ac:dyDescent="0.35">
      <c r="A1039" s="61"/>
      <c r="B1039" s="55"/>
      <c r="C1039" s="70"/>
      <c r="D1039" s="12"/>
      <c r="E1039" s="128"/>
      <c r="F1039" s="12"/>
      <c r="G1039" s="71"/>
      <c r="H1039" s="71"/>
      <c r="I1039" s="56"/>
      <c r="J1039" s="71"/>
      <c r="K1039" s="56"/>
      <c r="L1039" s="71"/>
      <c r="M1039" s="56"/>
      <c r="N1039" s="12"/>
      <c r="O1039" s="12"/>
      <c r="P1039" s="57"/>
      <c r="Q1039" s="50"/>
      <c r="R1039" s="50"/>
      <c r="S1039" s="58"/>
      <c r="T1039" s="58"/>
      <c r="U1039" s="58"/>
      <c r="V1039" s="59"/>
      <c r="W1039" s="60"/>
    </row>
    <row r="1040" spans="1:23" ht="29" customHeight="1" x14ac:dyDescent="0.35">
      <c r="A1040" s="61"/>
      <c r="B1040" s="55"/>
      <c r="C1040" s="70"/>
      <c r="D1040" s="12"/>
      <c r="E1040" s="128"/>
      <c r="F1040" s="12"/>
      <c r="G1040" s="71"/>
      <c r="H1040" s="71"/>
      <c r="I1040" s="56"/>
      <c r="J1040" s="71"/>
      <c r="K1040" s="56"/>
      <c r="L1040" s="71"/>
      <c r="M1040" s="56"/>
      <c r="N1040" s="12"/>
      <c r="O1040" s="12"/>
      <c r="P1040" s="57"/>
      <c r="Q1040" s="50"/>
      <c r="R1040" s="50"/>
      <c r="S1040" s="58"/>
      <c r="T1040" s="58"/>
      <c r="U1040" s="58"/>
      <c r="V1040" s="59"/>
      <c r="W1040" s="60"/>
    </row>
    <row r="1041" spans="1:23" ht="29" customHeight="1" x14ac:dyDescent="0.35">
      <c r="A1041" s="61"/>
      <c r="B1041" s="55"/>
      <c r="C1041" s="70"/>
      <c r="D1041" s="12"/>
      <c r="E1041" s="128"/>
      <c r="F1041" s="12"/>
      <c r="G1041" s="71"/>
      <c r="H1041" s="71"/>
      <c r="I1041" s="56"/>
      <c r="J1041" s="71"/>
      <c r="K1041" s="56"/>
      <c r="L1041" s="71"/>
      <c r="M1041" s="56"/>
      <c r="N1041" s="12"/>
      <c r="O1041" s="12"/>
      <c r="P1041" s="57"/>
      <c r="Q1041" s="50"/>
      <c r="R1041" s="50"/>
      <c r="S1041" s="58"/>
      <c r="T1041" s="58"/>
      <c r="U1041" s="58"/>
      <c r="V1041" s="59"/>
      <c r="W1041" s="60"/>
    </row>
    <row r="1042" spans="1:23" ht="29" customHeight="1" x14ac:dyDescent="0.35">
      <c r="A1042" s="61"/>
      <c r="B1042" s="55"/>
      <c r="C1042" s="70"/>
      <c r="D1042" s="12"/>
      <c r="E1042" s="128"/>
      <c r="F1042" s="12"/>
      <c r="G1042" s="71"/>
      <c r="H1042" s="71"/>
      <c r="I1042" s="56"/>
      <c r="J1042" s="71"/>
      <c r="K1042" s="56"/>
      <c r="L1042" s="71"/>
      <c r="M1042" s="56"/>
      <c r="N1042" s="12"/>
      <c r="O1042" s="12"/>
      <c r="P1042" s="57"/>
      <c r="Q1042" s="50"/>
      <c r="R1042" s="50"/>
      <c r="S1042" s="58"/>
      <c r="T1042" s="58"/>
      <c r="U1042" s="58"/>
      <c r="V1042" s="59"/>
      <c r="W1042" s="60"/>
    </row>
    <row r="1043" spans="1:23" ht="29" customHeight="1" x14ac:dyDescent="0.35">
      <c r="A1043" s="61"/>
      <c r="B1043" s="55"/>
      <c r="C1043" s="70"/>
      <c r="D1043" s="12"/>
      <c r="E1043" s="128"/>
      <c r="F1043" s="12"/>
      <c r="G1043" s="71"/>
      <c r="H1043" s="71"/>
      <c r="I1043" s="56"/>
      <c r="J1043" s="71"/>
      <c r="K1043" s="56"/>
      <c r="L1043" s="71"/>
      <c r="M1043" s="56"/>
      <c r="N1043" s="12"/>
      <c r="O1043" s="12"/>
      <c r="P1043" s="57"/>
      <c r="Q1043" s="50"/>
      <c r="R1043" s="50"/>
      <c r="S1043" s="58"/>
      <c r="T1043" s="58"/>
      <c r="U1043" s="58"/>
      <c r="V1043" s="59"/>
      <c r="W1043" s="60"/>
    </row>
    <row r="1044" spans="1:23" ht="29" customHeight="1" x14ac:dyDescent="0.35">
      <c r="A1044" s="61"/>
      <c r="B1044" s="55"/>
      <c r="C1044" s="70"/>
      <c r="D1044" s="12"/>
      <c r="E1044" s="128"/>
      <c r="F1044" s="12"/>
      <c r="G1044" s="71"/>
      <c r="H1044" s="71"/>
      <c r="I1044" s="56"/>
      <c r="J1044" s="71"/>
      <c r="K1044" s="56"/>
      <c r="L1044" s="71"/>
      <c r="M1044" s="56"/>
      <c r="N1044" s="12"/>
      <c r="O1044" s="12"/>
      <c r="P1044" s="57"/>
      <c r="Q1044" s="50"/>
      <c r="R1044" s="50"/>
      <c r="S1044" s="58"/>
      <c r="T1044" s="58"/>
      <c r="U1044" s="58"/>
      <c r="V1044" s="59"/>
      <c r="W1044" s="60"/>
    </row>
    <row r="1045" spans="1:23" ht="29" customHeight="1" x14ac:dyDescent="0.35">
      <c r="A1045" s="61"/>
      <c r="B1045" s="55"/>
      <c r="C1045" s="70"/>
      <c r="D1045" s="12"/>
      <c r="E1045" s="128"/>
      <c r="F1045" s="12"/>
      <c r="G1045" s="71"/>
      <c r="H1045" s="71"/>
      <c r="I1045" s="56"/>
      <c r="J1045" s="71"/>
      <c r="K1045" s="56"/>
      <c r="L1045" s="71"/>
      <c r="M1045" s="56"/>
      <c r="N1045" s="12"/>
      <c r="O1045" s="12"/>
      <c r="P1045" s="57"/>
      <c r="Q1045" s="50"/>
      <c r="R1045" s="50"/>
      <c r="S1045" s="58"/>
      <c r="T1045" s="58"/>
      <c r="U1045" s="58"/>
      <c r="V1045" s="59"/>
      <c r="W1045" s="60"/>
    </row>
    <row r="1046" spans="1:23" ht="29" customHeight="1" x14ac:dyDescent="0.35">
      <c r="A1046" s="61"/>
      <c r="B1046" s="55"/>
      <c r="C1046" s="70"/>
      <c r="D1046" s="12"/>
      <c r="E1046" s="128"/>
      <c r="F1046" s="12"/>
      <c r="G1046" s="71"/>
      <c r="H1046" s="71"/>
      <c r="I1046" s="56"/>
      <c r="J1046" s="71"/>
      <c r="K1046" s="56"/>
      <c r="L1046" s="71"/>
      <c r="M1046" s="56"/>
      <c r="N1046" s="12"/>
      <c r="O1046" s="12"/>
      <c r="P1046" s="57"/>
      <c r="Q1046" s="50"/>
      <c r="R1046" s="50"/>
      <c r="S1046" s="58"/>
      <c r="T1046" s="58"/>
      <c r="U1046" s="58"/>
      <c r="V1046" s="59"/>
      <c r="W1046" s="60"/>
    </row>
    <row r="1047" spans="1:23" ht="29" customHeight="1" x14ac:dyDescent="0.35">
      <c r="A1047" s="61"/>
      <c r="B1047" s="55"/>
      <c r="C1047" s="70"/>
      <c r="D1047" s="12"/>
      <c r="E1047" s="128"/>
      <c r="F1047" s="12"/>
      <c r="G1047" s="71"/>
      <c r="H1047" s="71"/>
      <c r="I1047" s="56"/>
      <c r="J1047" s="71"/>
      <c r="K1047" s="56"/>
      <c r="L1047" s="71"/>
      <c r="M1047" s="56"/>
      <c r="N1047" s="12"/>
      <c r="O1047" s="12"/>
      <c r="P1047" s="57"/>
      <c r="Q1047" s="50"/>
      <c r="R1047" s="50"/>
      <c r="S1047" s="58"/>
      <c r="T1047" s="58"/>
      <c r="U1047" s="58"/>
      <c r="V1047" s="59"/>
      <c r="W1047" s="60"/>
    </row>
    <row r="1048" spans="1:23" ht="29" customHeight="1" x14ac:dyDescent="0.35">
      <c r="A1048" s="61"/>
      <c r="B1048" s="55"/>
      <c r="C1048" s="70"/>
      <c r="D1048" s="12"/>
      <c r="E1048" s="128"/>
      <c r="F1048" s="12"/>
      <c r="G1048" s="71"/>
      <c r="H1048" s="71"/>
      <c r="I1048" s="56"/>
      <c r="J1048" s="71"/>
      <c r="K1048" s="56"/>
      <c r="L1048" s="71"/>
      <c r="M1048" s="56"/>
      <c r="N1048" s="12"/>
      <c r="O1048" s="12"/>
      <c r="P1048" s="57"/>
      <c r="Q1048" s="50"/>
      <c r="R1048" s="50"/>
      <c r="S1048" s="58"/>
      <c r="T1048" s="58"/>
      <c r="U1048" s="58"/>
      <c r="V1048" s="59"/>
      <c r="W1048" s="60"/>
    </row>
    <row r="1049" spans="1:23" ht="29" customHeight="1" x14ac:dyDescent="0.35">
      <c r="A1049" s="61"/>
      <c r="B1049" s="55"/>
      <c r="C1049" s="70"/>
      <c r="D1049" s="12"/>
      <c r="E1049" s="128"/>
      <c r="F1049" s="12"/>
      <c r="G1049" s="71"/>
      <c r="H1049" s="71"/>
      <c r="I1049" s="56"/>
      <c r="J1049" s="71"/>
      <c r="K1049" s="56"/>
      <c r="L1049" s="71"/>
      <c r="M1049" s="56"/>
      <c r="N1049" s="12"/>
      <c r="O1049" s="12"/>
      <c r="P1049" s="57"/>
      <c r="Q1049" s="50"/>
      <c r="R1049" s="50"/>
      <c r="S1049" s="58"/>
      <c r="T1049" s="58"/>
      <c r="U1049" s="58"/>
      <c r="V1049" s="59"/>
      <c r="W1049" s="60"/>
    </row>
    <row r="1050" spans="1:23" ht="29" customHeight="1" x14ac:dyDescent="0.35">
      <c r="A1050" s="61"/>
      <c r="B1050" s="55"/>
      <c r="C1050" s="70"/>
      <c r="D1050" s="12"/>
      <c r="E1050" s="128"/>
      <c r="F1050" s="12"/>
      <c r="G1050" s="71"/>
      <c r="H1050" s="71"/>
      <c r="I1050" s="56"/>
      <c r="J1050" s="71"/>
      <c r="K1050" s="56"/>
      <c r="L1050" s="71"/>
      <c r="M1050" s="56"/>
      <c r="N1050" s="12"/>
      <c r="O1050" s="12"/>
      <c r="P1050" s="57"/>
      <c r="Q1050" s="50"/>
      <c r="R1050" s="50"/>
      <c r="S1050" s="58"/>
      <c r="T1050" s="58"/>
      <c r="U1050" s="58"/>
      <c r="V1050" s="59"/>
      <c r="W1050" s="60"/>
    </row>
    <row r="1051" spans="1:23" ht="29" customHeight="1" x14ac:dyDescent="0.35">
      <c r="A1051" s="61"/>
      <c r="B1051" s="55"/>
      <c r="C1051" s="70"/>
      <c r="D1051" s="12"/>
      <c r="E1051" s="128"/>
      <c r="F1051" s="12"/>
      <c r="G1051" s="71"/>
      <c r="H1051" s="71"/>
      <c r="I1051" s="56"/>
      <c r="J1051" s="71"/>
      <c r="K1051" s="56"/>
      <c r="L1051" s="71"/>
      <c r="M1051" s="56"/>
      <c r="N1051" s="12"/>
      <c r="O1051" s="12"/>
      <c r="P1051" s="57"/>
      <c r="Q1051" s="50"/>
      <c r="R1051" s="50"/>
      <c r="S1051" s="58"/>
      <c r="T1051" s="58"/>
      <c r="U1051" s="58"/>
      <c r="V1051" s="59"/>
      <c r="W1051" s="60"/>
    </row>
    <row r="1052" spans="1:23" ht="29" customHeight="1" x14ac:dyDescent="0.35">
      <c r="A1052" s="61"/>
      <c r="B1052" s="55"/>
      <c r="C1052" s="70"/>
      <c r="D1052" s="12"/>
      <c r="E1052" s="128"/>
      <c r="F1052" s="12"/>
      <c r="G1052" s="71"/>
      <c r="H1052" s="71"/>
      <c r="I1052" s="56"/>
      <c r="J1052" s="71"/>
      <c r="K1052" s="56"/>
      <c r="L1052" s="71"/>
      <c r="M1052" s="56"/>
      <c r="N1052" s="12"/>
      <c r="O1052" s="12"/>
      <c r="P1052" s="57"/>
      <c r="Q1052" s="50"/>
      <c r="R1052" s="50"/>
      <c r="S1052" s="58"/>
      <c r="T1052" s="58"/>
      <c r="U1052" s="58"/>
      <c r="V1052" s="59"/>
      <c r="W1052" s="60"/>
    </row>
    <row r="1053" spans="1:23" ht="29" customHeight="1" x14ac:dyDescent="0.35">
      <c r="A1053" s="61"/>
      <c r="B1053" s="55"/>
      <c r="C1053" s="70"/>
      <c r="D1053" s="12"/>
      <c r="E1053" s="128"/>
      <c r="F1053" s="12"/>
      <c r="G1053" s="71"/>
      <c r="H1053" s="71"/>
      <c r="I1053" s="56"/>
      <c r="J1053" s="71"/>
      <c r="K1053" s="56"/>
      <c r="L1053" s="71"/>
      <c r="M1053" s="56"/>
      <c r="N1053" s="12"/>
      <c r="O1053" s="12"/>
      <c r="P1053" s="57"/>
      <c r="Q1053" s="50"/>
      <c r="R1053" s="50"/>
      <c r="S1053" s="58"/>
      <c r="T1053" s="58"/>
      <c r="U1053" s="58"/>
      <c r="V1053" s="59"/>
      <c r="W1053" s="60"/>
    </row>
    <row r="1054" spans="1:23" ht="29" customHeight="1" x14ac:dyDescent="0.35">
      <c r="A1054" s="61"/>
      <c r="B1054" s="55"/>
      <c r="C1054" s="70"/>
      <c r="D1054" s="12"/>
      <c r="E1054" s="128"/>
      <c r="F1054" s="12"/>
      <c r="G1054" s="71"/>
      <c r="H1054" s="71"/>
      <c r="I1054" s="56"/>
      <c r="J1054" s="71"/>
      <c r="K1054" s="56"/>
      <c r="L1054" s="71"/>
      <c r="M1054" s="56"/>
      <c r="N1054" s="12"/>
      <c r="O1054" s="12"/>
      <c r="P1054" s="57"/>
      <c r="Q1054" s="50"/>
      <c r="R1054" s="50"/>
      <c r="S1054" s="58"/>
      <c r="T1054" s="58"/>
      <c r="U1054" s="58"/>
      <c r="V1054" s="59"/>
      <c r="W1054" s="60"/>
    </row>
    <row r="1055" spans="1:23" ht="29" customHeight="1" x14ac:dyDescent="0.35">
      <c r="A1055" s="61"/>
      <c r="B1055" s="55"/>
      <c r="C1055" s="70"/>
      <c r="D1055" s="12"/>
      <c r="E1055" s="128"/>
      <c r="F1055" s="12"/>
      <c r="G1055" s="71"/>
      <c r="H1055" s="71"/>
      <c r="I1055" s="56"/>
      <c r="J1055" s="71"/>
      <c r="K1055" s="56"/>
      <c r="L1055" s="71"/>
      <c r="M1055" s="56"/>
      <c r="N1055" s="12"/>
      <c r="O1055" s="12"/>
      <c r="P1055" s="57"/>
      <c r="Q1055" s="50"/>
      <c r="R1055" s="50"/>
      <c r="S1055" s="58"/>
      <c r="T1055" s="58"/>
      <c r="U1055" s="58"/>
      <c r="V1055" s="59"/>
      <c r="W1055" s="60"/>
    </row>
    <row r="1056" spans="1:23" ht="29" customHeight="1" x14ac:dyDescent="0.35">
      <c r="A1056" s="61"/>
      <c r="B1056" s="55"/>
      <c r="C1056" s="70"/>
      <c r="D1056" s="12"/>
      <c r="E1056" s="128"/>
      <c r="F1056" s="12"/>
      <c r="G1056" s="71"/>
      <c r="H1056" s="71"/>
      <c r="I1056" s="56"/>
      <c r="J1056" s="71"/>
      <c r="K1056" s="56"/>
      <c r="L1056" s="71"/>
      <c r="M1056" s="56"/>
      <c r="N1056" s="12"/>
      <c r="O1056" s="12"/>
      <c r="P1056" s="57"/>
      <c r="Q1056" s="50"/>
      <c r="R1056" s="50"/>
      <c r="S1056" s="58"/>
      <c r="T1056" s="58"/>
      <c r="U1056" s="58"/>
      <c r="V1056" s="59"/>
      <c r="W1056" s="60"/>
    </row>
    <row r="1057" spans="1:23" ht="29" customHeight="1" x14ac:dyDescent="0.35">
      <c r="A1057" s="61"/>
      <c r="B1057" s="55"/>
      <c r="C1057" s="70"/>
      <c r="D1057" s="12"/>
      <c r="E1057" s="128"/>
      <c r="F1057" s="12"/>
      <c r="G1057" s="71"/>
      <c r="H1057" s="71"/>
      <c r="I1057" s="56"/>
      <c r="J1057" s="71"/>
      <c r="K1057" s="56"/>
      <c r="L1057" s="71"/>
      <c r="M1057" s="56"/>
      <c r="N1057" s="12"/>
      <c r="O1057" s="12"/>
      <c r="P1057" s="57"/>
      <c r="Q1057" s="50"/>
      <c r="R1057" s="50"/>
      <c r="S1057" s="58"/>
      <c r="T1057" s="58"/>
      <c r="U1057" s="58"/>
      <c r="V1057" s="59"/>
      <c r="W1057" s="60"/>
    </row>
    <row r="1058" spans="1:23" ht="29" customHeight="1" x14ac:dyDescent="0.35">
      <c r="A1058" s="61"/>
      <c r="B1058" s="55"/>
      <c r="C1058" s="70"/>
      <c r="D1058" s="12"/>
      <c r="E1058" s="128"/>
      <c r="F1058" s="12"/>
      <c r="G1058" s="71"/>
      <c r="H1058" s="71"/>
      <c r="I1058" s="56"/>
      <c r="J1058" s="71"/>
      <c r="K1058" s="56"/>
      <c r="L1058" s="71"/>
      <c r="M1058" s="56"/>
      <c r="N1058" s="12"/>
      <c r="O1058" s="12"/>
      <c r="P1058" s="57"/>
      <c r="Q1058" s="50"/>
      <c r="R1058" s="50"/>
      <c r="S1058" s="58"/>
      <c r="T1058" s="58"/>
      <c r="U1058" s="58"/>
      <c r="V1058" s="59"/>
      <c r="W1058" s="60"/>
    </row>
    <row r="1059" spans="1:23" ht="29" customHeight="1" x14ac:dyDescent="0.35">
      <c r="A1059" s="61"/>
      <c r="B1059" s="55"/>
      <c r="C1059" s="70"/>
      <c r="D1059" s="12"/>
      <c r="E1059" s="128"/>
      <c r="F1059" s="12"/>
      <c r="G1059" s="71"/>
      <c r="H1059" s="71"/>
      <c r="I1059" s="56"/>
      <c r="J1059" s="71"/>
      <c r="K1059" s="56"/>
      <c r="L1059" s="71"/>
      <c r="M1059" s="56"/>
      <c r="N1059" s="12"/>
      <c r="O1059" s="12"/>
      <c r="P1059" s="57"/>
      <c r="Q1059" s="50"/>
      <c r="R1059" s="50"/>
      <c r="S1059" s="58"/>
      <c r="T1059" s="58"/>
      <c r="U1059" s="58"/>
      <c r="V1059" s="59"/>
      <c r="W1059" s="60"/>
    </row>
    <row r="1060" spans="1:23" ht="29" customHeight="1" x14ac:dyDescent="0.35">
      <c r="A1060" s="61"/>
      <c r="B1060" s="55"/>
      <c r="C1060" s="70"/>
      <c r="D1060" s="12"/>
      <c r="E1060" s="128"/>
      <c r="F1060" s="12"/>
      <c r="G1060" s="71"/>
      <c r="H1060" s="71"/>
      <c r="I1060" s="56"/>
      <c r="J1060" s="71"/>
      <c r="K1060" s="56"/>
      <c r="L1060" s="71"/>
      <c r="M1060" s="56"/>
      <c r="N1060" s="12"/>
      <c r="O1060" s="12"/>
      <c r="P1060" s="57"/>
      <c r="Q1060" s="50"/>
      <c r="R1060" s="50"/>
      <c r="S1060" s="58"/>
      <c r="T1060" s="58"/>
      <c r="U1060" s="58"/>
      <c r="V1060" s="59"/>
      <c r="W1060" s="60"/>
    </row>
    <row r="1061" spans="1:23" ht="29" customHeight="1" x14ac:dyDescent="0.35">
      <c r="A1061" s="61"/>
      <c r="B1061" s="55"/>
      <c r="C1061" s="70"/>
      <c r="D1061" s="12"/>
      <c r="E1061" s="128"/>
      <c r="F1061" s="12"/>
      <c r="G1061" s="71"/>
      <c r="H1061" s="71"/>
      <c r="I1061" s="56"/>
      <c r="J1061" s="71"/>
      <c r="K1061" s="56"/>
      <c r="L1061" s="71"/>
      <c r="M1061" s="56"/>
      <c r="N1061" s="12"/>
      <c r="O1061" s="12"/>
      <c r="P1061" s="57"/>
      <c r="Q1061" s="50"/>
      <c r="R1061" s="50"/>
      <c r="S1061" s="58"/>
      <c r="T1061" s="58"/>
      <c r="U1061" s="58"/>
      <c r="V1061" s="59"/>
      <c r="W1061" s="60"/>
    </row>
    <row r="1062" spans="1:23" ht="29" customHeight="1" x14ac:dyDescent="0.35">
      <c r="A1062" s="61"/>
      <c r="B1062" s="55"/>
      <c r="C1062" s="70"/>
      <c r="D1062" s="12"/>
      <c r="E1062" s="128"/>
      <c r="F1062" s="12"/>
      <c r="G1062" s="71"/>
      <c r="H1062" s="71"/>
      <c r="I1062" s="56"/>
      <c r="J1062" s="71"/>
      <c r="K1062" s="56"/>
      <c r="L1062" s="71"/>
      <c r="M1062" s="56"/>
      <c r="N1062" s="12"/>
      <c r="O1062" s="12"/>
      <c r="P1062" s="57"/>
      <c r="Q1062" s="50"/>
      <c r="R1062" s="50"/>
      <c r="S1062" s="58"/>
      <c r="T1062" s="58"/>
      <c r="U1062" s="58"/>
      <c r="V1062" s="59"/>
      <c r="W1062" s="60"/>
    </row>
    <row r="1063" spans="1:23" ht="29" customHeight="1" x14ac:dyDescent="0.35">
      <c r="A1063" s="61"/>
      <c r="B1063" s="55"/>
      <c r="C1063" s="70"/>
      <c r="D1063" s="12"/>
      <c r="E1063" s="128"/>
      <c r="F1063" s="12"/>
      <c r="G1063" s="71"/>
      <c r="H1063" s="71"/>
      <c r="I1063" s="56"/>
      <c r="J1063" s="71"/>
      <c r="K1063" s="56"/>
      <c r="L1063" s="71"/>
      <c r="M1063" s="56"/>
      <c r="N1063" s="12"/>
      <c r="O1063" s="12"/>
      <c r="P1063" s="57"/>
      <c r="Q1063" s="50"/>
      <c r="R1063" s="50"/>
      <c r="S1063" s="58"/>
      <c r="T1063" s="58"/>
      <c r="U1063" s="58"/>
      <c r="V1063" s="59"/>
      <c r="W1063" s="60"/>
    </row>
    <row r="1064" spans="1:23" ht="29" customHeight="1" x14ac:dyDescent="0.35">
      <c r="A1064" s="61"/>
      <c r="B1064" s="55"/>
      <c r="C1064" s="70"/>
      <c r="D1064" s="12"/>
      <c r="E1064" s="128"/>
      <c r="F1064" s="12"/>
      <c r="G1064" s="71"/>
      <c r="H1064" s="71"/>
      <c r="I1064" s="56"/>
      <c r="J1064" s="71"/>
      <c r="K1064" s="56"/>
      <c r="L1064" s="71"/>
      <c r="M1064" s="56"/>
      <c r="N1064" s="12"/>
      <c r="O1064" s="12"/>
      <c r="P1064" s="57"/>
      <c r="Q1064" s="50"/>
      <c r="R1064" s="50"/>
      <c r="S1064" s="58"/>
      <c r="T1064" s="58"/>
      <c r="U1064" s="58"/>
      <c r="V1064" s="59"/>
      <c r="W1064" s="60"/>
    </row>
    <row r="1065" spans="1:23" ht="29" customHeight="1" x14ac:dyDescent="0.35">
      <c r="A1065" s="61"/>
      <c r="B1065" s="55"/>
      <c r="C1065" s="70"/>
      <c r="D1065" s="12"/>
      <c r="E1065" s="128"/>
      <c r="F1065" s="12"/>
      <c r="G1065" s="71"/>
      <c r="H1065" s="71"/>
      <c r="I1065" s="56"/>
      <c r="J1065" s="71"/>
      <c r="K1065" s="56"/>
      <c r="L1065" s="71"/>
      <c r="M1065" s="56"/>
      <c r="N1065" s="12"/>
      <c r="O1065" s="12"/>
      <c r="P1065" s="57"/>
      <c r="Q1065" s="50"/>
      <c r="R1065" s="50"/>
      <c r="S1065" s="58"/>
      <c r="T1065" s="58"/>
      <c r="U1065" s="58"/>
      <c r="V1065" s="59"/>
      <c r="W1065" s="60"/>
    </row>
    <row r="1066" spans="1:23" ht="29" customHeight="1" x14ac:dyDescent="0.35">
      <c r="A1066" s="61"/>
      <c r="B1066" s="55"/>
      <c r="C1066" s="70"/>
      <c r="D1066" s="12"/>
      <c r="E1066" s="128"/>
      <c r="F1066" s="12"/>
      <c r="G1066" s="71"/>
      <c r="H1066" s="71"/>
      <c r="I1066" s="56"/>
      <c r="J1066" s="71"/>
      <c r="K1066" s="56"/>
      <c r="L1066" s="71"/>
      <c r="M1066" s="56"/>
      <c r="N1066" s="12"/>
      <c r="O1066" s="12"/>
      <c r="P1066" s="57"/>
      <c r="Q1066" s="50"/>
      <c r="R1066" s="50"/>
      <c r="S1066" s="58"/>
      <c r="T1066" s="58"/>
      <c r="U1066" s="58"/>
      <c r="V1066" s="59"/>
      <c r="W1066" s="60"/>
    </row>
    <row r="1067" spans="1:23" ht="29" customHeight="1" x14ac:dyDescent="0.35">
      <c r="A1067" s="61"/>
      <c r="B1067" s="55"/>
      <c r="C1067" s="70"/>
      <c r="D1067" s="12"/>
      <c r="E1067" s="128"/>
      <c r="F1067" s="12"/>
      <c r="G1067" s="71"/>
      <c r="H1067" s="71"/>
      <c r="I1067" s="56"/>
      <c r="J1067" s="71"/>
      <c r="K1067" s="56"/>
      <c r="L1067" s="71"/>
      <c r="M1067" s="56"/>
      <c r="N1067" s="12"/>
      <c r="O1067" s="12"/>
      <c r="P1067" s="57"/>
      <c r="Q1067" s="50"/>
      <c r="R1067" s="50"/>
      <c r="S1067" s="58"/>
      <c r="T1067" s="58"/>
      <c r="U1067" s="58"/>
      <c r="V1067" s="59"/>
      <c r="W1067" s="60"/>
    </row>
    <row r="1068" spans="1:23" ht="29" customHeight="1" x14ac:dyDescent="0.35">
      <c r="A1068" s="61"/>
      <c r="B1068" s="55"/>
      <c r="C1068" s="70"/>
      <c r="D1068" s="12"/>
      <c r="E1068" s="128"/>
      <c r="F1068" s="12"/>
      <c r="G1068" s="71"/>
      <c r="H1068" s="71"/>
      <c r="I1068" s="56"/>
      <c r="J1068" s="71"/>
      <c r="K1068" s="56"/>
      <c r="L1068" s="71"/>
      <c r="M1068" s="56"/>
      <c r="N1068" s="12"/>
      <c r="O1068" s="12"/>
      <c r="P1068" s="57"/>
      <c r="Q1068" s="50"/>
      <c r="R1068" s="50"/>
      <c r="S1068" s="58"/>
      <c r="T1068" s="58"/>
      <c r="U1068" s="58"/>
      <c r="V1068" s="59"/>
      <c r="W1068" s="60"/>
    </row>
    <row r="1069" spans="1:23" ht="29" customHeight="1" x14ac:dyDescent="0.35">
      <c r="A1069" s="61"/>
      <c r="B1069" s="55"/>
      <c r="C1069" s="70"/>
      <c r="D1069" s="12"/>
      <c r="E1069" s="128"/>
      <c r="F1069" s="12"/>
      <c r="G1069" s="71"/>
      <c r="H1069" s="71"/>
      <c r="I1069" s="56"/>
      <c r="J1069" s="71"/>
      <c r="K1069" s="56"/>
      <c r="L1069" s="71"/>
      <c r="M1069" s="56"/>
      <c r="N1069" s="12"/>
      <c r="O1069" s="12"/>
      <c r="P1069" s="57"/>
      <c r="Q1069" s="50"/>
      <c r="R1069" s="50"/>
      <c r="S1069" s="58"/>
      <c r="T1069" s="58"/>
      <c r="U1069" s="58"/>
      <c r="V1069" s="59"/>
      <c r="W1069" s="60"/>
    </row>
    <row r="1070" spans="1:23" ht="29" customHeight="1" x14ac:dyDescent="0.35">
      <c r="A1070" s="61"/>
      <c r="B1070" s="55"/>
      <c r="C1070" s="70"/>
      <c r="D1070" s="12"/>
      <c r="E1070" s="128"/>
      <c r="F1070" s="12"/>
      <c r="G1070" s="71"/>
      <c r="H1070" s="71"/>
      <c r="I1070" s="56"/>
      <c r="J1070" s="71"/>
      <c r="K1070" s="56"/>
      <c r="L1070" s="71"/>
      <c r="M1070" s="56"/>
      <c r="N1070" s="12"/>
      <c r="O1070" s="12"/>
      <c r="P1070" s="57"/>
      <c r="Q1070" s="50"/>
      <c r="R1070" s="50"/>
      <c r="S1070" s="58"/>
      <c r="T1070" s="58"/>
      <c r="U1070" s="58"/>
      <c r="V1070" s="59"/>
      <c r="W1070" s="60"/>
    </row>
    <row r="1071" spans="1:23" ht="29" customHeight="1" x14ac:dyDescent="0.35">
      <c r="A1071" s="61"/>
      <c r="B1071" s="55"/>
      <c r="C1071" s="70"/>
      <c r="D1071" s="12"/>
      <c r="E1071" s="128"/>
      <c r="F1071" s="12"/>
      <c r="G1071" s="71"/>
      <c r="H1071" s="71"/>
      <c r="I1071" s="56"/>
      <c r="J1071" s="71"/>
      <c r="K1071" s="56"/>
      <c r="L1071" s="71"/>
      <c r="M1071" s="56"/>
      <c r="N1071" s="12"/>
      <c r="O1071" s="12"/>
      <c r="P1071" s="57"/>
      <c r="Q1071" s="50"/>
      <c r="R1071" s="50"/>
      <c r="S1071" s="58"/>
      <c r="T1071" s="58"/>
      <c r="U1071" s="58"/>
      <c r="V1071" s="59"/>
      <c r="W1071" s="60"/>
    </row>
    <row r="1072" spans="1:23" ht="29" customHeight="1" x14ac:dyDescent="0.35">
      <c r="A1072" s="61"/>
      <c r="B1072" s="55"/>
      <c r="C1072" s="70"/>
      <c r="D1072" s="12"/>
      <c r="E1072" s="128"/>
      <c r="F1072" s="12"/>
      <c r="G1072" s="71"/>
      <c r="H1072" s="71"/>
      <c r="I1072" s="56"/>
      <c r="J1072" s="71"/>
      <c r="K1072" s="56"/>
      <c r="L1072" s="71"/>
      <c r="M1072" s="56"/>
      <c r="N1072" s="12"/>
      <c r="O1072" s="12"/>
      <c r="P1072" s="57"/>
      <c r="Q1072" s="50"/>
      <c r="R1072" s="50"/>
      <c r="S1072" s="58"/>
      <c r="T1072" s="58"/>
      <c r="U1072" s="58"/>
      <c r="V1072" s="59"/>
      <c r="W1072" s="60"/>
    </row>
    <row r="1073" spans="1:23" ht="29" customHeight="1" x14ac:dyDescent="0.35">
      <c r="A1073" s="61"/>
      <c r="B1073" s="55"/>
      <c r="C1073" s="70"/>
      <c r="D1073" s="12"/>
      <c r="E1073" s="128"/>
      <c r="F1073" s="12"/>
      <c r="G1073" s="71"/>
      <c r="H1073" s="71"/>
      <c r="I1073" s="56"/>
      <c r="J1073" s="71"/>
      <c r="K1073" s="56"/>
      <c r="L1073" s="71"/>
      <c r="M1073" s="56"/>
      <c r="N1073" s="12"/>
      <c r="O1073" s="12"/>
      <c r="P1073" s="57"/>
      <c r="Q1073" s="50"/>
      <c r="R1073" s="50"/>
      <c r="S1073" s="58"/>
      <c r="T1073" s="58"/>
      <c r="U1073" s="58"/>
      <c r="V1073" s="59"/>
      <c r="W1073" s="60"/>
    </row>
    <row r="1074" spans="1:23" ht="29" customHeight="1" x14ac:dyDescent="0.35">
      <c r="A1074" s="61"/>
      <c r="B1074" s="55"/>
      <c r="C1074" s="70"/>
      <c r="D1074" s="12"/>
      <c r="E1074" s="128"/>
      <c r="F1074" s="12"/>
      <c r="G1074" s="71"/>
      <c r="H1074" s="71"/>
      <c r="I1074" s="56"/>
      <c r="J1074" s="71"/>
      <c r="K1074" s="56"/>
      <c r="L1074" s="71"/>
      <c r="M1074" s="56"/>
      <c r="N1074" s="12"/>
      <c r="O1074" s="12"/>
      <c r="P1074" s="57"/>
      <c r="Q1074" s="50"/>
      <c r="R1074" s="50"/>
      <c r="S1074" s="58"/>
      <c r="T1074" s="58"/>
      <c r="U1074" s="58"/>
      <c r="V1074" s="59"/>
      <c r="W1074" s="60"/>
    </row>
    <row r="1075" spans="1:23" ht="29" customHeight="1" x14ac:dyDescent="0.35">
      <c r="A1075" s="61"/>
      <c r="B1075" s="55"/>
      <c r="C1075" s="70"/>
      <c r="D1075" s="12"/>
      <c r="E1075" s="128"/>
      <c r="F1075" s="12"/>
      <c r="G1075" s="71"/>
      <c r="H1075" s="71"/>
      <c r="I1075" s="56"/>
      <c r="J1075" s="71"/>
      <c r="K1075" s="56"/>
      <c r="L1075" s="71"/>
      <c r="M1075" s="56"/>
      <c r="N1075" s="12"/>
      <c r="O1075" s="12"/>
      <c r="P1075" s="57"/>
      <c r="Q1075" s="50"/>
      <c r="R1075" s="50"/>
      <c r="S1075" s="58"/>
      <c r="T1075" s="58"/>
      <c r="U1075" s="58"/>
      <c r="V1075" s="59"/>
      <c r="W1075" s="60"/>
    </row>
    <row r="1076" spans="1:23" ht="29" customHeight="1" x14ac:dyDescent="0.35">
      <c r="A1076" s="61"/>
      <c r="B1076" s="55"/>
      <c r="C1076" s="70"/>
      <c r="D1076" s="12"/>
      <c r="E1076" s="128"/>
      <c r="F1076" s="12"/>
      <c r="G1076" s="71"/>
      <c r="H1076" s="71"/>
      <c r="I1076" s="56"/>
      <c r="J1076" s="71"/>
      <c r="K1076" s="56"/>
      <c r="L1076" s="71"/>
      <c r="M1076" s="56"/>
      <c r="N1076" s="12"/>
      <c r="O1076" s="12"/>
      <c r="P1076" s="57"/>
      <c r="Q1076" s="50"/>
      <c r="R1076" s="50"/>
      <c r="S1076" s="58"/>
      <c r="T1076" s="58"/>
      <c r="U1076" s="58"/>
      <c r="V1076" s="59"/>
      <c r="W1076" s="60"/>
    </row>
    <row r="1077" spans="1:23" ht="29" customHeight="1" x14ac:dyDescent="0.35">
      <c r="A1077" s="61"/>
      <c r="B1077" s="55"/>
      <c r="C1077" s="70"/>
      <c r="D1077" s="12"/>
      <c r="E1077" s="128"/>
      <c r="F1077" s="12"/>
      <c r="G1077" s="71"/>
      <c r="H1077" s="71"/>
      <c r="I1077" s="56"/>
      <c r="J1077" s="71"/>
      <c r="K1077" s="56"/>
      <c r="L1077" s="71"/>
      <c r="M1077" s="56"/>
      <c r="N1077" s="12"/>
      <c r="O1077" s="12"/>
      <c r="P1077" s="57"/>
      <c r="Q1077" s="50"/>
      <c r="R1077" s="50"/>
      <c r="S1077" s="58"/>
      <c r="T1077" s="58"/>
      <c r="U1077" s="58"/>
      <c r="V1077" s="59"/>
      <c r="W1077" s="60"/>
    </row>
    <row r="1078" spans="1:23" ht="29" customHeight="1" x14ac:dyDescent="0.35">
      <c r="A1078" s="61"/>
      <c r="B1078" s="55"/>
      <c r="C1078" s="70"/>
      <c r="D1078" s="12"/>
      <c r="E1078" s="128"/>
      <c r="F1078" s="12"/>
      <c r="G1078" s="71"/>
      <c r="H1078" s="71"/>
      <c r="I1078" s="56"/>
      <c r="J1078" s="71"/>
      <c r="K1078" s="56"/>
      <c r="L1078" s="71"/>
      <c r="M1078" s="56"/>
      <c r="N1078" s="12"/>
      <c r="O1078" s="12"/>
      <c r="P1078" s="57"/>
      <c r="Q1078" s="50"/>
      <c r="R1078" s="50"/>
      <c r="S1078" s="58"/>
      <c r="T1078" s="58"/>
      <c r="U1078" s="58"/>
      <c r="V1078" s="59"/>
      <c r="W1078" s="60"/>
    </row>
    <row r="1079" spans="1:23" ht="29" customHeight="1" x14ac:dyDescent="0.35">
      <c r="A1079" s="61"/>
      <c r="B1079" s="55"/>
      <c r="C1079" s="70"/>
      <c r="D1079" s="12"/>
      <c r="E1079" s="128"/>
      <c r="F1079" s="12"/>
      <c r="G1079" s="71"/>
      <c r="H1079" s="71"/>
      <c r="I1079" s="56"/>
      <c r="J1079" s="71"/>
      <c r="K1079" s="56"/>
      <c r="L1079" s="71"/>
      <c r="M1079" s="56"/>
      <c r="N1079" s="12"/>
      <c r="O1079" s="12"/>
      <c r="P1079" s="57"/>
      <c r="Q1079" s="50"/>
      <c r="R1079" s="50"/>
      <c r="S1079" s="58"/>
      <c r="T1079" s="58"/>
      <c r="U1079" s="58"/>
      <c r="V1079" s="59"/>
      <c r="W1079" s="60"/>
    </row>
    <row r="1080" spans="1:23" ht="29" customHeight="1" x14ac:dyDescent="0.35">
      <c r="A1080" s="61"/>
      <c r="B1080" s="55"/>
      <c r="C1080" s="70"/>
      <c r="D1080" s="12"/>
      <c r="E1080" s="128"/>
      <c r="F1080" s="12"/>
      <c r="G1080" s="71"/>
      <c r="H1080" s="71"/>
      <c r="I1080" s="56"/>
      <c r="J1080" s="71"/>
      <c r="K1080" s="56"/>
      <c r="L1080" s="71"/>
      <c r="M1080" s="56"/>
      <c r="N1080" s="12"/>
      <c r="O1080" s="12"/>
      <c r="P1080" s="57"/>
      <c r="Q1080" s="50"/>
      <c r="R1080" s="50"/>
      <c r="S1080" s="58"/>
      <c r="T1080" s="58"/>
      <c r="U1080" s="58"/>
      <c r="V1080" s="59"/>
      <c r="W1080" s="60"/>
    </row>
    <row r="1081" spans="1:23" ht="29" customHeight="1" x14ac:dyDescent="0.35">
      <c r="A1081" s="61"/>
      <c r="B1081" s="55"/>
      <c r="C1081" s="70"/>
      <c r="D1081" s="12"/>
      <c r="E1081" s="128"/>
      <c r="F1081" s="12"/>
      <c r="G1081" s="71"/>
      <c r="H1081" s="71"/>
      <c r="I1081" s="56"/>
      <c r="J1081" s="71"/>
      <c r="K1081" s="56"/>
      <c r="L1081" s="71"/>
      <c r="M1081" s="56"/>
      <c r="N1081" s="12"/>
      <c r="O1081" s="12"/>
      <c r="P1081" s="57"/>
      <c r="Q1081" s="50"/>
      <c r="R1081" s="50"/>
      <c r="S1081" s="58"/>
      <c r="T1081" s="58"/>
      <c r="U1081" s="58"/>
      <c r="V1081" s="59"/>
      <c r="W1081" s="60"/>
    </row>
    <row r="1082" spans="1:23" ht="29" customHeight="1" x14ac:dyDescent="0.35">
      <c r="A1082" s="61"/>
      <c r="B1082" s="55"/>
      <c r="C1082" s="70"/>
      <c r="D1082" s="12"/>
      <c r="E1082" s="128"/>
      <c r="F1082" s="12"/>
      <c r="G1082" s="71"/>
      <c r="H1082" s="71"/>
      <c r="I1082" s="56"/>
      <c r="J1082" s="71"/>
      <c r="K1082" s="56"/>
      <c r="L1082" s="71"/>
      <c r="M1082" s="56"/>
      <c r="N1082" s="12"/>
      <c r="O1082" s="12"/>
      <c r="P1082" s="57"/>
      <c r="Q1082" s="50"/>
      <c r="R1082" s="50"/>
      <c r="S1082" s="58"/>
      <c r="T1082" s="58"/>
      <c r="U1082" s="58"/>
      <c r="V1082" s="59"/>
      <c r="W1082" s="60"/>
    </row>
    <row r="1083" spans="1:23" ht="29" customHeight="1" x14ac:dyDescent="0.35">
      <c r="A1083" s="61"/>
      <c r="B1083" s="55"/>
      <c r="C1083" s="70"/>
      <c r="D1083" s="12"/>
      <c r="E1083" s="128"/>
      <c r="F1083" s="12"/>
      <c r="G1083" s="71"/>
      <c r="H1083" s="71"/>
      <c r="I1083" s="56"/>
      <c r="J1083" s="71"/>
      <c r="K1083" s="56"/>
      <c r="L1083" s="71"/>
      <c r="M1083" s="56"/>
      <c r="N1083" s="12"/>
      <c r="O1083" s="12"/>
      <c r="P1083" s="57"/>
      <c r="Q1083" s="50"/>
      <c r="R1083" s="50"/>
      <c r="S1083" s="58"/>
      <c r="T1083" s="58"/>
      <c r="U1083" s="58"/>
      <c r="V1083" s="59"/>
      <c r="W1083" s="60"/>
    </row>
    <row r="1084" spans="1:23" ht="29" customHeight="1" x14ac:dyDescent="0.35">
      <c r="A1084" s="61"/>
      <c r="B1084" s="55"/>
      <c r="C1084" s="70"/>
      <c r="D1084" s="12"/>
      <c r="E1084" s="128"/>
      <c r="F1084" s="12"/>
      <c r="G1084" s="71"/>
      <c r="H1084" s="71"/>
      <c r="I1084" s="56"/>
      <c r="J1084" s="71"/>
      <c r="K1084" s="56"/>
      <c r="L1084" s="71"/>
      <c r="M1084" s="56"/>
      <c r="N1084" s="12"/>
      <c r="O1084" s="12"/>
      <c r="P1084" s="57"/>
      <c r="Q1084" s="50"/>
      <c r="R1084" s="50"/>
      <c r="S1084" s="58"/>
      <c r="T1084" s="58"/>
      <c r="U1084" s="58"/>
      <c r="V1084" s="59"/>
      <c r="W1084" s="60"/>
    </row>
    <row r="1085" spans="1:23" ht="29" customHeight="1" x14ac:dyDescent="0.35">
      <c r="A1085" s="61"/>
      <c r="B1085" s="55"/>
      <c r="C1085" s="70"/>
      <c r="D1085" s="12"/>
      <c r="E1085" s="128"/>
      <c r="F1085" s="12"/>
      <c r="G1085" s="71"/>
      <c r="H1085" s="71"/>
      <c r="I1085" s="56"/>
      <c r="J1085" s="71"/>
      <c r="K1085" s="56"/>
      <c r="L1085" s="71"/>
      <c r="M1085" s="56"/>
      <c r="N1085" s="12"/>
      <c r="O1085" s="12"/>
      <c r="P1085" s="57"/>
      <c r="Q1085" s="50"/>
      <c r="R1085" s="50"/>
      <c r="S1085" s="58"/>
      <c r="T1085" s="58"/>
      <c r="U1085" s="58"/>
      <c r="V1085" s="59"/>
      <c r="W1085" s="60"/>
    </row>
    <row r="1086" spans="1:23" ht="29" customHeight="1" x14ac:dyDescent="0.35">
      <c r="A1086" s="61"/>
      <c r="B1086" s="55"/>
      <c r="C1086" s="70"/>
      <c r="D1086" s="12"/>
      <c r="E1086" s="128"/>
      <c r="F1086" s="12"/>
      <c r="G1086" s="71"/>
      <c r="H1086" s="71"/>
      <c r="I1086" s="56"/>
      <c r="J1086" s="71"/>
      <c r="K1086" s="56"/>
      <c r="L1086" s="71"/>
      <c r="M1086" s="56"/>
      <c r="N1086" s="12"/>
      <c r="O1086" s="12"/>
      <c r="P1086" s="57"/>
      <c r="Q1086" s="50"/>
      <c r="R1086" s="50"/>
      <c r="S1086" s="58"/>
      <c r="T1086" s="58"/>
      <c r="U1086" s="58"/>
      <c r="V1086" s="59"/>
      <c r="W1086" s="60"/>
    </row>
    <row r="1087" spans="1:23" ht="29" customHeight="1" x14ac:dyDescent="0.35">
      <c r="A1087" s="61"/>
      <c r="B1087" s="55"/>
      <c r="C1087" s="70"/>
      <c r="D1087" s="12"/>
      <c r="E1087" s="128"/>
      <c r="F1087" s="12"/>
      <c r="G1087" s="71"/>
      <c r="H1087" s="71"/>
      <c r="I1087" s="56"/>
      <c r="J1087" s="71"/>
      <c r="K1087" s="56"/>
      <c r="L1087" s="71"/>
      <c r="M1087" s="56"/>
      <c r="N1087" s="12"/>
      <c r="O1087" s="12"/>
      <c r="P1087" s="57"/>
      <c r="Q1087" s="50"/>
      <c r="R1087" s="50"/>
      <c r="S1087" s="58"/>
      <c r="T1087" s="58"/>
      <c r="U1087" s="58"/>
      <c r="V1087" s="59"/>
      <c r="W1087" s="60"/>
    </row>
    <row r="1088" spans="1:23" ht="29" customHeight="1" x14ac:dyDescent="0.35">
      <c r="A1088" s="61"/>
      <c r="B1088" s="55"/>
      <c r="C1088" s="70"/>
      <c r="D1088" s="12"/>
      <c r="E1088" s="128"/>
      <c r="F1088" s="12"/>
      <c r="G1088" s="71"/>
      <c r="H1088" s="71"/>
      <c r="I1088" s="56"/>
      <c r="J1088" s="71"/>
      <c r="K1088" s="56"/>
      <c r="L1088" s="71"/>
      <c r="M1088" s="56"/>
      <c r="N1088" s="12"/>
      <c r="O1088" s="12"/>
      <c r="P1088" s="57"/>
      <c r="Q1088" s="50"/>
      <c r="R1088" s="50"/>
      <c r="S1088" s="58"/>
      <c r="T1088" s="58"/>
      <c r="U1088" s="58"/>
      <c r="V1088" s="59"/>
      <c r="W1088" s="60"/>
    </row>
    <row r="1089" spans="1:23" ht="29" customHeight="1" x14ac:dyDescent="0.35">
      <c r="A1089" s="61"/>
      <c r="B1089" s="55"/>
      <c r="C1089" s="70"/>
      <c r="D1089" s="12"/>
      <c r="E1089" s="128"/>
      <c r="F1089" s="12"/>
      <c r="G1089" s="71"/>
      <c r="H1089" s="71"/>
      <c r="I1089" s="56"/>
      <c r="J1089" s="71"/>
      <c r="K1089" s="56"/>
      <c r="L1089" s="71"/>
      <c r="M1089" s="56"/>
      <c r="N1089" s="12"/>
      <c r="O1089" s="12"/>
      <c r="P1089" s="57"/>
      <c r="Q1089" s="50"/>
      <c r="R1089" s="50"/>
      <c r="S1089" s="58"/>
      <c r="T1089" s="58"/>
      <c r="U1089" s="58"/>
      <c r="V1089" s="59"/>
      <c r="W1089" s="60"/>
    </row>
    <row r="1090" spans="1:23" ht="29" customHeight="1" x14ac:dyDescent="0.35">
      <c r="A1090" s="61"/>
      <c r="B1090" s="55"/>
      <c r="C1090" s="70"/>
      <c r="D1090" s="12"/>
      <c r="E1090" s="128"/>
      <c r="F1090" s="12"/>
      <c r="G1090" s="71"/>
      <c r="H1090" s="71"/>
      <c r="I1090" s="56"/>
      <c r="J1090" s="71"/>
      <c r="K1090" s="56"/>
      <c r="L1090" s="71"/>
      <c r="M1090" s="56"/>
      <c r="N1090" s="12"/>
      <c r="O1090" s="12"/>
      <c r="P1090" s="57"/>
      <c r="Q1090" s="50"/>
      <c r="R1090" s="50"/>
      <c r="S1090" s="58"/>
      <c r="T1090" s="58"/>
      <c r="U1090" s="58"/>
      <c r="V1090" s="59"/>
      <c r="W1090" s="60"/>
    </row>
    <row r="1091" spans="1:23" ht="29" customHeight="1" x14ac:dyDescent="0.35">
      <c r="A1091" s="61"/>
      <c r="B1091" s="55"/>
      <c r="C1091" s="70"/>
      <c r="D1091" s="12"/>
      <c r="E1091" s="128"/>
      <c r="F1091" s="12"/>
      <c r="G1091" s="71"/>
      <c r="H1091" s="71"/>
      <c r="I1091" s="56"/>
      <c r="J1091" s="71"/>
      <c r="K1091" s="56"/>
      <c r="L1091" s="71"/>
      <c r="M1091" s="56"/>
      <c r="N1091" s="12"/>
      <c r="O1091" s="12"/>
      <c r="P1091" s="57"/>
      <c r="Q1091" s="50"/>
      <c r="R1091" s="50"/>
      <c r="S1091" s="58"/>
      <c r="T1091" s="58"/>
      <c r="U1091" s="58"/>
      <c r="V1091" s="59"/>
      <c r="W1091" s="60"/>
    </row>
    <row r="1092" spans="1:23" ht="29" customHeight="1" x14ac:dyDescent="0.35">
      <c r="A1092" s="61"/>
      <c r="B1092" s="55"/>
      <c r="C1092" s="70"/>
      <c r="D1092" s="12"/>
      <c r="E1092" s="128"/>
      <c r="F1092" s="12"/>
      <c r="G1092" s="71"/>
      <c r="H1092" s="71"/>
      <c r="I1092" s="56"/>
      <c r="J1092" s="71"/>
      <c r="K1092" s="56"/>
      <c r="L1092" s="71"/>
      <c r="M1092" s="56"/>
      <c r="N1092" s="12"/>
      <c r="O1092" s="12"/>
      <c r="P1092" s="57"/>
      <c r="Q1092" s="50"/>
      <c r="R1092" s="50"/>
      <c r="S1092" s="58"/>
      <c r="T1092" s="58"/>
      <c r="U1092" s="58"/>
      <c r="V1092" s="59"/>
      <c r="W1092" s="60"/>
    </row>
    <row r="1093" spans="1:23" ht="29" customHeight="1" x14ac:dyDescent="0.35">
      <c r="A1093" s="61"/>
      <c r="B1093" s="55"/>
      <c r="C1093" s="70"/>
      <c r="D1093" s="12"/>
      <c r="E1093" s="128"/>
      <c r="F1093" s="12"/>
      <c r="G1093" s="71"/>
      <c r="H1093" s="71"/>
      <c r="I1093" s="56"/>
      <c r="J1093" s="71"/>
      <c r="K1093" s="56"/>
      <c r="L1093" s="71"/>
      <c r="M1093" s="56"/>
      <c r="N1093" s="12"/>
      <c r="O1093" s="12"/>
      <c r="P1093" s="57"/>
      <c r="Q1093" s="50"/>
      <c r="R1093" s="50"/>
      <c r="S1093" s="58"/>
      <c r="T1093" s="58"/>
      <c r="U1093" s="58"/>
      <c r="V1093" s="59"/>
      <c r="W1093" s="60"/>
    </row>
    <row r="1094" spans="1:23" ht="29" customHeight="1" x14ac:dyDescent="0.35">
      <c r="A1094" s="61"/>
      <c r="B1094" s="55"/>
      <c r="C1094" s="70"/>
      <c r="D1094" s="12"/>
      <c r="E1094" s="128"/>
      <c r="F1094" s="12"/>
      <c r="G1094" s="71"/>
      <c r="H1094" s="71"/>
      <c r="I1094" s="56"/>
      <c r="J1094" s="71"/>
      <c r="K1094" s="56"/>
      <c r="L1094" s="71"/>
      <c r="M1094" s="56"/>
      <c r="N1094" s="12"/>
      <c r="O1094" s="12"/>
      <c r="P1094" s="57"/>
      <c r="Q1094" s="50"/>
      <c r="R1094" s="50"/>
      <c r="S1094" s="58"/>
      <c r="T1094" s="58"/>
      <c r="U1094" s="58"/>
      <c r="V1094" s="59"/>
      <c r="W1094" s="60"/>
    </row>
    <row r="1095" spans="1:23" ht="29" customHeight="1" x14ac:dyDescent="0.35">
      <c r="A1095" s="61"/>
      <c r="B1095" s="55"/>
      <c r="C1095" s="70"/>
      <c r="D1095" s="12"/>
      <c r="E1095" s="128"/>
      <c r="F1095" s="12"/>
      <c r="G1095" s="71"/>
      <c r="H1095" s="71"/>
      <c r="I1095" s="56"/>
      <c r="J1095" s="71"/>
      <c r="K1095" s="56"/>
      <c r="L1095" s="71"/>
      <c r="M1095" s="56"/>
      <c r="N1095" s="12"/>
      <c r="O1095" s="12"/>
      <c r="P1095" s="57"/>
      <c r="Q1095" s="50"/>
      <c r="R1095" s="50"/>
      <c r="S1095" s="58"/>
      <c r="T1095" s="58"/>
      <c r="U1095" s="58"/>
      <c r="V1095" s="59"/>
      <c r="W1095" s="60"/>
    </row>
    <row r="1096" spans="1:23" ht="29" customHeight="1" x14ac:dyDescent="0.35">
      <c r="A1096" s="61"/>
      <c r="B1096" s="55"/>
      <c r="C1096" s="70"/>
      <c r="D1096" s="12"/>
      <c r="E1096" s="128"/>
      <c r="F1096" s="12"/>
      <c r="G1096" s="71"/>
      <c r="H1096" s="71"/>
      <c r="I1096" s="56"/>
      <c r="J1096" s="71"/>
      <c r="K1096" s="56"/>
      <c r="L1096" s="71"/>
      <c r="M1096" s="56"/>
      <c r="N1096" s="12"/>
      <c r="O1096" s="12"/>
      <c r="P1096" s="57"/>
      <c r="Q1096" s="50"/>
      <c r="R1096" s="50"/>
      <c r="S1096" s="58"/>
      <c r="T1096" s="58"/>
      <c r="U1096" s="58"/>
      <c r="V1096" s="59"/>
      <c r="W1096" s="60"/>
    </row>
    <row r="1097" spans="1:23" ht="29" customHeight="1" x14ac:dyDescent="0.35">
      <c r="A1097" s="61"/>
      <c r="B1097" s="55"/>
      <c r="C1097" s="70"/>
      <c r="D1097" s="12"/>
      <c r="E1097" s="128"/>
      <c r="F1097" s="12"/>
      <c r="G1097" s="71"/>
      <c r="H1097" s="71"/>
      <c r="I1097" s="56"/>
      <c r="J1097" s="71"/>
      <c r="K1097" s="56"/>
      <c r="L1097" s="71"/>
      <c r="M1097" s="56"/>
      <c r="N1097" s="12"/>
      <c r="O1097" s="12"/>
      <c r="P1097" s="57"/>
      <c r="Q1097" s="50"/>
      <c r="R1097" s="50"/>
      <c r="S1097" s="58"/>
      <c r="T1097" s="58"/>
      <c r="U1097" s="58"/>
      <c r="V1097" s="59"/>
      <c r="W1097" s="60"/>
    </row>
    <row r="1098" spans="1:23" ht="29" customHeight="1" x14ac:dyDescent="0.35">
      <c r="A1098" s="61"/>
      <c r="B1098" s="55"/>
      <c r="C1098" s="70"/>
      <c r="D1098" s="12"/>
      <c r="E1098" s="128"/>
      <c r="F1098" s="12"/>
      <c r="G1098" s="71"/>
      <c r="H1098" s="71"/>
      <c r="I1098" s="56"/>
      <c r="J1098" s="71"/>
      <c r="K1098" s="56"/>
      <c r="L1098" s="71"/>
      <c r="M1098" s="56"/>
      <c r="N1098" s="12"/>
      <c r="O1098" s="12"/>
      <c r="P1098" s="57"/>
      <c r="Q1098" s="50"/>
      <c r="R1098" s="50"/>
      <c r="S1098" s="58"/>
      <c r="T1098" s="58"/>
      <c r="U1098" s="58"/>
      <c r="V1098" s="59"/>
      <c r="W1098" s="60"/>
    </row>
    <row r="1099" spans="1:23" ht="29" customHeight="1" x14ac:dyDescent="0.35">
      <c r="A1099" s="61"/>
      <c r="B1099" s="55"/>
      <c r="C1099" s="70"/>
      <c r="D1099" s="12"/>
      <c r="E1099" s="128"/>
      <c r="F1099" s="12"/>
      <c r="G1099" s="71"/>
      <c r="H1099" s="71"/>
      <c r="I1099" s="56"/>
      <c r="J1099" s="71"/>
      <c r="K1099" s="56"/>
      <c r="L1099" s="71"/>
      <c r="M1099" s="56"/>
      <c r="N1099" s="12"/>
      <c r="O1099" s="12"/>
      <c r="P1099" s="57"/>
      <c r="Q1099" s="50"/>
      <c r="R1099" s="50"/>
      <c r="S1099" s="58"/>
      <c r="T1099" s="58"/>
      <c r="U1099" s="58"/>
      <c r="V1099" s="59"/>
      <c r="W1099" s="60"/>
    </row>
    <row r="1100" spans="1:23" ht="29" customHeight="1" x14ac:dyDescent="0.35">
      <c r="A1100" s="61"/>
      <c r="B1100" s="55"/>
      <c r="C1100" s="70"/>
      <c r="D1100" s="12"/>
      <c r="E1100" s="128"/>
      <c r="F1100" s="12"/>
      <c r="G1100" s="71"/>
      <c r="H1100" s="71"/>
      <c r="I1100" s="56"/>
      <c r="J1100" s="71"/>
      <c r="K1100" s="56"/>
      <c r="L1100" s="71"/>
      <c r="M1100" s="56"/>
      <c r="N1100" s="12"/>
      <c r="O1100" s="12"/>
      <c r="P1100" s="57"/>
      <c r="Q1100" s="50"/>
      <c r="R1100" s="50"/>
      <c r="S1100" s="58"/>
      <c r="T1100" s="58"/>
      <c r="U1100" s="58"/>
      <c r="V1100" s="59"/>
      <c r="W1100" s="60"/>
    </row>
    <row r="1101" spans="1:23" ht="29" customHeight="1" x14ac:dyDescent="0.35">
      <c r="A1101" s="61"/>
      <c r="B1101" s="55"/>
      <c r="C1101" s="70"/>
      <c r="D1101" s="12"/>
      <c r="E1101" s="128"/>
      <c r="F1101" s="12"/>
      <c r="G1101" s="71"/>
      <c r="H1101" s="71"/>
      <c r="I1101" s="56"/>
      <c r="J1101" s="71"/>
      <c r="K1101" s="56"/>
      <c r="L1101" s="71"/>
      <c r="M1101" s="56"/>
      <c r="N1101" s="12"/>
      <c r="O1101" s="12"/>
      <c r="P1101" s="57"/>
      <c r="Q1101" s="50"/>
      <c r="R1101" s="50"/>
      <c r="S1101" s="58"/>
      <c r="T1101" s="58"/>
      <c r="U1101" s="58"/>
      <c r="V1101" s="59"/>
      <c r="W1101" s="60"/>
    </row>
    <row r="1102" spans="1:23" ht="29" customHeight="1" x14ac:dyDescent="0.35">
      <c r="A1102" s="61"/>
      <c r="B1102" s="55"/>
      <c r="C1102" s="70"/>
      <c r="D1102" s="12"/>
      <c r="E1102" s="128"/>
      <c r="F1102" s="12"/>
      <c r="G1102" s="71"/>
      <c r="H1102" s="71"/>
      <c r="I1102" s="56"/>
      <c r="J1102" s="71"/>
      <c r="K1102" s="56"/>
      <c r="L1102" s="71"/>
      <c r="M1102" s="56"/>
      <c r="N1102" s="12"/>
      <c r="O1102" s="12"/>
      <c r="P1102" s="57"/>
      <c r="Q1102" s="50"/>
      <c r="R1102" s="50"/>
      <c r="S1102" s="58"/>
      <c r="T1102" s="58"/>
      <c r="U1102" s="58"/>
      <c r="V1102" s="59"/>
      <c r="W1102" s="60"/>
    </row>
    <row r="1103" spans="1:23" ht="29" customHeight="1" x14ac:dyDescent="0.35">
      <c r="A1103" s="61"/>
      <c r="B1103" s="55"/>
      <c r="C1103" s="70"/>
      <c r="D1103" s="12"/>
      <c r="E1103" s="128"/>
      <c r="F1103" s="12"/>
      <c r="G1103" s="71"/>
      <c r="H1103" s="71"/>
      <c r="I1103" s="56"/>
      <c r="J1103" s="71"/>
      <c r="K1103" s="56"/>
      <c r="L1103" s="71"/>
      <c r="M1103" s="56"/>
      <c r="N1103" s="12"/>
      <c r="O1103" s="12"/>
      <c r="P1103" s="57"/>
      <c r="Q1103" s="50"/>
      <c r="R1103" s="50"/>
      <c r="S1103" s="58"/>
      <c r="T1103" s="58"/>
      <c r="U1103" s="58"/>
      <c r="V1103" s="59"/>
      <c r="W1103" s="60"/>
    </row>
    <row r="1104" spans="1:23" ht="29" customHeight="1" x14ac:dyDescent="0.35">
      <c r="A1104" s="61"/>
      <c r="B1104" s="55"/>
      <c r="C1104" s="70"/>
      <c r="D1104" s="12"/>
      <c r="E1104" s="128"/>
      <c r="F1104" s="12"/>
      <c r="G1104" s="71"/>
      <c r="H1104" s="71"/>
      <c r="I1104" s="56"/>
      <c r="J1104" s="71"/>
      <c r="K1104" s="56"/>
      <c r="L1104" s="71"/>
      <c r="M1104" s="56"/>
      <c r="N1104" s="12"/>
      <c r="O1104" s="12"/>
      <c r="P1104" s="57"/>
      <c r="Q1104" s="50"/>
      <c r="R1104" s="50"/>
      <c r="S1104" s="58"/>
      <c r="T1104" s="58"/>
      <c r="U1104" s="58"/>
      <c r="V1104" s="59"/>
      <c r="W1104" s="60"/>
    </row>
    <row r="1105" spans="1:23" ht="29" customHeight="1" x14ac:dyDescent="0.35">
      <c r="A1105" s="61"/>
      <c r="B1105" s="55"/>
      <c r="C1105" s="70"/>
      <c r="D1105" s="12"/>
      <c r="E1105" s="128"/>
      <c r="F1105" s="12"/>
      <c r="G1105" s="71"/>
      <c r="H1105" s="71"/>
      <c r="I1105" s="56"/>
      <c r="J1105" s="71"/>
      <c r="K1105" s="56"/>
      <c r="L1105" s="71"/>
      <c r="M1105" s="56"/>
      <c r="N1105" s="12"/>
      <c r="O1105" s="12"/>
      <c r="P1105" s="57"/>
      <c r="Q1105" s="50"/>
      <c r="R1105" s="50"/>
      <c r="S1105" s="58"/>
      <c r="T1105" s="58"/>
      <c r="U1105" s="58"/>
      <c r="V1105" s="59"/>
      <c r="W1105" s="60"/>
    </row>
    <row r="1106" spans="1:23" ht="29" customHeight="1" x14ac:dyDescent="0.35">
      <c r="A1106" s="61"/>
      <c r="B1106" s="55"/>
      <c r="C1106" s="70"/>
      <c r="D1106" s="12"/>
      <c r="E1106" s="128"/>
      <c r="F1106" s="12"/>
      <c r="G1106" s="71"/>
      <c r="H1106" s="71"/>
      <c r="I1106" s="56"/>
      <c r="J1106" s="71"/>
      <c r="K1106" s="56"/>
      <c r="L1106" s="71"/>
      <c r="M1106" s="56"/>
      <c r="N1106" s="12"/>
      <c r="O1106" s="12"/>
      <c r="P1106" s="57"/>
      <c r="Q1106" s="50"/>
      <c r="R1106" s="50"/>
      <c r="S1106" s="58"/>
      <c r="T1106" s="58"/>
      <c r="U1106" s="58"/>
      <c r="V1106" s="59"/>
      <c r="W1106" s="60"/>
    </row>
    <row r="1107" spans="1:23" ht="29" customHeight="1" x14ac:dyDescent="0.35">
      <c r="A1107" s="61"/>
      <c r="B1107" s="55"/>
      <c r="C1107" s="70"/>
      <c r="D1107" s="12"/>
      <c r="E1107" s="128"/>
      <c r="F1107" s="12"/>
      <c r="G1107" s="71"/>
      <c r="H1107" s="71"/>
      <c r="I1107" s="56"/>
      <c r="J1107" s="71"/>
      <c r="K1107" s="56"/>
      <c r="L1107" s="71"/>
      <c r="M1107" s="56"/>
      <c r="N1107" s="12"/>
      <c r="O1107" s="12"/>
      <c r="P1107" s="57"/>
      <c r="Q1107" s="50"/>
      <c r="R1107" s="50"/>
      <c r="S1107" s="58"/>
      <c r="T1107" s="58"/>
      <c r="U1107" s="58"/>
      <c r="V1107" s="59"/>
      <c r="W1107" s="60"/>
    </row>
    <row r="1108" spans="1:23" ht="29" customHeight="1" x14ac:dyDescent="0.35">
      <c r="A1108" s="61"/>
      <c r="B1108" s="55"/>
      <c r="C1108" s="70"/>
      <c r="D1108" s="12"/>
      <c r="E1108" s="128"/>
      <c r="F1108" s="12"/>
      <c r="G1108" s="71"/>
      <c r="H1108" s="71"/>
      <c r="I1108" s="56"/>
      <c r="J1108" s="71"/>
      <c r="K1108" s="56"/>
      <c r="L1108" s="71"/>
      <c r="M1108" s="56"/>
      <c r="N1108" s="12"/>
      <c r="O1108" s="12"/>
      <c r="P1108" s="57"/>
      <c r="Q1108" s="50"/>
      <c r="R1108" s="50"/>
      <c r="S1108" s="58"/>
      <c r="T1108" s="58"/>
      <c r="U1108" s="58"/>
      <c r="V1108" s="59"/>
      <c r="W1108" s="60"/>
    </row>
    <row r="1109" spans="1:23" ht="29" customHeight="1" x14ac:dyDescent="0.35">
      <c r="A1109" s="61"/>
      <c r="B1109" s="55"/>
      <c r="C1109" s="70"/>
      <c r="D1109" s="12"/>
      <c r="E1109" s="128"/>
      <c r="F1109" s="12"/>
      <c r="G1109" s="71"/>
      <c r="H1109" s="71"/>
      <c r="I1109" s="56"/>
      <c r="J1109" s="71"/>
      <c r="K1109" s="56"/>
      <c r="L1109" s="71"/>
      <c r="M1109" s="56"/>
      <c r="N1109" s="12"/>
      <c r="O1109" s="12"/>
      <c r="P1109" s="57"/>
      <c r="Q1109" s="50"/>
      <c r="R1109" s="50"/>
      <c r="S1109" s="58"/>
      <c r="T1109" s="58"/>
      <c r="U1109" s="58"/>
      <c r="V1109" s="59"/>
      <c r="W1109" s="60"/>
    </row>
    <row r="1110" spans="1:23" ht="29" customHeight="1" x14ac:dyDescent="0.35">
      <c r="A1110" s="61"/>
      <c r="B1110" s="55"/>
      <c r="C1110" s="70"/>
      <c r="D1110" s="12"/>
      <c r="E1110" s="128"/>
      <c r="F1110" s="12"/>
      <c r="G1110" s="71"/>
      <c r="H1110" s="71"/>
      <c r="I1110" s="56"/>
      <c r="J1110" s="71"/>
      <c r="K1110" s="56"/>
      <c r="L1110" s="71"/>
      <c r="M1110" s="56"/>
      <c r="N1110" s="12"/>
      <c r="O1110" s="12"/>
      <c r="P1110" s="57"/>
      <c r="Q1110" s="50"/>
      <c r="R1110" s="50"/>
      <c r="S1110" s="58"/>
      <c r="T1110" s="58"/>
      <c r="U1110" s="58"/>
      <c r="V1110" s="59"/>
      <c r="W1110" s="60"/>
    </row>
    <row r="1111" spans="1:23" ht="29" customHeight="1" x14ac:dyDescent="0.35">
      <c r="A1111" s="61"/>
      <c r="B1111" s="55"/>
      <c r="C1111" s="70"/>
      <c r="D1111" s="12"/>
      <c r="E1111" s="128"/>
      <c r="F1111" s="12"/>
      <c r="G1111" s="71"/>
      <c r="H1111" s="71"/>
      <c r="I1111" s="56"/>
      <c r="J1111" s="71"/>
      <c r="K1111" s="56"/>
      <c r="L1111" s="71"/>
      <c r="M1111" s="56"/>
      <c r="N1111" s="12"/>
      <c r="O1111" s="12"/>
      <c r="P1111" s="57"/>
      <c r="Q1111" s="50"/>
      <c r="R1111" s="50"/>
      <c r="S1111" s="58"/>
      <c r="T1111" s="58"/>
      <c r="U1111" s="58"/>
      <c r="V1111" s="59"/>
      <c r="W1111" s="60"/>
    </row>
    <row r="1112" spans="1:23" ht="29" customHeight="1" x14ac:dyDescent="0.35">
      <c r="A1112" s="61"/>
      <c r="B1112" s="55"/>
      <c r="C1112" s="70"/>
      <c r="D1112" s="12"/>
      <c r="E1112" s="128"/>
      <c r="F1112" s="12"/>
      <c r="G1112" s="71"/>
      <c r="H1112" s="71"/>
      <c r="I1112" s="56"/>
      <c r="J1112" s="71"/>
      <c r="K1112" s="56"/>
      <c r="L1112" s="71"/>
      <c r="M1112" s="56"/>
      <c r="N1112" s="12"/>
      <c r="O1112" s="12"/>
      <c r="P1112" s="57"/>
      <c r="Q1112" s="50"/>
      <c r="R1112" s="50"/>
      <c r="S1112" s="58"/>
      <c r="T1112" s="58"/>
      <c r="U1112" s="58"/>
      <c r="V1112" s="59"/>
      <c r="W1112" s="60"/>
    </row>
    <row r="1113" spans="1:23" ht="29" customHeight="1" x14ac:dyDescent="0.35">
      <c r="A1113" s="61"/>
      <c r="B1113" s="55"/>
      <c r="C1113" s="70"/>
      <c r="D1113" s="12"/>
      <c r="E1113" s="128"/>
      <c r="F1113" s="12"/>
      <c r="G1113" s="71"/>
      <c r="H1113" s="71"/>
      <c r="I1113" s="56"/>
      <c r="J1113" s="71"/>
      <c r="K1113" s="56"/>
      <c r="L1113" s="71"/>
      <c r="M1113" s="56"/>
      <c r="N1113" s="12"/>
      <c r="O1113" s="12"/>
      <c r="P1113" s="57"/>
      <c r="Q1113" s="50"/>
      <c r="R1113" s="50"/>
      <c r="S1113" s="58"/>
      <c r="T1113" s="58"/>
      <c r="U1113" s="58"/>
      <c r="V1113" s="59"/>
      <c r="W1113" s="60"/>
    </row>
    <row r="1114" spans="1:23" ht="29" customHeight="1" x14ac:dyDescent="0.35">
      <c r="A1114" s="61"/>
      <c r="B1114" s="55"/>
      <c r="C1114" s="70"/>
      <c r="D1114" s="12"/>
      <c r="E1114" s="128"/>
      <c r="F1114" s="12"/>
      <c r="G1114" s="71"/>
      <c r="H1114" s="71"/>
      <c r="I1114" s="56"/>
      <c r="J1114" s="71"/>
      <c r="K1114" s="56"/>
      <c r="L1114" s="71"/>
      <c r="M1114" s="56"/>
      <c r="N1114" s="12"/>
      <c r="O1114" s="12"/>
      <c r="P1114" s="57"/>
      <c r="Q1114" s="50"/>
      <c r="R1114" s="50"/>
      <c r="S1114" s="58"/>
      <c r="T1114" s="58"/>
      <c r="U1114" s="58"/>
      <c r="V1114" s="59"/>
      <c r="W1114" s="60"/>
    </row>
    <row r="1115" spans="1:23" ht="29" customHeight="1" x14ac:dyDescent="0.35">
      <c r="A1115" s="61"/>
      <c r="B1115" s="55"/>
      <c r="C1115" s="70"/>
      <c r="D1115" s="12"/>
      <c r="E1115" s="128"/>
      <c r="F1115" s="12"/>
      <c r="G1115" s="71"/>
      <c r="H1115" s="71"/>
      <c r="I1115" s="56"/>
      <c r="J1115" s="71"/>
      <c r="K1115" s="56"/>
      <c r="L1115" s="71"/>
      <c r="M1115" s="56"/>
      <c r="N1115" s="12"/>
      <c r="O1115" s="12"/>
      <c r="P1115" s="57"/>
      <c r="Q1115" s="50"/>
      <c r="R1115" s="50"/>
      <c r="S1115" s="58"/>
      <c r="T1115" s="58"/>
      <c r="U1115" s="58"/>
      <c r="V1115" s="59"/>
      <c r="W1115" s="60"/>
    </row>
    <row r="1116" spans="1:23" ht="29" customHeight="1" x14ac:dyDescent="0.35">
      <c r="A1116" s="61"/>
      <c r="B1116" s="55"/>
      <c r="C1116" s="70"/>
      <c r="D1116" s="12"/>
      <c r="E1116" s="128"/>
      <c r="F1116" s="12"/>
      <c r="G1116" s="71"/>
      <c r="H1116" s="71"/>
      <c r="I1116" s="56"/>
      <c r="J1116" s="71"/>
      <c r="K1116" s="56"/>
      <c r="L1116" s="71"/>
      <c r="M1116" s="56"/>
      <c r="N1116" s="12"/>
      <c r="O1116" s="12"/>
      <c r="P1116" s="57"/>
      <c r="Q1116" s="50"/>
      <c r="R1116" s="50"/>
      <c r="S1116" s="58"/>
      <c r="T1116" s="58"/>
      <c r="U1116" s="58"/>
      <c r="V1116" s="59"/>
      <c r="W1116" s="60"/>
    </row>
    <row r="1117" spans="1:23" ht="29" customHeight="1" x14ac:dyDescent="0.35">
      <c r="A1117" s="61"/>
      <c r="B1117" s="55"/>
      <c r="C1117" s="70"/>
      <c r="D1117" s="12"/>
      <c r="E1117" s="128"/>
      <c r="F1117" s="12"/>
      <c r="G1117" s="71"/>
      <c r="H1117" s="71"/>
      <c r="I1117" s="56"/>
      <c r="J1117" s="71"/>
      <c r="K1117" s="56"/>
      <c r="L1117" s="71"/>
      <c r="M1117" s="56"/>
      <c r="N1117" s="12"/>
      <c r="O1117" s="12"/>
      <c r="P1117" s="57"/>
      <c r="Q1117" s="50"/>
      <c r="R1117" s="50"/>
      <c r="S1117" s="58"/>
      <c r="T1117" s="58"/>
      <c r="U1117" s="58"/>
      <c r="V1117" s="59"/>
      <c r="W1117" s="60"/>
    </row>
    <row r="1118" spans="1:23" ht="29" customHeight="1" x14ac:dyDescent="0.35">
      <c r="A1118" s="61"/>
      <c r="B1118" s="55"/>
      <c r="C1118" s="70"/>
      <c r="D1118" s="12"/>
      <c r="E1118" s="128"/>
      <c r="F1118" s="12"/>
      <c r="G1118" s="71"/>
      <c r="H1118" s="71"/>
      <c r="I1118" s="56"/>
      <c r="J1118" s="71"/>
      <c r="K1118" s="56"/>
      <c r="L1118" s="71"/>
      <c r="M1118" s="56"/>
      <c r="N1118" s="12"/>
      <c r="O1118" s="12"/>
      <c r="P1118" s="57"/>
      <c r="Q1118" s="50"/>
      <c r="R1118" s="50"/>
      <c r="S1118" s="58"/>
      <c r="T1118" s="58"/>
      <c r="U1118" s="58"/>
      <c r="V1118" s="59"/>
      <c r="W1118" s="60"/>
    </row>
    <row r="1119" spans="1:23" ht="29" customHeight="1" x14ac:dyDescent="0.35">
      <c r="A1119" s="61"/>
      <c r="B1119" s="55"/>
      <c r="C1119" s="70"/>
      <c r="D1119" s="12"/>
      <c r="E1119" s="128"/>
      <c r="F1119" s="12"/>
      <c r="G1119" s="71"/>
      <c r="H1119" s="71"/>
      <c r="I1119" s="56"/>
      <c r="J1119" s="71"/>
      <c r="K1119" s="56"/>
      <c r="L1119" s="71"/>
      <c r="M1119" s="56"/>
      <c r="N1119" s="12"/>
      <c r="O1119" s="12"/>
      <c r="P1119" s="57"/>
      <c r="Q1119" s="50"/>
      <c r="R1119" s="50"/>
      <c r="S1119" s="58"/>
      <c r="T1119" s="58"/>
      <c r="U1119" s="58"/>
      <c r="V1119" s="59"/>
      <c r="W1119" s="60"/>
    </row>
    <row r="1120" spans="1:23" ht="29" customHeight="1" x14ac:dyDescent="0.35">
      <c r="A1120" s="61"/>
      <c r="B1120" s="55"/>
      <c r="C1120" s="70"/>
      <c r="D1120" s="12"/>
      <c r="E1120" s="128"/>
      <c r="F1120" s="12"/>
      <c r="G1120" s="71"/>
      <c r="H1120" s="71"/>
      <c r="I1120" s="56"/>
      <c r="J1120" s="71"/>
      <c r="K1120" s="56"/>
      <c r="L1120" s="71"/>
      <c r="M1120" s="56"/>
      <c r="N1120" s="12"/>
      <c r="O1120" s="12"/>
      <c r="P1120" s="57"/>
      <c r="Q1120" s="50"/>
      <c r="R1120" s="50"/>
      <c r="S1120" s="58"/>
      <c r="T1120" s="58"/>
      <c r="U1120" s="58"/>
      <c r="V1120" s="59"/>
      <c r="W1120" s="60"/>
    </row>
    <row r="1121" spans="1:23" ht="29" customHeight="1" x14ac:dyDescent="0.35">
      <c r="A1121" s="61"/>
      <c r="B1121" s="55"/>
      <c r="C1121" s="70"/>
      <c r="D1121" s="12"/>
      <c r="E1121" s="128"/>
      <c r="F1121" s="12"/>
      <c r="G1121" s="71"/>
      <c r="H1121" s="71"/>
      <c r="I1121" s="56"/>
      <c r="J1121" s="71"/>
      <c r="K1121" s="56"/>
      <c r="L1121" s="71"/>
      <c r="M1121" s="56"/>
      <c r="N1121" s="12"/>
      <c r="O1121" s="12"/>
      <c r="P1121" s="57"/>
      <c r="Q1121" s="50"/>
      <c r="R1121" s="50"/>
      <c r="S1121" s="58"/>
      <c r="T1121" s="58"/>
      <c r="U1121" s="58"/>
      <c r="V1121" s="59"/>
      <c r="W1121" s="60"/>
    </row>
    <row r="1122" spans="1:23" ht="29" customHeight="1" x14ac:dyDescent="0.35">
      <c r="A1122" s="61"/>
      <c r="B1122" s="55"/>
      <c r="C1122" s="70"/>
      <c r="D1122" s="12"/>
      <c r="E1122" s="128"/>
      <c r="F1122" s="12"/>
      <c r="G1122" s="71"/>
      <c r="H1122" s="71"/>
      <c r="I1122" s="56"/>
      <c r="J1122" s="71"/>
      <c r="K1122" s="56"/>
      <c r="L1122" s="71"/>
      <c r="M1122" s="56"/>
      <c r="N1122" s="12"/>
      <c r="O1122" s="12"/>
      <c r="P1122" s="57"/>
      <c r="Q1122" s="50"/>
      <c r="R1122" s="50"/>
      <c r="S1122" s="58"/>
      <c r="T1122" s="58"/>
      <c r="U1122" s="58"/>
      <c r="V1122" s="59"/>
      <c r="W1122" s="60"/>
    </row>
    <row r="1123" spans="1:23" ht="29" customHeight="1" x14ac:dyDescent="0.35">
      <c r="A1123" s="61"/>
      <c r="B1123" s="55"/>
      <c r="C1123" s="70"/>
      <c r="D1123" s="12"/>
      <c r="E1123" s="128"/>
      <c r="F1123" s="12"/>
      <c r="G1123" s="71"/>
      <c r="H1123" s="71"/>
      <c r="I1123" s="56"/>
      <c r="J1123" s="71"/>
      <c r="K1123" s="56"/>
      <c r="L1123" s="71"/>
      <c r="M1123" s="56"/>
      <c r="N1123" s="12"/>
      <c r="O1123" s="12"/>
      <c r="P1123" s="57"/>
      <c r="Q1123" s="50"/>
      <c r="R1123" s="50"/>
      <c r="S1123" s="58"/>
      <c r="T1123" s="58"/>
      <c r="U1123" s="58"/>
      <c r="V1123" s="59"/>
      <c r="W1123" s="60"/>
    </row>
    <row r="1124" spans="1:23" ht="29" customHeight="1" x14ac:dyDescent="0.35">
      <c r="A1124" s="61"/>
      <c r="B1124" s="55"/>
      <c r="C1124" s="70"/>
      <c r="D1124" s="12"/>
      <c r="E1124" s="128"/>
      <c r="F1124" s="12"/>
      <c r="G1124" s="71"/>
      <c r="H1124" s="71"/>
      <c r="I1124" s="56"/>
      <c r="J1124" s="71"/>
      <c r="K1124" s="56"/>
      <c r="L1124" s="71"/>
      <c r="M1124" s="56"/>
      <c r="N1124" s="12"/>
      <c r="O1124" s="12"/>
      <c r="P1124" s="57"/>
      <c r="Q1124" s="50"/>
      <c r="R1124" s="50"/>
      <c r="S1124" s="58"/>
      <c r="T1124" s="58"/>
      <c r="U1124" s="58"/>
      <c r="V1124" s="59"/>
      <c r="W1124" s="60"/>
    </row>
    <row r="1125" spans="1:23" ht="29" customHeight="1" x14ac:dyDescent="0.35">
      <c r="A1125" s="61"/>
      <c r="B1125" s="55"/>
      <c r="C1125" s="70"/>
      <c r="D1125" s="12"/>
      <c r="E1125" s="128"/>
      <c r="F1125" s="12"/>
      <c r="G1125" s="71"/>
      <c r="H1125" s="71"/>
      <c r="I1125" s="56"/>
      <c r="J1125" s="71"/>
      <c r="K1125" s="56"/>
      <c r="L1125" s="71"/>
      <c r="M1125" s="56"/>
      <c r="N1125" s="12"/>
      <c r="O1125" s="12"/>
      <c r="P1125" s="57"/>
      <c r="Q1125" s="50"/>
      <c r="R1125" s="50"/>
      <c r="S1125" s="58"/>
      <c r="T1125" s="58"/>
      <c r="U1125" s="58"/>
      <c r="V1125" s="59"/>
      <c r="W1125" s="60"/>
    </row>
    <row r="1126" spans="1:23" ht="29" customHeight="1" x14ac:dyDescent="0.35">
      <c r="A1126" s="61"/>
      <c r="B1126" s="55"/>
      <c r="C1126" s="70"/>
      <c r="D1126" s="12"/>
      <c r="E1126" s="128"/>
      <c r="F1126" s="12"/>
      <c r="G1126" s="71"/>
      <c r="H1126" s="71"/>
      <c r="I1126" s="56"/>
      <c r="J1126" s="71"/>
      <c r="K1126" s="56"/>
      <c r="L1126" s="71"/>
      <c r="M1126" s="56"/>
      <c r="N1126" s="12"/>
      <c r="O1126" s="12"/>
      <c r="P1126" s="57"/>
      <c r="Q1126" s="50"/>
      <c r="R1126" s="50"/>
      <c r="S1126" s="58"/>
      <c r="T1126" s="58"/>
      <c r="U1126" s="58"/>
      <c r="V1126" s="59"/>
      <c r="W1126" s="60"/>
    </row>
    <row r="1127" spans="1:23" ht="29" customHeight="1" x14ac:dyDescent="0.35">
      <c r="A1127" s="61"/>
      <c r="B1127" s="55"/>
      <c r="C1127" s="70"/>
      <c r="D1127" s="12"/>
      <c r="E1127" s="128"/>
      <c r="F1127" s="12"/>
      <c r="G1127" s="71"/>
      <c r="H1127" s="71"/>
      <c r="I1127" s="56"/>
      <c r="J1127" s="71"/>
      <c r="K1127" s="56"/>
      <c r="L1127" s="71"/>
      <c r="M1127" s="56"/>
      <c r="N1127" s="12"/>
      <c r="O1127" s="12"/>
      <c r="P1127" s="57"/>
      <c r="Q1127" s="50"/>
      <c r="R1127" s="50"/>
      <c r="S1127" s="58"/>
      <c r="T1127" s="58"/>
      <c r="U1127" s="58"/>
      <c r="V1127" s="59"/>
      <c r="W1127" s="60"/>
    </row>
    <row r="1128" spans="1:23" ht="29" customHeight="1" x14ac:dyDescent="0.35">
      <c r="A1128" s="61"/>
      <c r="B1128" s="55"/>
      <c r="C1128" s="70"/>
      <c r="D1128" s="12"/>
      <c r="E1128" s="128"/>
      <c r="F1128" s="12"/>
      <c r="G1128" s="71"/>
      <c r="H1128" s="71"/>
      <c r="I1128" s="56"/>
      <c r="J1128" s="71"/>
      <c r="K1128" s="56"/>
      <c r="L1128" s="71"/>
      <c r="M1128" s="56"/>
      <c r="N1128" s="12"/>
      <c r="O1128" s="12"/>
      <c r="P1128" s="57"/>
      <c r="Q1128" s="50"/>
      <c r="R1128" s="50"/>
      <c r="S1128" s="58"/>
      <c r="T1128" s="58"/>
      <c r="U1128" s="58"/>
      <c r="V1128" s="59"/>
      <c r="W1128" s="60"/>
    </row>
    <row r="1129" spans="1:23" ht="29" customHeight="1" x14ac:dyDescent="0.35">
      <c r="A1129" s="61"/>
      <c r="B1129" s="55"/>
      <c r="C1129" s="70"/>
      <c r="D1129" s="12"/>
      <c r="E1129" s="128"/>
      <c r="F1129" s="12"/>
      <c r="G1129" s="71"/>
      <c r="H1129" s="71"/>
      <c r="I1129" s="56"/>
      <c r="J1129" s="71"/>
      <c r="K1129" s="56"/>
      <c r="L1129" s="71"/>
      <c r="M1129" s="56"/>
      <c r="N1129" s="12"/>
      <c r="O1129" s="12"/>
      <c r="P1129" s="57"/>
      <c r="Q1129" s="50"/>
      <c r="R1129" s="50"/>
      <c r="S1129" s="58"/>
      <c r="T1129" s="58"/>
      <c r="U1129" s="58"/>
      <c r="V1129" s="59"/>
      <c r="W1129" s="60"/>
    </row>
    <row r="1130" spans="1:23" ht="29" customHeight="1" x14ac:dyDescent="0.35">
      <c r="A1130" s="61"/>
      <c r="B1130" s="55"/>
      <c r="C1130" s="70"/>
      <c r="D1130" s="12"/>
      <c r="E1130" s="128"/>
      <c r="F1130" s="12"/>
      <c r="G1130" s="71"/>
      <c r="H1130" s="71"/>
      <c r="I1130" s="56"/>
      <c r="J1130" s="71"/>
      <c r="K1130" s="56"/>
      <c r="L1130" s="71"/>
      <c r="M1130" s="56"/>
      <c r="N1130" s="12"/>
      <c r="O1130" s="12"/>
      <c r="P1130" s="57"/>
      <c r="Q1130" s="50"/>
      <c r="R1130" s="50"/>
      <c r="S1130" s="58"/>
      <c r="T1130" s="58"/>
      <c r="U1130" s="58"/>
      <c r="V1130" s="59"/>
      <c r="W1130" s="60"/>
    </row>
    <row r="1131" spans="1:23" ht="29" customHeight="1" x14ac:dyDescent="0.35">
      <c r="A1131" s="61"/>
      <c r="B1131" s="55"/>
      <c r="C1131" s="70"/>
      <c r="D1131" s="12"/>
      <c r="E1131" s="128"/>
      <c r="F1131" s="12"/>
      <c r="G1131" s="71"/>
      <c r="H1131" s="71"/>
      <c r="I1131" s="56"/>
      <c r="J1131" s="71"/>
      <c r="K1131" s="56"/>
      <c r="L1131" s="71"/>
      <c r="M1131" s="56"/>
      <c r="N1131" s="12"/>
      <c r="O1131" s="12"/>
      <c r="P1131" s="57"/>
      <c r="Q1131" s="50"/>
      <c r="R1131" s="50"/>
      <c r="S1131" s="58"/>
      <c r="T1131" s="58"/>
      <c r="U1131" s="58"/>
      <c r="V1131" s="59"/>
      <c r="W1131" s="60"/>
    </row>
    <row r="1132" spans="1:23" ht="29" customHeight="1" x14ac:dyDescent="0.35">
      <c r="A1132" s="61"/>
      <c r="B1132" s="55"/>
      <c r="C1132" s="70"/>
      <c r="D1132" s="12"/>
      <c r="E1132" s="128"/>
      <c r="F1132" s="12"/>
      <c r="G1132" s="71"/>
      <c r="H1132" s="71"/>
      <c r="I1132" s="56"/>
      <c r="J1132" s="71"/>
      <c r="K1132" s="56"/>
      <c r="L1132" s="71"/>
      <c r="M1132" s="56"/>
      <c r="N1132" s="12"/>
      <c r="O1132" s="12"/>
      <c r="P1132" s="57"/>
      <c r="Q1132" s="50"/>
      <c r="R1132" s="50"/>
      <c r="S1132" s="58"/>
      <c r="T1132" s="58"/>
      <c r="U1132" s="58"/>
      <c r="V1132" s="59"/>
      <c r="W1132" s="60"/>
    </row>
    <row r="1133" spans="1:23" ht="29" customHeight="1" x14ac:dyDescent="0.35">
      <c r="A1133" s="61"/>
      <c r="B1133" s="55"/>
      <c r="C1133" s="70"/>
      <c r="D1133" s="12"/>
      <c r="E1133" s="128"/>
      <c r="F1133" s="12"/>
      <c r="G1133" s="71"/>
      <c r="H1133" s="71"/>
      <c r="I1133" s="56"/>
      <c r="J1133" s="71"/>
      <c r="K1133" s="56"/>
      <c r="L1133" s="71"/>
      <c r="M1133" s="56"/>
      <c r="N1133" s="12"/>
      <c r="O1133" s="12"/>
      <c r="P1133" s="57"/>
      <c r="Q1133" s="50"/>
      <c r="R1133" s="50"/>
      <c r="S1133" s="58"/>
      <c r="T1133" s="58"/>
      <c r="U1133" s="58"/>
      <c r="V1133" s="59"/>
      <c r="W1133" s="60"/>
    </row>
    <row r="1134" spans="1:23" ht="29" customHeight="1" x14ac:dyDescent="0.35">
      <c r="A1134" s="61"/>
      <c r="B1134" s="55"/>
      <c r="C1134" s="70"/>
      <c r="D1134" s="12"/>
      <c r="E1134" s="128"/>
      <c r="F1134" s="12"/>
      <c r="G1134" s="71"/>
      <c r="H1134" s="71"/>
      <c r="I1134" s="56"/>
      <c r="J1134" s="71"/>
      <c r="K1134" s="56"/>
      <c r="L1134" s="71"/>
      <c r="M1134" s="56"/>
      <c r="N1134" s="12"/>
      <c r="O1134" s="12"/>
      <c r="P1134" s="57"/>
      <c r="Q1134" s="50"/>
      <c r="R1134" s="50"/>
      <c r="S1134" s="58"/>
      <c r="T1134" s="58"/>
      <c r="U1134" s="58"/>
      <c r="V1134" s="59"/>
      <c r="W1134" s="60"/>
    </row>
    <row r="1135" spans="1:23" ht="29" customHeight="1" x14ac:dyDescent="0.35">
      <c r="A1135" s="61"/>
      <c r="B1135" s="55"/>
      <c r="C1135" s="70"/>
      <c r="D1135" s="12"/>
      <c r="E1135" s="128"/>
      <c r="F1135" s="12"/>
      <c r="G1135" s="71"/>
      <c r="H1135" s="71"/>
      <c r="I1135" s="56"/>
      <c r="J1135" s="71"/>
      <c r="K1135" s="56"/>
      <c r="L1135" s="71"/>
      <c r="M1135" s="56"/>
      <c r="N1135" s="12"/>
      <c r="O1135" s="12"/>
      <c r="P1135" s="57"/>
      <c r="Q1135" s="50"/>
      <c r="R1135" s="50"/>
      <c r="S1135" s="58"/>
      <c r="T1135" s="58"/>
      <c r="U1135" s="58"/>
      <c r="V1135" s="59"/>
      <c r="W1135" s="60"/>
    </row>
    <row r="1136" spans="1:23" ht="29" customHeight="1" x14ac:dyDescent="0.35">
      <c r="A1136" s="61"/>
      <c r="B1136" s="55"/>
      <c r="C1136" s="70"/>
      <c r="D1136" s="12"/>
      <c r="E1136" s="128"/>
      <c r="F1136" s="12"/>
      <c r="G1136" s="71"/>
      <c r="H1136" s="71"/>
      <c r="I1136" s="56"/>
      <c r="J1136" s="71"/>
      <c r="K1136" s="56"/>
      <c r="L1136" s="71"/>
      <c r="M1136" s="56"/>
      <c r="N1136" s="12"/>
      <c r="O1136" s="12"/>
      <c r="P1136" s="57"/>
      <c r="Q1136" s="50"/>
      <c r="R1136" s="50"/>
      <c r="S1136" s="58"/>
      <c r="T1136" s="58"/>
      <c r="U1136" s="58"/>
      <c r="V1136" s="59"/>
      <c r="W1136" s="60"/>
    </row>
    <row r="1137" spans="1:23" ht="29" customHeight="1" x14ac:dyDescent="0.35">
      <c r="A1137" s="61"/>
      <c r="B1137" s="55"/>
      <c r="C1137" s="70"/>
      <c r="D1137" s="12"/>
      <c r="E1137" s="128"/>
      <c r="F1137" s="12"/>
      <c r="G1137" s="71"/>
      <c r="H1137" s="71"/>
      <c r="I1137" s="56"/>
      <c r="J1137" s="71"/>
      <c r="K1137" s="56"/>
      <c r="L1137" s="71"/>
      <c r="M1137" s="56"/>
      <c r="N1137" s="12"/>
      <c r="O1137" s="12"/>
      <c r="P1137" s="57"/>
      <c r="Q1137" s="50"/>
      <c r="R1137" s="50"/>
      <c r="S1137" s="58"/>
      <c r="T1137" s="58"/>
      <c r="U1137" s="58"/>
      <c r="V1137" s="59"/>
      <c r="W1137" s="60"/>
    </row>
    <row r="1138" spans="1:23" ht="29" customHeight="1" x14ac:dyDescent="0.35">
      <c r="A1138" s="61"/>
      <c r="B1138" s="55"/>
      <c r="C1138" s="70"/>
      <c r="D1138" s="12"/>
      <c r="E1138" s="128"/>
      <c r="F1138" s="12"/>
      <c r="G1138" s="71"/>
      <c r="H1138" s="71"/>
      <c r="I1138" s="56"/>
      <c r="J1138" s="71"/>
      <c r="K1138" s="56"/>
      <c r="L1138" s="71"/>
      <c r="M1138" s="56"/>
      <c r="N1138" s="12"/>
      <c r="O1138" s="12"/>
      <c r="P1138" s="57"/>
      <c r="Q1138" s="50"/>
      <c r="R1138" s="50"/>
      <c r="S1138" s="58"/>
      <c r="T1138" s="58"/>
      <c r="U1138" s="58"/>
      <c r="V1138" s="59"/>
      <c r="W1138" s="60"/>
    </row>
    <row r="1139" spans="1:23" ht="29" customHeight="1" x14ac:dyDescent="0.35">
      <c r="A1139" s="61"/>
      <c r="B1139" s="55"/>
      <c r="C1139" s="70"/>
      <c r="D1139" s="12"/>
      <c r="E1139" s="128"/>
      <c r="F1139" s="12"/>
      <c r="G1139" s="71"/>
      <c r="H1139" s="71"/>
      <c r="I1139" s="56"/>
      <c r="J1139" s="71"/>
      <c r="K1139" s="56"/>
      <c r="L1139" s="71"/>
      <c r="M1139" s="56"/>
      <c r="N1139" s="12"/>
      <c r="O1139" s="12"/>
      <c r="P1139" s="57"/>
      <c r="Q1139" s="50"/>
      <c r="R1139" s="50"/>
      <c r="S1139" s="58"/>
      <c r="T1139" s="58"/>
      <c r="U1139" s="58"/>
      <c r="V1139" s="59"/>
      <c r="W1139" s="60"/>
    </row>
    <row r="1140" spans="1:23" ht="29" customHeight="1" x14ac:dyDescent="0.35">
      <c r="A1140" s="61"/>
      <c r="B1140" s="55"/>
      <c r="C1140" s="70"/>
      <c r="D1140" s="12"/>
      <c r="E1140" s="128"/>
      <c r="F1140" s="12"/>
      <c r="G1140" s="71"/>
      <c r="H1140" s="71"/>
      <c r="I1140" s="56"/>
      <c r="J1140" s="71"/>
      <c r="K1140" s="56"/>
      <c r="L1140" s="71"/>
      <c r="M1140" s="56"/>
      <c r="N1140" s="12"/>
      <c r="O1140" s="12"/>
      <c r="P1140" s="57"/>
      <c r="Q1140" s="50"/>
      <c r="R1140" s="50"/>
      <c r="S1140" s="58"/>
      <c r="T1140" s="58"/>
      <c r="U1140" s="58"/>
      <c r="V1140" s="59"/>
      <c r="W1140" s="60"/>
    </row>
    <row r="1141" spans="1:23" ht="29" customHeight="1" x14ac:dyDescent="0.35">
      <c r="A1141" s="61"/>
      <c r="B1141" s="55"/>
      <c r="C1141" s="70"/>
      <c r="D1141" s="12"/>
      <c r="E1141" s="128"/>
      <c r="F1141" s="12"/>
      <c r="G1141" s="71"/>
      <c r="H1141" s="71"/>
      <c r="I1141" s="56"/>
      <c r="J1141" s="71"/>
      <c r="K1141" s="56"/>
      <c r="L1141" s="71"/>
      <c r="M1141" s="56"/>
      <c r="N1141" s="12"/>
      <c r="O1141" s="12"/>
      <c r="P1141" s="57"/>
      <c r="Q1141" s="50"/>
      <c r="R1141" s="50"/>
      <c r="S1141" s="58"/>
      <c r="T1141" s="58"/>
      <c r="U1141" s="58"/>
      <c r="V1141" s="59"/>
      <c r="W1141" s="60"/>
    </row>
    <row r="1142" spans="1:23" ht="29" customHeight="1" x14ac:dyDescent="0.35">
      <c r="A1142" s="61"/>
      <c r="B1142" s="55"/>
      <c r="C1142" s="70"/>
      <c r="D1142" s="12"/>
      <c r="E1142" s="128"/>
      <c r="F1142" s="12"/>
      <c r="G1142" s="71"/>
      <c r="H1142" s="71"/>
      <c r="I1142" s="56"/>
      <c r="J1142" s="71"/>
      <c r="K1142" s="56"/>
      <c r="L1142" s="71"/>
      <c r="M1142" s="56"/>
      <c r="N1142" s="12"/>
      <c r="O1142" s="12"/>
      <c r="P1142" s="57"/>
      <c r="Q1142" s="50"/>
      <c r="R1142" s="50"/>
      <c r="S1142" s="58"/>
      <c r="T1142" s="58"/>
      <c r="U1142" s="58"/>
      <c r="V1142" s="59"/>
      <c r="W1142" s="60"/>
    </row>
    <row r="1143" spans="1:23" ht="29" customHeight="1" x14ac:dyDescent="0.35">
      <c r="A1143" s="61"/>
      <c r="B1143" s="55"/>
      <c r="C1143" s="70"/>
      <c r="D1143" s="12"/>
      <c r="E1143" s="128"/>
      <c r="F1143" s="12"/>
      <c r="G1143" s="71"/>
      <c r="H1143" s="71"/>
      <c r="I1143" s="56"/>
      <c r="J1143" s="71"/>
      <c r="K1143" s="56"/>
      <c r="L1143" s="71"/>
      <c r="M1143" s="56"/>
      <c r="N1143" s="12"/>
      <c r="O1143" s="12"/>
      <c r="P1143" s="57"/>
      <c r="Q1143" s="50"/>
      <c r="R1143" s="50"/>
      <c r="S1143" s="58"/>
      <c r="T1143" s="58"/>
      <c r="U1143" s="58"/>
      <c r="V1143" s="59"/>
      <c r="W1143" s="60"/>
    </row>
    <row r="1144" spans="1:23" ht="29" customHeight="1" x14ac:dyDescent="0.35">
      <c r="A1144" s="61"/>
      <c r="B1144" s="55"/>
      <c r="C1144" s="70"/>
      <c r="D1144" s="12"/>
      <c r="E1144" s="128"/>
      <c r="F1144" s="12"/>
      <c r="G1144" s="71"/>
      <c r="H1144" s="71"/>
      <c r="I1144" s="56"/>
      <c r="J1144" s="71"/>
      <c r="K1144" s="56"/>
      <c r="L1144" s="71"/>
      <c r="M1144" s="56"/>
      <c r="N1144" s="12"/>
      <c r="O1144" s="12"/>
      <c r="P1144" s="57"/>
      <c r="Q1144" s="50"/>
      <c r="R1144" s="50"/>
      <c r="S1144" s="58"/>
      <c r="T1144" s="58"/>
      <c r="U1144" s="58"/>
      <c r="V1144" s="59"/>
      <c r="W1144" s="60"/>
    </row>
    <row r="1145" spans="1:23" ht="29" customHeight="1" x14ac:dyDescent="0.35">
      <c r="A1145" s="61"/>
      <c r="B1145" s="55"/>
      <c r="C1145" s="70"/>
      <c r="D1145" s="12"/>
      <c r="E1145" s="128"/>
      <c r="F1145" s="12"/>
      <c r="G1145" s="71"/>
      <c r="H1145" s="71"/>
      <c r="I1145" s="56"/>
      <c r="J1145" s="71"/>
      <c r="K1145" s="56"/>
      <c r="L1145" s="71"/>
      <c r="M1145" s="56"/>
      <c r="N1145" s="12"/>
      <c r="O1145" s="12"/>
      <c r="P1145" s="57"/>
      <c r="Q1145" s="50"/>
      <c r="R1145" s="50"/>
      <c r="S1145" s="58"/>
      <c r="T1145" s="58"/>
      <c r="U1145" s="58"/>
      <c r="V1145" s="59"/>
      <c r="W1145" s="60"/>
    </row>
    <row r="1146" spans="1:23" ht="29" customHeight="1" x14ac:dyDescent="0.35">
      <c r="A1146" s="61"/>
      <c r="B1146" s="55"/>
      <c r="C1146" s="70"/>
      <c r="D1146" s="12"/>
      <c r="E1146" s="128"/>
      <c r="F1146" s="12"/>
      <c r="G1146" s="71"/>
      <c r="H1146" s="71"/>
      <c r="I1146" s="56"/>
      <c r="J1146" s="71"/>
      <c r="K1146" s="56"/>
      <c r="L1146" s="71"/>
      <c r="M1146" s="56"/>
      <c r="N1146" s="12"/>
      <c r="O1146" s="12"/>
      <c r="P1146" s="57"/>
      <c r="Q1146" s="50"/>
      <c r="R1146" s="50"/>
      <c r="S1146" s="58"/>
      <c r="T1146" s="58"/>
      <c r="U1146" s="58"/>
      <c r="V1146" s="59"/>
      <c r="W1146" s="60"/>
    </row>
    <row r="1147" spans="1:23" ht="29" customHeight="1" x14ac:dyDescent="0.35">
      <c r="A1147" s="61"/>
      <c r="B1147" s="55"/>
      <c r="C1147" s="70"/>
      <c r="D1147" s="12"/>
      <c r="E1147" s="128"/>
      <c r="F1147" s="12"/>
      <c r="G1147" s="71"/>
      <c r="H1147" s="71"/>
      <c r="I1147" s="56"/>
      <c r="J1147" s="71"/>
      <c r="K1147" s="56"/>
      <c r="L1147" s="71"/>
      <c r="M1147" s="56"/>
      <c r="N1147" s="12"/>
      <c r="O1147" s="12"/>
      <c r="P1147" s="57"/>
      <c r="Q1147" s="50"/>
      <c r="R1147" s="50"/>
      <c r="S1147" s="58"/>
      <c r="T1147" s="58"/>
      <c r="U1147" s="58"/>
      <c r="V1147" s="59"/>
      <c r="W1147" s="60"/>
    </row>
    <row r="1148" spans="1:23" ht="29" customHeight="1" x14ac:dyDescent="0.35">
      <c r="A1148" s="61"/>
      <c r="B1148" s="55"/>
      <c r="C1148" s="70"/>
      <c r="D1148" s="12"/>
      <c r="E1148" s="128"/>
      <c r="F1148" s="12"/>
      <c r="G1148" s="71"/>
      <c r="H1148" s="71"/>
      <c r="I1148" s="56"/>
      <c r="J1148" s="71"/>
      <c r="K1148" s="56"/>
      <c r="L1148" s="71"/>
      <c r="M1148" s="56"/>
      <c r="N1148" s="12"/>
      <c r="O1148" s="12"/>
      <c r="P1148" s="57"/>
      <c r="Q1148" s="50"/>
      <c r="R1148" s="50"/>
      <c r="S1148" s="58"/>
      <c r="T1148" s="58"/>
      <c r="U1148" s="58"/>
      <c r="V1148" s="59"/>
      <c r="W1148" s="60"/>
    </row>
    <row r="1149" spans="1:23" ht="29" customHeight="1" x14ac:dyDescent="0.35">
      <c r="A1149" s="61"/>
      <c r="B1149" s="55"/>
      <c r="C1149" s="70"/>
      <c r="D1149" s="12"/>
      <c r="E1149" s="128"/>
      <c r="F1149" s="12"/>
      <c r="G1149" s="71"/>
      <c r="H1149" s="71"/>
      <c r="I1149" s="56"/>
      <c r="J1149" s="71"/>
      <c r="K1149" s="56"/>
      <c r="L1149" s="71"/>
      <c r="M1149" s="56"/>
      <c r="N1149" s="12"/>
      <c r="O1149" s="12"/>
      <c r="P1149" s="57"/>
      <c r="Q1149" s="50"/>
      <c r="R1149" s="50"/>
      <c r="S1149" s="58"/>
      <c r="T1149" s="58"/>
      <c r="U1149" s="58"/>
      <c r="V1149" s="59"/>
      <c r="W1149" s="60"/>
    </row>
    <row r="1150" spans="1:23" ht="29" customHeight="1" x14ac:dyDescent="0.35">
      <c r="A1150" s="61"/>
      <c r="B1150" s="55"/>
      <c r="C1150" s="70"/>
      <c r="D1150" s="12"/>
      <c r="E1150" s="128"/>
      <c r="F1150" s="12"/>
      <c r="G1150" s="71"/>
      <c r="H1150" s="71"/>
      <c r="I1150" s="56"/>
      <c r="J1150" s="71"/>
      <c r="K1150" s="56"/>
      <c r="L1150" s="71"/>
      <c r="M1150" s="56"/>
      <c r="N1150" s="12"/>
      <c r="O1150" s="12"/>
      <c r="P1150" s="57"/>
      <c r="Q1150" s="50"/>
      <c r="R1150" s="50"/>
      <c r="S1150" s="58"/>
      <c r="T1150" s="58"/>
      <c r="U1150" s="58"/>
      <c r="V1150" s="59"/>
      <c r="W1150" s="60"/>
    </row>
    <row r="1151" spans="1:23" ht="29" customHeight="1" x14ac:dyDescent="0.35">
      <c r="A1151" s="61"/>
      <c r="B1151" s="55"/>
      <c r="C1151" s="70"/>
      <c r="D1151" s="12"/>
      <c r="E1151" s="128"/>
      <c r="F1151" s="12"/>
      <c r="G1151" s="71"/>
      <c r="H1151" s="71"/>
      <c r="I1151" s="56"/>
      <c r="J1151" s="71"/>
      <c r="K1151" s="56"/>
      <c r="L1151" s="71"/>
      <c r="M1151" s="56"/>
      <c r="N1151" s="12"/>
      <c r="O1151" s="12"/>
      <c r="P1151" s="57"/>
      <c r="Q1151" s="50"/>
      <c r="R1151" s="50"/>
      <c r="S1151" s="58"/>
      <c r="T1151" s="58"/>
      <c r="U1151" s="58"/>
      <c r="V1151" s="59"/>
      <c r="W1151" s="60"/>
    </row>
    <row r="1152" spans="1:23" ht="29" customHeight="1" x14ac:dyDescent="0.35">
      <c r="A1152" s="61"/>
      <c r="B1152" s="55"/>
      <c r="C1152" s="70"/>
      <c r="D1152" s="12"/>
      <c r="E1152" s="128"/>
      <c r="F1152" s="12"/>
      <c r="G1152" s="71"/>
      <c r="H1152" s="71"/>
      <c r="I1152" s="56"/>
      <c r="J1152" s="71"/>
      <c r="K1152" s="56"/>
      <c r="L1152" s="71"/>
      <c r="M1152" s="56"/>
      <c r="N1152" s="12"/>
      <c r="O1152" s="12"/>
      <c r="P1152" s="57"/>
      <c r="Q1152" s="50"/>
      <c r="R1152" s="50"/>
      <c r="S1152" s="58"/>
      <c r="T1152" s="58"/>
      <c r="U1152" s="58"/>
      <c r="V1152" s="59"/>
      <c r="W1152" s="60"/>
    </row>
    <row r="1153" spans="1:23" ht="29" customHeight="1" x14ac:dyDescent="0.35">
      <c r="A1153" s="61"/>
      <c r="B1153" s="55"/>
      <c r="C1153" s="70"/>
      <c r="D1153" s="12"/>
      <c r="E1153" s="128"/>
      <c r="F1153" s="12"/>
      <c r="G1153" s="71"/>
      <c r="H1153" s="71"/>
      <c r="I1153" s="56"/>
      <c r="J1153" s="71"/>
      <c r="K1153" s="56"/>
      <c r="L1153" s="71"/>
      <c r="M1153" s="56"/>
      <c r="N1153" s="12"/>
      <c r="O1153" s="12"/>
      <c r="P1153" s="57"/>
      <c r="Q1153" s="50"/>
      <c r="R1153" s="50"/>
      <c r="S1153" s="58"/>
      <c r="T1153" s="58"/>
      <c r="U1153" s="58"/>
      <c r="V1153" s="59"/>
      <c r="W1153" s="60"/>
    </row>
    <row r="1154" spans="1:23" ht="29" customHeight="1" x14ac:dyDescent="0.35">
      <c r="A1154" s="61"/>
      <c r="B1154" s="55"/>
      <c r="C1154" s="70"/>
      <c r="D1154" s="12"/>
      <c r="E1154" s="128"/>
      <c r="F1154" s="12"/>
      <c r="G1154" s="71"/>
      <c r="H1154" s="71"/>
      <c r="I1154" s="56"/>
      <c r="J1154" s="71"/>
      <c r="K1154" s="56"/>
      <c r="L1154" s="71"/>
      <c r="M1154" s="56"/>
      <c r="N1154" s="12"/>
      <c r="O1154" s="12"/>
      <c r="P1154" s="57"/>
      <c r="Q1154" s="50"/>
      <c r="R1154" s="50"/>
      <c r="S1154" s="58"/>
      <c r="T1154" s="58"/>
      <c r="U1154" s="58"/>
      <c r="V1154" s="59"/>
      <c r="W1154" s="60"/>
    </row>
    <row r="1155" spans="1:23" ht="29" customHeight="1" x14ac:dyDescent="0.35">
      <c r="A1155" s="61"/>
      <c r="B1155" s="55"/>
      <c r="C1155" s="70"/>
      <c r="D1155" s="12"/>
      <c r="E1155" s="128"/>
      <c r="F1155" s="12"/>
      <c r="G1155" s="71"/>
      <c r="H1155" s="71"/>
      <c r="I1155" s="56"/>
      <c r="J1155" s="71"/>
      <c r="K1155" s="56"/>
      <c r="L1155" s="71"/>
      <c r="M1155" s="56"/>
      <c r="N1155" s="12"/>
      <c r="O1155" s="12"/>
      <c r="P1155" s="57"/>
      <c r="Q1155" s="50"/>
      <c r="R1155" s="50"/>
      <c r="S1155" s="58"/>
      <c r="T1155" s="58"/>
      <c r="U1155" s="58"/>
      <c r="V1155" s="59"/>
      <c r="W1155" s="60"/>
    </row>
    <row r="1156" spans="1:23" ht="29" customHeight="1" x14ac:dyDescent="0.35">
      <c r="A1156" s="61"/>
      <c r="B1156" s="55"/>
      <c r="C1156" s="70"/>
      <c r="D1156" s="12"/>
      <c r="E1156" s="128"/>
      <c r="F1156" s="12"/>
      <c r="G1156" s="71"/>
      <c r="H1156" s="71"/>
      <c r="I1156" s="56"/>
      <c r="J1156" s="71"/>
      <c r="K1156" s="56"/>
      <c r="L1156" s="71"/>
      <c r="M1156" s="56"/>
      <c r="N1156" s="12"/>
      <c r="O1156" s="12"/>
      <c r="P1156" s="57"/>
      <c r="Q1156" s="50"/>
      <c r="R1156" s="50"/>
      <c r="S1156" s="58"/>
      <c r="T1156" s="58"/>
      <c r="U1156" s="58"/>
      <c r="V1156" s="59"/>
      <c r="W1156" s="60"/>
    </row>
    <row r="1157" spans="1:23" ht="29" customHeight="1" x14ac:dyDescent="0.35">
      <c r="A1157" s="61"/>
      <c r="B1157" s="55"/>
      <c r="C1157" s="70"/>
      <c r="D1157" s="12"/>
      <c r="E1157" s="128"/>
      <c r="F1157" s="12"/>
      <c r="G1157" s="71"/>
      <c r="H1157" s="71"/>
      <c r="I1157" s="56"/>
      <c r="J1157" s="71"/>
      <c r="K1157" s="56"/>
      <c r="L1157" s="71"/>
      <c r="M1157" s="56"/>
      <c r="N1157" s="12"/>
      <c r="O1157" s="12"/>
      <c r="P1157" s="57"/>
      <c r="Q1157" s="50"/>
      <c r="R1157" s="50"/>
      <c r="S1157" s="58"/>
      <c r="T1157" s="58"/>
      <c r="U1157" s="58"/>
      <c r="V1157" s="59"/>
      <c r="W1157" s="60"/>
    </row>
    <row r="1158" spans="1:23" ht="29" customHeight="1" x14ac:dyDescent="0.35">
      <c r="A1158" s="61"/>
      <c r="B1158" s="55"/>
      <c r="C1158" s="70"/>
      <c r="D1158" s="12"/>
      <c r="E1158" s="128"/>
      <c r="F1158" s="12"/>
      <c r="G1158" s="71"/>
      <c r="H1158" s="71"/>
      <c r="I1158" s="56"/>
      <c r="J1158" s="71"/>
      <c r="K1158" s="56"/>
      <c r="L1158" s="71"/>
      <c r="M1158" s="56"/>
      <c r="N1158" s="12"/>
      <c r="O1158" s="12"/>
      <c r="P1158" s="57"/>
      <c r="Q1158" s="50"/>
      <c r="R1158" s="50"/>
      <c r="S1158" s="58"/>
      <c r="T1158" s="58"/>
      <c r="U1158" s="58"/>
      <c r="V1158" s="59"/>
      <c r="W1158" s="60"/>
    </row>
    <row r="1159" spans="1:23" ht="29" customHeight="1" x14ac:dyDescent="0.35">
      <c r="A1159" s="61"/>
      <c r="B1159" s="55"/>
      <c r="C1159" s="70"/>
      <c r="D1159" s="12"/>
      <c r="E1159" s="128"/>
      <c r="F1159" s="12"/>
      <c r="G1159" s="71"/>
      <c r="H1159" s="71"/>
      <c r="I1159" s="56"/>
      <c r="J1159" s="71"/>
      <c r="K1159" s="56"/>
      <c r="L1159" s="71"/>
      <c r="M1159" s="56"/>
      <c r="N1159" s="12"/>
      <c r="O1159" s="12"/>
      <c r="P1159" s="57"/>
      <c r="Q1159" s="50"/>
      <c r="R1159" s="50"/>
      <c r="S1159" s="58"/>
      <c r="T1159" s="58"/>
      <c r="U1159" s="58"/>
      <c r="V1159" s="59"/>
      <c r="W1159" s="60"/>
    </row>
    <row r="1160" spans="1:23" ht="29" customHeight="1" x14ac:dyDescent="0.35">
      <c r="A1160" s="61"/>
      <c r="B1160" s="55"/>
      <c r="C1160" s="70"/>
      <c r="D1160" s="12"/>
      <c r="E1160" s="128"/>
      <c r="F1160" s="12"/>
      <c r="G1160" s="71"/>
      <c r="H1160" s="71"/>
      <c r="I1160" s="56"/>
      <c r="J1160" s="71"/>
      <c r="K1160" s="56"/>
      <c r="L1160" s="71"/>
      <c r="M1160" s="56"/>
      <c r="N1160" s="12"/>
      <c r="O1160" s="12"/>
      <c r="P1160" s="57"/>
      <c r="Q1160" s="50"/>
      <c r="R1160" s="50"/>
      <c r="S1160" s="58"/>
      <c r="T1160" s="58"/>
      <c r="U1160" s="58"/>
      <c r="V1160" s="59"/>
      <c r="W1160" s="60"/>
    </row>
    <row r="1161" spans="1:23" ht="29" customHeight="1" x14ac:dyDescent="0.35">
      <c r="A1161" s="61"/>
      <c r="B1161" s="55"/>
      <c r="C1161" s="70"/>
      <c r="D1161" s="12"/>
      <c r="E1161" s="128"/>
      <c r="F1161" s="12"/>
      <c r="G1161" s="71"/>
      <c r="H1161" s="71"/>
      <c r="I1161" s="56"/>
      <c r="J1161" s="71"/>
      <c r="K1161" s="56"/>
      <c r="L1161" s="71"/>
      <c r="M1161" s="56"/>
      <c r="N1161" s="12"/>
      <c r="O1161" s="12"/>
      <c r="P1161" s="57"/>
      <c r="Q1161" s="50"/>
      <c r="R1161" s="50"/>
      <c r="S1161" s="58"/>
      <c r="T1161" s="58"/>
      <c r="U1161" s="58"/>
      <c r="V1161" s="59"/>
      <c r="W1161" s="60"/>
    </row>
    <row r="1162" spans="1:23" ht="29" customHeight="1" x14ac:dyDescent="0.35">
      <c r="A1162" s="61"/>
      <c r="B1162" s="55"/>
      <c r="C1162" s="70"/>
      <c r="D1162" s="12"/>
      <c r="E1162" s="128"/>
      <c r="F1162" s="12"/>
      <c r="G1162" s="71"/>
      <c r="H1162" s="71"/>
      <c r="I1162" s="56"/>
      <c r="J1162" s="71"/>
      <c r="K1162" s="56"/>
      <c r="L1162" s="71"/>
      <c r="M1162" s="56"/>
      <c r="N1162" s="12"/>
      <c r="O1162" s="12"/>
      <c r="P1162" s="57"/>
      <c r="Q1162" s="50"/>
      <c r="R1162" s="50"/>
      <c r="S1162" s="58"/>
      <c r="T1162" s="58"/>
      <c r="U1162" s="58"/>
      <c r="V1162" s="59"/>
      <c r="W1162" s="60"/>
    </row>
    <row r="1163" spans="1:23" ht="29" customHeight="1" x14ac:dyDescent="0.35">
      <c r="A1163" s="61"/>
      <c r="B1163" s="55"/>
      <c r="C1163" s="70"/>
      <c r="D1163" s="12"/>
      <c r="E1163" s="128"/>
      <c r="F1163" s="12"/>
      <c r="G1163" s="71"/>
      <c r="H1163" s="71"/>
      <c r="I1163" s="56"/>
      <c r="J1163" s="71"/>
      <c r="K1163" s="56"/>
      <c r="L1163" s="71"/>
      <c r="M1163" s="56"/>
      <c r="N1163" s="12"/>
      <c r="O1163" s="12"/>
      <c r="P1163" s="57"/>
      <c r="Q1163" s="50"/>
      <c r="R1163" s="50"/>
      <c r="S1163" s="58"/>
      <c r="T1163" s="58"/>
      <c r="U1163" s="58"/>
      <c r="V1163" s="59"/>
      <c r="W1163" s="60"/>
    </row>
    <row r="1164" spans="1:23" ht="29" customHeight="1" x14ac:dyDescent="0.35">
      <c r="A1164" s="61"/>
      <c r="B1164" s="55"/>
      <c r="C1164" s="70"/>
      <c r="D1164" s="12"/>
      <c r="E1164" s="128"/>
      <c r="F1164" s="12"/>
      <c r="G1164" s="71"/>
      <c r="H1164" s="71"/>
      <c r="I1164" s="56"/>
      <c r="J1164" s="71"/>
      <c r="K1164" s="56"/>
      <c r="L1164" s="71"/>
      <c r="M1164" s="56"/>
      <c r="N1164" s="12"/>
      <c r="O1164" s="12"/>
      <c r="P1164" s="57"/>
      <c r="Q1164" s="50"/>
      <c r="R1164" s="50"/>
      <c r="S1164" s="58"/>
      <c r="T1164" s="58"/>
      <c r="U1164" s="58"/>
      <c r="V1164" s="59"/>
      <c r="W1164" s="60"/>
    </row>
    <row r="1165" spans="1:23" ht="29" customHeight="1" x14ac:dyDescent="0.35">
      <c r="A1165" s="61"/>
      <c r="B1165" s="55"/>
      <c r="C1165" s="70"/>
      <c r="D1165" s="12"/>
      <c r="E1165" s="128"/>
      <c r="F1165" s="12"/>
      <c r="G1165" s="71"/>
      <c r="H1165" s="71"/>
      <c r="I1165" s="56"/>
      <c r="J1165" s="71"/>
      <c r="K1165" s="56"/>
      <c r="L1165" s="71"/>
      <c r="M1165" s="56"/>
      <c r="N1165" s="12"/>
      <c r="O1165" s="12"/>
      <c r="P1165" s="57"/>
      <c r="Q1165" s="50"/>
      <c r="R1165" s="50"/>
      <c r="S1165" s="58"/>
      <c r="T1165" s="58"/>
      <c r="U1165" s="58"/>
      <c r="V1165" s="59"/>
      <c r="W1165" s="60"/>
    </row>
    <row r="1166" spans="1:23" ht="29" customHeight="1" x14ac:dyDescent="0.35">
      <c r="A1166" s="61"/>
      <c r="B1166" s="55"/>
      <c r="C1166" s="70"/>
      <c r="D1166" s="12"/>
      <c r="E1166" s="128"/>
      <c r="F1166" s="12"/>
      <c r="G1166" s="71"/>
      <c r="H1166" s="71"/>
      <c r="I1166" s="56"/>
      <c r="J1166" s="71"/>
      <c r="K1166" s="56"/>
      <c r="L1166" s="71"/>
      <c r="M1166" s="56"/>
      <c r="N1166" s="12"/>
      <c r="O1166" s="12"/>
      <c r="P1166" s="57"/>
      <c r="Q1166" s="50"/>
      <c r="R1166" s="229"/>
      <c r="S1166" s="58"/>
      <c r="T1166" s="58"/>
      <c r="U1166" s="58"/>
      <c r="V1166" s="59"/>
      <c r="W1166" s="60"/>
    </row>
    <row r="1167" spans="1:23" ht="29" customHeight="1" x14ac:dyDescent="0.35">
      <c r="A1167" s="61"/>
      <c r="B1167" s="55"/>
      <c r="C1167" s="70"/>
      <c r="D1167" s="12"/>
      <c r="E1167" s="128"/>
      <c r="F1167" s="12"/>
      <c r="G1167" s="71"/>
      <c r="H1167" s="71"/>
      <c r="I1167" s="56"/>
      <c r="J1167" s="71"/>
      <c r="K1167" s="56"/>
      <c r="L1167" s="71"/>
      <c r="M1167" s="56"/>
      <c r="N1167" s="12"/>
      <c r="O1167" s="12"/>
      <c r="P1167" s="57"/>
      <c r="Q1167" s="50"/>
      <c r="R1167" s="229"/>
      <c r="S1167" s="58"/>
      <c r="T1167" s="58"/>
      <c r="U1167" s="58"/>
      <c r="V1167" s="59"/>
      <c r="W1167" s="60"/>
    </row>
    <row r="1168" spans="1:23" x14ac:dyDescent="0.35">
      <c r="A1168" s="61"/>
      <c r="B1168" s="55"/>
      <c r="C1168" s="70"/>
      <c r="D1168" s="12"/>
      <c r="E1168" s="128"/>
      <c r="F1168" s="12"/>
      <c r="G1168" s="71"/>
      <c r="H1168" s="71"/>
      <c r="I1168" s="56"/>
      <c r="J1168" s="71"/>
      <c r="K1168" s="56"/>
      <c r="L1168" s="71"/>
      <c r="M1168" s="56"/>
      <c r="N1168" s="12"/>
      <c r="O1168" s="12"/>
      <c r="P1168" s="57"/>
      <c r="Q1168" s="50"/>
      <c r="R1168" s="229"/>
      <c r="S1168" s="58"/>
      <c r="T1168" s="58"/>
      <c r="U1168" s="58"/>
      <c r="V1168" s="59"/>
      <c r="W1168" s="60"/>
    </row>
    <row r="1169" spans="1:23" x14ac:dyDescent="0.35">
      <c r="A1169" s="61"/>
      <c r="B1169" s="55"/>
      <c r="C1169" s="70"/>
      <c r="D1169" s="12"/>
      <c r="E1169" s="128"/>
      <c r="F1169" s="12"/>
      <c r="G1169" s="71"/>
      <c r="H1169" s="71"/>
      <c r="I1169" s="56"/>
      <c r="J1169" s="71"/>
      <c r="K1169" s="56"/>
      <c r="L1169" s="71"/>
      <c r="M1169" s="56"/>
      <c r="N1169" s="12"/>
      <c r="O1169" s="12"/>
      <c r="P1169" s="57"/>
      <c r="Q1169" s="50"/>
      <c r="R1169" s="229"/>
      <c r="S1169" s="58"/>
      <c r="T1169" s="58"/>
      <c r="U1169" s="58"/>
      <c r="V1169" s="59"/>
      <c r="W1169" s="60"/>
    </row>
    <row r="1170" spans="1:23" x14ac:dyDescent="0.35">
      <c r="A1170" s="61"/>
      <c r="B1170" s="55"/>
      <c r="C1170" s="70"/>
      <c r="D1170" s="12"/>
      <c r="E1170" s="128"/>
      <c r="F1170" s="12"/>
      <c r="G1170" s="71"/>
      <c r="H1170" s="71"/>
      <c r="I1170" s="56"/>
      <c r="J1170" s="71"/>
      <c r="K1170" s="56"/>
      <c r="L1170" s="71"/>
      <c r="M1170" s="56"/>
      <c r="N1170" s="12"/>
      <c r="O1170" s="12"/>
      <c r="P1170" s="57"/>
      <c r="Q1170" s="50"/>
      <c r="R1170" s="229"/>
      <c r="S1170" s="58"/>
      <c r="T1170" s="58"/>
      <c r="U1170" s="58"/>
      <c r="V1170" s="59"/>
      <c r="W1170" s="60"/>
    </row>
    <row r="1171" spans="1:23" x14ac:dyDescent="0.35">
      <c r="A1171" s="61"/>
      <c r="B1171" s="55"/>
      <c r="C1171" s="70"/>
      <c r="D1171" s="12"/>
      <c r="E1171" s="128"/>
      <c r="F1171" s="12"/>
      <c r="G1171" s="71"/>
      <c r="H1171" s="71"/>
      <c r="I1171" s="56"/>
      <c r="J1171" s="71"/>
      <c r="K1171" s="56"/>
      <c r="L1171" s="71"/>
      <c r="M1171" s="56"/>
      <c r="N1171" s="12"/>
      <c r="O1171" s="12"/>
      <c r="P1171" s="57"/>
      <c r="Q1171" s="50"/>
      <c r="R1171" s="229"/>
      <c r="S1171" s="58"/>
      <c r="T1171" s="58"/>
      <c r="U1171" s="58"/>
      <c r="V1171" s="59"/>
      <c r="W1171" s="60"/>
    </row>
    <row r="1172" spans="1:23" x14ac:dyDescent="0.35">
      <c r="A1172" s="61"/>
      <c r="B1172" s="55"/>
      <c r="C1172" s="70"/>
      <c r="D1172" s="12"/>
      <c r="E1172" s="128"/>
      <c r="F1172" s="12"/>
      <c r="G1172" s="71"/>
      <c r="H1172" s="71"/>
      <c r="I1172" s="56"/>
      <c r="J1172" s="71"/>
      <c r="K1172" s="56"/>
      <c r="L1172" s="71"/>
      <c r="M1172" s="56"/>
      <c r="N1172" s="12"/>
      <c r="O1172" s="12"/>
      <c r="P1172" s="57"/>
      <c r="Q1172" s="50"/>
      <c r="R1172" s="229"/>
      <c r="S1172" s="58"/>
      <c r="T1172" s="58"/>
      <c r="U1172" s="58"/>
      <c r="V1172" s="59"/>
      <c r="W1172" s="60"/>
    </row>
    <row r="1173" spans="1:23" x14ac:dyDescent="0.35">
      <c r="A1173" s="61"/>
      <c r="B1173" s="55"/>
      <c r="C1173" s="70"/>
      <c r="D1173" s="12"/>
      <c r="E1173" s="128"/>
      <c r="F1173" s="12"/>
      <c r="G1173" s="71"/>
      <c r="H1173" s="71"/>
      <c r="I1173" s="56"/>
      <c r="J1173" s="71"/>
      <c r="K1173" s="56"/>
      <c r="L1173" s="71"/>
      <c r="M1173" s="56"/>
      <c r="N1173" s="12"/>
      <c r="O1173" s="12"/>
      <c r="P1173" s="57"/>
      <c r="Q1173" s="50"/>
      <c r="R1173" s="229"/>
      <c r="S1173" s="58"/>
      <c r="T1173" s="58"/>
      <c r="U1173" s="58"/>
      <c r="V1173" s="59"/>
      <c r="W1173" s="60"/>
    </row>
    <row r="1174" spans="1:23" x14ac:dyDescent="0.35">
      <c r="A1174" s="61"/>
      <c r="B1174" s="55"/>
      <c r="C1174" s="70"/>
      <c r="D1174" s="12"/>
      <c r="E1174" s="128"/>
      <c r="F1174" s="12"/>
      <c r="G1174" s="71"/>
      <c r="H1174" s="71"/>
      <c r="I1174" s="56"/>
      <c r="J1174" s="71"/>
      <c r="K1174" s="56"/>
      <c r="L1174" s="71"/>
      <c r="M1174" s="56"/>
      <c r="N1174" s="12"/>
      <c r="O1174" s="12"/>
      <c r="P1174" s="57"/>
      <c r="Q1174" s="50"/>
      <c r="R1174" s="229"/>
      <c r="S1174" s="58"/>
      <c r="T1174" s="58"/>
      <c r="U1174" s="58"/>
      <c r="V1174" s="59"/>
      <c r="W1174" s="60"/>
    </row>
    <row r="1175" spans="1:23" x14ac:dyDescent="0.35">
      <c r="A1175" s="61"/>
      <c r="B1175" s="55"/>
      <c r="C1175" s="70"/>
      <c r="D1175" s="12"/>
      <c r="E1175" s="128"/>
      <c r="F1175" s="12"/>
      <c r="G1175" s="71"/>
      <c r="H1175" s="71"/>
      <c r="I1175" s="56"/>
      <c r="J1175" s="71"/>
      <c r="K1175" s="56"/>
      <c r="L1175" s="71"/>
      <c r="M1175" s="56"/>
      <c r="N1175" s="12"/>
      <c r="O1175" s="12"/>
      <c r="P1175" s="57"/>
      <c r="Q1175" s="50"/>
      <c r="R1175" s="229"/>
      <c r="S1175" s="58"/>
      <c r="T1175" s="58"/>
      <c r="U1175" s="58"/>
      <c r="V1175" s="59"/>
      <c r="W1175" s="60"/>
    </row>
    <row r="1176" spans="1:23" x14ac:dyDescent="0.35">
      <c r="A1176" s="61"/>
      <c r="B1176" s="55"/>
      <c r="C1176" s="70"/>
      <c r="D1176" s="12"/>
      <c r="E1176" s="128"/>
      <c r="F1176" s="12"/>
      <c r="G1176" s="71"/>
      <c r="H1176" s="71"/>
      <c r="I1176" s="56"/>
      <c r="J1176" s="71"/>
      <c r="K1176" s="56"/>
      <c r="L1176" s="71"/>
      <c r="M1176" s="56"/>
      <c r="N1176" s="12"/>
      <c r="O1176" s="12"/>
      <c r="P1176" s="57"/>
      <c r="Q1176" s="50"/>
      <c r="R1176" s="229"/>
      <c r="S1176" s="58"/>
      <c r="T1176" s="58"/>
      <c r="U1176" s="58"/>
      <c r="V1176" s="59"/>
      <c r="W1176" s="60"/>
    </row>
    <row r="1177" spans="1:23" x14ac:dyDescent="0.35">
      <c r="A1177" s="61"/>
      <c r="B1177" s="55"/>
      <c r="C1177" s="70"/>
      <c r="D1177" s="12"/>
      <c r="E1177" s="128"/>
      <c r="F1177" s="12"/>
      <c r="G1177" s="71"/>
      <c r="H1177" s="71"/>
      <c r="I1177" s="56"/>
      <c r="J1177" s="71"/>
      <c r="K1177" s="56"/>
      <c r="L1177" s="71"/>
      <c r="M1177" s="56"/>
      <c r="N1177" s="12"/>
      <c r="O1177" s="12"/>
      <c r="P1177" s="57"/>
      <c r="Q1177" s="50"/>
      <c r="R1177" s="229"/>
      <c r="S1177" s="58"/>
      <c r="T1177" s="58"/>
      <c r="U1177" s="58"/>
      <c r="V1177" s="59"/>
      <c r="W1177" s="60"/>
    </row>
    <row r="1178" spans="1:23" x14ac:dyDescent="0.35">
      <c r="A1178" s="61"/>
      <c r="B1178" s="55"/>
      <c r="C1178" s="70"/>
      <c r="D1178" s="12"/>
      <c r="E1178" s="128"/>
      <c r="F1178" s="12"/>
      <c r="G1178" s="71"/>
      <c r="H1178" s="71"/>
      <c r="I1178" s="56"/>
      <c r="J1178" s="71"/>
      <c r="K1178" s="56"/>
      <c r="L1178" s="71"/>
      <c r="M1178" s="56"/>
      <c r="N1178" s="12"/>
      <c r="O1178" s="12"/>
      <c r="P1178" s="57"/>
      <c r="Q1178" s="50"/>
      <c r="R1178" s="229"/>
      <c r="S1178" s="58"/>
      <c r="T1178" s="58"/>
      <c r="U1178" s="58"/>
      <c r="V1178" s="59"/>
      <c r="W1178" s="60"/>
    </row>
    <row r="1179" spans="1:23" x14ac:dyDescent="0.35">
      <c r="A1179" s="61"/>
      <c r="B1179" s="55"/>
      <c r="C1179" s="70"/>
      <c r="D1179" s="12"/>
      <c r="E1179" s="128"/>
      <c r="F1179" s="12"/>
      <c r="G1179" s="71"/>
      <c r="H1179" s="71"/>
      <c r="I1179" s="56"/>
      <c r="J1179" s="71"/>
      <c r="K1179" s="56"/>
      <c r="L1179" s="71"/>
      <c r="M1179" s="56"/>
      <c r="N1179" s="12"/>
      <c r="O1179" s="12"/>
      <c r="P1179" s="57"/>
      <c r="Q1179" s="50"/>
      <c r="R1179" s="229"/>
      <c r="S1179" s="58"/>
      <c r="T1179" s="58"/>
      <c r="U1179" s="58"/>
      <c r="V1179" s="59"/>
      <c r="W1179" s="60"/>
    </row>
    <row r="1180" spans="1:23" x14ac:dyDescent="0.35">
      <c r="A1180" s="61"/>
      <c r="B1180" s="55"/>
      <c r="C1180" s="70"/>
      <c r="D1180" s="12"/>
      <c r="E1180" s="128"/>
      <c r="F1180" s="12"/>
      <c r="G1180" s="71"/>
      <c r="H1180" s="71"/>
      <c r="I1180" s="56"/>
      <c r="J1180" s="71"/>
      <c r="K1180" s="56"/>
      <c r="L1180" s="71"/>
      <c r="M1180" s="56"/>
      <c r="N1180" s="12"/>
      <c r="O1180" s="12"/>
      <c r="P1180" s="57"/>
      <c r="Q1180" s="50"/>
      <c r="R1180" s="229"/>
      <c r="S1180" s="58"/>
      <c r="T1180" s="58"/>
      <c r="U1180" s="58"/>
      <c r="V1180" s="59"/>
      <c r="W1180" s="60"/>
    </row>
    <row r="1181" spans="1:23" x14ac:dyDescent="0.35">
      <c r="A1181" s="61"/>
      <c r="B1181" s="55"/>
      <c r="C1181" s="70"/>
      <c r="D1181" s="12"/>
      <c r="E1181" s="128"/>
      <c r="F1181" s="12"/>
      <c r="G1181" s="71"/>
      <c r="H1181" s="71"/>
      <c r="I1181" s="56"/>
      <c r="J1181" s="71"/>
      <c r="K1181" s="56"/>
      <c r="L1181" s="71"/>
      <c r="M1181" s="56"/>
      <c r="N1181" s="12"/>
      <c r="O1181" s="12"/>
      <c r="P1181" s="57"/>
      <c r="Q1181" s="50"/>
      <c r="R1181" s="229"/>
      <c r="S1181" s="58"/>
      <c r="T1181" s="58"/>
      <c r="U1181" s="58"/>
      <c r="V1181" s="59"/>
      <c r="W1181" s="60"/>
    </row>
    <row r="1182" spans="1:23" x14ac:dyDescent="0.35">
      <c r="A1182" s="61"/>
      <c r="B1182" s="55"/>
      <c r="C1182" s="70"/>
      <c r="D1182" s="12"/>
      <c r="E1182" s="128"/>
      <c r="F1182" s="12"/>
      <c r="G1182" s="71"/>
      <c r="H1182" s="71"/>
      <c r="I1182" s="56"/>
      <c r="J1182" s="71"/>
      <c r="K1182" s="56"/>
      <c r="L1182" s="71"/>
      <c r="M1182" s="56"/>
      <c r="N1182" s="12"/>
      <c r="O1182" s="12"/>
      <c r="P1182" s="57"/>
      <c r="Q1182" s="50"/>
      <c r="R1182" s="229"/>
      <c r="S1182" s="58"/>
      <c r="T1182" s="58"/>
      <c r="U1182" s="58"/>
      <c r="V1182" s="59"/>
      <c r="W1182" s="60"/>
    </row>
    <row r="1183" spans="1:23" x14ac:dyDescent="0.35">
      <c r="A1183" s="61"/>
      <c r="B1183" s="55"/>
      <c r="C1183" s="70"/>
      <c r="D1183" s="12"/>
      <c r="E1183" s="128"/>
      <c r="F1183" s="12"/>
      <c r="G1183" s="71"/>
      <c r="H1183" s="71"/>
      <c r="I1183" s="56"/>
      <c r="J1183" s="71"/>
      <c r="K1183" s="56"/>
      <c r="L1183" s="71"/>
      <c r="M1183" s="56"/>
      <c r="N1183" s="12"/>
      <c r="O1183" s="12"/>
      <c r="P1183" s="57"/>
      <c r="Q1183" s="50"/>
      <c r="R1183" s="229"/>
      <c r="S1183" s="58"/>
      <c r="T1183" s="58"/>
      <c r="U1183" s="58"/>
      <c r="V1183" s="59"/>
      <c r="W1183" s="60"/>
    </row>
    <row r="1184" spans="1:23" x14ac:dyDescent="0.35">
      <c r="A1184" s="61"/>
      <c r="B1184" s="55"/>
      <c r="C1184" s="70"/>
      <c r="D1184" s="12"/>
      <c r="E1184" s="128"/>
      <c r="F1184" s="12"/>
      <c r="G1184" s="71"/>
      <c r="H1184" s="71"/>
      <c r="I1184" s="56"/>
      <c r="J1184" s="71"/>
      <c r="K1184" s="56"/>
      <c r="L1184" s="71"/>
      <c r="M1184" s="56"/>
      <c r="N1184" s="12"/>
      <c r="O1184" s="12"/>
      <c r="P1184" s="57"/>
      <c r="Q1184" s="50"/>
      <c r="R1184" s="229"/>
      <c r="S1184" s="58"/>
      <c r="T1184" s="58"/>
      <c r="U1184" s="58"/>
      <c r="V1184" s="59"/>
      <c r="W1184" s="60"/>
    </row>
    <row r="1185" spans="1:23" x14ac:dyDescent="0.35">
      <c r="A1185" s="61"/>
      <c r="B1185" s="55"/>
      <c r="C1185" s="70"/>
      <c r="D1185" s="12"/>
      <c r="E1185" s="128"/>
      <c r="F1185" s="12"/>
      <c r="G1185" s="71"/>
      <c r="H1185" s="71"/>
      <c r="I1185" s="56"/>
      <c r="J1185" s="71"/>
      <c r="K1185" s="56"/>
      <c r="L1185" s="71"/>
      <c r="M1185" s="56"/>
      <c r="N1185" s="12"/>
      <c r="O1185" s="12"/>
      <c r="P1185" s="57"/>
      <c r="Q1185" s="50"/>
      <c r="R1185" s="229"/>
      <c r="S1185" s="58"/>
      <c r="T1185" s="58"/>
      <c r="U1185" s="58"/>
      <c r="V1185" s="59"/>
      <c r="W1185" s="60"/>
    </row>
    <row r="1186" spans="1:23" x14ac:dyDescent="0.35">
      <c r="A1186" s="61"/>
      <c r="B1186" s="55"/>
      <c r="C1186" s="70"/>
      <c r="D1186" s="12"/>
      <c r="E1186" s="128"/>
      <c r="F1186" s="12"/>
      <c r="G1186" s="71"/>
      <c r="H1186" s="71"/>
      <c r="I1186" s="56"/>
      <c r="J1186" s="71"/>
      <c r="K1186" s="56"/>
      <c r="L1186" s="71"/>
      <c r="M1186" s="56"/>
      <c r="N1186" s="12"/>
      <c r="O1186" s="12"/>
      <c r="P1186" s="57"/>
      <c r="Q1186" s="50"/>
      <c r="R1186" s="229"/>
      <c r="S1186" s="58"/>
      <c r="T1186" s="58"/>
      <c r="U1186" s="58"/>
      <c r="V1186" s="59"/>
      <c r="W1186" s="60"/>
    </row>
    <row r="1187" spans="1:23" x14ac:dyDescent="0.35">
      <c r="A1187" s="61"/>
      <c r="B1187" s="55"/>
      <c r="C1187" s="70"/>
      <c r="D1187" s="12"/>
      <c r="E1187" s="128"/>
      <c r="F1187" s="12"/>
      <c r="G1187" s="71"/>
      <c r="H1187" s="71"/>
      <c r="I1187" s="56"/>
      <c r="J1187" s="71"/>
      <c r="K1187" s="56"/>
      <c r="L1187" s="71"/>
      <c r="M1187" s="56"/>
      <c r="N1187" s="12"/>
      <c r="O1187" s="12"/>
      <c r="P1187" s="57"/>
      <c r="Q1187" s="50"/>
      <c r="R1187" s="229"/>
      <c r="S1187" s="58"/>
      <c r="T1187" s="58"/>
      <c r="U1187" s="58"/>
      <c r="V1187" s="59"/>
      <c r="W1187" s="60"/>
    </row>
    <row r="1188" spans="1:23" x14ac:dyDescent="0.35">
      <c r="A1188" s="61"/>
      <c r="B1188" s="55"/>
      <c r="C1188" s="70"/>
      <c r="D1188" s="12"/>
      <c r="E1188" s="128"/>
      <c r="F1188" s="12"/>
      <c r="G1188" s="71"/>
      <c r="H1188" s="71"/>
      <c r="I1188" s="56"/>
      <c r="J1188" s="71"/>
      <c r="K1188" s="56"/>
      <c r="L1188" s="71"/>
      <c r="M1188" s="56"/>
      <c r="N1188" s="12"/>
      <c r="O1188" s="12"/>
      <c r="P1188" s="57"/>
      <c r="Q1188" s="50"/>
      <c r="R1188" s="229"/>
      <c r="S1188" s="58"/>
      <c r="T1188" s="58"/>
      <c r="U1188" s="58"/>
      <c r="V1188" s="59"/>
      <c r="W1188" s="60"/>
    </row>
    <row r="1189" spans="1:23" x14ac:dyDescent="0.35">
      <c r="A1189" s="61"/>
      <c r="B1189" s="55"/>
      <c r="C1189" s="70"/>
      <c r="D1189" s="12"/>
      <c r="E1189" s="128"/>
      <c r="F1189" s="12"/>
      <c r="G1189" s="71"/>
      <c r="H1189" s="71"/>
      <c r="I1189" s="56"/>
      <c r="J1189" s="71"/>
      <c r="K1189" s="56"/>
      <c r="L1189" s="71"/>
      <c r="M1189" s="56"/>
      <c r="N1189" s="12"/>
      <c r="O1189" s="12"/>
      <c r="P1189" s="57"/>
      <c r="Q1189" s="50"/>
      <c r="R1189" s="229"/>
      <c r="S1189" s="58"/>
      <c r="T1189" s="58"/>
      <c r="U1189" s="58"/>
      <c r="V1189" s="59"/>
      <c r="W1189" s="60"/>
    </row>
    <row r="1190" spans="1:23" x14ac:dyDescent="0.35">
      <c r="A1190" s="61"/>
      <c r="B1190" s="55"/>
      <c r="C1190" s="70"/>
      <c r="D1190" s="12"/>
      <c r="E1190" s="128"/>
      <c r="F1190" s="12"/>
      <c r="G1190" s="71"/>
      <c r="H1190" s="71"/>
      <c r="I1190" s="56"/>
      <c r="J1190" s="71"/>
      <c r="K1190" s="56"/>
      <c r="L1190" s="71"/>
      <c r="M1190" s="56"/>
      <c r="N1190" s="12"/>
      <c r="O1190" s="12"/>
      <c r="P1190" s="57"/>
      <c r="Q1190" s="50"/>
      <c r="R1190" s="229"/>
      <c r="S1190" s="58"/>
      <c r="T1190" s="58"/>
      <c r="U1190" s="58"/>
      <c r="V1190" s="59"/>
      <c r="W1190" s="60"/>
    </row>
    <row r="1191" spans="1:23" x14ac:dyDescent="0.35">
      <c r="A1191" s="61"/>
      <c r="B1191" s="55"/>
      <c r="C1191" s="70"/>
      <c r="D1191" s="12"/>
      <c r="E1191" s="128"/>
      <c r="F1191" s="12"/>
      <c r="G1191" s="71"/>
      <c r="H1191" s="71"/>
      <c r="I1191" s="56"/>
      <c r="J1191" s="71"/>
      <c r="K1191" s="56"/>
      <c r="L1191" s="71"/>
      <c r="M1191" s="56"/>
      <c r="N1191" s="12"/>
      <c r="O1191" s="12"/>
      <c r="P1191" s="57"/>
      <c r="Q1191" s="50"/>
      <c r="R1191" s="229"/>
      <c r="S1191" s="58"/>
      <c r="T1191" s="58"/>
      <c r="U1191" s="58"/>
      <c r="V1191" s="59"/>
      <c r="W1191" s="60"/>
    </row>
    <row r="1192" spans="1:23" x14ac:dyDescent="0.35">
      <c r="A1192" s="61"/>
      <c r="B1192" s="55"/>
      <c r="C1192" s="70"/>
      <c r="D1192" s="12"/>
      <c r="E1192" s="128"/>
      <c r="F1192" s="12"/>
      <c r="G1192" s="71"/>
      <c r="H1192" s="71"/>
      <c r="I1192" s="56"/>
      <c r="J1192" s="71"/>
      <c r="K1192" s="56"/>
      <c r="L1192" s="71"/>
      <c r="M1192" s="56"/>
      <c r="N1192" s="12"/>
      <c r="O1192" s="12"/>
      <c r="P1192" s="57"/>
      <c r="Q1192" s="50"/>
      <c r="R1192" s="229"/>
      <c r="S1192" s="58"/>
      <c r="T1192" s="58"/>
      <c r="U1192" s="58"/>
      <c r="V1192" s="59"/>
      <c r="W1192" s="60"/>
    </row>
    <row r="1193" spans="1:23" x14ac:dyDescent="0.35">
      <c r="A1193" s="61"/>
      <c r="B1193" s="55"/>
      <c r="C1193" s="70"/>
      <c r="D1193" s="12"/>
      <c r="E1193" s="128"/>
      <c r="F1193" s="12"/>
      <c r="G1193" s="71"/>
      <c r="H1193" s="71"/>
      <c r="I1193" s="56"/>
      <c r="J1193" s="71"/>
      <c r="K1193" s="56"/>
      <c r="L1193" s="71"/>
      <c r="M1193" s="56"/>
      <c r="N1193" s="12"/>
      <c r="O1193" s="12"/>
      <c r="P1193" s="57"/>
      <c r="Q1193" s="50"/>
      <c r="R1193" s="229"/>
      <c r="S1193" s="58"/>
      <c r="T1193" s="58"/>
      <c r="U1193" s="58"/>
      <c r="V1193" s="59"/>
      <c r="W1193" s="60"/>
    </row>
    <row r="1194" spans="1:23" x14ac:dyDescent="0.35">
      <c r="A1194" s="61"/>
      <c r="B1194" s="55"/>
      <c r="C1194" s="70"/>
      <c r="D1194" s="12"/>
      <c r="E1194" s="128"/>
      <c r="F1194" s="12"/>
      <c r="G1194" s="71"/>
      <c r="H1194" s="71"/>
      <c r="I1194" s="56"/>
      <c r="J1194" s="71"/>
      <c r="K1194" s="56"/>
      <c r="L1194" s="71"/>
      <c r="M1194" s="56"/>
      <c r="N1194" s="12"/>
      <c r="O1194" s="12"/>
      <c r="P1194" s="57"/>
      <c r="Q1194" s="50"/>
      <c r="R1194" s="229"/>
      <c r="S1194" s="58"/>
      <c r="T1194" s="58"/>
      <c r="U1194" s="58"/>
      <c r="V1194" s="59"/>
      <c r="W1194" s="60"/>
    </row>
    <row r="1195" spans="1:23" x14ac:dyDescent="0.35">
      <c r="A1195" s="61"/>
      <c r="B1195" s="55"/>
      <c r="C1195" s="70"/>
      <c r="D1195" s="12"/>
      <c r="E1195" s="128"/>
      <c r="F1195" s="12"/>
      <c r="G1195" s="71"/>
      <c r="H1195" s="71"/>
      <c r="I1195" s="56"/>
      <c r="J1195" s="71"/>
      <c r="K1195" s="56"/>
      <c r="L1195" s="71"/>
      <c r="M1195" s="56"/>
      <c r="N1195" s="12"/>
      <c r="O1195" s="12"/>
      <c r="P1195" s="57"/>
      <c r="Q1195" s="50"/>
      <c r="R1195" s="229"/>
      <c r="S1195" s="58"/>
      <c r="T1195" s="58"/>
      <c r="U1195" s="58"/>
      <c r="V1195" s="59"/>
      <c r="W1195" s="60"/>
    </row>
    <row r="1196" spans="1:23" x14ac:dyDescent="0.35">
      <c r="A1196" s="61"/>
      <c r="B1196" s="55"/>
      <c r="C1196" s="70"/>
      <c r="D1196" s="12"/>
      <c r="E1196" s="128"/>
      <c r="F1196" s="12"/>
      <c r="G1196" s="71"/>
      <c r="H1196" s="71"/>
      <c r="I1196" s="56"/>
      <c r="J1196" s="71"/>
      <c r="K1196" s="56"/>
      <c r="L1196" s="71"/>
      <c r="M1196" s="56"/>
      <c r="N1196" s="12"/>
      <c r="O1196" s="12"/>
      <c r="P1196" s="57"/>
      <c r="Q1196" s="50"/>
      <c r="R1196" s="229"/>
      <c r="S1196" s="58"/>
      <c r="T1196" s="58"/>
      <c r="U1196" s="58"/>
      <c r="V1196" s="59"/>
      <c r="W1196" s="60"/>
    </row>
    <row r="1197" spans="1:23" x14ac:dyDescent="0.35">
      <c r="A1197" s="61"/>
      <c r="B1197" s="55"/>
      <c r="C1197" s="70"/>
      <c r="D1197" s="12"/>
      <c r="E1197" s="128"/>
      <c r="F1197" s="12"/>
      <c r="G1197" s="71"/>
      <c r="H1197" s="71"/>
      <c r="I1197" s="56"/>
      <c r="J1197" s="71"/>
      <c r="K1197" s="56"/>
      <c r="L1197" s="71"/>
      <c r="M1197" s="56"/>
      <c r="N1197" s="12"/>
      <c r="O1197" s="12"/>
      <c r="P1197" s="57"/>
      <c r="Q1197" s="50"/>
      <c r="R1197" s="229"/>
      <c r="S1197" s="58"/>
      <c r="T1197" s="58"/>
      <c r="U1197" s="58"/>
      <c r="V1197" s="59"/>
      <c r="W1197" s="60"/>
    </row>
    <row r="1198" spans="1:23" x14ac:dyDescent="0.35">
      <c r="A1198" s="61"/>
      <c r="B1198" s="55"/>
      <c r="C1198" s="70"/>
      <c r="D1198" s="12"/>
      <c r="E1198" s="128"/>
      <c r="F1198" s="12"/>
      <c r="G1198" s="71"/>
      <c r="H1198" s="71"/>
      <c r="I1198" s="56"/>
      <c r="J1198" s="71"/>
      <c r="K1198" s="56"/>
      <c r="L1198" s="71"/>
      <c r="M1198" s="56"/>
      <c r="N1198" s="12"/>
      <c r="O1198" s="12"/>
      <c r="P1198" s="57"/>
      <c r="Q1198" s="50"/>
      <c r="R1198" s="229"/>
      <c r="S1198" s="58"/>
      <c r="T1198" s="58"/>
      <c r="U1198" s="58"/>
      <c r="V1198" s="59"/>
      <c r="W1198" s="60"/>
    </row>
    <row r="1199" spans="1:23" x14ac:dyDescent="0.35">
      <c r="A1199" s="61"/>
      <c r="B1199" s="55"/>
      <c r="C1199" s="70"/>
      <c r="D1199" s="12"/>
      <c r="E1199" s="128"/>
      <c r="F1199" s="12"/>
      <c r="G1199" s="71"/>
      <c r="H1199" s="71"/>
      <c r="I1199" s="56"/>
      <c r="J1199" s="71"/>
      <c r="K1199" s="56"/>
      <c r="L1199" s="71"/>
      <c r="M1199" s="56"/>
      <c r="N1199" s="12"/>
      <c r="O1199" s="12"/>
      <c r="P1199" s="57"/>
      <c r="Q1199" s="50"/>
      <c r="R1199" s="229"/>
      <c r="S1199" s="58"/>
      <c r="T1199" s="58"/>
      <c r="U1199" s="58"/>
      <c r="V1199" s="59"/>
      <c r="W1199" s="60"/>
    </row>
    <row r="1200" spans="1:23" x14ac:dyDescent="0.35">
      <c r="A1200" s="61"/>
      <c r="B1200" s="55"/>
      <c r="C1200" s="70"/>
      <c r="D1200" s="12"/>
      <c r="E1200" s="128"/>
      <c r="F1200" s="12"/>
      <c r="G1200" s="71"/>
      <c r="H1200" s="71"/>
      <c r="I1200" s="56"/>
      <c r="J1200" s="71"/>
      <c r="K1200" s="56"/>
      <c r="L1200" s="71"/>
      <c r="M1200" s="56"/>
      <c r="N1200" s="12"/>
      <c r="O1200" s="12"/>
      <c r="P1200" s="57"/>
      <c r="Q1200" s="50"/>
      <c r="R1200" s="229"/>
      <c r="S1200" s="58"/>
      <c r="T1200" s="58"/>
      <c r="U1200" s="58"/>
      <c r="V1200" s="59"/>
      <c r="W1200" s="60"/>
    </row>
    <row r="1201" spans="1:23" x14ac:dyDescent="0.35">
      <c r="A1201" s="61"/>
      <c r="B1201" s="55"/>
      <c r="C1201" s="70"/>
      <c r="D1201" s="12"/>
      <c r="E1201" s="128"/>
      <c r="F1201" s="12"/>
      <c r="G1201" s="71"/>
      <c r="H1201" s="71"/>
      <c r="I1201" s="56"/>
      <c r="J1201" s="71"/>
      <c r="K1201" s="56"/>
      <c r="L1201" s="71"/>
      <c r="M1201" s="56"/>
      <c r="N1201" s="12"/>
      <c r="O1201" s="12"/>
      <c r="P1201" s="57"/>
      <c r="Q1201" s="50"/>
      <c r="R1201" s="229"/>
      <c r="S1201" s="58"/>
      <c r="T1201" s="58"/>
      <c r="U1201" s="58"/>
      <c r="V1201" s="59"/>
      <c r="W1201" s="60"/>
    </row>
    <row r="1202" spans="1:23" x14ac:dyDescent="0.35">
      <c r="A1202" s="61"/>
      <c r="B1202" s="55"/>
      <c r="C1202" s="70"/>
      <c r="D1202" s="12"/>
      <c r="E1202" s="128"/>
      <c r="F1202" s="12"/>
      <c r="G1202" s="71"/>
      <c r="H1202" s="71"/>
      <c r="I1202" s="56"/>
      <c r="J1202" s="71"/>
      <c r="K1202" s="56"/>
      <c r="L1202" s="71"/>
      <c r="M1202" s="56"/>
      <c r="N1202" s="12"/>
      <c r="O1202" s="12"/>
      <c r="P1202" s="57"/>
      <c r="Q1202" s="50"/>
      <c r="R1202" s="229"/>
      <c r="S1202" s="58"/>
      <c r="T1202" s="58"/>
      <c r="U1202" s="58"/>
      <c r="V1202" s="59"/>
      <c r="W1202" s="60"/>
    </row>
    <row r="1203" spans="1:23" x14ac:dyDescent="0.35">
      <c r="A1203" s="61"/>
      <c r="B1203" s="55"/>
      <c r="C1203" s="70"/>
      <c r="D1203" s="12"/>
      <c r="E1203" s="128"/>
      <c r="F1203" s="12"/>
      <c r="G1203" s="71"/>
      <c r="H1203" s="71"/>
      <c r="I1203" s="56"/>
      <c r="J1203" s="71"/>
      <c r="K1203" s="56"/>
      <c r="L1203" s="71"/>
      <c r="M1203" s="56"/>
      <c r="N1203" s="12"/>
      <c r="O1203" s="12"/>
      <c r="P1203" s="57"/>
      <c r="Q1203" s="50"/>
      <c r="R1203" s="229"/>
      <c r="S1203" s="58"/>
      <c r="T1203" s="58"/>
      <c r="U1203" s="58"/>
      <c r="V1203" s="59"/>
      <c r="W1203" s="60"/>
    </row>
    <row r="1204" spans="1:23" x14ac:dyDescent="0.35">
      <c r="A1204" s="61"/>
      <c r="B1204" s="55"/>
      <c r="C1204" s="70"/>
      <c r="D1204" s="12"/>
      <c r="E1204" s="128"/>
      <c r="F1204" s="12"/>
      <c r="G1204" s="71"/>
      <c r="H1204" s="71"/>
      <c r="I1204" s="56"/>
      <c r="J1204" s="71"/>
      <c r="K1204" s="56"/>
      <c r="L1204" s="71"/>
      <c r="M1204" s="56"/>
      <c r="N1204" s="12"/>
      <c r="O1204" s="12"/>
      <c r="P1204" s="57"/>
      <c r="Q1204" s="50"/>
      <c r="R1204" s="229"/>
      <c r="S1204" s="58"/>
      <c r="T1204" s="58"/>
      <c r="U1204" s="58"/>
      <c r="V1204" s="59"/>
      <c r="W1204" s="60"/>
    </row>
    <row r="1205" spans="1:23" x14ac:dyDescent="0.35">
      <c r="A1205" s="61"/>
      <c r="B1205" s="55"/>
      <c r="C1205" s="70"/>
      <c r="D1205" s="12"/>
      <c r="E1205" s="128"/>
      <c r="F1205" s="12"/>
      <c r="G1205" s="71"/>
      <c r="H1205" s="71"/>
      <c r="I1205" s="56"/>
      <c r="J1205" s="71"/>
      <c r="K1205" s="56"/>
      <c r="L1205" s="71"/>
      <c r="M1205" s="56"/>
      <c r="N1205" s="12"/>
      <c r="O1205" s="12"/>
      <c r="P1205" s="57"/>
      <c r="Q1205" s="50"/>
      <c r="R1205" s="229"/>
      <c r="S1205" s="58"/>
      <c r="T1205" s="58"/>
      <c r="U1205" s="58"/>
      <c r="V1205" s="59"/>
      <c r="W1205" s="60"/>
    </row>
    <row r="1206" spans="1:23" x14ac:dyDescent="0.35">
      <c r="A1206" s="61"/>
      <c r="B1206" s="55"/>
      <c r="C1206" s="70"/>
      <c r="D1206" s="12"/>
      <c r="E1206" s="128"/>
      <c r="F1206" s="12"/>
      <c r="G1206" s="71"/>
      <c r="H1206" s="71"/>
      <c r="I1206" s="56"/>
      <c r="J1206" s="71"/>
      <c r="K1206" s="56"/>
      <c r="L1206" s="71"/>
      <c r="M1206" s="56"/>
      <c r="N1206" s="12"/>
      <c r="O1206" s="12"/>
      <c r="P1206" s="57"/>
      <c r="Q1206" s="50"/>
      <c r="R1206" s="229"/>
      <c r="S1206" s="58"/>
      <c r="T1206" s="58"/>
      <c r="U1206" s="58"/>
      <c r="V1206" s="59"/>
      <c r="W1206" s="60"/>
    </row>
    <row r="1207" spans="1:23" x14ac:dyDescent="0.35">
      <c r="A1207" s="61"/>
      <c r="B1207" s="55"/>
      <c r="C1207" s="70"/>
      <c r="D1207" s="12"/>
      <c r="E1207" s="128"/>
      <c r="F1207" s="12"/>
      <c r="G1207" s="71"/>
      <c r="H1207" s="71"/>
      <c r="I1207" s="56"/>
      <c r="J1207" s="71"/>
      <c r="K1207" s="56"/>
      <c r="L1207" s="71"/>
      <c r="M1207" s="56"/>
      <c r="N1207" s="12"/>
      <c r="O1207" s="12"/>
      <c r="P1207" s="57"/>
      <c r="Q1207" s="50"/>
      <c r="R1207" s="229"/>
      <c r="S1207" s="58"/>
      <c r="T1207" s="58"/>
      <c r="U1207" s="58"/>
      <c r="V1207" s="59"/>
      <c r="W1207" s="60"/>
    </row>
    <row r="1208" spans="1:23" x14ac:dyDescent="0.35">
      <c r="A1208" s="61"/>
      <c r="B1208" s="55"/>
      <c r="C1208" s="70"/>
      <c r="D1208" s="12"/>
      <c r="E1208" s="128"/>
      <c r="F1208" s="12"/>
      <c r="G1208" s="71"/>
      <c r="H1208" s="71"/>
      <c r="I1208" s="56"/>
      <c r="J1208" s="71"/>
      <c r="K1208" s="56"/>
      <c r="L1208" s="71"/>
      <c r="M1208" s="56"/>
      <c r="N1208" s="12"/>
      <c r="O1208" s="12"/>
      <c r="P1208" s="57"/>
      <c r="Q1208" s="50"/>
      <c r="R1208" s="229"/>
      <c r="S1208" s="58"/>
      <c r="T1208" s="58"/>
      <c r="U1208" s="58"/>
      <c r="V1208" s="59"/>
      <c r="W1208" s="60"/>
    </row>
    <row r="1209" spans="1:23" x14ac:dyDescent="0.35">
      <c r="A1209" s="61"/>
      <c r="B1209" s="55"/>
      <c r="C1209" s="70"/>
      <c r="D1209" s="12"/>
      <c r="E1209" s="128"/>
      <c r="F1209" s="12"/>
      <c r="G1209" s="71"/>
      <c r="H1209" s="71"/>
      <c r="I1209" s="56"/>
      <c r="J1209" s="71"/>
      <c r="K1209" s="56"/>
      <c r="L1209" s="71"/>
      <c r="M1209" s="56"/>
      <c r="N1209" s="12"/>
      <c r="O1209" s="12"/>
      <c r="P1209" s="57"/>
      <c r="Q1209" s="50"/>
      <c r="R1209" s="229"/>
      <c r="S1209" s="58"/>
      <c r="T1209" s="58"/>
      <c r="U1209" s="58"/>
      <c r="V1209" s="59"/>
      <c r="W1209" s="60"/>
    </row>
    <row r="1210" spans="1:23" x14ac:dyDescent="0.35">
      <c r="A1210" s="61"/>
      <c r="B1210" s="55"/>
      <c r="C1210" s="70"/>
      <c r="D1210" s="12"/>
      <c r="E1210" s="128"/>
      <c r="F1210" s="12"/>
      <c r="G1210" s="71"/>
      <c r="H1210" s="71"/>
      <c r="I1210" s="56"/>
      <c r="J1210" s="71"/>
      <c r="K1210" s="56"/>
      <c r="L1210" s="71"/>
      <c r="M1210" s="56"/>
      <c r="N1210" s="12"/>
      <c r="O1210" s="12"/>
      <c r="P1210" s="57"/>
      <c r="Q1210" s="50"/>
      <c r="R1210" s="229"/>
      <c r="S1210" s="58"/>
      <c r="T1210" s="58"/>
      <c r="U1210" s="58"/>
      <c r="V1210" s="59"/>
      <c r="W1210" s="60"/>
    </row>
    <row r="1211" spans="1:23" x14ac:dyDescent="0.35">
      <c r="A1211" s="61"/>
      <c r="B1211" s="55"/>
      <c r="C1211" s="70"/>
      <c r="D1211" s="12"/>
      <c r="E1211" s="128"/>
      <c r="F1211" s="12"/>
      <c r="G1211" s="71"/>
      <c r="H1211" s="71"/>
      <c r="I1211" s="56"/>
      <c r="J1211" s="71"/>
      <c r="K1211" s="56"/>
      <c r="L1211" s="71"/>
      <c r="M1211" s="56"/>
      <c r="N1211" s="12"/>
      <c r="O1211" s="12"/>
      <c r="P1211" s="57"/>
      <c r="Q1211" s="50"/>
      <c r="R1211" s="229"/>
      <c r="S1211" s="58"/>
      <c r="T1211" s="58"/>
      <c r="U1211" s="58"/>
      <c r="V1211" s="59"/>
      <c r="W1211" s="60"/>
    </row>
    <row r="1212" spans="1:23" x14ac:dyDescent="0.35">
      <c r="A1212" s="61"/>
      <c r="B1212" s="55"/>
      <c r="C1212" s="70"/>
      <c r="D1212" s="12"/>
      <c r="E1212" s="128"/>
      <c r="F1212" s="12"/>
      <c r="G1212" s="71"/>
      <c r="H1212" s="71"/>
      <c r="I1212" s="56"/>
      <c r="J1212" s="71"/>
      <c r="K1212" s="56"/>
      <c r="L1212" s="71"/>
      <c r="M1212" s="56"/>
      <c r="N1212" s="12"/>
      <c r="O1212" s="12"/>
      <c r="P1212" s="57"/>
      <c r="Q1212" s="50"/>
      <c r="R1212" s="229"/>
      <c r="S1212" s="58"/>
      <c r="T1212" s="58"/>
      <c r="U1212" s="58"/>
      <c r="V1212" s="59"/>
      <c r="W1212" s="60"/>
    </row>
    <row r="1213" spans="1:23" x14ac:dyDescent="0.35">
      <c r="A1213" s="61"/>
      <c r="B1213" s="55"/>
      <c r="C1213" s="70"/>
      <c r="D1213" s="12"/>
      <c r="E1213" s="128"/>
      <c r="F1213" s="12"/>
      <c r="G1213" s="71"/>
      <c r="H1213" s="71"/>
      <c r="I1213" s="56"/>
      <c r="J1213" s="71"/>
      <c r="K1213" s="56"/>
      <c r="L1213" s="71"/>
      <c r="M1213" s="56"/>
      <c r="N1213" s="12"/>
      <c r="O1213" s="12"/>
      <c r="P1213" s="57"/>
      <c r="Q1213" s="50"/>
      <c r="R1213" s="229"/>
      <c r="S1213" s="58"/>
      <c r="T1213" s="58"/>
      <c r="U1213" s="58"/>
      <c r="V1213" s="59"/>
      <c r="W1213" s="60"/>
    </row>
    <row r="1214" spans="1:23" x14ac:dyDescent="0.35">
      <c r="A1214" s="61"/>
      <c r="B1214" s="55"/>
      <c r="C1214" s="70"/>
      <c r="D1214" s="12"/>
      <c r="E1214" s="128"/>
      <c r="F1214" s="12"/>
      <c r="G1214" s="71"/>
      <c r="H1214" s="71"/>
      <c r="I1214" s="56"/>
      <c r="J1214" s="71"/>
      <c r="K1214" s="56"/>
      <c r="L1214" s="71"/>
      <c r="M1214" s="56"/>
      <c r="N1214" s="12"/>
      <c r="O1214" s="12"/>
      <c r="P1214" s="57"/>
      <c r="Q1214" s="50"/>
      <c r="R1214" s="229"/>
      <c r="S1214" s="58"/>
      <c r="T1214" s="58"/>
      <c r="U1214" s="58"/>
      <c r="V1214" s="59"/>
      <c r="W1214" s="60"/>
    </row>
    <row r="1215" spans="1:23" x14ac:dyDescent="0.35">
      <c r="A1215" s="61"/>
      <c r="B1215" s="55"/>
      <c r="C1215" s="70"/>
      <c r="D1215" s="12"/>
      <c r="E1215" s="128"/>
      <c r="F1215" s="12"/>
      <c r="G1215" s="71"/>
      <c r="H1215" s="71"/>
      <c r="I1215" s="56"/>
      <c r="J1215" s="71"/>
      <c r="K1215" s="56"/>
      <c r="L1215" s="71"/>
      <c r="M1215" s="56"/>
      <c r="N1215" s="12"/>
      <c r="O1215" s="12"/>
      <c r="P1215" s="57"/>
      <c r="Q1215" s="50"/>
      <c r="R1215" s="229"/>
      <c r="S1215" s="58"/>
      <c r="T1215" s="58"/>
      <c r="U1215" s="58"/>
      <c r="V1215" s="59"/>
      <c r="W1215" s="60"/>
    </row>
    <row r="1216" spans="1:23" x14ac:dyDescent="0.35">
      <c r="A1216" s="61"/>
      <c r="B1216" s="55"/>
      <c r="C1216" s="70"/>
      <c r="D1216" s="12"/>
      <c r="E1216" s="128"/>
      <c r="F1216" s="12"/>
      <c r="G1216" s="71"/>
      <c r="H1216" s="71"/>
      <c r="I1216" s="56"/>
      <c r="J1216" s="71"/>
      <c r="K1216" s="56"/>
      <c r="L1216" s="71"/>
      <c r="M1216" s="56"/>
      <c r="N1216" s="12"/>
      <c r="O1216" s="12"/>
      <c r="P1216" s="57"/>
      <c r="Q1216" s="50"/>
      <c r="R1216" s="229"/>
      <c r="S1216" s="58"/>
      <c r="T1216" s="58"/>
      <c r="U1216" s="58"/>
      <c r="V1216" s="59"/>
      <c r="W1216" s="60"/>
    </row>
    <row r="1217" spans="1:23" x14ac:dyDescent="0.35">
      <c r="A1217" s="61"/>
      <c r="B1217" s="55"/>
      <c r="C1217" s="70"/>
      <c r="D1217" s="12"/>
      <c r="E1217" s="128"/>
      <c r="F1217" s="12"/>
      <c r="G1217" s="71"/>
      <c r="H1217" s="71"/>
      <c r="I1217" s="56"/>
      <c r="J1217" s="71"/>
      <c r="K1217" s="56"/>
      <c r="L1217" s="71"/>
      <c r="M1217" s="56"/>
      <c r="N1217" s="12"/>
      <c r="O1217" s="12"/>
      <c r="P1217" s="57"/>
      <c r="Q1217" s="50"/>
      <c r="R1217" s="229"/>
      <c r="S1217" s="58"/>
      <c r="T1217" s="58"/>
      <c r="U1217" s="58"/>
      <c r="V1217" s="59"/>
      <c r="W1217" s="60"/>
    </row>
    <row r="1218" spans="1:23" x14ac:dyDescent="0.35">
      <c r="A1218" s="61"/>
      <c r="B1218" s="55"/>
      <c r="C1218" s="70"/>
      <c r="D1218" s="12"/>
      <c r="E1218" s="128"/>
      <c r="F1218" s="12"/>
      <c r="G1218" s="71"/>
      <c r="H1218" s="71"/>
      <c r="I1218" s="56"/>
      <c r="J1218" s="71"/>
      <c r="K1218" s="56"/>
      <c r="L1218" s="71"/>
      <c r="M1218" s="56"/>
      <c r="N1218" s="12"/>
      <c r="O1218" s="12"/>
      <c r="P1218" s="57"/>
      <c r="Q1218" s="50"/>
      <c r="R1218" s="229"/>
      <c r="S1218" s="58"/>
      <c r="T1218" s="58"/>
      <c r="U1218" s="58"/>
      <c r="V1218" s="59"/>
      <c r="W1218" s="60"/>
    </row>
    <row r="1219" spans="1:23" x14ac:dyDescent="0.35">
      <c r="A1219" s="61"/>
      <c r="B1219" s="55"/>
      <c r="C1219" s="70"/>
      <c r="D1219" s="12"/>
      <c r="E1219" s="128"/>
      <c r="F1219" s="12"/>
      <c r="G1219" s="71"/>
      <c r="H1219" s="71"/>
      <c r="I1219" s="56"/>
      <c r="J1219" s="71"/>
      <c r="K1219" s="56"/>
      <c r="L1219" s="71"/>
      <c r="M1219" s="56"/>
      <c r="N1219" s="12"/>
      <c r="O1219" s="12"/>
      <c r="P1219" s="57"/>
      <c r="Q1219" s="50"/>
      <c r="R1219" s="229"/>
      <c r="S1219" s="58"/>
      <c r="T1219" s="58"/>
      <c r="U1219" s="58"/>
      <c r="V1219" s="59"/>
      <c r="W1219" s="60"/>
    </row>
    <row r="1220" spans="1:23" x14ac:dyDescent="0.35">
      <c r="A1220" s="61"/>
      <c r="B1220" s="55"/>
      <c r="C1220" s="70"/>
      <c r="D1220" s="12"/>
      <c r="E1220" s="128"/>
      <c r="F1220" s="12"/>
      <c r="G1220" s="71"/>
      <c r="H1220" s="71"/>
      <c r="I1220" s="56"/>
      <c r="J1220" s="71"/>
      <c r="K1220" s="56"/>
      <c r="L1220" s="71"/>
      <c r="M1220" s="56"/>
      <c r="N1220" s="12"/>
      <c r="O1220" s="12"/>
      <c r="P1220" s="57"/>
      <c r="Q1220" s="50"/>
      <c r="R1220" s="229"/>
      <c r="S1220" s="58"/>
      <c r="T1220" s="58"/>
      <c r="U1220" s="58"/>
      <c r="V1220" s="59"/>
      <c r="W1220" s="60"/>
    </row>
    <row r="1221" spans="1:23" x14ac:dyDescent="0.35">
      <c r="A1221" s="61"/>
      <c r="B1221" s="55"/>
      <c r="C1221" s="70"/>
      <c r="D1221" s="12"/>
      <c r="E1221" s="128"/>
      <c r="F1221" s="12"/>
      <c r="G1221" s="71"/>
      <c r="H1221" s="71"/>
      <c r="I1221" s="56"/>
      <c r="J1221" s="71"/>
      <c r="K1221" s="56"/>
      <c r="L1221" s="71"/>
      <c r="M1221" s="56"/>
      <c r="N1221" s="12"/>
      <c r="O1221" s="12"/>
      <c r="P1221" s="57"/>
      <c r="Q1221" s="50"/>
      <c r="R1221" s="50"/>
      <c r="S1221" s="58"/>
      <c r="T1221" s="58"/>
      <c r="U1221" s="58"/>
      <c r="V1221" s="59"/>
      <c r="W1221" s="60"/>
    </row>
    <row r="1222" spans="1:23" x14ac:dyDescent="0.35">
      <c r="A1222" s="61"/>
      <c r="B1222" s="55"/>
      <c r="C1222" s="70"/>
      <c r="D1222" s="12"/>
      <c r="E1222" s="128"/>
      <c r="F1222" s="12"/>
      <c r="G1222" s="71"/>
      <c r="H1222" s="71"/>
      <c r="I1222" s="56"/>
      <c r="J1222" s="71"/>
      <c r="K1222" s="56"/>
      <c r="L1222" s="71"/>
      <c r="M1222" s="56"/>
      <c r="N1222" s="12"/>
      <c r="O1222" s="12"/>
      <c r="P1222" s="57"/>
      <c r="Q1222" s="50"/>
      <c r="R1222" s="50"/>
      <c r="S1222" s="58"/>
      <c r="T1222" s="58"/>
      <c r="U1222" s="58"/>
      <c r="V1222" s="59"/>
      <c r="W1222" s="60"/>
    </row>
    <row r="1223" spans="1:23" x14ac:dyDescent="0.35">
      <c r="A1223" s="61"/>
      <c r="B1223" s="55"/>
      <c r="C1223" s="70"/>
      <c r="D1223" s="12"/>
      <c r="E1223" s="128"/>
      <c r="F1223" s="12"/>
      <c r="G1223" s="71"/>
      <c r="H1223" s="71"/>
      <c r="I1223" s="56"/>
      <c r="J1223" s="71"/>
      <c r="K1223" s="56"/>
      <c r="L1223" s="71"/>
      <c r="M1223" s="56"/>
      <c r="N1223" s="12"/>
      <c r="O1223" s="12"/>
      <c r="P1223" s="57"/>
      <c r="Q1223" s="50"/>
      <c r="R1223" s="50"/>
      <c r="S1223" s="58"/>
      <c r="T1223" s="58"/>
      <c r="U1223" s="58"/>
      <c r="V1223" s="59"/>
      <c r="W1223" s="60"/>
    </row>
    <row r="1224" spans="1:23" x14ac:dyDescent="0.35">
      <c r="A1224" s="61"/>
      <c r="B1224" s="55"/>
      <c r="C1224" s="70"/>
      <c r="D1224" s="12"/>
      <c r="E1224" s="128"/>
      <c r="F1224" s="12"/>
      <c r="G1224" s="71"/>
      <c r="H1224" s="71"/>
      <c r="I1224" s="56"/>
      <c r="J1224" s="71"/>
      <c r="K1224" s="56"/>
      <c r="L1224" s="71"/>
      <c r="M1224" s="56"/>
      <c r="N1224" s="12"/>
      <c r="O1224" s="12"/>
      <c r="P1224" s="57"/>
      <c r="Q1224" s="50"/>
      <c r="R1224" s="50"/>
      <c r="S1224" s="58"/>
      <c r="T1224" s="58"/>
      <c r="U1224" s="58"/>
      <c r="V1224" s="59"/>
      <c r="W1224" s="60"/>
    </row>
    <row r="1225" spans="1:23" x14ac:dyDescent="0.35">
      <c r="A1225" s="61"/>
      <c r="B1225" s="55"/>
      <c r="C1225" s="70"/>
      <c r="D1225" s="12"/>
      <c r="E1225" s="128"/>
      <c r="F1225" s="12"/>
      <c r="G1225" s="71"/>
      <c r="H1225" s="71"/>
      <c r="I1225" s="56"/>
      <c r="J1225" s="71"/>
      <c r="K1225" s="56"/>
      <c r="L1225" s="71"/>
      <c r="M1225" s="56"/>
      <c r="N1225" s="12"/>
      <c r="O1225" s="12"/>
      <c r="P1225" s="57"/>
      <c r="Q1225" s="50"/>
      <c r="R1225" s="50"/>
      <c r="S1225" s="58"/>
      <c r="T1225" s="58"/>
      <c r="U1225" s="58"/>
      <c r="V1225" s="59"/>
      <c r="W1225" s="60"/>
    </row>
    <row r="1226" spans="1:23" x14ac:dyDescent="0.35">
      <c r="A1226" s="61"/>
      <c r="B1226" s="55"/>
      <c r="C1226" s="70"/>
      <c r="D1226" s="12"/>
      <c r="E1226" s="128"/>
      <c r="F1226" s="12"/>
      <c r="G1226" s="71"/>
      <c r="H1226" s="71"/>
      <c r="I1226" s="56"/>
      <c r="J1226" s="71"/>
      <c r="K1226" s="56"/>
      <c r="L1226" s="71"/>
      <c r="M1226" s="56"/>
      <c r="N1226" s="12"/>
      <c r="O1226" s="12"/>
      <c r="P1226" s="57"/>
      <c r="Q1226" s="50"/>
      <c r="R1226" s="50"/>
      <c r="S1226" s="58"/>
      <c r="T1226" s="58"/>
      <c r="U1226" s="58"/>
      <c r="V1226" s="59"/>
      <c r="W1226" s="60"/>
    </row>
    <row r="1227" spans="1:23" x14ac:dyDescent="0.35">
      <c r="A1227" s="61"/>
      <c r="B1227" s="55"/>
      <c r="C1227" s="70"/>
      <c r="D1227" s="12"/>
      <c r="E1227" s="128"/>
      <c r="F1227" s="12"/>
      <c r="G1227" s="71"/>
      <c r="H1227" s="71"/>
      <c r="I1227" s="56"/>
      <c r="J1227" s="71"/>
      <c r="K1227" s="56"/>
      <c r="L1227" s="71"/>
      <c r="M1227" s="56"/>
      <c r="N1227" s="12"/>
      <c r="O1227" s="12"/>
      <c r="P1227" s="57"/>
      <c r="Q1227" s="50"/>
      <c r="R1227" s="50"/>
      <c r="S1227" s="58"/>
      <c r="T1227" s="58"/>
      <c r="U1227" s="58"/>
      <c r="V1227" s="59"/>
      <c r="W1227" s="60"/>
    </row>
    <row r="1228" spans="1:23" x14ac:dyDescent="0.35">
      <c r="A1228" s="61"/>
      <c r="B1228" s="55"/>
      <c r="C1228" s="70"/>
      <c r="D1228" s="12"/>
      <c r="E1228" s="128"/>
      <c r="F1228" s="12"/>
      <c r="G1228" s="71"/>
      <c r="H1228" s="71"/>
      <c r="I1228" s="56"/>
      <c r="J1228" s="71"/>
      <c r="K1228" s="56"/>
      <c r="L1228" s="71"/>
      <c r="M1228" s="56"/>
      <c r="N1228" s="12"/>
      <c r="O1228" s="12"/>
      <c r="P1228" s="57"/>
      <c r="Q1228" s="50"/>
      <c r="R1228" s="50"/>
      <c r="S1228" s="58"/>
      <c r="T1228" s="58"/>
      <c r="U1228" s="58"/>
      <c r="V1228" s="59"/>
      <c r="W1228" s="60"/>
    </row>
    <row r="1229" spans="1:23" x14ac:dyDescent="0.35">
      <c r="A1229" s="61"/>
      <c r="B1229" s="55"/>
      <c r="C1229" s="70"/>
      <c r="D1229" s="12"/>
      <c r="E1229" s="128"/>
      <c r="F1229" s="12"/>
      <c r="G1229" s="71"/>
      <c r="H1229" s="71"/>
      <c r="I1229" s="56"/>
      <c r="J1229" s="71"/>
      <c r="K1229" s="56"/>
      <c r="L1229" s="71"/>
      <c r="M1229" s="56"/>
      <c r="N1229" s="12"/>
      <c r="O1229" s="12"/>
      <c r="P1229" s="57"/>
      <c r="Q1229" s="50"/>
      <c r="R1229" s="50"/>
      <c r="S1229" s="58"/>
      <c r="T1229" s="58"/>
      <c r="U1229" s="58"/>
      <c r="V1229" s="59"/>
      <c r="W1229" s="60"/>
    </row>
    <row r="1230" spans="1:23" x14ac:dyDescent="0.35">
      <c r="A1230" s="61"/>
      <c r="B1230" s="55"/>
      <c r="C1230" s="70"/>
      <c r="D1230" s="12"/>
      <c r="E1230" s="128"/>
      <c r="F1230" s="12"/>
      <c r="G1230" s="71"/>
      <c r="H1230" s="71"/>
      <c r="I1230" s="56"/>
      <c r="J1230" s="71"/>
      <c r="K1230" s="56"/>
      <c r="L1230" s="71"/>
      <c r="M1230" s="56"/>
      <c r="N1230" s="12"/>
      <c r="O1230" s="12"/>
      <c r="P1230" s="57"/>
      <c r="Q1230" s="50"/>
      <c r="R1230" s="50"/>
      <c r="S1230" s="58"/>
      <c r="T1230" s="58"/>
      <c r="U1230" s="58"/>
      <c r="V1230" s="59"/>
      <c r="W1230" s="60"/>
    </row>
    <row r="1231" spans="1:23" x14ac:dyDescent="0.35">
      <c r="A1231" s="61"/>
      <c r="B1231" s="55"/>
      <c r="C1231" s="70"/>
      <c r="D1231" s="12"/>
      <c r="E1231" s="128"/>
      <c r="F1231" s="12"/>
      <c r="G1231" s="71"/>
      <c r="H1231" s="71"/>
      <c r="I1231" s="56"/>
      <c r="J1231" s="71"/>
      <c r="K1231" s="56"/>
      <c r="L1231" s="71"/>
      <c r="M1231" s="56"/>
      <c r="N1231" s="12"/>
      <c r="O1231" s="12"/>
      <c r="P1231" s="57"/>
      <c r="Q1231" s="50"/>
      <c r="R1231" s="50"/>
      <c r="S1231" s="58"/>
      <c r="T1231" s="58"/>
      <c r="U1231" s="58"/>
      <c r="V1231" s="59"/>
      <c r="W1231" s="60"/>
    </row>
    <row r="1232" spans="1:23" x14ac:dyDescent="0.35">
      <c r="A1232" s="61"/>
      <c r="B1232" s="55"/>
      <c r="C1232" s="70"/>
      <c r="D1232" s="12"/>
      <c r="E1232" s="128"/>
      <c r="F1232" s="12"/>
      <c r="G1232" s="71"/>
      <c r="H1232" s="71"/>
      <c r="I1232" s="56"/>
      <c r="J1232" s="71"/>
      <c r="K1232" s="56"/>
      <c r="L1232" s="71"/>
      <c r="M1232" s="56"/>
      <c r="N1232" s="12"/>
      <c r="O1232" s="12"/>
      <c r="P1232" s="57"/>
      <c r="Q1232" s="50"/>
      <c r="R1232" s="50"/>
      <c r="S1232" s="58"/>
      <c r="T1232" s="58"/>
      <c r="U1232" s="58"/>
      <c r="V1232" s="59"/>
      <c r="W1232" s="60"/>
    </row>
    <row r="1233" spans="1:23" x14ac:dyDescent="0.35">
      <c r="A1233" s="61"/>
      <c r="B1233" s="55"/>
      <c r="C1233" s="70"/>
      <c r="D1233" s="12"/>
      <c r="E1233" s="128"/>
      <c r="F1233" s="12"/>
      <c r="G1233" s="71"/>
      <c r="H1233" s="71"/>
      <c r="I1233" s="56"/>
      <c r="J1233" s="71"/>
      <c r="K1233" s="56"/>
      <c r="L1233" s="71"/>
      <c r="M1233" s="56"/>
      <c r="N1233" s="12"/>
      <c r="O1233" s="12"/>
      <c r="P1233" s="57"/>
      <c r="Q1233" s="50"/>
      <c r="R1233" s="50"/>
      <c r="S1233" s="58"/>
      <c r="T1233" s="58"/>
      <c r="U1233" s="58"/>
      <c r="V1233" s="59"/>
      <c r="W1233" s="60"/>
    </row>
    <row r="1234" spans="1:23" x14ac:dyDescent="0.35">
      <c r="A1234" s="61"/>
      <c r="B1234" s="55"/>
      <c r="C1234" s="70"/>
      <c r="D1234" s="12"/>
      <c r="E1234" s="128"/>
      <c r="F1234" s="12"/>
      <c r="G1234" s="71"/>
      <c r="H1234" s="71"/>
      <c r="I1234" s="56"/>
      <c r="J1234" s="71"/>
      <c r="K1234" s="56"/>
      <c r="L1234" s="71"/>
      <c r="M1234" s="56"/>
      <c r="N1234" s="12"/>
      <c r="O1234" s="12"/>
      <c r="P1234" s="57"/>
      <c r="Q1234" s="50"/>
      <c r="R1234" s="50"/>
      <c r="S1234" s="58"/>
      <c r="T1234" s="58"/>
      <c r="U1234" s="58"/>
      <c r="V1234" s="59"/>
      <c r="W1234" s="60"/>
    </row>
    <row r="1235" spans="1:23" x14ac:dyDescent="0.35">
      <c r="A1235" s="61"/>
      <c r="B1235" s="55"/>
      <c r="C1235" s="70"/>
      <c r="D1235" s="12"/>
      <c r="E1235" s="128"/>
      <c r="F1235" s="12"/>
      <c r="G1235" s="71"/>
      <c r="H1235" s="71"/>
      <c r="I1235" s="56"/>
      <c r="J1235" s="71"/>
      <c r="K1235" s="56"/>
      <c r="L1235" s="71"/>
      <c r="M1235" s="56"/>
      <c r="N1235" s="12"/>
      <c r="O1235" s="12"/>
      <c r="P1235" s="57"/>
      <c r="Q1235" s="50"/>
      <c r="R1235" s="50"/>
      <c r="S1235" s="58"/>
      <c r="T1235" s="58"/>
      <c r="U1235" s="58"/>
      <c r="V1235" s="59"/>
      <c r="W1235" s="60"/>
    </row>
    <row r="1236" spans="1:23" x14ac:dyDescent="0.35">
      <c r="A1236" s="61"/>
      <c r="B1236" s="55"/>
      <c r="C1236" s="70"/>
      <c r="D1236" s="12"/>
      <c r="E1236" s="128"/>
      <c r="F1236" s="12"/>
      <c r="G1236" s="71"/>
      <c r="H1236" s="71"/>
      <c r="I1236" s="56"/>
      <c r="J1236" s="71"/>
      <c r="K1236" s="56"/>
      <c r="L1236" s="71"/>
      <c r="M1236" s="56"/>
      <c r="N1236" s="12"/>
      <c r="O1236" s="12"/>
      <c r="P1236" s="57"/>
      <c r="Q1236" s="50"/>
      <c r="R1236" s="50"/>
      <c r="S1236" s="58"/>
      <c r="T1236" s="58"/>
      <c r="U1236" s="58"/>
      <c r="V1236" s="59"/>
      <c r="W1236" s="60"/>
    </row>
    <row r="1237" spans="1:23" x14ac:dyDescent="0.35">
      <c r="A1237" s="61"/>
      <c r="B1237" s="55"/>
      <c r="C1237" s="70"/>
      <c r="D1237" s="12"/>
      <c r="E1237" s="128"/>
      <c r="F1237" s="12"/>
      <c r="G1237" s="71"/>
      <c r="H1237" s="71"/>
      <c r="I1237" s="56"/>
      <c r="J1237" s="71"/>
      <c r="K1237" s="56"/>
      <c r="L1237" s="71"/>
      <c r="M1237" s="56"/>
      <c r="N1237" s="12"/>
      <c r="O1237" s="12"/>
      <c r="P1237" s="57"/>
      <c r="Q1237" s="50"/>
      <c r="R1237" s="50"/>
      <c r="S1237" s="58"/>
      <c r="T1237" s="58"/>
      <c r="U1237" s="58"/>
      <c r="V1237" s="59"/>
      <c r="W1237" s="60"/>
    </row>
    <row r="1238" spans="1:23" x14ac:dyDescent="0.35">
      <c r="A1238" s="61"/>
      <c r="B1238" s="55"/>
      <c r="C1238" s="70"/>
      <c r="D1238" s="12"/>
      <c r="E1238" s="128"/>
      <c r="F1238" s="12"/>
      <c r="G1238" s="71"/>
      <c r="H1238" s="71"/>
      <c r="I1238" s="56"/>
      <c r="J1238" s="71"/>
      <c r="K1238" s="56"/>
      <c r="L1238" s="71"/>
      <c r="M1238" s="56"/>
      <c r="N1238" s="12"/>
      <c r="O1238" s="12"/>
      <c r="P1238" s="57"/>
      <c r="Q1238" s="50"/>
      <c r="R1238" s="50"/>
      <c r="S1238" s="58"/>
      <c r="T1238" s="58"/>
      <c r="U1238" s="58"/>
      <c r="V1238" s="59"/>
      <c r="W1238" s="60"/>
    </row>
    <row r="1239" spans="1:23" x14ac:dyDescent="0.35">
      <c r="A1239" s="61"/>
      <c r="B1239" s="55"/>
      <c r="C1239" s="70"/>
      <c r="D1239" s="12"/>
      <c r="E1239" s="128"/>
      <c r="F1239" s="12"/>
      <c r="G1239" s="71"/>
      <c r="H1239" s="71"/>
      <c r="I1239" s="56"/>
      <c r="J1239" s="71"/>
      <c r="K1239" s="56"/>
      <c r="L1239" s="71"/>
      <c r="M1239" s="56"/>
      <c r="N1239" s="12"/>
      <c r="O1239" s="12"/>
      <c r="P1239" s="57"/>
      <c r="Q1239" s="50"/>
      <c r="R1239" s="50"/>
      <c r="S1239" s="58"/>
      <c r="T1239" s="58"/>
      <c r="U1239" s="58"/>
      <c r="V1239" s="59"/>
      <c r="W1239" s="60"/>
    </row>
    <row r="1240" spans="1:23" x14ac:dyDescent="0.35">
      <c r="A1240" s="61"/>
      <c r="B1240" s="55"/>
      <c r="C1240" s="70"/>
      <c r="D1240" s="12"/>
      <c r="E1240" s="128"/>
      <c r="F1240" s="12"/>
      <c r="G1240" s="71"/>
      <c r="H1240" s="71"/>
      <c r="I1240" s="56"/>
      <c r="J1240" s="71"/>
      <c r="K1240" s="56"/>
      <c r="L1240" s="71"/>
      <c r="M1240" s="56"/>
      <c r="N1240" s="12"/>
      <c r="O1240" s="12"/>
      <c r="P1240" s="57"/>
      <c r="Q1240" s="50"/>
      <c r="R1240" s="50"/>
      <c r="S1240" s="58"/>
      <c r="T1240" s="58"/>
      <c r="U1240" s="58"/>
      <c r="V1240" s="59"/>
      <c r="W1240" s="60"/>
    </row>
    <row r="1241" spans="1:23" x14ac:dyDescent="0.35">
      <c r="A1241" s="61"/>
      <c r="B1241" s="55"/>
      <c r="C1241" s="70"/>
      <c r="D1241" s="12"/>
      <c r="E1241" s="128"/>
      <c r="F1241" s="12"/>
      <c r="G1241" s="71"/>
      <c r="H1241" s="71"/>
      <c r="I1241" s="56"/>
      <c r="J1241" s="71"/>
      <c r="K1241" s="56"/>
      <c r="L1241" s="71"/>
      <c r="M1241" s="56"/>
      <c r="N1241" s="12"/>
      <c r="O1241" s="12"/>
      <c r="P1241" s="57"/>
      <c r="Q1241" s="50"/>
      <c r="R1241" s="50"/>
      <c r="S1241" s="58"/>
      <c r="T1241" s="58"/>
      <c r="U1241" s="58"/>
      <c r="V1241" s="59"/>
      <c r="W1241" s="60"/>
    </row>
    <row r="1242" spans="1:23" x14ac:dyDescent="0.35">
      <c r="A1242" s="61"/>
      <c r="B1242" s="55"/>
      <c r="C1242" s="70"/>
      <c r="D1242" s="12"/>
      <c r="E1242" s="128"/>
      <c r="F1242" s="12"/>
      <c r="G1242" s="71"/>
      <c r="H1242" s="71"/>
      <c r="I1242" s="56"/>
      <c r="J1242" s="71"/>
      <c r="K1242" s="56"/>
      <c r="L1242" s="71"/>
      <c r="M1242" s="56"/>
      <c r="N1242" s="12"/>
      <c r="O1242" s="12"/>
      <c r="P1242" s="57"/>
      <c r="Q1242" s="50"/>
      <c r="R1242" s="50"/>
      <c r="S1242" s="58"/>
      <c r="T1242" s="58"/>
      <c r="U1242" s="58"/>
      <c r="V1242" s="59"/>
      <c r="W1242" s="60"/>
    </row>
    <row r="1243" spans="1:23" x14ac:dyDescent="0.35">
      <c r="A1243" s="61"/>
      <c r="B1243" s="55"/>
      <c r="C1243" s="70"/>
      <c r="D1243" s="12"/>
      <c r="E1243" s="128"/>
      <c r="F1243" s="12"/>
      <c r="G1243" s="71"/>
      <c r="H1243" s="71"/>
      <c r="I1243" s="56"/>
      <c r="J1243" s="71"/>
      <c r="K1243" s="56"/>
      <c r="L1243" s="71"/>
      <c r="M1243" s="56"/>
      <c r="N1243" s="12"/>
      <c r="O1243" s="12"/>
      <c r="P1243" s="57"/>
      <c r="Q1243" s="50"/>
      <c r="R1243" s="50"/>
      <c r="S1243" s="58"/>
      <c r="T1243" s="58"/>
      <c r="U1243" s="58"/>
      <c r="V1243" s="59"/>
      <c r="W1243" s="60"/>
    </row>
    <row r="1244" spans="1:23" x14ac:dyDescent="0.35">
      <c r="A1244" s="61"/>
      <c r="B1244" s="55"/>
      <c r="C1244" s="70"/>
      <c r="D1244" s="12"/>
      <c r="E1244" s="128"/>
      <c r="F1244" s="12"/>
      <c r="G1244" s="71"/>
      <c r="H1244" s="71"/>
      <c r="I1244" s="56"/>
      <c r="J1244" s="71"/>
      <c r="K1244" s="56"/>
      <c r="L1244" s="71"/>
      <c r="M1244" s="56"/>
      <c r="N1244" s="12"/>
      <c r="O1244" s="12"/>
      <c r="P1244" s="57"/>
      <c r="Q1244" s="50"/>
      <c r="R1244" s="50"/>
      <c r="S1244" s="58"/>
      <c r="T1244" s="58"/>
      <c r="U1244" s="58"/>
      <c r="V1244" s="59"/>
      <c r="W1244" s="60"/>
    </row>
    <row r="1245" spans="1:23" x14ac:dyDescent="0.35">
      <c r="A1245" s="61"/>
      <c r="B1245" s="55"/>
      <c r="C1245" s="70"/>
      <c r="D1245" s="12"/>
      <c r="E1245" s="128"/>
      <c r="F1245" s="12"/>
      <c r="G1245" s="71"/>
      <c r="H1245" s="71"/>
      <c r="I1245" s="56"/>
      <c r="J1245" s="71"/>
      <c r="K1245" s="56"/>
      <c r="L1245" s="71"/>
      <c r="M1245" s="56"/>
      <c r="N1245" s="12"/>
      <c r="O1245" s="12"/>
      <c r="P1245" s="57"/>
      <c r="Q1245" s="50"/>
      <c r="R1245" s="229"/>
      <c r="S1245" s="58"/>
      <c r="T1245" s="58"/>
      <c r="U1245" s="58"/>
      <c r="V1245" s="59"/>
      <c r="W1245" s="60"/>
    </row>
    <row r="1246" spans="1:23" x14ac:dyDescent="0.35">
      <c r="A1246" s="61"/>
      <c r="B1246" s="55"/>
      <c r="C1246" s="70"/>
      <c r="D1246" s="12"/>
      <c r="E1246" s="128"/>
      <c r="F1246" s="12"/>
      <c r="G1246" s="71"/>
      <c r="H1246" s="71"/>
      <c r="I1246" s="56"/>
      <c r="J1246" s="71"/>
      <c r="K1246" s="56"/>
      <c r="L1246" s="71"/>
      <c r="M1246" s="56"/>
      <c r="N1246" s="12"/>
      <c r="O1246" s="12"/>
      <c r="P1246" s="57"/>
      <c r="Q1246" s="50"/>
      <c r="R1246" s="50"/>
      <c r="S1246" s="58"/>
      <c r="T1246" s="58"/>
      <c r="U1246" s="58"/>
      <c r="V1246" s="59"/>
      <c r="W1246" s="60"/>
    </row>
    <row r="1247" spans="1:23" x14ac:dyDescent="0.35">
      <c r="A1247" s="61"/>
      <c r="B1247" s="55"/>
      <c r="C1247" s="70"/>
      <c r="D1247" s="12"/>
      <c r="E1247" s="128"/>
      <c r="F1247" s="12"/>
      <c r="G1247" s="71"/>
      <c r="H1247" s="71"/>
      <c r="I1247" s="56"/>
      <c r="J1247" s="71"/>
      <c r="K1247" s="56"/>
      <c r="L1247" s="71"/>
      <c r="M1247" s="56"/>
      <c r="N1247" s="12"/>
      <c r="O1247" s="12"/>
      <c r="P1247" s="57"/>
      <c r="Q1247" s="50"/>
      <c r="R1247" s="50"/>
      <c r="S1247" s="58"/>
      <c r="T1247" s="58"/>
      <c r="U1247" s="58"/>
      <c r="V1247" s="59"/>
      <c r="W1247" s="60"/>
    </row>
    <row r="1248" spans="1:23" x14ac:dyDescent="0.35">
      <c r="A1248" s="61"/>
      <c r="B1248" s="55"/>
      <c r="C1248" s="70"/>
      <c r="D1248" s="12"/>
      <c r="E1248" s="128"/>
      <c r="F1248" s="12"/>
      <c r="G1248" s="71"/>
      <c r="H1248" s="71"/>
      <c r="I1248" s="56"/>
      <c r="J1248" s="71"/>
      <c r="K1248" s="56"/>
      <c r="L1248" s="71"/>
      <c r="M1248" s="56"/>
      <c r="N1248" s="12"/>
      <c r="O1248" s="12"/>
      <c r="P1248" s="57"/>
      <c r="Q1248" s="50"/>
      <c r="R1248" s="50"/>
      <c r="S1248" s="58"/>
      <c r="T1248" s="58"/>
      <c r="U1248" s="58"/>
      <c r="V1248" s="59"/>
      <c r="W1248" s="60"/>
    </row>
    <row r="1249" spans="1:23" x14ac:dyDescent="0.35">
      <c r="A1249" s="61"/>
      <c r="B1249" s="55"/>
      <c r="C1249" s="70"/>
      <c r="D1249" s="12"/>
      <c r="E1249" s="128"/>
      <c r="F1249" s="12"/>
      <c r="G1249" s="71"/>
      <c r="H1249" s="71"/>
      <c r="I1249" s="56"/>
      <c r="J1249" s="71"/>
      <c r="K1249" s="56"/>
      <c r="L1249" s="71"/>
      <c r="M1249" s="56"/>
      <c r="N1249" s="12"/>
      <c r="O1249" s="12"/>
      <c r="P1249" s="57"/>
      <c r="Q1249" s="50"/>
      <c r="R1249" s="50"/>
      <c r="S1249" s="58"/>
      <c r="T1249" s="58"/>
      <c r="U1249" s="58"/>
      <c r="V1249" s="59"/>
      <c r="W1249" s="60"/>
    </row>
    <row r="1250" spans="1:23" x14ac:dyDescent="0.35">
      <c r="A1250" s="61"/>
      <c r="B1250" s="55"/>
      <c r="C1250" s="70"/>
      <c r="D1250" s="12"/>
      <c r="E1250" s="128"/>
      <c r="F1250" s="12"/>
      <c r="G1250" s="71"/>
      <c r="H1250" s="71"/>
      <c r="I1250" s="56"/>
      <c r="J1250" s="71"/>
      <c r="K1250" s="56"/>
      <c r="L1250" s="71"/>
      <c r="M1250" s="56"/>
      <c r="N1250" s="12"/>
      <c r="O1250" s="12"/>
      <c r="P1250" s="57"/>
      <c r="Q1250" s="50"/>
      <c r="R1250" s="50"/>
      <c r="S1250" s="58"/>
      <c r="T1250" s="58"/>
      <c r="U1250" s="58"/>
      <c r="V1250" s="59"/>
      <c r="W1250" s="60"/>
    </row>
    <row r="1251" spans="1:23" x14ac:dyDescent="0.35">
      <c r="A1251" s="61"/>
      <c r="B1251" s="55"/>
      <c r="C1251" s="70"/>
      <c r="D1251" s="12"/>
      <c r="E1251" s="128"/>
      <c r="F1251" s="12"/>
      <c r="G1251" s="71"/>
      <c r="H1251" s="71"/>
      <c r="I1251" s="56"/>
      <c r="J1251" s="71"/>
      <c r="K1251" s="56"/>
      <c r="L1251" s="71"/>
      <c r="M1251" s="56"/>
      <c r="N1251" s="12"/>
      <c r="O1251" s="12"/>
      <c r="P1251" s="57"/>
      <c r="Q1251" s="50"/>
      <c r="R1251" s="50"/>
      <c r="S1251" s="58"/>
      <c r="T1251" s="58"/>
      <c r="U1251" s="58"/>
      <c r="V1251" s="59"/>
      <c r="W1251" s="60"/>
    </row>
    <row r="1252" spans="1:23" x14ac:dyDescent="0.35">
      <c r="A1252" s="61"/>
      <c r="B1252" s="55"/>
      <c r="C1252" s="70"/>
      <c r="D1252" s="12"/>
      <c r="E1252" s="128"/>
      <c r="F1252" s="12"/>
      <c r="G1252" s="71"/>
      <c r="H1252" s="71"/>
      <c r="I1252" s="56"/>
      <c r="J1252" s="71"/>
      <c r="K1252" s="56"/>
      <c r="L1252" s="71"/>
      <c r="M1252" s="56"/>
      <c r="N1252" s="12"/>
      <c r="O1252" s="12"/>
      <c r="P1252" s="57"/>
      <c r="Q1252" s="50"/>
      <c r="R1252" s="50"/>
      <c r="S1252" s="58"/>
      <c r="T1252" s="58"/>
      <c r="U1252" s="58"/>
      <c r="V1252" s="59"/>
      <c r="W1252" s="60"/>
    </row>
    <row r="1253" spans="1:23" x14ac:dyDescent="0.35">
      <c r="A1253" s="61"/>
      <c r="B1253" s="55"/>
      <c r="C1253" s="70"/>
      <c r="D1253" s="12"/>
      <c r="E1253" s="128"/>
      <c r="F1253" s="12"/>
      <c r="G1253" s="71"/>
      <c r="H1253" s="71"/>
      <c r="I1253" s="56"/>
      <c r="J1253" s="71"/>
      <c r="K1253" s="56"/>
      <c r="L1253" s="71"/>
      <c r="M1253" s="56"/>
      <c r="N1253" s="12"/>
      <c r="O1253" s="12"/>
      <c r="P1253" s="57"/>
      <c r="Q1253" s="50"/>
      <c r="R1253" s="50"/>
      <c r="S1253" s="58"/>
      <c r="T1253" s="58"/>
      <c r="U1253" s="58"/>
      <c r="V1253" s="59"/>
      <c r="W1253" s="60"/>
    </row>
    <row r="1254" spans="1:23" x14ac:dyDescent="0.35">
      <c r="A1254" s="61"/>
      <c r="B1254" s="55"/>
      <c r="C1254" s="70"/>
      <c r="D1254" s="12"/>
      <c r="E1254" s="128"/>
      <c r="F1254" s="12"/>
      <c r="G1254" s="71"/>
      <c r="H1254" s="71"/>
      <c r="I1254" s="56"/>
      <c r="J1254" s="71"/>
      <c r="K1254" s="56"/>
      <c r="L1254" s="71"/>
      <c r="M1254" s="56"/>
      <c r="N1254" s="12"/>
      <c r="O1254" s="12"/>
      <c r="P1254" s="57"/>
      <c r="Q1254" s="50"/>
      <c r="R1254" s="50"/>
      <c r="S1254" s="58"/>
      <c r="T1254" s="58"/>
      <c r="U1254" s="58"/>
      <c r="V1254" s="59"/>
      <c r="W1254" s="60"/>
    </row>
    <row r="1255" spans="1:23" x14ac:dyDescent="0.35">
      <c r="A1255" s="61"/>
      <c r="B1255" s="55"/>
      <c r="C1255" s="70"/>
      <c r="D1255" s="12"/>
      <c r="E1255" s="128"/>
      <c r="F1255" s="12"/>
      <c r="G1255" s="71"/>
      <c r="H1255" s="71"/>
      <c r="I1255" s="56"/>
      <c r="J1255" s="71"/>
      <c r="K1255" s="56"/>
      <c r="L1255" s="71"/>
      <c r="M1255" s="56"/>
      <c r="N1255" s="12"/>
      <c r="O1255" s="12"/>
      <c r="P1255" s="57"/>
      <c r="Q1255" s="50"/>
      <c r="R1255" s="50"/>
      <c r="S1255" s="58"/>
      <c r="T1255" s="58"/>
      <c r="U1255" s="58"/>
      <c r="V1255" s="59"/>
      <c r="W1255" s="60"/>
    </row>
    <row r="1256" spans="1:23" x14ac:dyDescent="0.35">
      <c r="A1256" s="61"/>
      <c r="B1256" s="55"/>
      <c r="C1256" s="70"/>
      <c r="D1256" s="12"/>
      <c r="E1256" s="128"/>
      <c r="F1256" s="12"/>
      <c r="G1256" s="71"/>
      <c r="H1256" s="71"/>
      <c r="I1256" s="56"/>
      <c r="J1256" s="71"/>
      <c r="K1256" s="56"/>
      <c r="L1256" s="71"/>
      <c r="M1256" s="56"/>
      <c r="N1256" s="12"/>
      <c r="O1256" s="12"/>
      <c r="P1256" s="57"/>
      <c r="Q1256" s="50"/>
      <c r="R1256" s="50"/>
      <c r="S1256" s="58"/>
      <c r="T1256" s="58"/>
      <c r="U1256" s="58"/>
      <c r="V1256" s="59"/>
      <c r="W1256" s="60"/>
    </row>
    <row r="1257" spans="1:23" x14ac:dyDescent="0.35">
      <c r="A1257" s="61"/>
      <c r="B1257" s="55"/>
      <c r="C1257" s="70"/>
      <c r="D1257" s="12"/>
      <c r="E1257" s="128"/>
      <c r="F1257" s="12"/>
      <c r="G1257" s="71"/>
      <c r="H1257" s="71"/>
      <c r="I1257" s="56"/>
      <c r="J1257" s="71"/>
      <c r="K1257" s="56"/>
      <c r="L1257" s="71"/>
      <c r="M1257" s="56"/>
      <c r="N1257" s="12"/>
      <c r="O1257" s="12"/>
      <c r="P1257" s="57"/>
      <c r="Q1257" s="50"/>
      <c r="R1257" s="50"/>
      <c r="S1257" s="58"/>
      <c r="T1257" s="58"/>
      <c r="U1257" s="58"/>
      <c r="V1257" s="59"/>
      <c r="W1257" s="60"/>
    </row>
    <row r="1258" spans="1:23" x14ac:dyDescent="0.35">
      <c r="A1258" s="61"/>
      <c r="B1258" s="55"/>
      <c r="C1258" s="70"/>
      <c r="D1258" s="12"/>
      <c r="E1258" s="128"/>
      <c r="F1258" s="12"/>
      <c r="G1258" s="71"/>
      <c r="H1258" s="71"/>
      <c r="I1258" s="56"/>
      <c r="J1258" s="71"/>
      <c r="K1258" s="56"/>
      <c r="L1258" s="71"/>
      <c r="M1258" s="56"/>
      <c r="N1258" s="12"/>
      <c r="O1258" s="12"/>
      <c r="P1258" s="57"/>
      <c r="Q1258" s="50"/>
      <c r="R1258" s="50"/>
      <c r="S1258" s="58"/>
      <c r="T1258" s="58"/>
      <c r="U1258" s="58"/>
      <c r="V1258" s="59"/>
      <c r="W1258" s="60"/>
    </row>
    <row r="1259" spans="1:23" x14ac:dyDescent="0.35">
      <c r="A1259" s="61"/>
      <c r="B1259" s="55"/>
      <c r="C1259" s="70"/>
      <c r="D1259" s="12"/>
      <c r="E1259" s="128"/>
      <c r="F1259" s="12"/>
      <c r="G1259" s="71"/>
      <c r="H1259" s="71"/>
      <c r="I1259" s="56"/>
      <c r="J1259" s="71"/>
      <c r="K1259" s="56"/>
      <c r="L1259" s="71"/>
      <c r="M1259" s="56"/>
      <c r="N1259" s="12"/>
      <c r="O1259" s="12"/>
      <c r="P1259" s="57"/>
      <c r="Q1259" s="50"/>
      <c r="R1259" s="50"/>
      <c r="S1259" s="58"/>
      <c r="T1259" s="58"/>
      <c r="U1259" s="58"/>
      <c r="V1259" s="59"/>
      <c r="W1259" s="60"/>
    </row>
    <row r="1260" spans="1:23" x14ac:dyDescent="0.35">
      <c r="A1260" s="61"/>
      <c r="B1260" s="55"/>
      <c r="C1260" s="70"/>
      <c r="D1260" s="12"/>
      <c r="E1260" s="128"/>
      <c r="F1260" s="12"/>
      <c r="G1260" s="71"/>
      <c r="H1260" s="71"/>
      <c r="I1260" s="56"/>
      <c r="J1260" s="71"/>
      <c r="K1260" s="56"/>
      <c r="L1260" s="71"/>
      <c r="M1260" s="56"/>
      <c r="N1260" s="12"/>
      <c r="O1260" s="12"/>
      <c r="P1260" s="57"/>
      <c r="Q1260" s="50"/>
      <c r="R1260" s="50"/>
      <c r="S1260" s="58"/>
      <c r="T1260" s="58"/>
      <c r="U1260" s="58"/>
      <c r="V1260" s="59"/>
      <c r="W1260" s="60"/>
    </row>
    <row r="1261" spans="1:23" x14ac:dyDescent="0.35">
      <c r="A1261" s="61"/>
      <c r="B1261" s="55"/>
      <c r="C1261" s="70"/>
      <c r="D1261" s="12"/>
      <c r="E1261" s="128"/>
      <c r="F1261" s="12"/>
      <c r="G1261" s="71"/>
      <c r="H1261" s="71"/>
      <c r="I1261" s="56"/>
      <c r="J1261" s="71"/>
      <c r="K1261" s="56"/>
      <c r="L1261" s="71"/>
      <c r="M1261" s="56"/>
      <c r="N1261" s="12"/>
      <c r="O1261" s="12"/>
      <c r="P1261" s="57"/>
      <c r="Q1261" s="50"/>
      <c r="R1261" s="50"/>
      <c r="S1261" s="58"/>
      <c r="T1261" s="58"/>
      <c r="U1261" s="58"/>
      <c r="V1261" s="59"/>
      <c r="W1261" s="60"/>
    </row>
    <row r="1262" spans="1:23" x14ac:dyDescent="0.35">
      <c r="A1262" s="61"/>
      <c r="B1262" s="55"/>
      <c r="C1262" s="70"/>
      <c r="D1262" s="12"/>
      <c r="E1262" s="128"/>
      <c r="F1262" s="12"/>
      <c r="G1262" s="71"/>
      <c r="H1262" s="71"/>
      <c r="I1262" s="56"/>
      <c r="J1262" s="71"/>
      <c r="K1262" s="56"/>
      <c r="L1262" s="71"/>
      <c r="M1262" s="56"/>
      <c r="N1262" s="12"/>
      <c r="O1262" s="12"/>
      <c r="P1262" s="57"/>
      <c r="Q1262" s="50"/>
      <c r="R1262" s="50"/>
      <c r="S1262" s="58"/>
      <c r="T1262" s="58"/>
      <c r="U1262" s="58"/>
      <c r="V1262" s="59"/>
      <c r="W1262" s="60"/>
    </row>
    <row r="1263" spans="1:23" x14ac:dyDescent="0.35">
      <c r="A1263" s="61"/>
      <c r="B1263" s="55"/>
      <c r="C1263" s="70"/>
      <c r="D1263" s="12"/>
      <c r="E1263" s="128"/>
      <c r="F1263" s="12"/>
      <c r="G1263" s="71"/>
      <c r="H1263" s="71"/>
      <c r="I1263" s="56"/>
      <c r="J1263" s="71"/>
      <c r="K1263" s="56"/>
      <c r="L1263" s="71"/>
      <c r="M1263" s="56"/>
      <c r="N1263" s="12"/>
      <c r="O1263" s="12"/>
      <c r="P1263" s="57"/>
      <c r="Q1263" s="50"/>
      <c r="R1263" s="50"/>
      <c r="S1263" s="58"/>
      <c r="T1263" s="58"/>
      <c r="U1263" s="58"/>
      <c r="V1263" s="59"/>
      <c r="W1263" s="60"/>
    </row>
    <row r="1264" spans="1:23" x14ac:dyDescent="0.35">
      <c r="A1264" s="61"/>
      <c r="B1264" s="55"/>
      <c r="C1264" s="70"/>
      <c r="D1264" s="12"/>
      <c r="E1264" s="128"/>
      <c r="F1264" s="12"/>
      <c r="G1264" s="71"/>
      <c r="H1264" s="71"/>
      <c r="I1264" s="56"/>
      <c r="J1264" s="71"/>
      <c r="K1264" s="56"/>
      <c r="L1264" s="71"/>
      <c r="M1264" s="56"/>
      <c r="N1264" s="12"/>
      <c r="O1264" s="12"/>
      <c r="P1264" s="57"/>
      <c r="Q1264" s="50"/>
      <c r="R1264" s="50"/>
      <c r="S1264" s="58"/>
      <c r="T1264" s="58"/>
      <c r="U1264" s="58"/>
      <c r="V1264" s="59"/>
      <c r="W1264" s="60"/>
    </row>
    <row r="1265" spans="1:23" x14ac:dyDescent="0.35">
      <c r="A1265" s="61"/>
      <c r="B1265" s="55"/>
      <c r="C1265" s="70"/>
      <c r="D1265" s="12"/>
      <c r="E1265" s="128"/>
      <c r="F1265" s="12"/>
      <c r="G1265" s="71"/>
      <c r="H1265" s="71"/>
      <c r="I1265" s="56"/>
      <c r="J1265" s="71"/>
      <c r="K1265" s="56"/>
      <c r="L1265" s="71"/>
      <c r="M1265" s="56"/>
      <c r="N1265" s="12"/>
      <c r="O1265" s="12"/>
      <c r="P1265" s="57"/>
      <c r="Q1265" s="50"/>
      <c r="R1265" s="50"/>
      <c r="S1265" s="58"/>
      <c r="T1265" s="58"/>
      <c r="U1265" s="58"/>
      <c r="V1265" s="59"/>
      <c r="W1265" s="60"/>
    </row>
    <row r="1266" spans="1:23" x14ac:dyDescent="0.35">
      <c r="A1266" s="61"/>
      <c r="B1266" s="55"/>
      <c r="C1266" s="70"/>
      <c r="D1266" s="12"/>
      <c r="E1266" s="128"/>
      <c r="F1266" s="12"/>
      <c r="G1266" s="71"/>
      <c r="H1266" s="71"/>
      <c r="I1266" s="56"/>
      <c r="J1266" s="71"/>
      <c r="K1266" s="56"/>
      <c r="L1266" s="71"/>
      <c r="M1266" s="56"/>
      <c r="N1266" s="12"/>
      <c r="O1266" s="12"/>
      <c r="P1266" s="57"/>
      <c r="Q1266" s="50"/>
      <c r="R1266" s="50"/>
      <c r="S1266" s="58"/>
      <c r="T1266" s="58"/>
      <c r="U1266" s="58"/>
      <c r="V1266" s="59"/>
      <c r="W1266" s="60"/>
    </row>
    <row r="1267" spans="1:23" x14ac:dyDescent="0.35">
      <c r="A1267" s="61"/>
      <c r="B1267" s="55"/>
      <c r="C1267" s="70"/>
      <c r="D1267" s="12"/>
      <c r="E1267" s="128"/>
      <c r="F1267" s="12"/>
      <c r="G1267" s="71"/>
      <c r="H1267" s="71"/>
      <c r="I1267" s="56"/>
      <c r="J1267" s="71"/>
      <c r="K1267" s="56"/>
      <c r="L1267" s="71"/>
      <c r="M1267" s="56"/>
      <c r="N1267" s="12"/>
      <c r="O1267" s="12"/>
      <c r="P1267" s="57"/>
      <c r="Q1267" s="50"/>
      <c r="R1267" s="50"/>
      <c r="S1267" s="58"/>
      <c r="T1267" s="58"/>
      <c r="U1267" s="58"/>
      <c r="V1267" s="59"/>
      <c r="W1267" s="60"/>
    </row>
    <row r="1268" spans="1:23" x14ac:dyDescent="0.35">
      <c r="A1268" s="61"/>
      <c r="B1268" s="55"/>
      <c r="C1268" s="70"/>
      <c r="D1268" s="12"/>
      <c r="E1268" s="128"/>
      <c r="F1268" s="12"/>
      <c r="G1268" s="71"/>
      <c r="H1268" s="71"/>
      <c r="I1268" s="56"/>
      <c r="J1268" s="71"/>
      <c r="K1268" s="56"/>
      <c r="L1268" s="71"/>
      <c r="M1268" s="56"/>
      <c r="N1268" s="12"/>
      <c r="O1268" s="12"/>
      <c r="P1268" s="57"/>
      <c r="Q1268" s="50"/>
      <c r="R1268" s="50"/>
      <c r="S1268" s="58"/>
      <c r="T1268" s="58"/>
      <c r="U1268" s="58"/>
      <c r="V1268" s="59"/>
      <c r="W1268" s="60"/>
    </row>
    <row r="1269" spans="1:23" x14ac:dyDescent="0.35">
      <c r="A1269" s="61"/>
      <c r="B1269" s="55"/>
      <c r="C1269" s="70"/>
      <c r="D1269" s="12"/>
      <c r="E1269" s="128"/>
      <c r="F1269" s="12"/>
      <c r="G1269" s="71"/>
      <c r="H1269" s="71"/>
      <c r="I1269" s="56"/>
      <c r="J1269" s="71"/>
      <c r="K1269" s="56"/>
      <c r="L1269" s="71"/>
      <c r="M1269" s="56"/>
      <c r="N1269" s="12"/>
      <c r="O1269" s="12"/>
      <c r="P1269" s="57"/>
      <c r="Q1269" s="50"/>
      <c r="R1269" s="50"/>
      <c r="S1269" s="58"/>
      <c r="T1269" s="58"/>
      <c r="U1269" s="58"/>
      <c r="V1269" s="59"/>
      <c r="W1269" s="60"/>
    </row>
    <row r="1270" spans="1:23" x14ac:dyDescent="0.35">
      <c r="A1270" s="61"/>
      <c r="B1270" s="55"/>
      <c r="C1270" s="70"/>
      <c r="D1270" s="12"/>
      <c r="E1270" s="128"/>
      <c r="F1270" s="12"/>
      <c r="G1270" s="71"/>
      <c r="H1270" s="71"/>
      <c r="I1270" s="56"/>
      <c r="J1270" s="71"/>
      <c r="K1270" s="56"/>
      <c r="L1270" s="71"/>
      <c r="M1270" s="56"/>
      <c r="N1270" s="12"/>
      <c r="O1270" s="12"/>
      <c r="P1270" s="57"/>
      <c r="Q1270" s="50"/>
      <c r="R1270" s="50"/>
      <c r="S1270" s="58"/>
      <c r="T1270" s="58"/>
      <c r="U1270" s="58"/>
      <c r="V1270" s="59"/>
      <c r="W1270" s="60"/>
    </row>
    <row r="1271" spans="1:23" x14ac:dyDescent="0.35">
      <c r="A1271" s="61"/>
      <c r="B1271" s="55"/>
      <c r="C1271" s="70"/>
      <c r="D1271" s="12"/>
      <c r="E1271" s="128"/>
      <c r="F1271" s="12"/>
      <c r="G1271" s="71"/>
      <c r="H1271" s="71"/>
      <c r="I1271" s="56"/>
      <c r="J1271" s="71"/>
      <c r="K1271" s="56"/>
      <c r="L1271" s="71"/>
      <c r="M1271" s="56"/>
      <c r="N1271" s="12"/>
      <c r="O1271" s="12"/>
      <c r="P1271" s="57"/>
      <c r="Q1271" s="50"/>
      <c r="R1271" s="50"/>
      <c r="S1271" s="58"/>
      <c r="T1271" s="58"/>
      <c r="U1271" s="58"/>
      <c r="V1271" s="59"/>
      <c r="W1271" s="60"/>
    </row>
    <row r="1272" spans="1:23" x14ac:dyDescent="0.35">
      <c r="A1272" s="61"/>
      <c r="B1272" s="55"/>
      <c r="C1272" s="70"/>
      <c r="D1272" s="12"/>
      <c r="E1272" s="128"/>
      <c r="F1272" s="12"/>
      <c r="G1272" s="71"/>
      <c r="H1272" s="71"/>
      <c r="I1272" s="56"/>
      <c r="J1272" s="71"/>
      <c r="K1272" s="56"/>
      <c r="L1272" s="71"/>
      <c r="M1272" s="56"/>
      <c r="N1272" s="12"/>
      <c r="O1272" s="12"/>
      <c r="P1272" s="57"/>
      <c r="Q1272" s="50"/>
      <c r="R1272" s="50"/>
      <c r="S1272" s="58"/>
      <c r="T1272" s="58"/>
      <c r="U1272" s="58"/>
      <c r="V1272" s="59"/>
      <c r="W1272" s="60"/>
    </row>
    <row r="1273" spans="1:23" x14ac:dyDescent="0.35">
      <c r="A1273" s="61"/>
      <c r="B1273" s="55"/>
      <c r="C1273" s="70"/>
      <c r="D1273" s="12"/>
      <c r="E1273" s="128"/>
      <c r="F1273" s="12"/>
      <c r="G1273" s="71"/>
      <c r="H1273" s="71"/>
      <c r="I1273" s="56"/>
      <c r="J1273" s="71"/>
      <c r="K1273" s="56"/>
      <c r="L1273" s="71"/>
      <c r="M1273" s="56"/>
      <c r="N1273" s="12"/>
      <c r="O1273" s="12"/>
      <c r="P1273" s="57"/>
      <c r="Q1273" s="50"/>
      <c r="R1273" s="50"/>
      <c r="S1273" s="58"/>
      <c r="T1273" s="58"/>
      <c r="U1273" s="58"/>
      <c r="V1273" s="59"/>
      <c r="W1273" s="60"/>
    </row>
    <row r="1274" spans="1:23" x14ac:dyDescent="0.35">
      <c r="A1274" s="61"/>
      <c r="B1274" s="55"/>
      <c r="C1274" s="70"/>
      <c r="D1274" s="12"/>
      <c r="E1274" s="128"/>
      <c r="F1274" s="12"/>
      <c r="G1274" s="71"/>
      <c r="H1274" s="71"/>
      <c r="I1274" s="56"/>
      <c r="J1274" s="71"/>
      <c r="K1274" s="56"/>
      <c r="L1274" s="71"/>
      <c r="M1274" s="56"/>
      <c r="N1274" s="12"/>
      <c r="O1274" s="12"/>
      <c r="P1274" s="57"/>
      <c r="Q1274" s="50"/>
      <c r="R1274" s="50"/>
      <c r="S1274" s="58"/>
      <c r="T1274" s="58"/>
      <c r="U1274" s="58"/>
      <c r="V1274" s="59"/>
      <c r="W1274" s="60"/>
    </row>
    <row r="1275" spans="1:23" x14ac:dyDescent="0.35">
      <c r="A1275" s="61"/>
      <c r="B1275" s="55"/>
      <c r="C1275" s="70"/>
      <c r="D1275" s="12"/>
      <c r="E1275" s="128"/>
      <c r="F1275" s="12"/>
      <c r="G1275" s="71"/>
      <c r="H1275" s="71"/>
      <c r="I1275" s="56"/>
      <c r="J1275" s="71"/>
      <c r="K1275" s="56"/>
      <c r="L1275" s="71"/>
      <c r="M1275" s="56"/>
      <c r="N1275" s="12"/>
      <c r="O1275" s="12"/>
      <c r="P1275" s="57"/>
      <c r="Q1275" s="50"/>
      <c r="R1275" s="50"/>
      <c r="S1275" s="58"/>
      <c r="T1275" s="58"/>
      <c r="U1275" s="58"/>
      <c r="V1275" s="59"/>
      <c r="W1275" s="60"/>
    </row>
    <row r="1276" spans="1:23" x14ac:dyDescent="0.35">
      <c r="A1276" s="61"/>
      <c r="B1276" s="55"/>
      <c r="C1276" s="70"/>
      <c r="D1276" s="12"/>
      <c r="E1276" s="128"/>
      <c r="F1276" s="12"/>
      <c r="G1276" s="71"/>
      <c r="H1276" s="71"/>
      <c r="I1276" s="56"/>
      <c r="J1276" s="71"/>
      <c r="K1276" s="56"/>
      <c r="L1276" s="71"/>
      <c r="M1276" s="56"/>
      <c r="N1276" s="12"/>
      <c r="O1276" s="12"/>
      <c r="P1276" s="57"/>
      <c r="Q1276" s="50"/>
      <c r="R1276" s="50"/>
      <c r="S1276" s="58"/>
      <c r="T1276" s="58"/>
      <c r="U1276" s="58"/>
      <c r="V1276" s="59"/>
      <c r="W1276" s="60"/>
    </row>
    <row r="1277" spans="1:23" x14ac:dyDescent="0.35">
      <c r="A1277" s="61"/>
      <c r="B1277" s="55"/>
      <c r="C1277" s="70"/>
      <c r="D1277" s="12"/>
      <c r="E1277" s="128"/>
      <c r="F1277" s="12"/>
      <c r="G1277" s="71"/>
      <c r="H1277" s="71"/>
      <c r="I1277" s="56"/>
      <c r="J1277" s="71"/>
      <c r="K1277" s="56"/>
      <c r="L1277" s="71"/>
      <c r="M1277" s="56"/>
      <c r="N1277" s="12"/>
      <c r="O1277" s="12"/>
      <c r="P1277" s="57"/>
      <c r="Q1277" s="50"/>
      <c r="R1277" s="50"/>
      <c r="S1277" s="58"/>
      <c r="T1277" s="58"/>
      <c r="U1277" s="58"/>
      <c r="V1277" s="59"/>
      <c r="W1277" s="60"/>
    </row>
    <row r="1278" spans="1:23" x14ac:dyDescent="0.35">
      <c r="A1278" s="61"/>
      <c r="B1278" s="55"/>
      <c r="C1278" s="70"/>
      <c r="D1278" s="12"/>
      <c r="E1278" s="128"/>
      <c r="F1278" s="12"/>
      <c r="G1278" s="71"/>
      <c r="H1278" s="71"/>
      <c r="I1278" s="56"/>
      <c r="J1278" s="71"/>
      <c r="K1278" s="56"/>
      <c r="L1278" s="71"/>
      <c r="M1278" s="56"/>
      <c r="N1278" s="12"/>
      <c r="O1278" s="12"/>
      <c r="P1278" s="57"/>
      <c r="Q1278" s="50"/>
      <c r="R1278" s="50"/>
      <c r="S1278" s="58"/>
      <c r="T1278" s="58"/>
      <c r="U1278" s="58"/>
      <c r="V1278" s="59"/>
      <c r="W1278" s="60"/>
    </row>
    <row r="1279" spans="1:23" x14ac:dyDescent="0.35">
      <c r="A1279" s="61"/>
      <c r="B1279" s="55"/>
      <c r="C1279" s="70"/>
      <c r="D1279" s="12"/>
      <c r="E1279" s="128"/>
      <c r="F1279" s="12"/>
      <c r="G1279" s="71"/>
      <c r="H1279" s="71"/>
      <c r="I1279" s="56"/>
      <c r="J1279" s="71"/>
      <c r="K1279" s="56"/>
      <c r="L1279" s="71"/>
      <c r="M1279" s="56"/>
      <c r="N1279" s="12"/>
      <c r="O1279" s="12"/>
      <c r="P1279" s="57"/>
      <c r="Q1279" s="50"/>
      <c r="R1279" s="50"/>
      <c r="S1279" s="58"/>
      <c r="T1279" s="58"/>
      <c r="U1279" s="58"/>
      <c r="V1279" s="59"/>
      <c r="W1279" s="60"/>
    </row>
    <row r="1280" spans="1:23" x14ac:dyDescent="0.35">
      <c r="A1280" s="61"/>
      <c r="B1280" s="55"/>
      <c r="C1280" s="70"/>
      <c r="D1280" s="12"/>
      <c r="E1280" s="128"/>
      <c r="F1280" s="12"/>
      <c r="G1280" s="71"/>
      <c r="H1280" s="71"/>
      <c r="I1280" s="56"/>
      <c r="J1280" s="71"/>
      <c r="K1280" s="56"/>
      <c r="L1280" s="71"/>
      <c r="M1280" s="56"/>
      <c r="N1280" s="12"/>
      <c r="O1280" s="12"/>
      <c r="P1280" s="57"/>
      <c r="Q1280" s="50"/>
      <c r="R1280" s="50"/>
      <c r="S1280" s="58"/>
      <c r="T1280" s="58"/>
      <c r="U1280" s="58"/>
      <c r="V1280" s="59"/>
      <c r="W1280" s="60"/>
    </row>
    <row r="1281" spans="1:23" x14ac:dyDescent="0.35">
      <c r="A1281" s="61"/>
      <c r="B1281" s="55"/>
      <c r="C1281" s="70"/>
      <c r="D1281" s="12"/>
      <c r="E1281" s="128"/>
      <c r="F1281" s="12"/>
      <c r="G1281" s="71"/>
      <c r="H1281" s="71"/>
      <c r="I1281" s="56"/>
      <c r="J1281" s="71"/>
      <c r="K1281" s="56"/>
      <c r="L1281" s="71"/>
      <c r="M1281" s="56"/>
      <c r="N1281" s="12"/>
      <c r="O1281" s="12"/>
      <c r="P1281" s="57"/>
      <c r="Q1281" s="50"/>
      <c r="R1281" s="50"/>
      <c r="S1281" s="58"/>
      <c r="T1281" s="58"/>
      <c r="U1281" s="58"/>
      <c r="V1281" s="59"/>
      <c r="W1281" s="60"/>
    </row>
    <row r="1282" spans="1:23" x14ac:dyDescent="0.35">
      <c r="A1282" s="61"/>
      <c r="B1282" s="55"/>
      <c r="C1282" s="70"/>
      <c r="D1282" s="12"/>
      <c r="E1282" s="128"/>
      <c r="F1282" s="12"/>
      <c r="G1282" s="71"/>
      <c r="H1282" s="71"/>
      <c r="I1282" s="56"/>
      <c r="J1282" s="71"/>
      <c r="K1282" s="56"/>
      <c r="L1282" s="71"/>
      <c r="M1282" s="56"/>
      <c r="N1282" s="12"/>
      <c r="O1282" s="12"/>
      <c r="P1282" s="57"/>
      <c r="Q1282" s="50"/>
      <c r="R1282" s="50"/>
      <c r="S1282" s="58"/>
      <c r="T1282" s="58"/>
      <c r="U1282" s="58"/>
      <c r="V1282" s="59"/>
      <c r="W1282" s="60"/>
    </row>
    <row r="1283" spans="1:23" x14ac:dyDescent="0.35">
      <c r="A1283" s="61"/>
      <c r="B1283" s="55"/>
      <c r="C1283" s="70"/>
      <c r="D1283" s="12"/>
      <c r="E1283" s="128"/>
      <c r="F1283" s="12"/>
      <c r="G1283" s="71"/>
      <c r="H1283" s="71"/>
      <c r="I1283" s="56"/>
      <c r="J1283" s="71"/>
      <c r="K1283" s="56"/>
      <c r="L1283" s="71"/>
      <c r="M1283" s="56"/>
      <c r="N1283" s="12"/>
      <c r="O1283" s="12"/>
      <c r="P1283" s="57"/>
      <c r="Q1283" s="50"/>
      <c r="R1283" s="50"/>
      <c r="S1283" s="58"/>
      <c r="T1283" s="58"/>
      <c r="U1283" s="58"/>
      <c r="V1283" s="59"/>
      <c r="W1283" s="60"/>
    </row>
    <row r="1284" spans="1:23" x14ac:dyDescent="0.35">
      <c r="A1284" s="61"/>
      <c r="B1284" s="55"/>
      <c r="C1284" s="70"/>
      <c r="D1284" s="12"/>
      <c r="E1284" s="128"/>
      <c r="F1284" s="12"/>
      <c r="G1284" s="71"/>
      <c r="H1284" s="71"/>
      <c r="I1284" s="56"/>
      <c r="J1284" s="71"/>
      <c r="K1284" s="56"/>
      <c r="L1284" s="71"/>
      <c r="M1284" s="56"/>
      <c r="N1284" s="12"/>
      <c r="O1284" s="12"/>
      <c r="P1284" s="57"/>
      <c r="Q1284" s="50"/>
      <c r="R1284" s="50"/>
      <c r="S1284" s="58"/>
      <c r="T1284" s="58"/>
      <c r="U1284" s="58"/>
      <c r="V1284" s="59"/>
      <c r="W1284" s="60"/>
    </row>
    <row r="1285" spans="1:23" x14ac:dyDescent="0.35">
      <c r="A1285" s="61"/>
      <c r="B1285" s="55"/>
      <c r="C1285" s="70"/>
      <c r="D1285" s="12"/>
      <c r="E1285" s="128"/>
      <c r="F1285" s="12"/>
      <c r="G1285" s="71"/>
      <c r="H1285" s="71"/>
      <c r="I1285" s="56"/>
      <c r="J1285" s="71"/>
      <c r="K1285" s="56"/>
      <c r="L1285" s="71"/>
      <c r="M1285" s="56"/>
      <c r="N1285" s="12"/>
      <c r="O1285" s="12"/>
      <c r="P1285" s="57"/>
      <c r="Q1285" s="50"/>
      <c r="R1285" s="50"/>
      <c r="S1285" s="58"/>
      <c r="T1285" s="58"/>
      <c r="U1285" s="58"/>
      <c r="V1285" s="59"/>
      <c r="W1285" s="60"/>
    </row>
    <row r="1286" spans="1:23" x14ac:dyDescent="0.35">
      <c r="A1286" s="61"/>
      <c r="B1286" s="55"/>
      <c r="C1286" s="70"/>
      <c r="D1286" s="12"/>
      <c r="E1286" s="128"/>
      <c r="F1286" s="12"/>
      <c r="G1286" s="71"/>
      <c r="H1286" s="71"/>
      <c r="I1286" s="56"/>
      <c r="J1286" s="71"/>
      <c r="K1286" s="56"/>
      <c r="L1286" s="71"/>
      <c r="M1286" s="56"/>
      <c r="N1286" s="12"/>
      <c r="O1286" s="12"/>
      <c r="P1286" s="57"/>
      <c r="Q1286" s="50"/>
      <c r="R1286" s="50"/>
      <c r="S1286" s="58"/>
      <c r="T1286" s="58"/>
      <c r="U1286" s="58"/>
      <c r="V1286" s="59"/>
      <c r="W1286" s="60"/>
    </row>
    <row r="1287" spans="1:23" x14ac:dyDescent="0.35">
      <c r="A1287" s="61"/>
      <c r="B1287" s="55"/>
      <c r="C1287" s="70"/>
      <c r="D1287" s="12"/>
      <c r="E1287" s="128"/>
      <c r="F1287" s="12"/>
      <c r="G1287" s="71"/>
      <c r="H1287" s="71"/>
      <c r="I1287" s="56"/>
      <c r="J1287" s="71"/>
      <c r="K1287" s="56"/>
      <c r="L1287" s="71"/>
      <c r="M1287" s="56"/>
      <c r="N1287" s="12"/>
      <c r="O1287" s="12"/>
      <c r="P1287" s="57"/>
      <c r="Q1287" s="50"/>
      <c r="R1287" s="50"/>
      <c r="S1287" s="58"/>
      <c r="T1287" s="58"/>
      <c r="U1287" s="58"/>
      <c r="V1287" s="59"/>
      <c r="W1287" s="60"/>
    </row>
    <row r="1288" spans="1:23" x14ac:dyDescent="0.35">
      <c r="A1288" s="61"/>
      <c r="B1288" s="55"/>
      <c r="C1288" s="70"/>
      <c r="D1288" s="12"/>
      <c r="E1288" s="128"/>
      <c r="F1288" s="12"/>
      <c r="G1288" s="71"/>
      <c r="H1288" s="71"/>
      <c r="I1288" s="56"/>
      <c r="J1288" s="71"/>
      <c r="K1288" s="56"/>
      <c r="L1288" s="71"/>
      <c r="M1288" s="56"/>
      <c r="N1288" s="12"/>
      <c r="O1288" s="12"/>
      <c r="P1288" s="57"/>
      <c r="Q1288" s="50"/>
      <c r="R1288" s="50"/>
      <c r="S1288" s="58"/>
      <c r="T1288" s="58"/>
      <c r="U1288" s="58"/>
      <c r="V1288" s="59"/>
      <c r="W1288" s="60"/>
    </row>
    <row r="1289" spans="1:23" x14ac:dyDescent="0.35">
      <c r="A1289" s="61"/>
      <c r="B1289" s="55"/>
      <c r="C1289" s="70"/>
      <c r="D1289" s="12"/>
      <c r="E1289" s="128"/>
      <c r="F1289" s="12"/>
      <c r="G1289" s="71"/>
      <c r="H1289" s="71"/>
      <c r="I1289" s="56"/>
      <c r="J1289" s="71"/>
      <c r="K1289" s="56"/>
      <c r="L1289" s="71"/>
      <c r="M1289" s="56"/>
      <c r="N1289" s="12"/>
      <c r="O1289" s="12"/>
      <c r="P1289" s="57"/>
      <c r="Q1289" s="50"/>
      <c r="R1289" s="50"/>
      <c r="S1289" s="58"/>
      <c r="T1289" s="58"/>
      <c r="U1289" s="58"/>
      <c r="V1289" s="59"/>
      <c r="W1289" s="60"/>
    </row>
    <row r="1290" spans="1:23" x14ac:dyDescent="0.35">
      <c r="A1290" s="61"/>
      <c r="B1290" s="55"/>
      <c r="C1290" s="70"/>
      <c r="D1290" s="12"/>
      <c r="E1290" s="128"/>
      <c r="F1290" s="12"/>
      <c r="G1290" s="71"/>
      <c r="H1290" s="71"/>
      <c r="I1290" s="56"/>
      <c r="J1290" s="71"/>
      <c r="K1290" s="56"/>
      <c r="L1290" s="71"/>
      <c r="M1290" s="56"/>
      <c r="N1290" s="12"/>
      <c r="O1290" s="12"/>
      <c r="P1290" s="57"/>
      <c r="Q1290" s="50"/>
      <c r="R1290" s="50"/>
      <c r="S1290" s="58"/>
      <c r="T1290" s="58"/>
      <c r="U1290" s="58"/>
      <c r="V1290" s="59"/>
      <c r="W1290" s="60"/>
    </row>
    <row r="1291" spans="1:23" x14ac:dyDescent="0.35">
      <c r="A1291" s="61"/>
      <c r="B1291" s="55"/>
      <c r="C1291" s="70"/>
      <c r="D1291" s="12"/>
      <c r="E1291" s="128"/>
      <c r="F1291" s="12"/>
      <c r="G1291" s="71"/>
      <c r="H1291" s="71"/>
      <c r="I1291" s="56"/>
      <c r="J1291" s="71"/>
      <c r="K1291" s="56"/>
      <c r="L1291" s="71"/>
      <c r="M1291" s="56"/>
      <c r="N1291" s="12"/>
      <c r="O1291" s="12"/>
      <c r="P1291" s="57"/>
      <c r="Q1291" s="50"/>
      <c r="R1291" s="50"/>
      <c r="S1291" s="58"/>
      <c r="T1291" s="58"/>
      <c r="U1291" s="58"/>
      <c r="V1291" s="59"/>
      <c r="W1291" s="60"/>
    </row>
    <row r="1292" spans="1:23" x14ac:dyDescent="0.35">
      <c r="A1292" s="61"/>
      <c r="B1292" s="55"/>
      <c r="C1292" s="70"/>
      <c r="D1292" s="12"/>
      <c r="E1292" s="128"/>
      <c r="F1292" s="12"/>
      <c r="G1292" s="71"/>
      <c r="H1292" s="71"/>
      <c r="I1292" s="56"/>
      <c r="J1292" s="71"/>
      <c r="K1292" s="56"/>
      <c r="L1292" s="71"/>
      <c r="M1292" s="56"/>
      <c r="N1292" s="12"/>
      <c r="O1292" s="12"/>
      <c r="P1292" s="57"/>
      <c r="Q1292" s="50"/>
      <c r="R1292" s="50"/>
      <c r="S1292" s="58"/>
      <c r="T1292" s="58"/>
      <c r="U1292" s="58"/>
      <c r="V1292" s="59"/>
      <c r="W1292" s="60"/>
    </row>
    <row r="1293" spans="1:23" x14ac:dyDescent="0.35">
      <c r="A1293" s="61"/>
      <c r="B1293" s="55"/>
      <c r="C1293" s="70"/>
      <c r="D1293" s="12"/>
      <c r="E1293" s="128"/>
      <c r="F1293" s="12"/>
      <c r="G1293" s="71"/>
      <c r="H1293" s="71"/>
      <c r="I1293" s="56"/>
      <c r="J1293" s="71"/>
      <c r="K1293" s="56"/>
      <c r="L1293" s="71"/>
      <c r="M1293" s="56"/>
      <c r="N1293" s="12"/>
      <c r="O1293" s="12"/>
      <c r="P1293" s="57"/>
      <c r="Q1293" s="50"/>
      <c r="R1293" s="50"/>
      <c r="S1293" s="58"/>
      <c r="T1293" s="58"/>
      <c r="U1293" s="58"/>
      <c r="V1293" s="59"/>
      <c r="W1293" s="60"/>
    </row>
    <row r="1294" spans="1:23" x14ac:dyDescent="0.35">
      <c r="A1294" s="61"/>
      <c r="B1294" s="55"/>
      <c r="C1294" s="70"/>
      <c r="D1294" s="12"/>
      <c r="E1294" s="128"/>
      <c r="F1294" s="12"/>
      <c r="G1294" s="71"/>
      <c r="H1294" s="71"/>
      <c r="I1294" s="56"/>
      <c r="J1294" s="71"/>
      <c r="K1294" s="56"/>
      <c r="L1294" s="71"/>
      <c r="M1294" s="56"/>
      <c r="N1294" s="12"/>
      <c r="O1294" s="12"/>
      <c r="P1294" s="57"/>
      <c r="Q1294" s="50"/>
      <c r="R1294" s="50"/>
      <c r="S1294" s="58"/>
      <c r="T1294" s="58"/>
      <c r="U1294" s="58"/>
      <c r="V1294" s="59"/>
      <c r="W1294" s="60"/>
    </row>
    <row r="1295" spans="1:23" x14ac:dyDescent="0.35">
      <c r="A1295" s="61"/>
      <c r="B1295" s="55"/>
      <c r="C1295" s="70"/>
      <c r="D1295" s="12"/>
      <c r="E1295" s="128"/>
      <c r="F1295" s="12"/>
      <c r="G1295" s="71"/>
      <c r="H1295" s="71"/>
      <c r="I1295" s="56"/>
      <c r="J1295" s="71"/>
      <c r="K1295" s="56"/>
      <c r="L1295" s="71"/>
      <c r="M1295" s="56"/>
      <c r="N1295" s="12"/>
      <c r="O1295" s="12"/>
      <c r="P1295" s="57"/>
      <c r="Q1295" s="50"/>
      <c r="R1295" s="50"/>
      <c r="S1295" s="58"/>
      <c r="T1295" s="58"/>
      <c r="U1295" s="58"/>
      <c r="V1295" s="59"/>
      <c r="W1295" s="60"/>
    </row>
    <row r="1296" spans="1:23" x14ac:dyDescent="0.35">
      <c r="A1296" s="61"/>
      <c r="B1296" s="55"/>
      <c r="C1296" s="70"/>
      <c r="D1296" s="12"/>
      <c r="E1296" s="128"/>
      <c r="F1296" s="12"/>
      <c r="G1296" s="71"/>
      <c r="H1296" s="71"/>
      <c r="I1296" s="56"/>
      <c r="J1296" s="71"/>
      <c r="K1296" s="56"/>
      <c r="L1296" s="71"/>
      <c r="M1296" s="56"/>
      <c r="N1296" s="12"/>
      <c r="O1296" s="12"/>
      <c r="P1296" s="57"/>
      <c r="Q1296" s="50"/>
      <c r="R1296" s="50"/>
      <c r="S1296" s="58"/>
      <c r="T1296" s="58"/>
      <c r="U1296" s="58"/>
      <c r="V1296" s="59"/>
      <c r="W1296" s="60"/>
    </row>
    <row r="1297" spans="1:23" x14ac:dyDescent="0.35">
      <c r="A1297" s="61"/>
      <c r="B1297" s="55"/>
      <c r="C1297" s="70"/>
      <c r="D1297" s="12"/>
      <c r="E1297" s="128"/>
      <c r="F1297" s="12"/>
      <c r="G1297" s="71"/>
      <c r="H1297" s="71"/>
      <c r="I1297" s="56"/>
      <c r="J1297" s="71"/>
      <c r="K1297" s="56"/>
      <c r="L1297" s="71"/>
      <c r="M1297" s="56"/>
      <c r="N1297" s="12"/>
      <c r="O1297" s="12"/>
      <c r="P1297" s="57"/>
      <c r="Q1297" s="50"/>
      <c r="R1297" s="50"/>
      <c r="S1297" s="58"/>
      <c r="T1297" s="58"/>
      <c r="U1297" s="58"/>
      <c r="V1297" s="59"/>
      <c r="W1297" s="60"/>
    </row>
    <row r="1298" spans="1:23" x14ac:dyDescent="0.35">
      <c r="A1298" s="61"/>
      <c r="B1298" s="55"/>
      <c r="C1298" s="70"/>
      <c r="D1298" s="12"/>
      <c r="E1298" s="128"/>
      <c r="F1298" s="12"/>
      <c r="G1298" s="71"/>
      <c r="H1298" s="71"/>
      <c r="I1298" s="56"/>
      <c r="J1298" s="71"/>
      <c r="K1298" s="56"/>
      <c r="L1298" s="71"/>
      <c r="M1298" s="56"/>
      <c r="N1298" s="12"/>
      <c r="O1298" s="12"/>
      <c r="P1298" s="57"/>
      <c r="Q1298" s="50"/>
      <c r="R1298" s="50"/>
      <c r="S1298" s="58"/>
      <c r="T1298" s="58"/>
      <c r="U1298" s="58"/>
      <c r="V1298" s="59"/>
      <c r="W1298" s="60"/>
    </row>
    <row r="1299" spans="1:23" x14ac:dyDescent="0.35">
      <c r="A1299" s="61"/>
      <c r="B1299" s="55"/>
      <c r="C1299" s="70"/>
      <c r="D1299" s="12"/>
      <c r="E1299" s="128"/>
      <c r="F1299" s="12"/>
      <c r="G1299" s="71"/>
      <c r="H1299" s="71"/>
      <c r="I1299" s="56"/>
      <c r="J1299" s="71"/>
      <c r="K1299" s="56"/>
      <c r="L1299" s="71"/>
      <c r="M1299" s="56"/>
      <c r="N1299" s="12"/>
      <c r="O1299" s="12"/>
      <c r="P1299" s="57"/>
      <c r="Q1299" s="50"/>
      <c r="R1299" s="50"/>
      <c r="S1299" s="58"/>
      <c r="T1299" s="58"/>
      <c r="U1299" s="58"/>
      <c r="V1299" s="59"/>
      <c r="W1299" s="60"/>
    </row>
    <row r="1300" spans="1:23" x14ac:dyDescent="0.35">
      <c r="A1300" s="61"/>
      <c r="B1300" s="55"/>
      <c r="C1300" s="70"/>
      <c r="D1300" s="12"/>
      <c r="E1300" s="128"/>
      <c r="F1300" s="12"/>
      <c r="G1300" s="71"/>
      <c r="H1300" s="71"/>
      <c r="I1300" s="56"/>
      <c r="J1300" s="71"/>
      <c r="K1300" s="56"/>
      <c r="L1300" s="71"/>
      <c r="M1300" s="56"/>
      <c r="N1300" s="12"/>
      <c r="O1300" s="12"/>
      <c r="P1300" s="57"/>
      <c r="Q1300" s="50"/>
      <c r="R1300" s="50"/>
      <c r="S1300" s="58"/>
      <c r="T1300" s="58"/>
      <c r="U1300" s="58"/>
      <c r="V1300" s="59"/>
      <c r="W1300" s="60"/>
    </row>
    <row r="1301" spans="1:23" x14ac:dyDescent="0.35">
      <c r="A1301" s="61"/>
      <c r="B1301" s="55"/>
      <c r="C1301" s="70"/>
      <c r="D1301" s="12"/>
      <c r="E1301" s="128"/>
      <c r="F1301" s="12"/>
      <c r="G1301" s="71"/>
      <c r="H1301" s="71"/>
      <c r="I1301" s="56"/>
      <c r="J1301" s="71"/>
      <c r="K1301" s="56"/>
      <c r="L1301" s="71"/>
      <c r="M1301" s="56"/>
      <c r="N1301" s="12"/>
      <c r="O1301" s="12"/>
      <c r="P1301" s="57"/>
      <c r="Q1301" s="50"/>
      <c r="R1301" s="50"/>
      <c r="S1301" s="58"/>
      <c r="T1301" s="58"/>
      <c r="U1301" s="58"/>
      <c r="V1301" s="59"/>
      <c r="W1301" s="60"/>
    </row>
    <row r="1302" spans="1:23" x14ac:dyDescent="0.35">
      <c r="A1302" s="61"/>
      <c r="B1302" s="55"/>
      <c r="C1302" s="70"/>
      <c r="D1302" s="12"/>
      <c r="E1302" s="128"/>
      <c r="F1302" s="12"/>
      <c r="G1302" s="71"/>
      <c r="H1302" s="71"/>
      <c r="I1302" s="56"/>
      <c r="J1302" s="71"/>
      <c r="K1302" s="56"/>
      <c r="L1302" s="71"/>
      <c r="M1302" s="56"/>
      <c r="N1302" s="12"/>
      <c r="O1302" s="12"/>
      <c r="P1302" s="57"/>
      <c r="Q1302" s="50"/>
      <c r="R1302" s="50"/>
      <c r="S1302" s="58"/>
      <c r="T1302" s="58"/>
      <c r="U1302" s="58"/>
      <c r="V1302" s="59"/>
      <c r="W1302" s="60"/>
    </row>
    <row r="1303" spans="1:23" x14ac:dyDescent="0.35">
      <c r="A1303" s="61"/>
      <c r="B1303" s="55"/>
      <c r="C1303" s="70"/>
      <c r="D1303" s="12"/>
      <c r="E1303" s="128"/>
      <c r="F1303" s="12"/>
      <c r="G1303" s="71"/>
      <c r="H1303" s="71"/>
      <c r="I1303" s="56"/>
      <c r="J1303" s="71"/>
      <c r="K1303" s="56"/>
      <c r="L1303" s="71"/>
      <c r="M1303" s="56"/>
      <c r="N1303" s="12"/>
      <c r="O1303" s="12"/>
      <c r="P1303" s="57"/>
      <c r="Q1303" s="50"/>
      <c r="R1303" s="50"/>
      <c r="S1303" s="58"/>
      <c r="T1303" s="58"/>
      <c r="U1303" s="58"/>
      <c r="V1303" s="59"/>
      <c r="W1303" s="60"/>
    </row>
    <row r="1304" spans="1:23" x14ac:dyDescent="0.35">
      <c r="A1304" s="61"/>
      <c r="B1304" s="55"/>
      <c r="C1304" s="70"/>
      <c r="D1304" s="12"/>
      <c r="E1304" s="128"/>
      <c r="F1304" s="12"/>
      <c r="G1304" s="71"/>
      <c r="H1304" s="71"/>
      <c r="I1304" s="56"/>
      <c r="J1304" s="71"/>
      <c r="K1304" s="56"/>
      <c r="L1304" s="71"/>
      <c r="M1304" s="56"/>
      <c r="N1304" s="12"/>
      <c r="O1304" s="12"/>
      <c r="P1304" s="57"/>
      <c r="Q1304" s="50"/>
      <c r="R1304" s="50"/>
      <c r="S1304" s="58"/>
      <c r="T1304" s="58"/>
      <c r="U1304" s="58"/>
      <c r="V1304" s="59"/>
      <c r="W1304" s="60"/>
    </row>
    <row r="1305" spans="1:23" x14ac:dyDescent="0.35">
      <c r="A1305" s="61"/>
      <c r="B1305" s="55"/>
      <c r="C1305" s="70"/>
      <c r="D1305" s="12"/>
      <c r="E1305" s="128"/>
      <c r="F1305" s="12"/>
      <c r="G1305" s="71"/>
      <c r="H1305" s="71"/>
      <c r="I1305" s="56"/>
      <c r="J1305" s="71"/>
      <c r="K1305" s="56"/>
      <c r="L1305" s="71"/>
      <c r="M1305" s="56"/>
      <c r="N1305" s="12"/>
      <c r="O1305" s="12"/>
      <c r="P1305" s="57"/>
      <c r="Q1305" s="50"/>
      <c r="R1305" s="50"/>
      <c r="S1305" s="58"/>
      <c r="T1305" s="58"/>
      <c r="U1305" s="58"/>
      <c r="V1305" s="59"/>
      <c r="W1305" s="60"/>
    </row>
    <row r="1306" spans="1:23" x14ac:dyDescent="0.35">
      <c r="A1306" s="61"/>
      <c r="B1306" s="55"/>
      <c r="C1306" s="70"/>
      <c r="D1306" s="12"/>
      <c r="E1306" s="128"/>
      <c r="F1306" s="12"/>
      <c r="G1306" s="71"/>
      <c r="H1306" s="71"/>
      <c r="I1306" s="56"/>
      <c r="J1306" s="71"/>
      <c r="K1306" s="56"/>
      <c r="L1306" s="71"/>
      <c r="M1306" s="56"/>
      <c r="N1306" s="12"/>
      <c r="O1306" s="12"/>
      <c r="P1306" s="57"/>
      <c r="Q1306" s="50"/>
      <c r="R1306" s="50"/>
      <c r="S1306" s="58"/>
      <c r="T1306" s="58"/>
      <c r="U1306" s="58"/>
      <c r="V1306" s="59"/>
      <c r="W1306" s="60"/>
    </row>
    <row r="1307" spans="1:23" x14ac:dyDescent="0.35">
      <c r="A1307" s="61"/>
      <c r="B1307" s="55"/>
      <c r="C1307" s="70"/>
      <c r="D1307" s="12"/>
      <c r="E1307" s="128"/>
      <c r="F1307" s="12"/>
      <c r="G1307" s="71"/>
      <c r="H1307" s="71"/>
      <c r="I1307" s="56"/>
      <c r="J1307" s="71"/>
      <c r="K1307" s="56"/>
      <c r="L1307" s="71"/>
      <c r="M1307" s="56"/>
      <c r="N1307" s="12"/>
      <c r="O1307" s="12"/>
      <c r="P1307" s="57"/>
      <c r="Q1307" s="50"/>
      <c r="R1307" s="50"/>
      <c r="S1307" s="58"/>
      <c r="T1307" s="58"/>
      <c r="U1307" s="58"/>
      <c r="V1307" s="59"/>
      <c r="W1307" s="60"/>
    </row>
    <row r="1308" spans="1:23" x14ac:dyDescent="0.35">
      <c r="A1308" s="61"/>
      <c r="B1308" s="55"/>
      <c r="C1308" s="70"/>
      <c r="D1308" s="12"/>
      <c r="E1308" s="128"/>
      <c r="F1308" s="12"/>
      <c r="G1308" s="71"/>
      <c r="H1308" s="71"/>
      <c r="I1308" s="56"/>
      <c r="J1308" s="71"/>
      <c r="K1308" s="56"/>
      <c r="L1308" s="71"/>
      <c r="M1308" s="56"/>
      <c r="N1308" s="12"/>
      <c r="O1308" s="12"/>
      <c r="P1308" s="57"/>
      <c r="Q1308" s="50"/>
      <c r="R1308" s="50"/>
      <c r="S1308" s="58"/>
      <c r="T1308" s="58"/>
      <c r="U1308" s="58"/>
      <c r="V1308" s="59"/>
      <c r="W1308" s="60"/>
    </row>
    <row r="1309" spans="1:23" x14ac:dyDescent="0.35">
      <c r="A1309" s="61"/>
      <c r="B1309" s="55"/>
      <c r="C1309" s="70"/>
      <c r="D1309" s="12"/>
      <c r="E1309" s="128"/>
      <c r="F1309" s="12"/>
      <c r="G1309" s="71"/>
      <c r="H1309" s="71"/>
      <c r="I1309" s="56"/>
      <c r="J1309" s="71"/>
      <c r="K1309" s="56"/>
      <c r="L1309" s="71"/>
      <c r="M1309" s="56"/>
      <c r="N1309" s="12"/>
      <c r="O1309" s="12"/>
      <c r="P1309" s="57"/>
      <c r="Q1309" s="50"/>
      <c r="R1309" s="50"/>
      <c r="S1309" s="58"/>
      <c r="T1309" s="58"/>
      <c r="U1309" s="58"/>
      <c r="V1309" s="59"/>
      <c r="W1309" s="60"/>
    </row>
    <row r="1310" spans="1:23" x14ac:dyDescent="0.35">
      <c r="A1310" s="61"/>
      <c r="B1310" s="55"/>
      <c r="C1310" s="70"/>
      <c r="D1310" s="12"/>
      <c r="E1310" s="128"/>
      <c r="F1310" s="12"/>
      <c r="G1310" s="71"/>
      <c r="H1310" s="71"/>
      <c r="I1310" s="56"/>
      <c r="J1310" s="71"/>
      <c r="K1310" s="56"/>
      <c r="L1310" s="71"/>
      <c r="M1310" s="56"/>
      <c r="N1310" s="12"/>
      <c r="O1310" s="12"/>
      <c r="P1310" s="57"/>
      <c r="Q1310" s="50"/>
      <c r="R1310" s="50"/>
      <c r="S1310" s="58"/>
      <c r="T1310" s="58"/>
      <c r="U1310" s="58"/>
      <c r="V1310" s="59"/>
      <c r="W1310" s="60"/>
    </row>
    <row r="1311" spans="1:23" x14ac:dyDescent="0.35">
      <c r="A1311" s="61"/>
      <c r="B1311" s="55"/>
      <c r="C1311" s="70"/>
      <c r="D1311" s="12"/>
      <c r="E1311" s="128"/>
      <c r="F1311" s="12"/>
      <c r="G1311" s="71"/>
      <c r="H1311" s="71"/>
      <c r="I1311" s="56"/>
      <c r="J1311" s="71"/>
      <c r="K1311" s="56"/>
      <c r="L1311" s="71"/>
      <c r="M1311" s="56"/>
      <c r="N1311" s="12"/>
      <c r="O1311" s="12"/>
      <c r="P1311" s="57"/>
      <c r="Q1311" s="50"/>
      <c r="R1311" s="50"/>
      <c r="S1311" s="58"/>
      <c r="T1311" s="58"/>
      <c r="U1311" s="58"/>
      <c r="V1311" s="59"/>
      <c r="W1311" s="60"/>
    </row>
    <row r="1312" spans="1:23" x14ac:dyDescent="0.35">
      <c r="A1312" s="61"/>
      <c r="B1312" s="55"/>
      <c r="C1312" s="70"/>
      <c r="D1312" s="12"/>
      <c r="E1312" s="128"/>
      <c r="F1312" s="12"/>
      <c r="G1312" s="71"/>
      <c r="H1312" s="71"/>
      <c r="I1312" s="56"/>
      <c r="J1312" s="71"/>
      <c r="K1312" s="56"/>
      <c r="L1312" s="71"/>
      <c r="M1312" s="56"/>
      <c r="N1312" s="12"/>
      <c r="O1312" s="12"/>
      <c r="P1312" s="57"/>
      <c r="Q1312" s="50"/>
      <c r="R1312" s="50"/>
      <c r="S1312" s="58"/>
      <c r="T1312" s="58"/>
      <c r="U1312" s="58"/>
      <c r="V1312" s="59"/>
      <c r="W1312" s="60"/>
    </row>
    <row r="1313" spans="1:23" x14ac:dyDescent="0.35">
      <c r="A1313" s="61"/>
      <c r="B1313" s="55"/>
      <c r="C1313" s="70"/>
      <c r="D1313" s="12"/>
      <c r="E1313" s="128"/>
      <c r="F1313" s="12"/>
      <c r="G1313" s="71"/>
      <c r="H1313" s="71"/>
      <c r="I1313" s="56"/>
      <c r="J1313" s="71"/>
      <c r="K1313" s="56"/>
      <c r="L1313" s="71"/>
      <c r="M1313" s="56"/>
      <c r="N1313" s="12"/>
      <c r="O1313" s="12"/>
      <c r="P1313" s="57"/>
      <c r="Q1313" s="50"/>
      <c r="R1313" s="50"/>
      <c r="S1313" s="58"/>
      <c r="T1313" s="58"/>
      <c r="U1313" s="58"/>
      <c r="V1313" s="59"/>
      <c r="W1313" s="60"/>
    </row>
    <row r="1314" spans="1:23" x14ac:dyDescent="0.35">
      <c r="A1314" s="61"/>
      <c r="B1314" s="55"/>
      <c r="C1314" s="70"/>
      <c r="D1314" s="12"/>
      <c r="E1314" s="128"/>
      <c r="F1314" s="12"/>
      <c r="G1314" s="71"/>
      <c r="H1314" s="71"/>
      <c r="I1314" s="56"/>
      <c r="J1314" s="71"/>
      <c r="K1314" s="56"/>
      <c r="L1314" s="71"/>
      <c r="M1314" s="56"/>
      <c r="N1314" s="12"/>
      <c r="O1314" s="12"/>
      <c r="P1314" s="57"/>
      <c r="Q1314" s="50"/>
      <c r="R1314" s="50"/>
      <c r="S1314" s="58"/>
      <c r="T1314" s="58"/>
      <c r="U1314" s="58"/>
      <c r="V1314" s="59"/>
      <c r="W1314" s="60"/>
    </row>
    <row r="1315" spans="1:23" x14ac:dyDescent="0.35">
      <c r="A1315" s="61"/>
      <c r="B1315" s="55"/>
      <c r="C1315" s="70"/>
      <c r="D1315" s="12"/>
      <c r="E1315" s="128"/>
      <c r="F1315" s="12"/>
      <c r="G1315" s="71"/>
      <c r="H1315" s="71"/>
      <c r="I1315" s="56"/>
      <c r="J1315" s="71"/>
      <c r="K1315" s="56"/>
      <c r="L1315" s="71"/>
      <c r="M1315" s="56"/>
      <c r="N1315" s="12"/>
      <c r="O1315" s="12"/>
      <c r="P1315" s="57"/>
      <c r="Q1315" s="50"/>
      <c r="R1315" s="50"/>
      <c r="S1315" s="58"/>
      <c r="T1315" s="58"/>
      <c r="U1315" s="58"/>
      <c r="V1315" s="59"/>
      <c r="W1315" s="60"/>
    </row>
    <row r="1316" spans="1:23" x14ac:dyDescent="0.35">
      <c r="A1316" s="61"/>
      <c r="B1316" s="55"/>
      <c r="C1316" s="70"/>
      <c r="D1316" s="12"/>
      <c r="E1316" s="128"/>
      <c r="F1316" s="12"/>
      <c r="G1316" s="71"/>
      <c r="H1316" s="71"/>
      <c r="I1316" s="56"/>
      <c r="J1316" s="71"/>
      <c r="K1316" s="56"/>
      <c r="L1316" s="71"/>
      <c r="M1316" s="56"/>
      <c r="N1316" s="12"/>
      <c r="O1316" s="12"/>
      <c r="P1316" s="57"/>
      <c r="Q1316" s="50"/>
      <c r="R1316" s="50"/>
      <c r="S1316" s="58"/>
      <c r="T1316" s="58"/>
      <c r="U1316" s="58"/>
      <c r="V1316" s="59"/>
      <c r="W1316" s="60"/>
    </row>
    <row r="1317" spans="1:23" x14ac:dyDescent="0.35">
      <c r="A1317" s="61"/>
      <c r="B1317" s="55"/>
      <c r="C1317" s="70"/>
      <c r="D1317" s="12"/>
      <c r="E1317" s="128"/>
      <c r="F1317" s="12"/>
      <c r="G1317" s="71"/>
      <c r="H1317" s="71"/>
      <c r="I1317" s="56"/>
      <c r="J1317" s="71"/>
      <c r="K1317" s="56"/>
      <c r="L1317" s="71"/>
      <c r="M1317" s="56"/>
      <c r="N1317" s="12"/>
      <c r="O1317" s="12"/>
      <c r="P1317" s="57"/>
      <c r="Q1317" s="50"/>
      <c r="R1317" s="50"/>
      <c r="S1317" s="58"/>
      <c r="T1317" s="58"/>
      <c r="U1317" s="58"/>
      <c r="V1317" s="59"/>
      <c r="W1317" s="60"/>
    </row>
    <row r="1318" spans="1:23" x14ac:dyDescent="0.35">
      <c r="A1318" s="61"/>
      <c r="B1318" s="55"/>
      <c r="C1318" s="70"/>
      <c r="D1318" s="12"/>
      <c r="E1318" s="128"/>
      <c r="F1318" s="12"/>
      <c r="G1318" s="71"/>
      <c r="H1318" s="71"/>
      <c r="I1318" s="56"/>
      <c r="J1318" s="71"/>
      <c r="K1318" s="56"/>
      <c r="L1318" s="71"/>
      <c r="M1318" s="56"/>
      <c r="N1318" s="12"/>
      <c r="O1318" s="12"/>
      <c r="P1318" s="57"/>
      <c r="Q1318" s="50"/>
      <c r="R1318" s="50"/>
      <c r="S1318" s="58"/>
      <c r="T1318" s="58"/>
      <c r="U1318" s="58"/>
      <c r="V1318" s="59"/>
      <c r="W1318" s="60"/>
    </row>
    <row r="1319" spans="1:23" x14ac:dyDescent="0.35">
      <c r="A1319" s="61"/>
      <c r="B1319" s="55"/>
      <c r="C1319" s="70"/>
      <c r="D1319" s="12"/>
      <c r="E1319" s="128"/>
      <c r="F1319" s="12"/>
      <c r="G1319" s="71"/>
      <c r="H1319" s="71"/>
      <c r="I1319" s="56"/>
      <c r="J1319" s="71"/>
      <c r="K1319" s="56"/>
      <c r="L1319" s="71"/>
      <c r="M1319" s="56"/>
      <c r="N1319" s="12"/>
      <c r="O1319" s="12"/>
      <c r="P1319" s="57"/>
      <c r="Q1319" s="50"/>
      <c r="R1319" s="50"/>
      <c r="S1319" s="58"/>
      <c r="T1319" s="58"/>
      <c r="U1319" s="58"/>
      <c r="V1319" s="59"/>
      <c r="W1319" s="60"/>
    </row>
    <row r="1320" spans="1:23" x14ac:dyDescent="0.35">
      <c r="A1320" s="61"/>
      <c r="B1320" s="55"/>
      <c r="C1320" s="70"/>
      <c r="D1320" s="12"/>
      <c r="E1320" s="128"/>
      <c r="F1320" s="12"/>
      <c r="G1320" s="71"/>
      <c r="H1320" s="71"/>
      <c r="I1320" s="56"/>
      <c r="J1320" s="71"/>
      <c r="K1320" s="56"/>
      <c r="L1320" s="71"/>
      <c r="M1320" s="56"/>
      <c r="N1320" s="12"/>
      <c r="O1320" s="12"/>
      <c r="P1320" s="57"/>
      <c r="Q1320" s="50"/>
      <c r="R1320" s="50"/>
      <c r="S1320" s="58"/>
      <c r="T1320" s="58"/>
      <c r="U1320" s="58"/>
      <c r="V1320" s="59"/>
      <c r="W1320" s="60"/>
    </row>
    <row r="1321" spans="1:23" x14ac:dyDescent="0.35">
      <c r="A1321" s="61"/>
      <c r="B1321" s="55"/>
      <c r="C1321" s="70"/>
      <c r="D1321" s="12"/>
      <c r="E1321" s="128"/>
      <c r="F1321" s="12"/>
      <c r="G1321" s="71"/>
      <c r="H1321" s="71"/>
      <c r="I1321" s="56"/>
      <c r="J1321" s="71"/>
      <c r="K1321" s="56"/>
      <c r="L1321" s="71"/>
      <c r="M1321" s="56"/>
      <c r="N1321" s="12"/>
      <c r="O1321" s="12"/>
      <c r="P1321" s="57"/>
      <c r="Q1321" s="50"/>
      <c r="R1321" s="50"/>
      <c r="S1321" s="58"/>
      <c r="T1321" s="58"/>
      <c r="U1321" s="58"/>
      <c r="V1321" s="59"/>
      <c r="W1321" s="60"/>
    </row>
    <row r="1322" spans="1:23" x14ac:dyDescent="0.35">
      <c r="A1322" s="61"/>
      <c r="B1322" s="55"/>
      <c r="C1322" s="70"/>
      <c r="D1322" s="12"/>
      <c r="E1322" s="128"/>
      <c r="F1322" s="12"/>
      <c r="G1322" s="71"/>
      <c r="H1322" s="71"/>
      <c r="I1322" s="56"/>
      <c r="J1322" s="71"/>
      <c r="K1322" s="56"/>
      <c r="L1322" s="71"/>
      <c r="M1322" s="56"/>
      <c r="N1322" s="12"/>
      <c r="O1322" s="12"/>
      <c r="P1322" s="57"/>
      <c r="Q1322" s="50"/>
      <c r="R1322" s="50"/>
      <c r="S1322" s="58"/>
      <c r="T1322" s="58"/>
      <c r="U1322" s="58"/>
      <c r="V1322" s="59"/>
      <c r="W1322" s="60"/>
    </row>
    <row r="1323" spans="1:23" x14ac:dyDescent="0.35">
      <c r="A1323" s="61"/>
      <c r="B1323" s="55"/>
      <c r="C1323" s="70"/>
      <c r="D1323" s="12"/>
      <c r="E1323" s="128"/>
      <c r="F1323" s="12"/>
      <c r="G1323" s="71"/>
      <c r="H1323" s="71"/>
      <c r="I1323" s="56"/>
      <c r="J1323" s="71"/>
      <c r="K1323" s="56"/>
      <c r="L1323" s="71"/>
      <c r="M1323" s="56"/>
      <c r="N1323" s="12"/>
      <c r="O1323" s="12"/>
      <c r="P1323" s="57"/>
      <c r="Q1323" s="50"/>
      <c r="R1323" s="50"/>
      <c r="S1323" s="58"/>
      <c r="T1323" s="58"/>
      <c r="U1323" s="58"/>
      <c r="V1323" s="59"/>
      <c r="W1323" s="60"/>
    </row>
    <row r="1324" spans="1:23" x14ac:dyDescent="0.35">
      <c r="A1324" s="61"/>
      <c r="B1324" s="55"/>
      <c r="C1324" s="70"/>
      <c r="D1324" s="12"/>
      <c r="E1324" s="128"/>
      <c r="F1324" s="12"/>
      <c r="G1324" s="71"/>
      <c r="H1324" s="71"/>
      <c r="I1324" s="56"/>
      <c r="J1324" s="71"/>
      <c r="K1324" s="56"/>
      <c r="L1324" s="71"/>
      <c r="M1324" s="56"/>
      <c r="N1324" s="12"/>
      <c r="O1324" s="12"/>
      <c r="P1324" s="57"/>
      <c r="Q1324" s="50"/>
      <c r="R1324" s="50"/>
      <c r="S1324" s="58"/>
      <c r="T1324" s="58"/>
      <c r="U1324" s="58"/>
      <c r="V1324" s="59"/>
      <c r="W1324" s="60"/>
    </row>
    <row r="1325" spans="1:23" x14ac:dyDescent="0.35">
      <c r="A1325" s="61"/>
      <c r="B1325" s="55"/>
      <c r="C1325" s="70"/>
      <c r="D1325" s="12"/>
      <c r="E1325" s="128"/>
      <c r="F1325" s="12"/>
      <c r="G1325" s="71"/>
      <c r="H1325" s="71"/>
      <c r="I1325" s="56"/>
      <c r="J1325" s="71"/>
      <c r="K1325" s="56"/>
      <c r="L1325" s="71"/>
      <c r="M1325" s="56"/>
      <c r="N1325" s="12"/>
      <c r="O1325" s="12"/>
      <c r="P1325" s="57"/>
      <c r="Q1325" s="50"/>
      <c r="R1325" s="50"/>
      <c r="S1325" s="58"/>
      <c r="T1325" s="58"/>
      <c r="U1325" s="58"/>
      <c r="V1325" s="59"/>
      <c r="W1325" s="60"/>
    </row>
    <row r="1326" spans="1:23" x14ac:dyDescent="0.35">
      <c r="A1326" s="61"/>
      <c r="B1326" s="55"/>
      <c r="C1326" s="70"/>
      <c r="D1326" s="12"/>
      <c r="E1326" s="128"/>
      <c r="F1326" s="12"/>
      <c r="G1326" s="71"/>
      <c r="H1326" s="71"/>
      <c r="I1326" s="56"/>
      <c r="J1326" s="71"/>
      <c r="K1326" s="56"/>
      <c r="L1326" s="71"/>
      <c r="M1326" s="56"/>
      <c r="N1326" s="12"/>
      <c r="O1326" s="12"/>
      <c r="P1326" s="57"/>
      <c r="Q1326" s="50"/>
      <c r="R1326" s="50"/>
      <c r="S1326" s="58"/>
      <c r="T1326" s="58"/>
      <c r="U1326" s="58"/>
      <c r="V1326" s="59"/>
      <c r="W1326" s="60"/>
    </row>
    <row r="1327" spans="1:23" x14ac:dyDescent="0.35">
      <c r="A1327" s="61"/>
      <c r="B1327" s="55"/>
      <c r="C1327" s="70"/>
      <c r="D1327" s="12"/>
      <c r="E1327" s="128"/>
      <c r="F1327" s="12"/>
      <c r="G1327" s="71"/>
      <c r="H1327" s="71"/>
      <c r="I1327" s="56"/>
      <c r="J1327" s="71"/>
      <c r="K1327" s="56"/>
      <c r="L1327" s="71"/>
      <c r="M1327" s="56"/>
      <c r="N1327" s="12"/>
      <c r="O1327" s="12"/>
      <c r="P1327" s="57"/>
      <c r="Q1327" s="50"/>
      <c r="R1327" s="50"/>
      <c r="S1327" s="58"/>
      <c r="T1327" s="58"/>
      <c r="U1327" s="58"/>
      <c r="V1327" s="59"/>
      <c r="W1327" s="60"/>
    </row>
    <row r="1328" spans="1:23" x14ac:dyDescent="0.35">
      <c r="A1328" s="61"/>
      <c r="B1328" s="55"/>
      <c r="C1328" s="70"/>
      <c r="D1328" s="12"/>
      <c r="E1328" s="128"/>
      <c r="F1328" s="12"/>
      <c r="G1328" s="71"/>
      <c r="H1328" s="71"/>
      <c r="I1328" s="56"/>
      <c r="J1328" s="71"/>
      <c r="K1328" s="56"/>
      <c r="L1328" s="71"/>
      <c r="M1328" s="56"/>
      <c r="N1328" s="12"/>
      <c r="O1328" s="12"/>
      <c r="P1328" s="57"/>
      <c r="Q1328" s="50"/>
      <c r="R1328" s="50"/>
      <c r="S1328" s="58"/>
      <c r="T1328" s="58"/>
      <c r="U1328" s="58"/>
      <c r="V1328" s="59"/>
      <c r="W1328" s="60"/>
    </row>
    <row r="1329" spans="1:23" x14ac:dyDescent="0.35">
      <c r="A1329" s="61"/>
      <c r="B1329" s="55"/>
      <c r="C1329" s="70"/>
      <c r="D1329" s="12"/>
      <c r="E1329" s="128"/>
      <c r="F1329" s="12"/>
      <c r="G1329" s="71"/>
      <c r="H1329" s="71"/>
      <c r="I1329" s="56"/>
      <c r="J1329" s="71"/>
      <c r="K1329" s="56"/>
      <c r="L1329" s="71"/>
      <c r="M1329" s="56"/>
      <c r="N1329" s="12"/>
      <c r="O1329" s="12"/>
      <c r="P1329" s="57"/>
      <c r="Q1329" s="50"/>
      <c r="R1329" s="50"/>
      <c r="S1329" s="58"/>
      <c r="T1329" s="58"/>
      <c r="U1329" s="58"/>
      <c r="V1329" s="59"/>
      <c r="W1329" s="60"/>
    </row>
    <row r="1330" spans="1:23" x14ac:dyDescent="0.35">
      <c r="A1330" s="61"/>
      <c r="B1330" s="55"/>
      <c r="C1330" s="70"/>
      <c r="D1330" s="12"/>
      <c r="E1330" s="128"/>
      <c r="F1330" s="12"/>
      <c r="G1330" s="71"/>
      <c r="H1330" s="71"/>
      <c r="I1330" s="56"/>
      <c r="J1330" s="71"/>
      <c r="K1330" s="56"/>
      <c r="L1330" s="71"/>
      <c r="M1330" s="56"/>
      <c r="N1330" s="12"/>
      <c r="O1330" s="12"/>
      <c r="P1330" s="57"/>
      <c r="Q1330" s="50"/>
      <c r="R1330" s="50"/>
      <c r="S1330" s="58"/>
      <c r="T1330" s="58"/>
      <c r="U1330" s="58"/>
      <c r="V1330" s="59"/>
      <c r="W1330" s="60"/>
    </row>
    <row r="1331" spans="1:23" x14ac:dyDescent="0.35">
      <c r="A1331" s="61"/>
      <c r="B1331" s="55"/>
      <c r="C1331" s="70"/>
      <c r="D1331" s="12"/>
      <c r="E1331" s="128"/>
      <c r="F1331" s="12"/>
      <c r="G1331" s="71"/>
      <c r="H1331" s="71"/>
      <c r="I1331" s="56"/>
      <c r="J1331" s="71"/>
      <c r="K1331" s="56"/>
      <c r="L1331" s="71"/>
      <c r="M1331" s="56"/>
      <c r="N1331" s="12"/>
      <c r="O1331" s="12"/>
      <c r="P1331" s="57"/>
      <c r="Q1331" s="50"/>
      <c r="R1331" s="229"/>
      <c r="S1331" s="58"/>
      <c r="T1331" s="58"/>
      <c r="U1331" s="58"/>
      <c r="V1331" s="59"/>
      <c r="W1331" s="60"/>
    </row>
    <row r="1332" spans="1:23" x14ac:dyDescent="0.35">
      <c r="A1332" s="61"/>
      <c r="B1332" s="55"/>
      <c r="C1332" s="70"/>
      <c r="D1332" s="12"/>
      <c r="E1332" s="128"/>
      <c r="F1332" s="12"/>
      <c r="G1332" s="71"/>
      <c r="H1332" s="71"/>
      <c r="I1332" s="56"/>
      <c r="J1332" s="71"/>
      <c r="K1332" s="56"/>
      <c r="L1332" s="71"/>
      <c r="M1332" s="56"/>
      <c r="N1332" s="12"/>
      <c r="O1332" s="12"/>
      <c r="P1332" s="57"/>
      <c r="Q1332" s="50"/>
      <c r="R1332" s="229"/>
      <c r="S1332" s="58"/>
      <c r="T1332" s="58"/>
      <c r="U1332" s="58"/>
      <c r="V1332" s="59"/>
      <c r="W1332" s="60"/>
    </row>
    <row r="1333" spans="1:23" x14ac:dyDescent="0.35">
      <c r="A1333" s="61"/>
      <c r="B1333" s="55"/>
      <c r="C1333" s="70"/>
      <c r="D1333" s="12"/>
      <c r="E1333" s="128"/>
      <c r="F1333" s="12"/>
      <c r="G1333" s="71"/>
      <c r="H1333" s="71"/>
      <c r="I1333" s="56"/>
      <c r="J1333" s="71"/>
      <c r="K1333" s="56"/>
      <c r="L1333" s="71"/>
      <c r="M1333" s="56"/>
      <c r="N1333" s="12"/>
      <c r="O1333" s="12"/>
      <c r="P1333" s="57"/>
      <c r="Q1333" s="50"/>
      <c r="R1333" s="229"/>
      <c r="S1333" s="58"/>
      <c r="T1333" s="58"/>
      <c r="U1333" s="58"/>
      <c r="V1333" s="59"/>
      <c r="W1333" s="60"/>
    </row>
    <row r="1334" spans="1:23" x14ac:dyDescent="0.35">
      <c r="A1334" s="61"/>
      <c r="B1334" s="55"/>
      <c r="C1334" s="70"/>
      <c r="D1334" s="12"/>
      <c r="E1334" s="128"/>
      <c r="F1334" s="12"/>
      <c r="G1334" s="71"/>
      <c r="H1334" s="71"/>
      <c r="I1334" s="56"/>
      <c r="J1334" s="71"/>
      <c r="K1334" s="56"/>
      <c r="L1334" s="71"/>
      <c r="M1334" s="56"/>
      <c r="N1334" s="12"/>
      <c r="O1334" s="12"/>
      <c r="P1334" s="57"/>
      <c r="Q1334" s="50"/>
      <c r="R1334" s="229"/>
      <c r="S1334" s="58"/>
      <c r="T1334" s="58"/>
      <c r="U1334" s="58"/>
      <c r="V1334" s="59"/>
      <c r="W1334" s="60"/>
    </row>
    <row r="1335" spans="1:23" x14ac:dyDescent="0.35">
      <c r="A1335" s="61"/>
      <c r="B1335" s="55"/>
      <c r="C1335" s="70"/>
      <c r="D1335" s="12"/>
      <c r="E1335" s="128"/>
      <c r="F1335" s="12"/>
      <c r="G1335" s="71"/>
      <c r="H1335" s="71"/>
      <c r="I1335" s="56"/>
      <c r="J1335" s="71"/>
      <c r="K1335" s="56"/>
      <c r="L1335" s="71"/>
      <c r="M1335" s="56"/>
      <c r="N1335" s="12"/>
      <c r="O1335" s="12"/>
      <c r="P1335" s="57"/>
      <c r="Q1335" s="50"/>
      <c r="R1335" s="50"/>
      <c r="S1335" s="58"/>
      <c r="T1335" s="58"/>
      <c r="U1335" s="58"/>
      <c r="V1335" s="59"/>
      <c r="W1335" s="60"/>
    </row>
    <row r="1336" spans="1:23" x14ac:dyDescent="0.35">
      <c r="A1336" s="61"/>
      <c r="B1336" s="55"/>
      <c r="C1336" s="70"/>
      <c r="D1336" s="12"/>
      <c r="E1336" s="128"/>
      <c r="F1336" s="12"/>
      <c r="G1336" s="71"/>
      <c r="H1336" s="71"/>
      <c r="I1336" s="56"/>
      <c r="J1336" s="71"/>
      <c r="K1336" s="56"/>
      <c r="L1336" s="71"/>
      <c r="M1336" s="56"/>
      <c r="N1336" s="12"/>
      <c r="O1336" s="12"/>
      <c r="P1336" s="57"/>
      <c r="Q1336" s="50"/>
      <c r="R1336" s="229"/>
      <c r="S1336" s="58"/>
      <c r="T1336" s="58"/>
      <c r="U1336" s="58"/>
      <c r="V1336" s="59"/>
      <c r="W1336" s="60"/>
    </row>
    <row r="1337" spans="1:23" x14ac:dyDescent="0.35">
      <c r="A1337" s="61"/>
      <c r="B1337" s="55"/>
      <c r="C1337" s="70"/>
      <c r="D1337" s="12"/>
      <c r="E1337" s="128"/>
      <c r="F1337" s="12"/>
      <c r="G1337" s="71"/>
      <c r="H1337" s="71"/>
      <c r="I1337" s="56"/>
      <c r="J1337" s="71"/>
      <c r="K1337" s="56"/>
      <c r="L1337" s="71"/>
      <c r="M1337" s="56"/>
      <c r="N1337" s="12"/>
      <c r="O1337" s="12"/>
      <c r="P1337" s="57"/>
      <c r="Q1337" s="50"/>
      <c r="R1337" s="229"/>
      <c r="S1337" s="58"/>
      <c r="T1337" s="58"/>
      <c r="U1337" s="58"/>
      <c r="V1337" s="59"/>
      <c r="W1337" s="60"/>
    </row>
    <row r="1338" spans="1:23" x14ac:dyDescent="0.35">
      <c r="A1338" s="61"/>
      <c r="B1338" s="55"/>
      <c r="C1338" s="70"/>
      <c r="D1338" s="12"/>
      <c r="E1338" s="128"/>
      <c r="F1338" s="12"/>
      <c r="G1338" s="71"/>
      <c r="H1338" s="71"/>
      <c r="I1338" s="56"/>
      <c r="J1338" s="71"/>
      <c r="K1338" s="56"/>
      <c r="L1338" s="71"/>
      <c r="M1338" s="56"/>
      <c r="N1338" s="12"/>
      <c r="O1338" s="12"/>
      <c r="P1338" s="57"/>
      <c r="Q1338" s="50"/>
      <c r="R1338" s="229"/>
      <c r="S1338" s="58"/>
      <c r="T1338" s="58"/>
      <c r="U1338" s="58"/>
      <c r="V1338" s="59"/>
      <c r="W1338" s="60"/>
    </row>
    <row r="1339" spans="1:23" x14ac:dyDescent="0.35">
      <c r="A1339" s="61"/>
      <c r="B1339" s="55"/>
      <c r="C1339" s="70"/>
      <c r="D1339" s="12"/>
      <c r="E1339" s="128"/>
      <c r="F1339" s="12"/>
      <c r="G1339" s="71"/>
      <c r="H1339" s="71"/>
      <c r="I1339" s="56"/>
      <c r="J1339" s="71"/>
      <c r="K1339" s="56"/>
      <c r="L1339" s="71"/>
      <c r="M1339" s="56"/>
      <c r="N1339" s="12"/>
      <c r="O1339" s="12"/>
      <c r="P1339" s="57"/>
      <c r="Q1339" s="50"/>
      <c r="R1339" s="229"/>
      <c r="S1339" s="58"/>
      <c r="T1339" s="58"/>
      <c r="U1339" s="58"/>
      <c r="V1339" s="59"/>
      <c r="W1339" s="60"/>
    </row>
    <row r="1340" spans="1:23" x14ac:dyDescent="0.35">
      <c r="A1340" s="61"/>
      <c r="B1340" s="55"/>
      <c r="C1340" s="70"/>
      <c r="D1340" s="12"/>
      <c r="E1340" s="128"/>
      <c r="F1340" s="12"/>
      <c r="G1340" s="71"/>
      <c r="H1340" s="71"/>
      <c r="I1340" s="56"/>
      <c r="J1340" s="71"/>
      <c r="K1340" s="56"/>
      <c r="L1340" s="71"/>
      <c r="M1340" s="56"/>
      <c r="N1340" s="12"/>
      <c r="O1340" s="12"/>
      <c r="P1340" s="57"/>
      <c r="Q1340" s="50"/>
      <c r="R1340" s="229"/>
      <c r="S1340" s="58"/>
      <c r="T1340" s="58"/>
      <c r="U1340" s="58"/>
      <c r="V1340" s="59"/>
      <c r="W1340" s="60"/>
    </row>
    <row r="1341" spans="1:23" x14ac:dyDescent="0.35">
      <c r="A1341" s="61"/>
      <c r="B1341" s="55"/>
      <c r="C1341" s="70"/>
      <c r="D1341" s="12"/>
      <c r="E1341" s="128"/>
      <c r="F1341" s="12"/>
      <c r="G1341" s="71"/>
      <c r="H1341" s="71"/>
      <c r="I1341" s="56"/>
      <c r="J1341" s="71"/>
      <c r="K1341" s="56"/>
      <c r="L1341" s="71"/>
      <c r="M1341" s="56"/>
      <c r="N1341" s="12"/>
      <c r="O1341" s="12"/>
      <c r="P1341" s="57"/>
      <c r="Q1341" s="50"/>
      <c r="R1341" s="229"/>
      <c r="S1341" s="58"/>
      <c r="T1341" s="58"/>
      <c r="U1341" s="58"/>
      <c r="V1341" s="59"/>
      <c r="W1341" s="60"/>
    </row>
    <row r="1342" spans="1:23" x14ac:dyDescent="0.35">
      <c r="A1342" s="61"/>
      <c r="B1342" s="55"/>
      <c r="C1342" s="70"/>
      <c r="D1342" s="12"/>
      <c r="E1342" s="128"/>
      <c r="F1342" s="12"/>
      <c r="G1342" s="71"/>
      <c r="H1342" s="71"/>
      <c r="I1342" s="56"/>
      <c r="J1342" s="71"/>
      <c r="K1342" s="56"/>
      <c r="L1342" s="71"/>
      <c r="M1342" s="56"/>
      <c r="N1342" s="12"/>
      <c r="O1342" s="12"/>
      <c r="P1342" s="57"/>
      <c r="Q1342" s="50"/>
      <c r="R1342" s="229"/>
      <c r="S1342" s="58"/>
      <c r="T1342" s="58"/>
      <c r="U1342" s="58"/>
      <c r="V1342" s="59"/>
      <c r="W1342" s="60"/>
    </row>
    <row r="1343" spans="1:23" x14ac:dyDescent="0.35">
      <c r="A1343" s="61"/>
      <c r="B1343" s="55"/>
      <c r="C1343" s="70"/>
      <c r="D1343" s="12"/>
      <c r="E1343" s="128"/>
      <c r="F1343" s="12"/>
      <c r="G1343" s="71"/>
      <c r="H1343" s="71"/>
      <c r="I1343" s="56"/>
      <c r="J1343" s="71"/>
      <c r="K1343" s="56"/>
      <c r="L1343" s="71"/>
      <c r="M1343" s="56"/>
      <c r="N1343" s="12"/>
      <c r="O1343" s="12"/>
      <c r="P1343" s="57"/>
      <c r="Q1343" s="50"/>
      <c r="R1343" s="229"/>
      <c r="S1343" s="58"/>
      <c r="T1343" s="58"/>
      <c r="U1343" s="58"/>
      <c r="V1343" s="59"/>
      <c r="W1343" s="60"/>
    </row>
    <row r="1344" spans="1:23" x14ac:dyDescent="0.35">
      <c r="A1344" s="61"/>
      <c r="B1344" s="55"/>
      <c r="C1344" s="70"/>
      <c r="D1344" s="12"/>
      <c r="E1344" s="128"/>
      <c r="F1344" s="12"/>
      <c r="G1344" s="71"/>
      <c r="H1344" s="71"/>
      <c r="I1344" s="56"/>
      <c r="J1344" s="71"/>
      <c r="K1344" s="56"/>
      <c r="L1344" s="71"/>
      <c r="M1344" s="56"/>
      <c r="N1344" s="12"/>
      <c r="O1344" s="12"/>
      <c r="P1344" s="57"/>
      <c r="Q1344" s="50"/>
      <c r="R1344" s="229"/>
      <c r="S1344" s="58"/>
      <c r="T1344" s="58"/>
      <c r="U1344" s="58"/>
      <c r="V1344" s="59"/>
      <c r="W1344" s="60"/>
    </row>
    <row r="1345" spans="1:23" x14ac:dyDescent="0.35">
      <c r="A1345" s="61"/>
      <c r="B1345" s="55"/>
      <c r="C1345" s="70"/>
      <c r="D1345" s="12"/>
      <c r="E1345" s="128"/>
      <c r="F1345" s="12"/>
      <c r="G1345" s="71"/>
      <c r="H1345" s="71"/>
      <c r="I1345" s="56"/>
      <c r="J1345" s="71"/>
      <c r="K1345" s="56"/>
      <c r="L1345" s="71"/>
      <c r="M1345" s="56"/>
      <c r="N1345" s="12"/>
      <c r="O1345" s="12"/>
      <c r="P1345" s="57"/>
      <c r="Q1345" s="50"/>
      <c r="R1345" s="229"/>
      <c r="S1345" s="58"/>
      <c r="T1345" s="58"/>
      <c r="U1345" s="58"/>
      <c r="V1345" s="59"/>
      <c r="W1345" s="60"/>
    </row>
    <row r="1346" spans="1:23" x14ac:dyDescent="0.35">
      <c r="A1346" s="61"/>
      <c r="B1346" s="55"/>
      <c r="C1346" s="70"/>
      <c r="D1346" s="12"/>
      <c r="E1346" s="128"/>
      <c r="F1346" s="12"/>
      <c r="G1346" s="71"/>
      <c r="H1346" s="71"/>
      <c r="I1346" s="56"/>
      <c r="J1346" s="71"/>
      <c r="K1346" s="56"/>
      <c r="L1346" s="71"/>
      <c r="M1346" s="56"/>
      <c r="N1346" s="12"/>
      <c r="O1346" s="12"/>
      <c r="P1346" s="57"/>
      <c r="Q1346" s="50"/>
      <c r="R1346" s="229"/>
      <c r="S1346" s="58"/>
      <c r="T1346" s="58"/>
      <c r="U1346" s="58"/>
      <c r="V1346" s="59"/>
      <c r="W1346" s="60"/>
    </row>
    <row r="1347" spans="1:23" x14ac:dyDescent="0.35">
      <c r="A1347" s="61"/>
      <c r="B1347" s="55"/>
      <c r="C1347" s="70"/>
      <c r="D1347" s="12"/>
      <c r="E1347" s="128"/>
      <c r="F1347" s="12"/>
      <c r="G1347" s="71"/>
      <c r="H1347" s="71"/>
      <c r="I1347" s="56"/>
      <c r="J1347" s="71"/>
      <c r="K1347" s="56"/>
      <c r="L1347" s="71"/>
      <c r="M1347" s="56"/>
      <c r="N1347" s="12"/>
      <c r="O1347" s="12"/>
      <c r="P1347" s="57"/>
      <c r="Q1347" s="50"/>
      <c r="R1347" s="229"/>
      <c r="S1347" s="58"/>
      <c r="T1347" s="58"/>
      <c r="U1347" s="58"/>
      <c r="V1347" s="59"/>
      <c r="W1347" s="60"/>
    </row>
    <row r="1348" spans="1:23" x14ac:dyDescent="0.35">
      <c r="A1348" s="61"/>
      <c r="B1348" s="55"/>
      <c r="C1348" s="70"/>
      <c r="D1348" s="12"/>
      <c r="E1348" s="128"/>
      <c r="F1348" s="12"/>
      <c r="G1348" s="71"/>
      <c r="H1348" s="71"/>
      <c r="I1348" s="56"/>
      <c r="J1348" s="71"/>
      <c r="K1348" s="56"/>
      <c r="L1348" s="71"/>
      <c r="M1348" s="56"/>
      <c r="N1348" s="12"/>
      <c r="O1348" s="12"/>
      <c r="P1348" s="57"/>
      <c r="Q1348" s="50"/>
      <c r="R1348" s="229"/>
      <c r="S1348" s="58"/>
      <c r="T1348" s="58"/>
      <c r="U1348" s="58"/>
      <c r="V1348" s="59"/>
      <c r="W1348" s="60"/>
    </row>
    <row r="1349" spans="1:23" x14ac:dyDescent="0.35">
      <c r="A1349" s="61"/>
      <c r="B1349" s="55"/>
      <c r="C1349" s="70"/>
      <c r="D1349" s="12"/>
      <c r="E1349" s="128"/>
      <c r="F1349" s="12"/>
      <c r="G1349" s="71"/>
      <c r="H1349" s="71"/>
      <c r="I1349" s="56"/>
      <c r="J1349" s="71"/>
      <c r="K1349" s="56"/>
      <c r="L1349" s="71"/>
      <c r="M1349" s="56"/>
      <c r="N1349" s="12"/>
      <c r="O1349" s="12"/>
      <c r="P1349" s="57"/>
      <c r="Q1349" s="50"/>
      <c r="R1349" s="229"/>
      <c r="S1349" s="58"/>
      <c r="T1349" s="58"/>
      <c r="U1349" s="58"/>
      <c r="V1349" s="59"/>
      <c r="W1349" s="60"/>
    </row>
    <row r="1350" spans="1:23" x14ac:dyDescent="0.35">
      <c r="A1350" s="61"/>
      <c r="B1350" s="55"/>
      <c r="C1350" s="70"/>
      <c r="D1350" s="12"/>
      <c r="E1350" s="128"/>
      <c r="F1350" s="12"/>
      <c r="G1350" s="71"/>
      <c r="H1350" s="71"/>
      <c r="I1350" s="56"/>
      <c r="J1350" s="71"/>
      <c r="K1350" s="56"/>
      <c r="L1350" s="71"/>
      <c r="M1350" s="56"/>
      <c r="N1350" s="12"/>
      <c r="O1350" s="12"/>
      <c r="P1350" s="57"/>
      <c r="Q1350" s="50"/>
      <c r="R1350" s="229"/>
      <c r="S1350" s="58"/>
      <c r="T1350" s="58"/>
      <c r="U1350" s="58"/>
      <c r="V1350" s="59"/>
      <c r="W1350" s="60"/>
    </row>
    <row r="1351" spans="1:23" x14ac:dyDescent="0.35">
      <c r="A1351" s="61"/>
      <c r="B1351" s="55"/>
      <c r="C1351" s="70"/>
      <c r="D1351" s="12"/>
      <c r="E1351" s="128"/>
      <c r="F1351" s="12"/>
      <c r="G1351" s="71"/>
      <c r="H1351" s="71"/>
      <c r="I1351" s="56"/>
      <c r="J1351" s="71"/>
      <c r="K1351" s="56"/>
      <c r="L1351" s="71"/>
      <c r="M1351" s="56"/>
      <c r="N1351" s="12"/>
      <c r="O1351" s="12"/>
      <c r="P1351" s="57"/>
      <c r="Q1351" s="50"/>
      <c r="R1351" s="229"/>
      <c r="S1351" s="58"/>
      <c r="T1351" s="58"/>
      <c r="U1351" s="58"/>
      <c r="V1351" s="59"/>
      <c r="W1351" s="60"/>
    </row>
    <row r="1352" spans="1:23" x14ac:dyDescent="0.35">
      <c r="A1352" s="61"/>
      <c r="B1352" s="55"/>
      <c r="C1352" s="70"/>
      <c r="D1352" s="12"/>
      <c r="E1352" s="128"/>
      <c r="F1352" s="12"/>
      <c r="G1352" s="71"/>
      <c r="H1352" s="71"/>
      <c r="I1352" s="56"/>
      <c r="J1352" s="71"/>
      <c r="K1352" s="56"/>
      <c r="L1352" s="71"/>
      <c r="M1352" s="56"/>
      <c r="N1352" s="12"/>
      <c r="O1352" s="12"/>
      <c r="P1352" s="57"/>
      <c r="Q1352" s="50"/>
      <c r="R1352" s="229"/>
      <c r="S1352" s="58"/>
      <c r="T1352" s="58"/>
      <c r="U1352" s="58"/>
      <c r="V1352" s="59"/>
      <c r="W1352" s="60"/>
    </row>
    <row r="1353" spans="1:23" x14ac:dyDescent="0.35">
      <c r="A1353" s="61"/>
      <c r="B1353" s="55"/>
      <c r="C1353" s="70"/>
      <c r="D1353" s="12"/>
      <c r="E1353" s="128"/>
      <c r="F1353" s="12"/>
      <c r="G1353" s="71"/>
      <c r="H1353" s="71"/>
      <c r="I1353" s="56"/>
      <c r="J1353" s="71"/>
      <c r="K1353" s="56"/>
      <c r="L1353" s="71"/>
      <c r="M1353" s="56"/>
      <c r="N1353" s="12"/>
      <c r="O1353" s="12"/>
      <c r="P1353" s="57"/>
      <c r="Q1353" s="50"/>
      <c r="R1353" s="229"/>
      <c r="S1353" s="58"/>
      <c r="T1353" s="58"/>
      <c r="U1353" s="58"/>
      <c r="V1353" s="59"/>
      <c r="W1353" s="60"/>
    </row>
    <row r="1354" spans="1:23" x14ac:dyDescent="0.35">
      <c r="A1354" s="61"/>
      <c r="B1354" s="55"/>
      <c r="C1354" s="70"/>
      <c r="D1354" s="12"/>
      <c r="E1354" s="128"/>
      <c r="F1354" s="12"/>
      <c r="G1354" s="71"/>
      <c r="H1354" s="71"/>
      <c r="I1354" s="56"/>
      <c r="J1354" s="71"/>
      <c r="K1354" s="56"/>
      <c r="L1354" s="71"/>
      <c r="M1354" s="56"/>
      <c r="N1354" s="12"/>
      <c r="O1354" s="12"/>
      <c r="P1354" s="57"/>
      <c r="Q1354" s="50"/>
      <c r="R1354" s="229"/>
      <c r="S1354" s="58"/>
      <c r="T1354" s="58"/>
      <c r="U1354" s="58"/>
      <c r="V1354" s="59"/>
      <c r="W1354" s="60"/>
    </row>
    <row r="1355" spans="1:23" x14ac:dyDescent="0.35">
      <c r="A1355" s="61"/>
      <c r="B1355" s="55"/>
      <c r="C1355" s="70"/>
      <c r="D1355" s="12"/>
      <c r="E1355" s="128"/>
      <c r="F1355" s="12"/>
      <c r="G1355" s="71"/>
      <c r="H1355" s="71"/>
      <c r="I1355" s="56"/>
      <c r="J1355" s="71"/>
      <c r="K1355" s="56"/>
      <c r="L1355" s="71"/>
      <c r="M1355" s="56"/>
      <c r="N1355" s="12"/>
      <c r="O1355" s="12"/>
      <c r="P1355" s="57"/>
      <c r="Q1355" s="50"/>
      <c r="R1355" s="229"/>
      <c r="S1355" s="58"/>
      <c r="T1355" s="58"/>
      <c r="U1355" s="58"/>
      <c r="V1355" s="59"/>
      <c r="W1355" s="60"/>
    </row>
    <row r="1356" spans="1:23" x14ac:dyDescent="0.35">
      <c r="A1356" s="61"/>
      <c r="B1356" s="55"/>
      <c r="C1356" s="70"/>
      <c r="D1356" s="12"/>
      <c r="E1356" s="128"/>
      <c r="F1356" s="12"/>
      <c r="G1356" s="71"/>
      <c r="H1356" s="71"/>
      <c r="I1356" s="56"/>
      <c r="J1356" s="71"/>
      <c r="K1356" s="56"/>
      <c r="L1356" s="71"/>
      <c r="M1356" s="56"/>
      <c r="N1356" s="12"/>
      <c r="O1356" s="12"/>
      <c r="P1356" s="57"/>
      <c r="Q1356" s="50"/>
      <c r="R1356" s="229"/>
      <c r="S1356" s="58"/>
      <c r="T1356" s="58"/>
      <c r="U1356" s="58"/>
      <c r="V1356" s="59"/>
      <c r="W1356" s="60"/>
    </row>
    <row r="1357" spans="1:23" x14ac:dyDescent="0.35">
      <c r="A1357" s="61"/>
      <c r="B1357" s="55"/>
      <c r="C1357" s="70"/>
      <c r="D1357" s="12"/>
      <c r="E1357" s="128"/>
      <c r="F1357" s="12"/>
      <c r="G1357" s="71"/>
      <c r="H1357" s="71"/>
      <c r="I1357" s="56"/>
      <c r="J1357" s="71"/>
      <c r="K1357" s="56"/>
      <c r="L1357" s="71"/>
      <c r="M1357" s="56"/>
      <c r="N1357" s="12"/>
      <c r="O1357" s="12"/>
      <c r="P1357" s="57"/>
      <c r="Q1357" s="50"/>
      <c r="R1357" s="229"/>
      <c r="S1357" s="58"/>
      <c r="T1357" s="58"/>
      <c r="U1357" s="58"/>
      <c r="V1357" s="59"/>
      <c r="W1357" s="60"/>
    </row>
    <row r="1358" spans="1:23" x14ac:dyDescent="0.35">
      <c r="A1358" s="61"/>
      <c r="B1358" s="55"/>
      <c r="C1358" s="70"/>
      <c r="D1358" s="12"/>
      <c r="E1358" s="128"/>
      <c r="F1358" s="12"/>
      <c r="G1358" s="71"/>
      <c r="H1358" s="71"/>
      <c r="I1358" s="56"/>
      <c r="J1358" s="71"/>
      <c r="K1358" s="56"/>
      <c r="L1358" s="71"/>
      <c r="M1358" s="56"/>
      <c r="N1358" s="12"/>
      <c r="O1358" s="12"/>
      <c r="P1358" s="57"/>
      <c r="Q1358" s="50"/>
      <c r="R1358" s="229"/>
      <c r="S1358" s="58"/>
      <c r="T1358" s="58"/>
      <c r="U1358" s="58"/>
      <c r="V1358" s="59"/>
      <c r="W1358" s="60"/>
    </row>
    <row r="1359" spans="1:23" x14ac:dyDescent="0.35">
      <c r="A1359" s="61"/>
      <c r="B1359" s="55"/>
      <c r="C1359" s="70"/>
      <c r="D1359" s="12"/>
      <c r="E1359" s="128"/>
      <c r="F1359" s="12"/>
      <c r="G1359" s="71"/>
      <c r="H1359" s="71"/>
      <c r="I1359" s="56"/>
      <c r="J1359" s="71"/>
      <c r="K1359" s="56"/>
      <c r="L1359" s="71"/>
      <c r="M1359" s="56"/>
      <c r="N1359" s="12"/>
      <c r="O1359" s="12"/>
      <c r="P1359" s="57"/>
      <c r="Q1359" s="50"/>
      <c r="R1359" s="229"/>
      <c r="S1359" s="58"/>
      <c r="T1359" s="58"/>
      <c r="U1359" s="58"/>
      <c r="V1359" s="59"/>
      <c r="W1359" s="60"/>
    </row>
    <row r="1360" spans="1:23" x14ac:dyDescent="0.35">
      <c r="A1360" s="61"/>
      <c r="B1360" s="55"/>
      <c r="C1360" s="70"/>
      <c r="D1360" s="12"/>
      <c r="E1360" s="128"/>
      <c r="F1360" s="12"/>
      <c r="G1360" s="71"/>
      <c r="H1360" s="71"/>
      <c r="I1360" s="56"/>
      <c r="J1360" s="71"/>
      <c r="K1360" s="56"/>
      <c r="L1360" s="71"/>
      <c r="M1360" s="56"/>
      <c r="N1360" s="12"/>
      <c r="O1360" s="12"/>
      <c r="P1360" s="57"/>
      <c r="Q1360" s="50"/>
      <c r="R1360" s="229"/>
      <c r="S1360" s="58"/>
      <c r="T1360" s="58"/>
      <c r="U1360" s="58"/>
      <c r="V1360" s="59"/>
      <c r="W1360" s="60"/>
    </row>
    <row r="1361" spans="1:23" x14ac:dyDescent="0.35">
      <c r="A1361" s="61"/>
      <c r="B1361" s="55"/>
      <c r="C1361" s="70"/>
      <c r="D1361" s="12"/>
      <c r="E1361" s="128"/>
      <c r="F1361" s="12"/>
      <c r="G1361" s="71"/>
      <c r="H1361" s="71"/>
      <c r="I1361" s="56"/>
      <c r="J1361" s="71"/>
      <c r="K1361" s="56"/>
      <c r="L1361" s="71"/>
      <c r="M1361" s="56"/>
      <c r="N1361" s="12"/>
      <c r="O1361" s="12"/>
      <c r="P1361" s="57"/>
      <c r="Q1361" s="50"/>
      <c r="R1361" s="229"/>
      <c r="S1361" s="58"/>
      <c r="T1361" s="58"/>
      <c r="U1361" s="58"/>
      <c r="V1361" s="59"/>
      <c r="W1361" s="60"/>
    </row>
    <row r="1362" spans="1:23" x14ac:dyDescent="0.35">
      <c r="A1362" s="61"/>
      <c r="B1362" s="55"/>
      <c r="C1362" s="70"/>
      <c r="D1362" s="12"/>
      <c r="E1362" s="128"/>
      <c r="F1362" s="12"/>
      <c r="G1362" s="71"/>
      <c r="H1362" s="71"/>
      <c r="I1362" s="56"/>
      <c r="J1362" s="71"/>
      <c r="K1362" s="56"/>
      <c r="L1362" s="71"/>
      <c r="M1362" s="56"/>
      <c r="N1362" s="12"/>
      <c r="O1362" s="12"/>
      <c r="P1362" s="57"/>
      <c r="Q1362" s="50"/>
      <c r="R1362" s="229"/>
      <c r="S1362" s="58"/>
      <c r="T1362" s="58"/>
      <c r="U1362" s="58"/>
      <c r="V1362" s="59"/>
      <c r="W1362" s="60"/>
    </row>
    <row r="1363" spans="1:23" x14ac:dyDescent="0.35">
      <c r="A1363" s="61"/>
      <c r="B1363" s="55"/>
      <c r="C1363" s="70"/>
      <c r="D1363" s="12"/>
      <c r="E1363" s="128"/>
      <c r="F1363" s="12"/>
      <c r="G1363" s="71"/>
      <c r="H1363" s="71"/>
      <c r="I1363" s="56"/>
      <c r="J1363" s="71"/>
      <c r="K1363" s="56"/>
      <c r="L1363" s="71"/>
      <c r="M1363" s="56"/>
      <c r="N1363" s="12"/>
      <c r="O1363" s="12"/>
      <c r="P1363" s="57"/>
      <c r="Q1363" s="50"/>
      <c r="R1363" s="229"/>
      <c r="S1363" s="58"/>
      <c r="T1363" s="58"/>
      <c r="U1363" s="58"/>
      <c r="V1363" s="59"/>
      <c r="W1363" s="60"/>
    </row>
    <row r="1364" spans="1:23" x14ac:dyDescent="0.35">
      <c r="A1364" s="61"/>
      <c r="B1364" s="55"/>
      <c r="C1364" s="70"/>
      <c r="D1364" s="12"/>
      <c r="E1364" s="128"/>
      <c r="F1364" s="12"/>
      <c r="G1364" s="71"/>
      <c r="H1364" s="71"/>
      <c r="I1364" s="56"/>
      <c r="J1364" s="71"/>
      <c r="K1364" s="56"/>
      <c r="L1364" s="71"/>
      <c r="M1364" s="56"/>
      <c r="N1364" s="12"/>
      <c r="O1364" s="12"/>
      <c r="P1364" s="57"/>
      <c r="Q1364" s="50"/>
      <c r="R1364" s="229"/>
      <c r="S1364" s="58"/>
      <c r="T1364" s="58"/>
      <c r="U1364" s="58"/>
      <c r="V1364" s="59"/>
      <c r="W1364" s="60"/>
    </row>
    <row r="1365" spans="1:23" x14ac:dyDescent="0.35">
      <c r="A1365" s="61"/>
      <c r="B1365" s="55"/>
      <c r="C1365" s="70"/>
      <c r="D1365" s="12"/>
      <c r="E1365" s="128"/>
      <c r="F1365" s="12"/>
      <c r="G1365" s="71"/>
      <c r="H1365" s="71"/>
      <c r="I1365" s="56"/>
      <c r="J1365" s="71"/>
      <c r="K1365" s="56"/>
      <c r="L1365" s="71"/>
      <c r="M1365" s="56"/>
      <c r="N1365" s="12"/>
      <c r="O1365" s="12"/>
      <c r="P1365" s="57"/>
      <c r="Q1365" s="50"/>
      <c r="R1365" s="229"/>
      <c r="S1365" s="58"/>
      <c r="T1365" s="58"/>
      <c r="U1365" s="58"/>
      <c r="V1365" s="59"/>
      <c r="W1365" s="60"/>
    </row>
    <row r="1366" spans="1:23" x14ac:dyDescent="0.35">
      <c r="A1366" s="61"/>
      <c r="B1366" s="55"/>
      <c r="C1366" s="70"/>
      <c r="D1366" s="12"/>
      <c r="E1366" s="128"/>
      <c r="F1366" s="12"/>
      <c r="G1366" s="71"/>
      <c r="H1366" s="71"/>
      <c r="I1366" s="56"/>
      <c r="J1366" s="71"/>
      <c r="K1366" s="56"/>
      <c r="L1366" s="71"/>
      <c r="M1366" s="56"/>
      <c r="N1366" s="12"/>
      <c r="O1366" s="12"/>
      <c r="P1366" s="57"/>
      <c r="Q1366" s="50"/>
      <c r="R1366" s="229"/>
      <c r="S1366" s="58"/>
      <c r="T1366" s="58"/>
      <c r="U1366" s="58"/>
      <c r="V1366" s="59"/>
      <c r="W1366" s="60"/>
    </row>
    <row r="1367" spans="1:23" x14ac:dyDescent="0.35">
      <c r="A1367" s="61"/>
      <c r="B1367" s="55"/>
      <c r="C1367" s="70"/>
      <c r="D1367" s="12"/>
      <c r="E1367" s="128"/>
      <c r="F1367" s="12"/>
      <c r="G1367" s="71"/>
      <c r="H1367" s="71"/>
      <c r="I1367" s="56"/>
      <c r="J1367" s="71"/>
      <c r="K1367" s="56"/>
      <c r="L1367" s="71"/>
      <c r="M1367" s="56"/>
      <c r="N1367" s="12"/>
      <c r="O1367" s="12"/>
      <c r="P1367" s="57"/>
      <c r="Q1367" s="50"/>
      <c r="R1367" s="229"/>
      <c r="S1367" s="58"/>
      <c r="T1367" s="58"/>
      <c r="U1367" s="58"/>
      <c r="V1367" s="59"/>
      <c r="W1367" s="60"/>
    </row>
    <row r="1368" spans="1:23" x14ac:dyDescent="0.35">
      <c r="A1368" s="61"/>
      <c r="B1368" s="55"/>
      <c r="C1368" s="70"/>
      <c r="D1368" s="12"/>
      <c r="E1368" s="128"/>
      <c r="F1368" s="12"/>
      <c r="G1368" s="71"/>
      <c r="H1368" s="71"/>
      <c r="I1368" s="56"/>
      <c r="J1368" s="71"/>
      <c r="K1368" s="56"/>
      <c r="L1368" s="71"/>
      <c r="M1368" s="56"/>
      <c r="N1368" s="12"/>
      <c r="O1368" s="12"/>
      <c r="P1368" s="57"/>
      <c r="Q1368" s="50"/>
      <c r="R1368" s="229"/>
      <c r="S1368" s="58"/>
      <c r="T1368" s="58"/>
      <c r="U1368" s="58"/>
      <c r="V1368" s="59"/>
      <c r="W1368" s="60"/>
    </row>
    <row r="1369" spans="1:23" x14ac:dyDescent="0.35">
      <c r="A1369" s="61"/>
      <c r="B1369" s="55"/>
      <c r="C1369" s="70"/>
      <c r="D1369" s="12"/>
      <c r="E1369" s="128"/>
      <c r="F1369" s="12"/>
      <c r="G1369" s="71"/>
      <c r="H1369" s="71"/>
      <c r="I1369" s="56"/>
      <c r="J1369" s="71"/>
      <c r="K1369" s="56"/>
      <c r="L1369" s="71"/>
      <c r="M1369" s="56"/>
      <c r="N1369" s="12"/>
      <c r="O1369" s="12"/>
      <c r="P1369" s="57"/>
      <c r="Q1369" s="50"/>
      <c r="R1369" s="229"/>
      <c r="S1369" s="58"/>
      <c r="T1369" s="58"/>
      <c r="U1369" s="58"/>
      <c r="V1369" s="59"/>
      <c r="W1369" s="60"/>
    </row>
    <row r="1370" spans="1:23" x14ac:dyDescent="0.35">
      <c r="A1370" s="61"/>
      <c r="B1370" s="55"/>
      <c r="C1370" s="70"/>
      <c r="D1370" s="12"/>
      <c r="E1370" s="128"/>
      <c r="F1370" s="12"/>
      <c r="G1370" s="71"/>
      <c r="H1370" s="71"/>
      <c r="I1370" s="56"/>
      <c r="J1370" s="71"/>
      <c r="K1370" s="56"/>
      <c r="L1370" s="71"/>
      <c r="M1370" s="56"/>
      <c r="N1370" s="12"/>
      <c r="O1370" s="12"/>
      <c r="P1370" s="57"/>
      <c r="Q1370" s="50"/>
      <c r="R1370" s="229"/>
      <c r="S1370" s="58"/>
      <c r="T1370" s="58"/>
      <c r="U1370" s="58"/>
      <c r="V1370" s="59"/>
      <c r="W1370" s="60"/>
    </row>
    <row r="1371" spans="1:23" x14ac:dyDescent="0.35">
      <c r="A1371" s="61"/>
      <c r="B1371" s="55"/>
      <c r="C1371" s="70"/>
      <c r="D1371" s="12"/>
      <c r="E1371" s="128"/>
      <c r="F1371" s="12"/>
      <c r="G1371" s="71"/>
      <c r="H1371" s="71"/>
      <c r="I1371" s="56"/>
      <c r="J1371" s="71"/>
      <c r="K1371" s="56"/>
      <c r="L1371" s="71"/>
      <c r="M1371" s="56"/>
      <c r="N1371" s="12"/>
      <c r="O1371" s="12"/>
      <c r="P1371" s="57"/>
      <c r="Q1371" s="50"/>
      <c r="R1371" s="50"/>
      <c r="S1371" s="58"/>
      <c r="T1371" s="58"/>
      <c r="U1371" s="58"/>
      <c r="V1371" s="59"/>
      <c r="W1371" s="60"/>
    </row>
    <row r="1372" spans="1:23" x14ac:dyDescent="0.35">
      <c r="A1372" s="61"/>
      <c r="B1372" s="55"/>
      <c r="C1372" s="70"/>
      <c r="D1372" s="12"/>
      <c r="E1372" s="128"/>
      <c r="F1372" s="12"/>
      <c r="G1372" s="71"/>
      <c r="H1372" s="71"/>
      <c r="I1372" s="56"/>
      <c r="J1372" s="71"/>
      <c r="K1372" s="56"/>
      <c r="L1372" s="71"/>
      <c r="M1372" s="56"/>
      <c r="N1372" s="12"/>
      <c r="O1372" s="12"/>
      <c r="P1372" s="57"/>
      <c r="Q1372" s="50"/>
      <c r="R1372" s="50"/>
      <c r="S1372" s="58"/>
      <c r="T1372" s="58"/>
      <c r="U1372" s="58"/>
      <c r="V1372" s="59"/>
      <c r="W1372" s="60"/>
    </row>
    <row r="1373" spans="1:23" x14ac:dyDescent="0.35">
      <c r="A1373" s="61"/>
      <c r="B1373" s="55"/>
      <c r="C1373" s="70"/>
      <c r="D1373" s="12"/>
      <c r="E1373" s="128"/>
      <c r="F1373" s="12"/>
      <c r="G1373" s="71"/>
      <c r="H1373" s="71"/>
      <c r="I1373" s="56"/>
      <c r="J1373" s="71"/>
      <c r="K1373" s="56"/>
      <c r="L1373" s="71"/>
      <c r="M1373" s="56"/>
      <c r="N1373" s="12"/>
      <c r="O1373" s="12"/>
      <c r="P1373" s="57"/>
      <c r="Q1373" s="50"/>
      <c r="R1373" s="229"/>
      <c r="S1373" s="58"/>
      <c r="T1373" s="58"/>
      <c r="U1373" s="58"/>
      <c r="V1373" s="59"/>
      <c r="W1373" s="60"/>
    </row>
    <row r="1374" spans="1:23" x14ac:dyDescent="0.35">
      <c r="A1374" s="61"/>
      <c r="B1374" s="55"/>
      <c r="C1374" s="70"/>
      <c r="D1374" s="12"/>
      <c r="E1374" s="128"/>
      <c r="F1374" s="12"/>
      <c r="G1374" s="71"/>
      <c r="H1374" s="71"/>
      <c r="I1374" s="56"/>
      <c r="J1374" s="71"/>
      <c r="K1374" s="56"/>
      <c r="L1374" s="71"/>
      <c r="M1374" s="56"/>
      <c r="N1374" s="12"/>
      <c r="O1374" s="12"/>
      <c r="P1374" s="57"/>
      <c r="Q1374" s="50"/>
      <c r="R1374" s="229"/>
      <c r="S1374" s="58"/>
      <c r="T1374" s="58"/>
      <c r="U1374" s="58"/>
      <c r="V1374" s="59"/>
      <c r="W1374" s="60"/>
    </row>
    <row r="1375" spans="1:23" x14ac:dyDescent="0.35">
      <c r="A1375" s="61"/>
      <c r="B1375" s="55"/>
      <c r="C1375" s="70"/>
      <c r="D1375" s="12"/>
      <c r="E1375" s="128"/>
      <c r="F1375" s="12"/>
      <c r="G1375" s="71"/>
      <c r="H1375" s="71"/>
      <c r="I1375" s="56"/>
      <c r="J1375" s="71"/>
      <c r="K1375" s="56"/>
      <c r="L1375" s="71"/>
      <c r="M1375" s="56"/>
      <c r="N1375" s="12"/>
      <c r="O1375" s="12"/>
      <c r="P1375" s="57"/>
      <c r="Q1375" s="50"/>
      <c r="R1375" s="50"/>
      <c r="S1375" s="58"/>
      <c r="T1375" s="58"/>
      <c r="U1375" s="58"/>
      <c r="V1375" s="59"/>
      <c r="W1375" s="60"/>
    </row>
    <row r="1376" spans="1:23" x14ac:dyDescent="0.35">
      <c r="A1376" s="61"/>
      <c r="B1376" s="55"/>
      <c r="C1376" s="70"/>
      <c r="D1376" s="12"/>
      <c r="E1376" s="128"/>
      <c r="F1376" s="12"/>
      <c r="G1376" s="71"/>
      <c r="H1376" s="71"/>
      <c r="I1376" s="56"/>
      <c r="J1376" s="71"/>
      <c r="K1376" s="56"/>
      <c r="L1376" s="71"/>
      <c r="M1376" s="56"/>
      <c r="N1376" s="12"/>
      <c r="O1376" s="12"/>
      <c r="P1376" s="57"/>
      <c r="Q1376" s="50"/>
      <c r="R1376" s="229"/>
      <c r="S1376" s="58"/>
      <c r="T1376" s="58"/>
      <c r="U1376" s="58"/>
      <c r="V1376" s="59"/>
      <c r="W1376" s="60"/>
    </row>
    <row r="1377" spans="1:23" x14ac:dyDescent="0.35">
      <c r="A1377" s="61"/>
      <c r="B1377" s="55"/>
      <c r="C1377" s="70"/>
      <c r="D1377" s="12"/>
      <c r="E1377" s="128"/>
      <c r="F1377" s="12"/>
      <c r="G1377" s="71"/>
      <c r="H1377" s="71"/>
      <c r="I1377" s="56"/>
      <c r="J1377" s="71"/>
      <c r="K1377" s="56"/>
      <c r="L1377" s="71"/>
      <c r="M1377" s="56"/>
      <c r="N1377" s="12"/>
      <c r="O1377" s="12"/>
      <c r="P1377" s="57"/>
      <c r="Q1377" s="50"/>
      <c r="R1377" s="50"/>
      <c r="S1377" s="58"/>
      <c r="T1377" s="58"/>
      <c r="U1377" s="58"/>
      <c r="V1377" s="59"/>
      <c r="W1377" s="60"/>
    </row>
    <row r="1378" spans="1:23" x14ac:dyDescent="0.35">
      <c r="A1378" s="61"/>
      <c r="B1378" s="55"/>
      <c r="C1378" s="70"/>
      <c r="D1378" s="12"/>
      <c r="E1378" s="128"/>
      <c r="F1378" s="12"/>
      <c r="G1378" s="71"/>
      <c r="H1378" s="71"/>
      <c r="I1378" s="56"/>
      <c r="J1378" s="71"/>
      <c r="K1378" s="56"/>
      <c r="L1378" s="71"/>
      <c r="M1378" s="56"/>
      <c r="N1378" s="12"/>
      <c r="O1378" s="12"/>
      <c r="P1378" s="57"/>
      <c r="Q1378" s="50"/>
      <c r="R1378" s="229"/>
      <c r="S1378" s="58"/>
      <c r="T1378" s="58"/>
      <c r="U1378" s="58"/>
      <c r="V1378" s="59"/>
      <c r="W1378" s="60"/>
    </row>
    <row r="1379" spans="1:23" x14ac:dyDescent="0.35">
      <c r="A1379" s="61"/>
      <c r="B1379" s="55"/>
      <c r="C1379" s="70"/>
      <c r="D1379" s="12"/>
      <c r="E1379" s="128"/>
      <c r="F1379" s="12"/>
      <c r="G1379" s="71"/>
      <c r="H1379" s="71"/>
      <c r="I1379" s="56"/>
      <c r="J1379" s="71"/>
      <c r="K1379" s="56"/>
      <c r="L1379" s="71"/>
      <c r="M1379" s="56"/>
      <c r="N1379" s="12"/>
      <c r="O1379" s="12"/>
      <c r="P1379" s="57"/>
      <c r="Q1379" s="50"/>
      <c r="R1379" s="50"/>
      <c r="S1379" s="58"/>
      <c r="T1379" s="58"/>
      <c r="U1379" s="58"/>
      <c r="V1379" s="59"/>
      <c r="W1379" s="60"/>
    </row>
    <row r="1380" spans="1:23" x14ac:dyDescent="0.35">
      <c r="A1380" s="61"/>
      <c r="B1380" s="55"/>
      <c r="C1380" s="70"/>
      <c r="D1380" s="12"/>
      <c r="E1380" s="128"/>
      <c r="F1380" s="12"/>
      <c r="G1380" s="71"/>
      <c r="H1380" s="71"/>
      <c r="I1380" s="56"/>
      <c r="J1380" s="71"/>
      <c r="K1380" s="56"/>
      <c r="L1380" s="71"/>
      <c r="M1380" s="56"/>
      <c r="N1380" s="12"/>
      <c r="O1380" s="12"/>
      <c r="P1380" s="57"/>
      <c r="Q1380" s="50"/>
      <c r="R1380" s="50"/>
      <c r="S1380" s="58"/>
      <c r="T1380" s="58"/>
      <c r="U1380" s="58"/>
      <c r="V1380" s="59"/>
      <c r="W1380" s="60"/>
    </row>
    <row r="1381" spans="1:23" x14ac:dyDescent="0.35">
      <c r="A1381" s="61"/>
      <c r="B1381" s="55"/>
      <c r="C1381" s="70"/>
      <c r="D1381" s="12"/>
      <c r="E1381" s="128"/>
      <c r="F1381" s="12"/>
      <c r="G1381" s="71"/>
      <c r="H1381" s="71"/>
      <c r="I1381" s="56"/>
      <c r="J1381" s="71"/>
      <c r="K1381" s="56"/>
      <c r="L1381" s="71"/>
      <c r="M1381" s="56"/>
      <c r="N1381" s="12"/>
      <c r="O1381" s="12"/>
      <c r="P1381" s="57"/>
      <c r="Q1381" s="50"/>
      <c r="R1381" s="50"/>
      <c r="S1381" s="58"/>
      <c r="T1381" s="58"/>
      <c r="U1381" s="58"/>
      <c r="V1381" s="59"/>
      <c r="W1381" s="60"/>
    </row>
    <row r="1382" spans="1:23" x14ac:dyDescent="0.35">
      <c r="A1382" s="61"/>
      <c r="B1382" s="55"/>
      <c r="C1382" s="70"/>
      <c r="D1382" s="12"/>
      <c r="E1382" s="128"/>
      <c r="F1382" s="12"/>
      <c r="G1382" s="71"/>
      <c r="H1382" s="71"/>
      <c r="I1382" s="56"/>
      <c r="J1382" s="71"/>
      <c r="K1382" s="56"/>
      <c r="L1382" s="71"/>
      <c r="M1382" s="56"/>
      <c r="N1382" s="12"/>
      <c r="O1382" s="12"/>
      <c r="P1382" s="57"/>
      <c r="Q1382" s="50"/>
      <c r="R1382" s="229"/>
      <c r="S1382" s="58"/>
      <c r="T1382" s="58"/>
      <c r="U1382" s="58"/>
      <c r="V1382" s="59"/>
      <c r="W1382" s="60"/>
    </row>
    <row r="1383" spans="1:23" x14ac:dyDescent="0.35">
      <c r="A1383" s="61"/>
      <c r="B1383" s="55"/>
      <c r="C1383" s="70"/>
      <c r="D1383" s="12"/>
      <c r="E1383" s="128"/>
      <c r="F1383" s="12"/>
      <c r="G1383" s="71"/>
      <c r="H1383" s="71"/>
      <c r="I1383" s="56"/>
      <c r="J1383" s="71"/>
      <c r="K1383" s="56"/>
      <c r="L1383" s="71"/>
      <c r="M1383" s="56"/>
      <c r="N1383" s="12"/>
      <c r="O1383" s="12"/>
      <c r="P1383" s="57"/>
      <c r="Q1383" s="50"/>
      <c r="R1383" s="50"/>
      <c r="S1383" s="58"/>
      <c r="T1383" s="58"/>
      <c r="U1383" s="58"/>
      <c r="V1383" s="59"/>
      <c r="W1383" s="60"/>
    </row>
    <row r="1384" spans="1:23" x14ac:dyDescent="0.35">
      <c r="A1384" s="61"/>
      <c r="B1384" s="55"/>
      <c r="C1384" s="70"/>
      <c r="D1384" s="12"/>
      <c r="E1384" s="128"/>
      <c r="F1384" s="12"/>
      <c r="G1384" s="71"/>
      <c r="H1384" s="71"/>
      <c r="I1384" s="56"/>
      <c r="J1384" s="71"/>
      <c r="K1384" s="56"/>
      <c r="L1384" s="71"/>
      <c r="M1384" s="56"/>
      <c r="N1384" s="12"/>
      <c r="O1384" s="12"/>
      <c r="P1384" s="57"/>
      <c r="Q1384" s="50"/>
      <c r="R1384" s="50"/>
      <c r="S1384" s="58"/>
      <c r="T1384" s="58"/>
      <c r="U1384" s="58"/>
      <c r="V1384" s="59"/>
      <c r="W1384" s="60"/>
    </row>
    <row r="1385" spans="1:23" x14ac:dyDescent="0.35">
      <c r="A1385" s="61"/>
      <c r="B1385" s="55"/>
      <c r="C1385" s="70"/>
      <c r="D1385" s="12"/>
      <c r="E1385" s="128"/>
      <c r="F1385" s="12"/>
      <c r="G1385" s="71"/>
      <c r="H1385" s="71"/>
      <c r="I1385" s="56"/>
      <c r="J1385" s="71"/>
      <c r="K1385" s="56"/>
      <c r="L1385" s="71"/>
      <c r="M1385" s="56"/>
      <c r="N1385" s="12"/>
      <c r="O1385" s="12"/>
      <c r="P1385" s="57"/>
      <c r="Q1385" s="50"/>
      <c r="R1385" s="50"/>
      <c r="S1385" s="58"/>
      <c r="T1385" s="58"/>
      <c r="U1385" s="58"/>
      <c r="V1385" s="59"/>
      <c r="W1385" s="60"/>
    </row>
    <row r="1386" spans="1:23" x14ac:dyDescent="0.35">
      <c r="A1386" s="61"/>
      <c r="B1386" s="55"/>
      <c r="C1386" s="70"/>
      <c r="D1386" s="12"/>
      <c r="E1386" s="128"/>
      <c r="F1386" s="12"/>
      <c r="G1386" s="71"/>
      <c r="H1386" s="71"/>
      <c r="I1386" s="56"/>
      <c r="J1386" s="71"/>
      <c r="K1386" s="56"/>
      <c r="L1386" s="71"/>
      <c r="M1386" s="56"/>
      <c r="N1386" s="12"/>
      <c r="O1386" s="12"/>
      <c r="P1386" s="57"/>
      <c r="Q1386" s="50"/>
      <c r="R1386" s="50"/>
      <c r="S1386" s="58"/>
      <c r="T1386" s="58"/>
      <c r="U1386" s="58"/>
      <c r="V1386" s="59"/>
      <c r="W1386" s="60"/>
    </row>
    <row r="1387" spans="1:23" x14ac:dyDescent="0.35">
      <c r="A1387" s="61"/>
      <c r="B1387" s="55"/>
      <c r="C1387" s="70"/>
      <c r="D1387" s="12"/>
      <c r="E1387" s="128"/>
      <c r="F1387" s="12"/>
      <c r="G1387" s="71"/>
      <c r="H1387" s="71"/>
      <c r="I1387" s="56"/>
      <c r="J1387" s="71"/>
      <c r="K1387" s="56"/>
      <c r="L1387" s="71"/>
      <c r="M1387" s="56"/>
      <c r="N1387" s="12"/>
      <c r="O1387" s="12"/>
      <c r="P1387" s="57"/>
      <c r="Q1387" s="50"/>
      <c r="R1387" s="50"/>
      <c r="S1387" s="58"/>
      <c r="T1387" s="58"/>
      <c r="U1387" s="58"/>
      <c r="V1387" s="59"/>
      <c r="W1387" s="60"/>
    </row>
    <row r="1388" spans="1:23" x14ac:dyDescent="0.35">
      <c r="A1388" s="61"/>
      <c r="B1388" s="55"/>
      <c r="C1388" s="70"/>
      <c r="D1388" s="12"/>
      <c r="E1388" s="128"/>
      <c r="F1388" s="12"/>
      <c r="G1388" s="71"/>
      <c r="H1388" s="71"/>
      <c r="I1388" s="56"/>
      <c r="J1388" s="71"/>
      <c r="K1388" s="56"/>
      <c r="L1388" s="71"/>
      <c r="M1388" s="56"/>
      <c r="N1388" s="12"/>
      <c r="O1388" s="12"/>
      <c r="P1388" s="57"/>
      <c r="Q1388" s="50"/>
      <c r="R1388" s="50"/>
      <c r="S1388" s="58"/>
      <c r="T1388" s="58"/>
      <c r="U1388" s="58"/>
      <c r="V1388" s="59"/>
      <c r="W1388" s="60"/>
    </row>
    <row r="1389" spans="1:23" x14ac:dyDescent="0.35">
      <c r="A1389" s="61"/>
      <c r="B1389" s="55"/>
      <c r="C1389" s="70"/>
      <c r="D1389" s="12"/>
      <c r="E1389" s="128"/>
      <c r="F1389" s="12"/>
      <c r="G1389" s="71"/>
      <c r="H1389" s="71"/>
      <c r="I1389" s="56"/>
      <c r="J1389" s="71"/>
      <c r="K1389" s="56"/>
      <c r="L1389" s="71"/>
      <c r="M1389" s="56"/>
      <c r="N1389" s="12"/>
      <c r="O1389" s="12"/>
      <c r="P1389" s="57"/>
      <c r="Q1389" s="50"/>
      <c r="R1389" s="50"/>
      <c r="S1389" s="58"/>
      <c r="T1389" s="58"/>
      <c r="U1389" s="58"/>
      <c r="V1389" s="59"/>
      <c r="W1389" s="60"/>
    </row>
    <row r="1390" spans="1:23" x14ac:dyDescent="0.35">
      <c r="A1390" s="61"/>
      <c r="B1390" s="55"/>
      <c r="C1390" s="70"/>
      <c r="D1390" s="12"/>
      <c r="E1390" s="128"/>
      <c r="F1390" s="12"/>
      <c r="G1390" s="71"/>
      <c r="H1390" s="71"/>
      <c r="I1390" s="56"/>
      <c r="J1390" s="71"/>
      <c r="K1390" s="56"/>
      <c r="L1390" s="71"/>
      <c r="M1390" s="56"/>
      <c r="N1390" s="12"/>
      <c r="O1390" s="12"/>
      <c r="P1390" s="57"/>
      <c r="Q1390" s="50"/>
      <c r="R1390" s="50"/>
      <c r="S1390" s="58"/>
      <c r="T1390" s="58"/>
      <c r="U1390" s="58"/>
      <c r="V1390" s="59"/>
      <c r="W1390" s="60"/>
    </row>
    <row r="1391" spans="1:23" x14ac:dyDescent="0.35">
      <c r="A1391" s="61"/>
      <c r="B1391" s="55"/>
      <c r="C1391" s="70"/>
      <c r="D1391" s="12"/>
      <c r="E1391" s="128"/>
      <c r="F1391" s="12"/>
      <c r="G1391" s="71"/>
      <c r="H1391" s="71"/>
      <c r="I1391" s="56"/>
      <c r="J1391" s="71"/>
      <c r="K1391" s="56"/>
      <c r="L1391" s="71"/>
      <c r="M1391" s="56"/>
      <c r="N1391" s="12"/>
      <c r="O1391" s="12"/>
      <c r="P1391" s="57"/>
      <c r="Q1391" s="50"/>
      <c r="R1391" s="50"/>
      <c r="S1391" s="58"/>
      <c r="T1391" s="58"/>
      <c r="U1391" s="58"/>
      <c r="V1391" s="59"/>
      <c r="W1391" s="60"/>
    </row>
    <row r="1392" spans="1:23" x14ac:dyDescent="0.35">
      <c r="A1392" s="61"/>
      <c r="B1392" s="55"/>
      <c r="C1392" s="70"/>
      <c r="D1392" s="12"/>
      <c r="E1392" s="128"/>
      <c r="F1392" s="12"/>
      <c r="G1392" s="71"/>
      <c r="H1392" s="71"/>
      <c r="I1392" s="56"/>
      <c r="J1392" s="71"/>
      <c r="K1392" s="56"/>
      <c r="L1392" s="71"/>
      <c r="M1392" s="56"/>
      <c r="N1392" s="12"/>
      <c r="O1392" s="12"/>
      <c r="P1392" s="57"/>
      <c r="Q1392" s="50"/>
      <c r="R1392" s="50"/>
      <c r="S1392" s="58"/>
      <c r="T1392" s="58"/>
      <c r="U1392" s="58"/>
      <c r="V1392" s="59"/>
      <c r="W1392" s="60"/>
    </row>
    <row r="1393" spans="1:23" x14ac:dyDescent="0.35">
      <c r="A1393" s="61"/>
      <c r="B1393" s="55"/>
      <c r="C1393" s="70"/>
      <c r="D1393" s="12"/>
      <c r="E1393" s="128"/>
      <c r="F1393" s="12"/>
      <c r="G1393" s="71"/>
      <c r="H1393" s="71"/>
      <c r="I1393" s="56"/>
      <c r="J1393" s="71"/>
      <c r="K1393" s="56"/>
      <c r="L1393" s="71"/>
      <c r="M1393" s="56"/>
      <c r="N1393" s="12"/>
      <c r="O1393" s="12"/>
      <c r="P1393" s="57"/>
      <c r="Q1393" s="50"/>
      <c r="R1393" s="50"/>
      <c r="S1393" s="58"/>
      <c r="T1393" s="58"/>
      <c r="U1393" s="58"/>
      <c r="V1393" s="59"/>
      <c r="W1393" s="60"/>
    </row>
    <row r="1394" spans="1:23" x14ac:dyDescent="0.35">
      <c r="A1394" s="61"/>
      <c r="B1394" s="55"/>
      <c r="C1394" s="70"/>
      <c r="D1394" s="12"/>
      <c r="E1394" s="128"/>
      <c r="F1394" s="12"/>
      <c r="G1394" s="71"/>
      <c r="H1394" s="71"/>
      <c r="I1394" s="56"/>
      <c r="J1394" s="71"/>
      <c r="K1394" s="56"/>
      <c r="L1394" s="71"/>
      <c r="M1394" s="56"/>
      <c r="N1394" s="12"/>
      <c r="O1394" s="12"/>
      <c r="P1394" s="57"/>
      <c r="Q1394" s="50"/>
      <c r="R1394" s="50"/>
      <c r="S1394" s="58"/>
      <c r="T1394" s="58"/>
      <c r="U1394" s="58"/>
      <c r="V1394" s="59"/>
      <c r="W1394" s="60"/>
    </row>
    <row r="1395" spans="1:23" x14ac:dyDescent="0.35">
      <c r="A1395" s="61"/>
      <c r="B1395" s="55"/>
      <c r="C1395" s="70"/>
      <c r="D1395" s="12"/>
      <c r="E1395" s="128"/>
      <c r="F1395" s="12"/>
      <c r="G1395" s="71"/>
      <c r="H1395" s="71"/>
      <c r="I1395" s="56"/>
      <c r="J1395" s="71"/>
      <c r="K1395" s="56"/>
      <c r="L1395" s="71"/>
      <c r="M1395" s="56"/>
      <c r="N1395" s="12"/>
      <c r="O1395" s="12"/>
      <c r="P1395" s="57"/>
      <c r="Q1395" s="50"/>
      <c r="R1395" s="50"/>
      <c r="S1395" s="58"/>
      <c r="T1395" s="58"/>
      <c r="U1395" s="58"/>
      <c r="V1395" s="59"/>
      <c r="W1395" s="60"/>
    </row>
    <row r="1396" spans="1:23" x14ac:dyDescent="0.35">
      <c r="A1396" s="61"/>
      <c r="B1396" s="55"/>
      <c r="C1396" s="70"/>
      <c r="D1396" s="12"/>
      <c r="E1396" s="128"/>
      <c r="F1396" s="12"/>
      <c r="G1396" s="71"/>
      <c r="H1396" s="71"/>
      <c r="I1396" s="56"/>
      <c r="J1396" s="71"/>
      <c r="K1396" s="56"/>
      <c r="L1396" s="71"/>
      <c r="M1396" s="56"/>
      <c r="N1396" s="12"/>
      <c r="O1396" s="12"/>
      <c r="P1396" s="57"/>
      <c r="Q1396" s="50"/>
      <c r="R1396" s="229"/>
      <c r="S1396" s="58"/>
      <c r="T1396" s="58"/>
      <c r="U1396" s="58"/>
      <c r="V1396" s="59"/>
      <c r="W1396" s="60"/>
    </row>
    <row r="1397" spans="1:23" x14ac:dyDescent="0.35">
      <c r="A1397" s="61"/>
      <c r="B1397" s="55"/>
      <c r="C1397" s="70"/>
      <c r="D1397" s="12"/>
      <c r="E1397" s="128"/>
      <c r="F1397" s="12"/>
      <c r="G1397" s="71"/>
      <c r="H1397" s="71"/>
      <c r="I1397" s="56"/>
      <c r="J1397" s="71"/>
      <c r="K1397" s="56"/>
      <c r="L1397" s="71"/>
      <c r="M1397" s="56"/>
      <c r="N1397" s="12"/>
      <c r="O1397" s="12"/>
      <c r="P1397" s="57"/>
      <c r="Q1397" s="50"/>
      <c r="R1397" s="50"/>
      <c r="S1397" s="58"/>
      <c r="T1397" s="58"/>
      <c r="U1397" s="58"/>
      <c r="V1397" s="59"/>
      <c r="W1397" s="60"/>
    </row>
    <row r="1398" spans="1:23" x14ac:dyDescent="0.35">
      <c r="A1398" s="61"/>
      <c r="B1398" s="55"/>
      <c r="C1398" s="70"/>
      <c r="D1398" s="12"/>
      <c r="E1398" s="128"/>
      <c r="F1398" s="12"/>
      <c r="G1398" s="71"/>
      <c r="H1398" s="71"/>
      <c r="I1398" s="56"/>
      <c r="J1398" s="71"/>
      <c r="K1398" s="56"/>
      <c r="L1398" s="71"/>
      <c r="M1398" s="56"/>
      <c r="N1398" s="12"/>
      <c r="O1398" s="12"/>
      <c r="P1398" s="57"/>
      <c r="Q1398" s="50"/>
      <c r="R1398" s="50"/>
      <c r="S1398" s="58"/>
      <c r="T1398" s="58"/>
      <c r="U1398" s="58"/>
      <c r="V1398" s="59"/>
      <c r="W1398" s="60"/>
    </row>
    <row r="1399" spans="1:23" x14ac:dyDescent="0.35">
      <c r="A1399" s="61"/>
      <c r="B1399" s="55"/>
      <c r="C1399" s="70"/>
      <c r="D1399" s="12"/>
      <c r="E1399" s="128"/>
      <c r="F1399" s="12"/>
      <c r="G1399" s="71"/>
      <c r="H1399" s="71"/>
      <c r="I1399" s="56"/>
      <c r="J1399" s="71"/>
      <c r="K1399" s="56"/>
      <c r="L1399" s="71"/>
      <c r="M1399" s="56"/>
      <c r="N1399" s="12"/>
      <c r="O1399" s="12"/>
      <c r="P1399" s="57"/>
      <c r="Q1399" s="50"/>
      <c r="R1399" s="50"/>
      <c r="S1399" s="58"/>
      <c r="T1399" s="58"/>
      <c r="U1399" s="58"/>
      <c r="V1399" s="59"/>
      <c r="W1399" s="60"/>
    </row>
    <row r="1400" spans="1:23" x14ac:dyDescent="0.35">
      <c r="A1400" s="61"/>
      <c r="B1400" s="55"/>
      <c r="C1400" s="70"/>
      <c r="D1400" s="12"/>
      <c r="E1400" s="128"/>
      <c r="F1400" s="12"/>
      <c r="G1400" s="71"/>
      <c r="H1400" s="71"/>
      <c r="I1400" s="56"/>
      <c r="J1400" s="71"/>
      <c r="K1400" s="56"/>
      <c r="L1400" s="71"/>
      <c r="M1400" s="56"/>
      <c r="N1400" s="12"/>
      <c r="O1400" s="12"/>
      <c r="P1400" s="57"/>
      <c r="Q1400" s="50"/>
      <c r="R1400" s="50"/>
      <c r="S1400" s="58"/>
      <c r="T1400" s="58"/>
      <c r="U1400" s="58"/>
      <c r="V1400" s="59"/>
      <c r="W1400" s="60"/>
    </row>
    <row r="1401" spans="1:23" x14ac:dyDescent="0.35">
      <c r="A1401" s="61"/>
      <c r="B1401" s="55"/>
      <c r="C1401" s="70"/>
      <c r="D1401" s="12"/>
      <c r="E1401" s="128"/>
      <c r="F1401" s="12"/>
      <c r="G1401" s="71"/>
      <c r="H1401" s="71"/>
      <c r="I1401" s="56"/>
      <c r="J1401" s="71"/>
      <c r="K1401" s="56"/>
      <c r="L1401" s="71"/>
      <c r="M1401" s="56"/>
      <c r="N1401" s="12"/>
      <c r="O1401" s="12"/>
      <c r="P1401" s="57"/>
      <c r="Q1401" s="50"/>
      <c r="R1401" s="50"/>
      <c r="S1401" s="58"/>
      <c r="T1401" s="58"/>
      <c r="U1401" s="58"/>
      <c r="V1401" s="59"/>
      <c r="W1401" s="60"/>
    </row>
    <row r="1402" spans="1:23" x14ac:dyDescent="0.35">
      <c r="A1402" s="61"/>
      <c r="B1402" s="55"/>
      <c r="C1402" s="70"/>
      <c r="D1402" s="12"/>
      <c r="E1402" s="128"/>
      <c r="F1402" s="12"/>
      <c r="G1402" s="71"/>
      <c r="H1402" s="71"/>
      <c r="I1402" s="56"/>
      <c r="J1402" s="71"/>
      <c r="K1402" s="56"/>
      <c r="L1402" s="71"/>
      <c r="M1402" s="56"/>
      <c r="N1402" s="12"/>
      <c r="O1402" s="12"/>
      <c r="P1402" s="57"/>
      <c r="Q1402" s="50"/>
      <c r="R1402" s="50"/>
      <c r="S1402" s="58"/>
      <c r="T1402" s="58"/>
      <c r="U1402" s="58"/>
      <c r="V1402" s="59"/>
      <c r="W1402" s="60"/>
    </row>
    <row r="1403" spans="1:23" x14ac:dyDescent="0.35">
      <c r="A1403" s="61"/>
      <c r="B1403" s="55"/>
      <c r="C1403" s="70"/>
      <c r="D1403" s="12"/>
      <c r="E1403" s="128"/>
      <c r="F1403" s="12"/>
      <c r="G1403" s="71"/>
      <c r="H1403" s="71"/>
      <c r="I1403" s="56"/>
      <c r="J1403" s="71"/>
      <c r="K1403" s="56"/>
      <c r="L1403" s="71"/>
      <c r="M1403" s="56"/>
      <c r="N1403" s="12"/>
      <c r="O1403" s="12"/>
      <c r="P1403" s="57"/>
      <c r="Q1403" s="50"/>
      <c r="R1403" s="50"/>
      <c r="S1403" s="58"/>
      <c r="T1403" s="58"/>
      <c r="U1403" s="58"/>
      <c r="V1403" s="59"/>
      <c r="W1403" s="60"/>
    </row>
    <row r="1404" spans="1:23" x14ac:dyDescent="0.35">
      <c r="A1404" s="61"/>
      <c r="B1404" s="55"/>
      <c r="C1404" s="70"/>
      <c r="D1404" s="12"/>
      <c r="E1404" s="128"/>
      <c r="F1404" s="12"/>
      <c r="G1404" s="71"/>
      <c r="H1404" s="71"/>
      <c r="I1404" s="56"/>
      <c r="J1404" s="71"/>
      <c r="K1404" s="56"/>
      <c r="L1404" s="71"/>
      <c r="M1404" s="56"/>
      <c r="N1404" s="12"/>
      <c r="O1404" s="12"/>
      <c r="P1404" s="57"/>
      <c r="Q1404" s="50"/>
      <c r="R1404" s="229"/>
      <c r="S1404" s="58"/>
      <c r="T1404" s="58"/>
      <c r="U1404" s="58"/>
      <c r="V1404" s="59"/>
      <c r="W1404" s="60"/>
    </row>
    <row r="1405" spans="1:23" x14ac:dyDescent="0.35">
      <c r="A1405" s="61"/>
      <c r="B1405" s="55"/>
      <c r="C1405" s="70"/>
      <c r="D1405" s="12"/>
      <c r="E1405" s="128"/>
      <c r="F1405" s="12"/>
      <c r="G1405" s="71"/>
      <c r="H1405" s="71"/>
      <c r="I1405" s="56"/>
      <c r="J1405" s="71"/>
      <c r="K1405" s="56"/>
      <c r="L1405" s="71"/>
      <c r="M1405" s="56"/>
      <c r="N1405" s="12"/>
      <c r="O1405" s="12"/>
      <c r="P1405" s="57"/>
      <c r="Q1405" s="50"/>
      <c r="R1405" s="229"/>
      <c r="S1405" s="58"/>
      <c r="T1405" s="58"/>
      <c r="U1405" s="58"/>
      <c r="V1405" s="59"/>
      <c r="W1405" s="60"/>
    </row>
    <row r="1406" spans="1:23" x14ac:dyDescent="0.35">
      <c r="A1406" s="61"/>
      <c r="B1406" s="55"/>
      <c r="C1406" s="70"/>
      <c r="D1406" s="12"/>
      <c r="E1406" s="128"/>
      <c r="F1406" s="12"/>
      <c r="G1406" s="71"/>
      <c r="H1406" s="71"/>
      <c r="I1406" s="56"/>
      <c r="J1406" s="71"/>
      <c r="K1406" s="56"/>
      <c r="L1406" s="71"/>
      <c r="M1406" s="56"/>
      <c r="N1406" s="12"/>
      <c r="O1406" s="12"/>
      <c r="P1406" s="57"/>
      <c r="Q1406" s="50"/>
      <c r="R1406" s="229"/>
      <c r="S1406" s="58"/>
      <c r="T1406" s="58"/>
      <c r="U1406" s="58"/>
      <c r="V1406" s="59"/>
      <c r="W1406" s="60"/>
    </row>
    <row r="1407" spans="1:23" x14ac:dyDescent="0.35">
      <c r="A1407" s="61"/>
      <c r="B1407" s="55"/>
      <c r="C1407" s="70"/>
      <c r="D1407" s="12"/>
      <c r="E1407" s="128"/>
      <c r="F1407" s="12"/>
      <c r="G1407" s="71"/>
      <c r="H1407" s="71"/>
      <c r="I1407" s="56"/>
      <c r="J1407" s="71"/>
      <c r="K1407" s="56"/>
      <c r="L1407" s="71"/>
      <c r="M1407" s="56"/>
      <c r="N1407" s="12"/>
      <c r="O1407" s="12"/>
      <c r="P1407" s="57"/>
      <c r="Q1407" s="50"/>
      <c r="R1407" s="229"/>
      <c r="S1407" s="58"/>
      <c r="T1407" s="58"/>
      <c r="U1407" s="58"/>
      <c r="V1407" s="59"/>
      <c r="W1407" s="60"/>
    </row>
    <row r="1408" spans="1:23" x14ac:dyDescent="0.35">
      <c r="A1408" s="61"/>
      <c r="B1408" s="55"/>
      <c r="C1408" s="70"/>
      <c r="D1408" s="12"/>
      <c r="E1408" s="128"/>
      <c r="F1408" s="12"/>
      <c r="G1408" s="71"/>
      <c r="H1408" s="71"/>
      <c r="I1408" s="56"/>
      <c r="J1408" s="71"/>
      <c r="K1408" s="56"/>
      <c r="L1408" s="71"/>
      <c r="M1408" s="56"/>
      <c r="N1408" s="12"/>
      <c r="O1408" s="12"/>
      <c r="P1408" s="57"/>
      <c r="Q1408" s="50"/>
      <c r="R1408" s="229"/>
      <c r="S1408" s="58"/>
      <c r="T1408" s="58"/>
      <c r="U1408" s="58"/>
      <c r="V1408" s="59"/>
      <c r="W1408" s="60"/>
    </row>
    <row r="1409" spans="1:23" x14ac:dyDescent="0.35">
      <c r="A1409" s="61"/>
      <c r="B1409" s="55"/>
      <c r="C1409" s="70"/>
      <c r="D1409" s="12"/>
      <c r="E1409" s="128"/>
      <c r="F1409" s="12"/>
      <c r="G1409" s="71"/>
      <c r="H1409" s="71"/>
      <c r="I1409" s="56"/>
      <c r="J1409" s="71"/>
      <c r="K1409" s="56"/>
      <c r="L1409" s="71"/>
      <c r="M1409" s="56"/>
      <c r="N1409" s="12"/>
      <c r="O1409" s="12"/>
      <c r="P1409" s="57"/>
      <c r="Q1409" s="50"/>
      <c r="R1409" s="229"/>
      <c r="S1409" s="58"/>
      <c r="T1409" s="58"/>
      <c r="U1409" s="58"/>
      <c r="V1409" s="59"/>
      <c r="W1409" s="60"/>
    </row>
    <row r="1410" spans="1:23" x14ac:dyDescent="0.35">
      <c r="A1410" s="61"/>
      <c r="B1410" s="55"/>
      <c r="C1410" s="70"/>
      <c r="D1410" s="12"/>
      <c r="E1410" s="128"/>
      <c r="F1410" s="12"/>
      <c r="G1410" s="71"/>
      <c r="H1410" s="71"/>
      <c r="I1410" s="56"/>
      <c r="J1410" s="71"/>
      <c r="K1410" s="56"/>
      <c r="L1410" s="71"/>
      <c r="M1410" s="56"/>
      <c r="N1410" s="12"/>
      <c r="O1410" s="12"/>
      <c r="P1410" s="57"/>
      <c r="Q1410" s="50"/>
      <c r="R1410" s="229"/>
      <c r="S1410" s="58"/>
      <c r="T1410" s="58"/>
      <c r="U1410" s="58"/>
      <c r="V1410" s="59"/>
      <c r="W1410" s="60"/>
    </row>
    <row r="1411" spans="1:23" x14ac:dyDescent="0.35">
      <c r="A1411" s="61"/>
      <c r="B1411" s="55"/>
      <c r="C1411" s="70"/>
      <c r="D1411" s="12"/>
      <c r="E1411" s="128"/>
      <c r="F1411" s="12"/>
      <c r="G1411" s="71"/>
      <c r="H1411" s="71"/>
      <c r="I1411" s="56"/>
      <c r="J1411" s="71"/>
      <c r="K1411" s="56"/>
      <c r="L1411" s="71"/>
      <c r="M1411" s="56"/>
      <c r="N1411" s="12"/>
      <c r="O1411" s="12"/>
      <c r="P1411" s="57"/>
      <c r="Q1411" s="50"/>
      <c r="R1411" s="229"/>
      <c r="S1411" s="58"/>
      <c r="T1411" s="58"/>
      <c r="U1411" s="58"/>
      <c r="V1411" s="59"/>
      <c r="W1411" s="60"/>
    </row>
    <row r="1412" spans="1:23" x14ac:dyDescent="0.35">
      <c r="A1412" s="61"/>
      <c r="B1412" s="55"/>
      <c r="C1412" s="70"/>
      <c r="D1412" s="12"/>
      <c r="E1412" s="128"/>
      <c r="F1412" s="12"/>
      <c r="G1412" s="71"/>
      <c r="H1412" s="71"/>
      <c r="I1412" s="56"/>
      <c r="J1412" s="71"/>
      <c r="K1412" s="56"/>
      <c r="L1412" s="71"/>
      <c r="M1412" s="56"/>
      <c r="N1412" s="12"/>
      <c r="O1412" s="12"/>
      <c r="P1412" s="57"/>
      <c r="Q1412" s="50"/>
      <c r="R1412" s="229"/>
      <c r="S1412" s="58"/>
      <c r="T1412" s="58"/>
      <c r="U1412" s="58"/>
      <c r="V1412" s="59"/>
      <c r="W1412" s="60"/>
    </row>
    <row r="1413" spans="1:23" x14ac:dyDescent="0.35">
      <c r="A1413" s="61"/>
      <c r="B1413" s="55"/>
      <c r="C1413" s="70"/>
      <c r="D1413" s="12"/>
      <c r="E1413" s="128"/>
      <c r="F1413" s="12"/>
      <c r="G1413" s="71"/>
      <c r="H1413" s="71"/>
      <c r="I1413" s="56"/>
      <c r="J1413" s="71"/>
      <c r="K1413" s="56"/>
      <c r="L1413" s="71"/>
      <c r="M1413" s="56"/>
      <c r="N1413" s="12"/>
      <c r="O1413" s="12"/>
      <c r="P1413" s="57"/>
      <c r="Q1413" s="50"/>
      <c r="R1413" s="50"/>
      <c r="S1413" s="58"/>
      <c r="T1413" s="58"/>
      <c r="U1413" s="58"/>
      <c r="V1413" s="59"/>
      <c r="W1413" s="60"/>
    </row>
    <row r="1414" spans="1:23" x14ac:dyDescent="0.35">
      <c r="A1414" s="61"/>
      <c r="B1414" s="55"/>
      <c r="C1414" s="70"/>
      <c r="D1414" s="12"/>
      <c r="E1414" s="128"/>
      <c r="F1414" s="12"/>
      <c r="G1414" s="71"/>
      <c r="H1414" s="71"/>
      <c r="I1414" s="56"/>
      <c r="J1414" s="71"/>
      <c r="K1414" s="56"/>
      <c r="L1414" s="71"/>
      <c r="M1414" s="56"/>
      <c r="N1414" s="12"/>
      <c r="O1414" s="12"/>
      <c r="P1414" s="57"/>
      <c r="Q1414" s="50"/>
      <c r="R1414" s="229"/>
      <c r="S1414" s="58"/>
      <c r="T1414" s="58"/>
      <c r="U1414" s="58"/>
      <c r="V1414" s="59"/>
      <c r="W1414" s="60"/>
    </row>
    <row r="1415" spans="1:23" x14ac:dyDescent="0.35">
      <c r="A1415" s="61"/>
      <c r="B1415" s="55"/>
      <c r="C1415" s="70"/>
      <c r="D1415" s="12"/>
      <c r="E1415" s="128"/>
      <c r="F1415" s="12"/>
      <c r="G1415" s="71"/>
      <c r="H1415" s="71"/>
      <c r="I1415" s="56"/>
      <c r="J1415" s="71"/>
      <c r="K1415" s="56"/>
      <c r="L1415" s="71"/>
      <c r="M1415" s="56"/>
      <c r="N1415" s="12"/>
      <c r="O1415" s="12"/>
      <c r="P1415" s="57"/>
      <c r="Q1415" s="50"/>
      <c r="R1415" s="229"/>
      <c r="S1415" s="58"/>
      <c r="T1415" s="58"/>
      <c r="U1415" s="58"/>
      <c r="V1415" s="59"/>
      <c r="W1415" s="60"/>
    </row>
    <row r="1416" spans="1:23" x14ac:dyDescent="0.35">
      <c r="A1416" s="61"/>
      <c r="B1416" s="55"/>
      <c r="C1416" s="70"/>
      <c r="D1416" s="12"/>
      <c r="E1416" s="128"/>
      <c r="F1416" s="12"/>
      <c r="G1416" s="71"/>
      <c r="H1416" s="71"/>
      <c r="I1416" s="56"/>
      <c r="J1416" s="71"/>
      <c r="K1416" s="56"/>
      <c r="L1416" s="71"/>
      <c r="M1416" s="56"/>
      <c r="N1416" s="12"/>
      <c r="O1416" s="12"/>
      <c r="P1416" s="57"/>
      <c r="Q1416" s="50"/>
      <c r="R1416" s="229"/>
      <c r="S1416" s="58"/>
      <c r="T1416" s="58"/>
      <c r="U1416" s="58"/>
      <c r="V1416" s="59"/>
      <c r="W1416" s="60"/>
    </row>
    <row r="1417" spans="1:23" x14ac:dyDescent="0.35">
      <c r="A1417" s="61"/>
      <c r="B1417" s="55"/>
      <c r="C1417" s="70"/>
      <c r="D1417" s="12"/>
      <c r="E1417" s="128"/>
      <c r="F1417" s="12"/>
      <c r="G1417" s="71"/>
      <c r="H1417" s="71"/>
      <c r="I1417" s="56"/>
      <c r="J1417" s="71"/>
      <c r="K1417" s="56"/>
      <c r="L1417" s="71"/>
      <c r="M1417" s="56"/>
      <c r="N1417" s="12"/>
      <c r="O1417" s="12"/>
      <c r="P1417" s="57"/>
      <c r="Q1417" s="50"/>
      <c r="R1417" s="229"/>
      <c r="S1417" s="58"/>
      <c r="T1417" s="58"/>
      <c r="U1417" s="58"/>
      <c r="V1417" s="59"/>
      <c r="W1417" s="60"/>
    </row>
    <row r="1418" spans="1:23" x14ac:dyDescent="0.35">
      <c r="A1418" s="61"/>
      <c r="B1418" s="55"/>
      <c r="C1418" s="70"/>
      <c r="D1418" s="12"/>
      <c r="E1418" s="128"/>
      <c r="F1418" s="12"/>
      <c r="G1418" s="71"/>
      <c r="H1418" s="71"/>
      <c r="I1418" s="56"/>
      <c r="J1418" s="71"/>
      <c r="K1418" s="56"/>
      <c r="L1418" s="71"/>
      <c r="M1418" s="56"/>
      <c r="N1418" s="12"/>
      <c r="O1418" s="12"/>
      <c r="P1418" s="57"/>
      <c r="Q1418" s="50"/>
      <c r="R1418" s="229"/>
      <c r="S1418" s="58"/>
      <c r="T1418" s="58"/>
      <c r="U1418" s="58"/>
      <c r="V1418" s="59"/>
      <c r="W1418" s="60"/>
    </row>
    <row r="1419" spans="1:23" x14ac:dyDescent="0.35">
      <c r="A1419" s="61"/>
      <c r="B1419" s="55"/>
      <c r="C1419" s="70"/>
      <c r="D1419" s="12"/>
      <c r="E1419" s="128"/>
      <c r="F1419" s="12"/>
      <c r="G1419" s="71"/>
      <c r="H1419" s="71"/>
      <c r="I1419" s="56"/>
      <c r="J1419" s="71"/>
      <c r="K1419" s="56"/>
      <c r="L1419" s="71"/>
      <c r="M1419" s="56"/>
      <c r="N1419" s="12"/>
      <c r="O1419" s="12"/>
      <c r="P1419" s="57"/>
      <c r="Q1419" s="50"/>
      <c r="R1419" s="229"/>
      <c r="S1419" s="58"/>
      <c r="T1419" s="58"/>
      <c r="U1419" s="58"/>
      <c r="V1419" s="59"/>
      <c r="W1419" s="60"/>
    </row>
    <row r="1420" spans="1:23" x14ac:dyDescent="0.35">
      <c r="A1420" s="61"/>
      <c r="B1420" s="55"/>
      <c r="C1420" s="70"/>
      <c r="D1420" s="12"/>
      <c r="E1420" s="128"/>
      <c r="F1420" s="12"/>
      <c r="G1420" s="71"/>
      <c r="H1420" s="71"/>
      <c r="I1420" s="56"/>
      <c r="J1420" s="71"/>
      <c r="K1420" s="56"/>
      <c r="L1420" s="71"/>
      <c r="M1420" s="56"/>
      <c r="N1420" s="12"/>
      <c r="O1420" s="12"/>
      <c r="P1420" s="57"/>
      <c r="Q1420" s="50"/>
      <c r="R1420" s="229"/>
      <c r="S1420" s="58"/>
      <c r="T1420" s="58"/>
      <c r="U1420" s="58"/>
      <c r="V1420" s="59"/>
      <c r="W1420" s="60"/>
    </row>
    <row r="1421" spans="1:23" x14ac:dyDescent="0.35">
      <c r="A1421" s="61"/>
      <c r="B1421" s="55"/>
      <c r="C1421" s="70"/>
      <c r="D1421" s="12"/>
      <c r="E1421" s="128"/>
      <c r="F1421" s="12"/>
      <c r="G1421" s="71"/>
      <c r="H1421" s="71"/>
      <c r="I1421" s="56"/>
      <c r="J1421" s="71"/>
      <c r="K1421" s="56"/>
      <c r="L1421" s="71"/>
      <c r="M1421" s="56"/>
      <c r="N1421" s="12"/>
      <c r="O1421" s="12"/>
      <c r="P1421" s="57"/>
      <c r="Q1421" s="50"/>
      <c r="R1421" s="229"/>
      <c r="S1421" s="58"/>
      <c r="T1421" s="58"/>
      <c r="U1421" s="58"/>
      <c r="V1421" s="59"/>
      <c r="W1421" s="60"/>
    </row>
    <row r="1422" spans="1:23" x14ac:dyDescent="0.35">
      <c r="A1422" s="61"/>
      <c r="B1422" s="55"/>
      <c r="C1422" s="70"/>
      <c r="D1422" s="12"/>
      <c r="E1422" s="128"/>
      <c r="F1422" s="12"/>
      <c r="G1422" s="71"/>
      <c r="H1422" s="71"/>
      <c r="I1422" s="56"/>
      <c r="J1422" s="71"/>
      <c r="K1422" s="56"/>
      <c r="L1422" s="71"/>
      <c r="M1422" s="56"/>
      <c r="N1422" s="12"/>
      <c r="O1422" s="12"/>
      <c r="P1422" s="57"/>
      <c r="Q1422" s="50"/>
      <c r="R1422" s="229"/>
      <c r="S1422" s="58"/>
      <c r="T1422" s="58"/>
      <c r="U1422" s="58"/>
      <c r="V1422" s="59"/>
      <c r="W1422" s="60"/>
    </row>
    <row r="1423" spans="1:23" x14ac:dyDescent="0.35">
      <c r="A1423" s="61"/>
      <c r="B1423" s="55"/>
      <c r="C1423" s="70"/>
      <c r="D1423" s="12"/>
      <c r="E1423" s="128"/>
      <c r="F1423" s="12"/>
      <c r="G1423" s="71"/>
      <c r="H1423" s="71"/>
      <c r="I1423" s="56"/>
      <c r="J1423" s="71"/>
      <c r="K1423" s="56"/>
      <c r="L1423" s="71"/>
      <c r="M1423" s="56"/>
      <c r="N1423" s="12"/>
      <c r="O1423" s="12"/>
      <c r="P1423" s="57"/>
      <c r="Q1423" s="50"/>
      <c r="R1423" s="229"/>
      <c r="S1423" s="58"/>
      <c r="T1423" s="58"/>
      <c r="U1423" s="58"/>
      <c r="V1423" s="59"/>
      <c r="W1423" s="60"/>
    </row>
    <row r="1424" spans="1:23" x14ac:dyDescent="0.35">
      <c r="A1424" s="61"/>
      <c r="B1424" s="55"/>
      <c r="C1424" s="70"/>
      <c r="D1424" s="12"/>
      <c r="E1424" s="128"/>
      <c r="F1424" s="12"/>
      <c r="G1424" s="71"/>
      <c r="H1424" s="71"/>
      <c r="I1424" s="56"/>
      <c r="J1424" s="71"/>
      <c r="K1424" s="56"/>
      <c r="L1424" s="71"/>
      <c r="M1424" s="56"/>
      <c r="N1424" s="12"/>
      <c r="O1424" s="12"/>
      <c r="P1424" s="57"/>
      <c r="Q1424" s="50"/>
      <c r="R1424" s="229"/>
      <c r="S1424" s="58"/>
      <c r="T1424" s="58"/>
      <c r="U1424" s="58"/>
      <c r="V1424" s="59"/>
      <c r="W1424" s="60"/>
    </row>
    <row r="1425" spans="1:23" x14ac:dyDescent="0.35">
      <c r="A1425" s="61"/>
      <c r="B1425" s="55"/>
      <c r="C1425" s="70"/>
      <c r="D1425" s="12"/>
      <c r="E1425" s="128"/>
      <c r="F1425" s="12"/>
      <c r="G1425" s="71"/>
      <c r="H1425" s="71"/>
      <c r="I1425" s="56"/>
      <c r="J1425" s="71"/>
      <c r="K1425" s="56"/>
      <c r="L1425" s="71"/>
      <c r="M1425" s="56"/>
      <c r="N1425" s="12"/>
      <c r="O1425" s="12"/>
      <c r="P1425" s="57"/>
      <c r="Q1425" s="50"/>
      <c r="R1425" s="229"/>
      <c r="S1425" s="58"/>
      <c r="T1425" s="58"/>
      <c r="U1425" s="58"/>
      <c r="V1425" s="59"/>
      <c r="W1425" s="60"/>
    </row>
    <row r="1426" spans="1:23" x14ac:dyDescent="0.35">
      <c r="A1426" s="61"/>
      <c r="B1426" s="55"/>
      <c r="C1426" s="70"/>
      <c r="D1426" s="12"/>
      <c r="E1426" s="128"/>
      <c r="F1426" s="12"/>
      <c r="G1426" s="71"/>
      <c r="H1426" s="71"/>
      <c r="I1426" s="56"/>
      <c r="J1426" s="71"/>
      <c r="K1426" s="56"/>
      <c r="L1426" s="71"/>
      <c r="M1426" s="56"/>
      <c r="N1426" s="12"/>
      <c r="O1426" s="12"/>
      <c r="P1426" s="57"/>
      <c r="Q1426" s="50"/>
      <c r="R1426" s="229"/>
      <c r="S1426" s="58"/>
      <c r="T1426" s="58"/>
      <c r="U1426" s="58"/>
      <c r="V1426" s="59"/>
      <c r="W1426" s="60"/>
    </row>
    <row r="1427" spans="1:23" x14ac:dyDescent="0.35">
      <c r="A1427" s="61"/>
      <c r="B1427" s="55"/>
      <c r="C1427" s="70"/>
      <c r="D1427" s="12"/>
      <c r="E1427" s="128"/>
      <c r="F1427" s="12"/>
      <c r="G1427" s="71"/>
      <c r="H1427" s="71"/>
      <c r="I1427" s="56"/>
      <c r="J1427" s="71"/>
      <c r="K1427" s="56"/>
      <c r="L1427" s="71"/>
      <c r="M1427" s="56"/>
      <c r="N1427" s="12"/>
      <c r="O1427" s="12"/>
      <c r="P1427" s="57"/>
      <c r="Q1427" s="50"/>
      <c r="R1427" s="50"/>
      <c r="S1427" s="58"/>
      <c r="T1427" s="58"/>
      <c r="U1427" s="58"/>
      <c r="V1427" s="59"/>
      <c r="W1427" s="60"/>
    </row>
    <row r="1428" spans="1:23" x14ac:dyDescent="0.35">
      <c r="A1428" s="61"/>
      <c r="B1428" s="55"/>
      <c r="C1428" s="70"/>
      <c r="D1428" s="12"/>
      <c r="E1428" s="128"/>
      <c r="F1428" s="12"/>
      <c r="G1428" s="71"/>
      <c r="H1428" s="71"/>
      <c r="I1428" s="56"/>
      <c r="J1428" s="71"/>
      <c r="K1428" s="56"/>
      <c r="L1428" s="71"/>
      <c r="M1428" s="56"/>
      <c r="N1428" s="12"/>
      <c r="O1428" s="12"/>
      <c r="P1428" s="57"/>
      <c r="Q1428" s="50"/>
      <c r="R1428" s="229"/>
      <c r="S1428" s="58"/>
      <c r="T1428" s="58"/>
      <c r="U1428" s="58"/>
      <c r="V1428" s="59"/>
      <c r="W1428" s="60"/>
    </row>
    <row r="1429" spans="1:23" x14ac:dyDescent="0.35">
      <c r="A1429" s="61"/>
      <c r="B1429" s="55"/>
      <c r="C1429" s="70"/>
      <c r="D1429" s="12"/>
      <c r="E1429" s="128"/>
      <c r="F1429" s="12"/>
      <c r="G1429" s="71"/>
      <c r="H1429" s="71"/>
      <c r="I1429" s="56"/>
      <c r="J1429" s="71"/>
      <c r="K1429" s="56"/>
      <c r="L1429" s="71"/>
      <c r="M1429" s="56"/>
      <c r="N1429" s="12"/>
      <c r="O1429" s="12"/>
      <c r="P1429" s="57"/>
      <c r="Q1429" s="50"/>
      <c r="R1429" s="229"/>
      <c r="S1429" s="58"/>
      <c r="T1429" s="58"/>
      <c r="U1429" s="58"/>
      <c r="V1429" s="59"/>
      <c r="W1429" s="60"/>
    </row>
    <row r="1430" spans="1:23" x14ac:dyDescent="0.35">
      <c r="A1430" s="61"/>
      <c r="B1430" s="55"/>
      <c r="C1430" s="70"/>
      <c r="D1430" s="12"/>
      <c r="E1430" s="128"/>
      <c r="F1430" s="12"/>
      <c r="G1430" s="71"/>
      <c r="H1430" s="71"/>
      <c r="I1430" s="56"/>
      <c r="J1430" s="71"/>
      <c r="K1430" s="56"/>
      <c r="L1430" s="71"/>
      <c r="M1430" s="56"/>
      <c r="N1430" s="12"/>
      <c r="O1430" s="12"/>
      <c r="P1430" s="57"/>
      <c r="Q1430" s="50"/>
      <c r="R1430" s="229"/>
      <c r="S1430" s="58"/>
      <c r="T1430" s="58"/>
      <c r="U1430" s="58"/>
      <c r="V1430" s="59"/>
      <c r="W1430" s="60"/>
    </row>
    <row r="1431" spans="1:23" x14ac:dyDescent="0.35">
      <c r="A1431" s="61"/>
      <c r="B1431" s="55"/>
      <c r="C1431" s="70"/>
      <c r="D1431" s="12"/>
      <c r="E1431" s="128"/>
      <c r="F1431" s="12"/>
      <c r="G1431" s="71"/>
      <c r="H1431" s="71"/>
      <c r="I1431" s="56"/>
      <c r="J1431" s="71"/>
      <c r="K1431" s="56"/>
      <c r="L1431" s="71"/>
      <c r="M1431" s="56"/>
      <c r="N1431" s="12"/>
      <c r="O1431" s="12"/>
      <c r="P1431" s="57"/>
      <c r="Q1431" s="50"/>
      <c r="R1431" s="50"/>
      <c r="S1431" s="58"/>
      <c r="T1431" s="58"/>
      <c r="U1431" s="58"/>
      <c r="V1431" s="59"/>
      <c r="W1431" s="60"/>
    </row>
    <row r="1432" spans="1:23" x14ac:dyDescent="0.35">
      <c r="A1432" s="61"/>
      <c r="B1432" s="55"/>
      <c r="C1432" s="70"/>
      <c r="D1432" s="12"/>
      <c r="E1432" s="128"/>
      <c r="F1432" s="12"/>
      <c r="G1432" s="71"/>
      <c r="H1432" s="71"/>
      <c r="I1432" s="56"/>
      <c r="J1432" s="71"/>
      <c r="K1432" s="56"/>
      <c r="L1432" s="71"/>
      <c r="M1432" s="56"/>
      <c r="N1432" s="12"/>
      <c r="O1432" s="12"/>
      <c r="P1432" s="57"/>
      <c r="Q1432" s="50"/>
      <c r="R1432" s="229"/>
      <c r="S1432" s="58"/>
      <c r="T1432" s="58"/>
      <c r="U1432" s="58"/>
      <c r="V1432" s="59"/>
      <c r="W1432" s="60"/>
    </row>
    <row r="1433" spans="1:23" x14ac:dyDescent="0.35">
      <c r="A1433" s="61"/>
      <c r="B1433" s="55"/>
      <c r="C1433" s="70"/>
      <c r="D1433" s="12"/>
      <c r="E1433" s="128"/>
      <c r="F1433" s="12"/>
      <c r="G1433" s="71"/>
      <c r="H1433" s="71"/>
      <c r="I1433" s="56"/>
      <c r="J1433" s="71"/>
      <c r="K1433" s="56"/>
      <c r="L1433" s="71"/>
      <c r="M1433" s="56"/>
      <c r="N1433" s="12"/>
      <c r="O1433" s="12"/>
      <c r="P1433" s="57"/>
      <c r="Q1433" s="50"/>
      <c r="R1433" s="229"/>
      <c r="S1433" s="58"/>
      <c r="T1433" s="58"/>
      <c r="U1433" s="58"/>
      <c r="V1433" s="59"/>
      <c r="W1433" s="60"/>
    </row>
    <row r="1434" spans="1:23" x14ac:dyDescent="0.35">
      <c r="A1434" s="61"/>
      <c r="B1434" s="55"/>
      <c r="C1434" s="70"/>
      <c r="D1434" s="12"/>
      <c r="E1434" s="128"/>
      <c r="F1434" s="12"/>
      <c r="G1434" s="71"/>
      <c r="H1434" s="71"/>
      <c r="I1434" s="56"/>
      <c r="J1434" s="71"/>
      <c r="K1434" s="56"/>
      <c r="L1434" s="71"/>
      <c r="M1434" s="56"/>
      <c r="N1434" s="12"/>
      <c r="O1434" s="12"/>
      <c r="P1434" s="57"/>
      <c r="Q1434" s="50"/>
      <c r="R1434" s="229"/>
      <c r="S1434" s="58"/>
      <c r="T1434" s="58"/>
      <c r="U1434" s="58"/>
      <c r="V1434" s="59"/>
      <c r="W1434" s="60"/>
    </row>
    <row r="1435" spans="1:23" x14ac:dyDescent="0.35">
      <c r="A1435" s="61"/>
      <c r="B1435" s="55"/>
      <c r="C1435" s="70"/>
      <c r="D1435" s="12"/>
      <c r="E1435" s="128"/>
      <c r="F1435" s="12"/>
      <c r="G1435" s="71"/>
      <c r="H1435" s="71"/>
      <c r="I1435" s="56"/>
      <c r="J1435" s="71"/>
      <c r="K1435" s="56"/>
      <c r="L1435" s="71"/>
      <c r="M1435" s="56"/>
      <c r="N1435" s="12"/>
      <c r="O1435" s="12"/>
      <c r="P1435" s="57"/>
      <c r="Q1435" s="50"/>
      <c r="R1435" s="50"/>
      <c r="S1435" s="58"/>
      <c r="T1435" s="58"/>
      <c r="U1435" s="58"/>
      <c r="V1435" s="59"/>
      <c r="W1435" s="60"/>
    </row>
    <row r="1436" spans="1:23" x14ac:dyDescent="0.35">
      <c r="A1436" s="61"/>
      <c r="B1436" s="55"/>
      <c r="C1436" s="70"/>
      <c r="D1436" s="12"/>
      <c r="E1436" s="128"/>
      <c r="F1436" s="12"/>
      <c r="G1436" s="71"/>
      <c r="H1436" s="71"/>
      <c r="I1436" s="56"/>
      <c r="J1436" s="71"/>
      <c r="K1436" s="56"/>
      <c r="L1436" s="71"/>
      <c r="M1436" s="56"/>
      <c r="N1436" s="12"/>
      <c r="O1436" s="12"/>
      <c r="P1436" s="57"/>
      <c r="Q1436" s="50"/>
      <c r="R1436" s="229"/>
      <c r="S1436" s="58"/>
      <c r="T1436" s="58"/>
      <c r="U1436" s="58"/>
      <c r="V1436" s="59"/>
      <c r="W1436" s="60"/>
    </row>
    <row r="1437" spans="1:23" x14ac:dyDescent="0.35">
      <c r="A1437" s="61"/>
      <c r="B1437" s="55"/>
      <c r="C1437" s="70"/>
      <c r="D1437" s="12"/>
      <c r="E1437" s="128"/>
      <c r="F1437" s="12"/>
      <c r="G1437" s="71"/>
      <c r="H1437" s="71"/>
      <c r="I1437" s="56"/>
      <c r="J1437" s="71"/>
      <c r="K1437" s="56"/>
      <c r="L1437" s="71"/>
      <c r="M1437" s="56"/>
      <c r="N1437" s="12"/>
      <c r="O1437" s="12"/>
      <c r="P1437" s="57"/>
      <c r="Q1437" s="50"/>
      <c r="R1437" s="229"/>
      <c r="S1437" s="58"/>
      <c r="T1437" s="58"/>
      <c r="U1437" s="58"/>
      <c r="V1437" s="59"/>
      <c r="W1437" s="60"/>
    </row>
    <row r="1438" spans="1:23" x14ac:dyDescent="0.35">
      <c r="A1438" s="61"/>
      <c r="B1438" s="55"/>
      <c r="C1438" s="70"/>
      <c r="D1438" s="12"/>
      <c r="E1438" s="128"/>
      <c r="F1438" s="12"/>
      <c r="G1438" s="71"/>
      <c r="H1438" s="71"/>
      <c r="I1438" s="56"/>
      <c r="J1438" s="71"/>
      <c r="K1438" s="56"/>
      <c r="L1438" s="71"/>
      <c r="M1438" s="56"/>
      <c r="N1438" s="12"/>
      <c r="O1438" s="12"/>
      <c r="P1438" s="57"/>
      <c r="Q1438" s="50"/>
      <c r="R1438" s="50"/>
      <c r="S1438" s="58"/>
      <c r="T1438" s="58"/>
      <c r="U1438" s="58"/>
      <c r="V1438" s="59"/>
      <c r="W1438" s="60"/>
    </row>
    <row r="1439" spans="1:23" x14ac:dyDescent="0.35">
      <c r="A1439" s="61"/>
      <c r="B1439" s="55"/>
      <c r="C1439" s="70"/>
      <c r="D1439" s="12"/>
      <c r="E1439" s="128"/>
      <c r="F1439" s="12"/>
      <c r="G1439" s="71"/>
      <c r="H1439" s="71"/>
      <c r="I1439" s="56"/>
      <c r="J1439" s="71"/>
      <c r="K1439" s="56"/>
      <c r="L1439" s="71"/>
      <c r="M1439" s="56"/>
      <c r="N1439" s="12"/>
      <c r="O1439" s="12"/>
      <c r="P1439" s="57"/>
      <c r="Q1439" s="50"/>
      <c r="R1439" s="229"/>
      <c r="S1439" s="58"/>
      <c r="T1439" s="58"/>
      <c r="U1439" s="58"/>
      <c r="V1439" s="59"/>
      <c r="W1439" s="60"/>
    </row>
    <row r="1440" spans="1:23" x14ac:dyDescent="0.35">
      <c r="A1440" s="61"/>
      <c r="B1440" s="55"/>
      <c r="C1440" s="70"/>
      <c r="D1440" s="12"/>
      <c r="E1440" s="128"/>
      <c r="F1440" s="12"/>
      <c r="G1440" s="71"/>
      <c r="H1440" s="71"/>
      <c r="I1440" s="56"/>
      <c r="J1440" s="71"/>
      <c r="K1440" s="56"/>
      <c r="L1440" s="71"/>
      <c r="M1440" s="56"/>
      <c r="N1440" s="12"/>
      <c r="O1440" s="12"/>
      <c r="P1440" s="57"/>
      <c r="Q1440" s="50"/>
      <c r="R1440" s="229"/>
      <c r="S1440" s="58"/>
      <c r="T1440" s="58"/>
      <c r="U1440" s="58"/>
      <c r="V1440" s="59"/>
      <c r="W1440" s="60"/>
    </row>
    <row r="1441" spans="1:23" x14ac:dyDescent="0.35">
      <c r="A1441" s="61"/>
      <c r="B1441" s="55"/>
      <c r="C1441" s="70"/>
      <c r="D1441" s="12"/>
      <c r="E1441" s="128"/>
      <c r="F1441" s="12"/>
      <c r="G1441" s="71"/>
      <c r="H1441" s="71"/>
      <c r="I1441" s="56"/>
      <c r="J1441" s="71"/>
      <c r="K1441" s="56"/>
      <c r="L1441" s="71"/>
      <c r="M1441" s="56"/>
      <c r="N1441" s="12"/>
      <c r="O1441" s="12"/>
      <c r="P1441" s="57"/>
      <c r="Q1441" s="50"/>
      <c r="R1441" s="229"/>
      <c r="S1441" s="58"/>
      <c r="T1441" s="58"/>
      <c r="U1441" s="58"/>
      <c r="V1441" s="59"/>
      <c r="W1441" s="60"/>
    </row>
    <row r="1442" spans="1:23" x14ac:dyDescent="0.35">
      <c r="A1442" s="61"/>
      <c r="B1442" s="55"/>
      <c r="C1442" s="70"/>
      <c r="D1442" s="12"/>
      <c r="E1442" s="128"/>
      <c r="F1442" s="12"/>
      <c r="G1442" s="71"/>
      <c r="H1442" s="71"/>
      <c r="I1442" s="56"/>
      <c r="J1442" s="71"/>
      <c r="K1442" s="56"/>
      <c r="L1442" s="71"/>
      <c r="M1442" s="56"/>
      <c r="N1442" s="12"/>
      <c r="O1442" s="12"/>
      <c r="P1442" s="57"/>
      <c r="Q1442" s="50"/>
      <c r="R1442" s="229"/>
      <c r="S1442" s="58"/>
      <c r="T1442" s="58"/>
      <c r="U1442" s="58"/>
      <c r="V1442" s="59"/>
      <c r="W1442" s="60"/>
    </row>
    <row r="1443" spans="1:23" x14ac:dyDescent="0.35">
      <c r="A1443" s="61"/>
      <c r="B1443" s="55"/>
      <c r="C1443" s="70"/>
      <c r="D1443" s="12"/>
      <c r="E1443" s="128"/>
      <c r="F1443" s="12"/>
      <c r="G1443" s="71"/>
      <c r="H1443" s="71"/>
      <c r="I1443" s="56"/>
      <c r="J1443" s="71"/>
      <c r="K1443" s="56"/>
      <c r="L1443" s="71"/>
      <c r="M1443" s="56"/>
      <c r="N1443" s="12"/>
      <c r="O1443" s="12"/>
      <c r="P1443" s="57"/>
      <c r="Q1443" s="50"/>
      <c r="R1443" s="229"/>
      <c r="S1443" s="58"/>
      <c r="T1443" s="58"/>
      <c r="U1443" s="58"/>
      <c r="V1443" s="59"/>
      <c r="W1443" s="60"/>
    </row>
    <row r="1444" spans="1:23" x14ac:dyDescent="0.35">
      <c r="A1444" s="61"/>
      <c r="B1444" s="55"/>
      <c r="C1444" s="70"/>
      <c r="D1444" s="12"/>
      <c r="E1444" s="128"/>
      <c r="F1444" s="12"/>
      <c r="G1444" s="71"/>
      <c r="H1444" s="71"/>
      <c r="I1444" s="56"/>
      <c r="J1444" s="71"/>
      <c r="K1444" s="56"/>
      <c r="L1444" s="71"/>
      <c r="M1444" s="56"/>
      <c r="N1444" s="12"/>
      <c r="O1444" s="12"/>
      <c r="P1444" s="57"/>
      <c r="Q1444" s="50"/>
      <c r="R1444" s="229"/>
      <c r="S1444" s="58"/>
      <c r="T1444" s="58"/>
      <c r="U1444" s="58"/>
      <c r="V1444" s="59"/>
      <c r="W1444" s="60"/>
    </row>
    <row r="1445" spans="1:23" x14ac:dyDescent="0.35">
      <c r="A1445" s="61"/>
      <c r="B1445" s="55"/>
      <c r="C1445" s="70"/>
      <c r="D1445" s="12"/>
      <c r="E1445" s="128"/>
      <c r="F1445" s="12"/>
      <c r="G1445" s="71"/>
      <c r="H1445" s="71"/>
      <c r="I1445" s="56"/>
      <c r="J1445" s="71"/>
      <c r="K1445" s="56"/>
      <c r="L1445" s="71"/>
      <c r="M1445" s="56"/>
      <c r="N1445" s="12"/>
      <c r="O1445" s="12"/>
      <c r="P1445" s="57"/>
      <c r="Q1445" s="50"/>
      <c r="R1445" s="229"/>
      <c r="S1445" s="58"/>
      <c r="T1445" s="58"/>
      <c r="U1445" s="58"/>
      <c r="V1445" s="59"/>
      <c r="W1445" s="60"/>
    </row>
    <row r="1446" spans="1:23" x14ac:dyDescent="0.35">
      <c r="A1446" s="61"/>
      <c r="B1446" s="55"/>
      <c r="C1446" s="70"/>
      <c r="D1446" s="12"/>
      <c r="E1446" s="128"/>
      <c r="F1446" s="12"/>
      <c r="G1446" s="71"/>
      <c r="H1446" s="71"/>
      <c r="I1446" s="56"/>
      <c r="J1446" s="71"/>
      <c r="K1446" s="56"/>
      <c r="L1446" s="71"/>
      <c r="M1446" s="56"/>
      <c r="N1446" s="12"/>
      <c r="O1446" s="12"/>
      <c r="P1446" s="57"/>
      <c r="Q1446" s="50"/>
      <c r="R1446" s="229"/>
      <c r="S1446" s="58"/>
      <c r="T1446" s="58"/>
      <c r="U1446" s="58"/>
      <c r="V1446" s="59"/>
      <c r="W1446" s="60"/>
    </row>
    <row r="1447" spans="1:23" x14ac:dyDescent="0.35">
      <c r="A1447" s="61"/>
      <c r="B1447" s="55"/>
      <c r="C1447" s="70"/>
      <c r="D1447" s="12"/>
      <c r="E1447" s="128"/>
      <c r="F1447" s="12"/>
      <c r="G1447" s="71"/>
      <c r="H1447" s="71"/>
      <c r="I1447" s="56"/>
      <c r="J1447" s="71"/>
      <c r="K1447" s="56"/>
      <c r="L1447" s="71"/>
      <c r="M1447" s="56"/>
      <c r="N1447" s="12"/>
      <c r="O1447" s="12"/>
      <c r="P1447" s="57"/>
      <c r="Q1447" s="50"/>
      <c r="R1447" s="229"/>
      <c r="S1447" s="58"/>
      <c r="T1447" s="58"/>
      <c r="U1447" s="58"/>
      <c r="V1447" s="59"/>
      <c r="W1447" s="60"/>
    </row>
    <row r="1448" spans="1:23" x14ac:dyDescent="0.35">
      <c r="A1448" s="61"/>
      <c r="B1448" s="55"/>
      <c r="C1448" s="70"/>
      <c r="D1448" s="12"/>
      <c r="E1448" s="128"/>
      <c r="F1448" s="12"/>
      <c r="G1448" s="71"/>
      <c r="H1448" s="71"/>
      <c r="I1448" s="56"/>
      <c r="J1448" s="71"/>
      <c r="K1448" s="56"/>
      <c r="L1448" s="71"/>
      <c r="M1448" s="56"/>
      <c r="N1448" s="12"/>
      <c r="O1448" s="12"/>
      <c r="P1448" s="57"/>
      <c r="Q1448" s="50"/>
      <c r="R1448" s="229"/>
      <c r="S1448" s="58"/>
      <c r="T1448" s="58"/>
      <c r="U1448" s="58"/>
      <c r="V1448" s="59"/>
      <c r="W1448" s="60"/>
    </row>
    <row r="1449" spans="1:23" x14ac:dyDescent="0.35">
      <c r="A1449" s="61"/>
      <c r="B1449" s="55"/>
      <c r="C1449" s="70"/>
      <c r="D1449" s="12"/>
      <c r="E1449" s="128"/>
      <c r="F1449" s="12"/>
      <c r="G1449" s="71"/>
      <c r="H1449" s="71"/>
      <c r="I1449" s="56"/>
      <c r="J1449" s="71"/>
      <c r="K1449" s="56"/>
      <c r="L1449" s="71"/>
      <c r="M1449" s="56"/>
      <c r="N1449" s="12"/>
      <c r="O1449" s="12"/>
      <c r="P1449" s="57"/>
      <c r="Q1449" s="50"/>
      <c r="R1449" s="229"/>
      <c r="S1449" s="58"/>
      <c r="T1449" s="58"/>
      <c r="U1449" s="58"/>
      <c r="V1449" s="59"/>
      <c r="W1449" s="60"/>
    </row>
    <row r="1450" spans="1:23" x14ac:dyDescent="0.35">
      <c r="A1450" s="61"/>
      <c r="B1450" s="55"/>
      <c r="C1450" s="70"/>
      <c r="D1450" s="12"/>
      <c r="E1450" s="128"/>
      <c r="F1450" s="12"/>
      <c r="G1450" s="71"/>
      <c r="H1450" s="71"/>
      <c r="I1450" s="56"/>
      <c r="J1450" s="71"/>
      <c r="K1450" s="56"/>
      <c r="L1450" s="71"/>
      <c r="M1450" s="56"/>
      <c r="N1450" s="12"/>
      <c r="O1450" s="12"/>
      <c r="P1450" s="57"/>
      <c r="Q1450" s="50"/>
      <c r="R1450" s="229"/>
      <c r="S1450" s="58"/>
      <c r="T1450" s="58"/>
      <c r="U1450" s="58"/>
      <c r="V1450" s="59"/>
      <c r="W1450" s="60"/>
    </row>
    <row r="1451" spans="1:23" x14ac:dyDescent="0.35">
      <c r="A1451" s="61"/>
      <c r="B1451" s="55"/>
      <c r="C1451" s="70"/>
      <c r="D1451" s="12"/>
      <c r="E1451" s="128"/>
      <c r="F1451" s="12"/>
      <c r="G1451" s="71"/>
      <c r="H1451" s="71"/>
      <c r="I1451" s="56"/>
      <c r="J1451" s="71"/>
      <c r="K1451" s="56"/>
      <c r="L1451" s="71"/>
      <c r="M1451" s="56"/>
      <c r="N1451" s="12"/>
      <c r="O1451" s="12"/>
      <c r="P1451" s="57"/>
      <c r="Q1451" s="50"/>
      <c r="R1451" s="229"/>
      <c r="S1451" s="58"/>
      <c r="T1451" s="58"/>
      <c r="U1451" s="58"/>
      <c r="V1451" s="59"/>
      <c r="W1451" s="60"/>
    </row>
    <row r="1452" spans="1:23" x14ac:dyDescent="0.35">
      <c r="A1452" s="61"/>
      <c r="B1452" s="55"/>
      <c r="C1452" s="70"/>
      <c r="D1452" s="12"/>
      <c r="E1452" s="128"/>
      <c r="F1452" s="12"/>
      <c r="G1452" s="71"/>
      <c r="H1452" s="71"/>
      <c r="I1452" s="56"/>
      <c r="J1452" s="71"/>
      <c r="K1452" s="56"/>
      <c r="L1452" s="71"/>
      <c r="M1452" s="56"/>
      <c r="N1452" s="12"/>
      <c r="O1452" s="12"/>
      <c r="P1452" s="57"/>
      <c r="Q1452" s="50"/>
      <c r="R1452" s="229"/>
      <c r="S1452" s="58"/>
      <c r="T1452" s="58"/>
      <c r="U1452" s="58"/>
      <c r="V1452" s="59"/>
      <c r="W1452" s="60"/>
    </row>
    <row r="1453" spans="1:23" x14ac:dyDescent="0.35">
      <c r="A1453" s="61"/>
      <c r="B1453" s="55"/>
      <c r="C1453" s="70"/>
      <c r="D1453" s="12"/>
      <c r="E1453" s="128"/>
      <c r="F1453" s="12"/>
      <c r="G1453" s="71"/>
      <c r="H1453" s="71"/>
      <c r="I1453" s="56"/>
      <c r="J1453" s="71"/>
      <c r="K1453" s="56"/>
      <c r="L1453" s="71"/>
      <c r="M1453" s="56"/>
      <c r="N1453" s="12"/>
      <c r="O1453" s="12"/>
      <c r="P1453" s="57"/>
      <c r="Q1453" s="50"/>
      <c r="R1453" s="229"/>
      <c r="S1453" s="58"/>
      <c r="T1453" s="58"/>
      <c r="U1453" s="58"/>
      <c r="V1453" s="59"/>
      <c r="W1453" s="60"/>
    </row>
    <row r="1454" spans="1:23" x14ac:dyDescent="0.35">
      <c r="A1454" s="61"/>
      <c r="B1454" s="55"/>
      <c r="C1454" s="70"/>
      <c r="D1454" s="12"/>
      <c r="E1454" s="128"/>
      <c r="F1454" s="12"/>
      <c r="G1454" s="71"/>
      <c r="H1454" s="71"/>
      <c r="I1454" s="56"/>
      <c r="J1454" s="71"/>
      <c r="K1454" s="56"/>
      <c r="L1454" s="71"/>
      <c r="M1454" s="56"/>
      <c r="N1454" s="12"/>
      <c r="O1454" s="12"/>
      <c r="P1454" s="57"/>
      <c r="Q1454" s="50"/>
      <c r="R1454" s="229"/>
      <c r="S1454" s="58"/>
      <c r="T1454" s="58"/>
      <c r="U1454" s="58"/>
      <c r="V1454" s="59"/>
      <c r="W1454" s="60"/>
    </row>
    <row r="1455" spans="1:23" x14ac:dyDescent="0.35">
      <c r="A1455" s="61"/>
      <c r="B1455" s="55"/>
      <c r="C1455" s="70"/>
      <c r="D1455" s="12"/>
      <c r="E1455" s="128"/>
      <c r="F1455" s="12"/>
      <c r="G1455" s="71"/>
      <c r="H1455" s="71"/>
      <c r="I1455" s="56"/>
      <c r="J1455" s="71"/>
      <c r="K1455" s="56"/>
      <c r="L1455" s="71"/>
      <c r="M1455" s="56"/>
      <c r="N1455" s="12"/>
      <c r="O1455" s="12"/>
      <c r="P1455" s="57"/>
      <c r="Q1455" s="50"/>
      <c r="R1455" s="229"/>
      <c r="S1455" s="58"/>
      <c r="T1455" s="58"/>
      <c r="U1455" s="58"/>
      <c r="V1455" s="59"/>
      <c r="W1455" s="60"/>
    </row>
    <row r="1456" spans="1:23" x14ac:dyDescent="0.35">
      <c r="A1456" s="61"/>
      <c r="B1456" s="55"/>
      <c r="C1456" s="70"/>
      <c r="D1456" s="12"/>
      <c r="E1456" s="128"/>
      <c r="F1456" s="12"/>
      <c r="G1456" s="71"/>
      <c r="H1456" s="71"/>
      <c r="I1456" s="56"/>
      <c r="J1456" s="71"/>
      <c r="K1456" s="56"/>
      <c r="L1456" s="71"/>
      <c r="M1456" s="56"/>
      <c r="N1456" s="12"/>
      <c r="O1456" s="12"/>
      <c r="P1456" s="57"/>
      <c r="Q1456" s="50"/>
      <c r="R1456" s="229"/>
      <c r="S1456" s="58"/>
      <c r="T1456" s="58"/>
      <c r="U1456" s="58"/>
      <c r="V1456" s="59"/>
      <c r="W1456" s="60"/>
    </row>
    <row r="1457" spans="1:23" x14ac:dyDescent="0.35">
      <c r="A1457" s="61"/>
      <c r="B1457" s="55"/>
      <c r="C1457" s="70"/>
      <c r="D1457" s="12"/>
      <c r="E1457" s="128"/>
      <c r="F1457" s="12"/>
      <c r="G1457" s="71"/>
      <c r="H1457" s="71"/>
      <c r="I1457" s="56"/>
      <c r="J1457" s="71"/>
      <c r="K1457" s="56"/>
      <c r="L1457" s="71"/>
      <c r="M1457" s="56"/>
      <c r="N1457" s="12"/>
      <c r="O1457" s="12"/>
      <c r="P1457" s="57"/>
      <c r="Q1457" s="50"/>
      <c r="R1457" s="229"/>
      <c r="S1457" s="58"/>
      <c r="T1457" s="58"/>
      <c r="U1457" s="58"/>
      <c r="V1457" s="59"/>
      <c r="W1457" s="60"/>
    </row>
    <row r="1458" spans="1:23" x14ac:dyDescent="0.35">
      <c r="A1458" s="61"/>
      <c r="B1458" s="55"/>
      <c r="C1458" s="70"/>
      <c r="D1458" s="12"/>
      <c r="E1458" s="128"/>
      <c r="F1458" s="12"/>
      <c r="G1458" s="71"/>
      <c r="H1458" s="71"/>
      <c r="I1458" s="56"/>
      <c r="J1458" s="71"/>
      <c r="K1458" s="56"/>
      <c r="L1458" s="71"/>
      <c r="M1458" s="56"/>
      <c r="N1458" s="12"/>
      <c r="O1458" s="12"/>
      <c r="P1458" s="57"/>
      <c r="Q1458" s="50"/>
      <c r="R1458" s="229"/>
      <c r="S1458" s="58"/>
      <c r="T1458" s="58"/>
      <c r="U1458" s="58"/>
      <c r="V1458" s="59"/>
      <c r="W1458" s="60"/>
    </row>
    <row r="1459" spans="1:23" x14ac:dyDescent="0.35">
      <c r="A1459" s="61"/>
      <c r="B1459" s="55"/>
      <c r="C1459" s="70"/>
      <c r="D1459" s="12"/>
      <c r="E1459" s="128"/>
      <c r="F1459" s="12"/>
      <c r="G1459" s="71"/>
      <c r="H1459" s="71"/>
      <c r="I1459" s="56"/>
      <c r="J1459" s="71"/>
      <c r="K1459" s="56"/>
      <c r="L1459" s="71"/>
      <c r="M1459" s="56"/>
      <c r="N1459" s="12"/>
      <c r="O1459" s="12"/>
      <c r="P1459" s="57"/>
      <c r="Q1459" s="50"/>
      <c r="R1459" s="229"/>
      <c r="S1459" s="58"/>
      <c r="T1459" s="58"/>
      <c r="U1459" s="58"/>
      <c r="V1459" s="59"/>
      <c r="W1459" s="60"/>
    </row>
    <row r="1460" spans="1:23" x14ac:dyDescent="0.35">
      <c r="A1460" s="61"/>
      <c r="B1460" s="55"/>
      <c r="C1460" s="70"/>
      <c r="D1460" s="12"/>
      <c r="E1460" s="128"/>
      <c r="F1460" s="12"/>
      <c r="G1460" s="71"/>
      <c r="H1460" s="71"/>
      <c r="I1460" s="56"/>
      <c r="J1460" s="71"/>
      <c r="K1460" s="56"/>
      <c r="L1460" s="71"/>
      <c r="M1460" s="56"/>
      <c r="N1460" s="12"/>
      <c r="O1460" s="12"/>
      <c r="P1460" s="57"/>
      <c r="Q1460" s="50"/>
      <c r="R1460" s="229"/>
      <c r="S1460" s="58"/>
      <c r="T1460" s="58"/>
      <c r="U1460" s="58"/>
      <c r="V1460" s="59"/>
      <c r="W1460" s="60"/>
    </row>
    <row r="1461" spans="1:23" x14ac:dyDescent="0.35">
      <c r="A1461" s="61"/>
      <c r="B1461" s="55"/>
      <c r="C1461" s="70"/>
      <c r="D1461" s="12"/>
      <c r="E1461" s="128"/>
      <c r="F1461" s="12"/>
      <c r="G1461" s="71"/>
      <c r="H1461" s="71"/>
      <c r="I1461" s="56"/>
      <c r="J1461" s="71"/>
      <c r="K1461" s="56"/>
      <c r="L1461" s="71"/>
      <c r="M1461" s="56"/>
      <c r="N1461" s="12"/>
      <c r="O1461" s="12"/>
      <c r="P1461" s="57"/>
      <c r="Q1461" s="50"/>
      <c r="R1461" s="229"/>
      <c r="S1461" s="58"/>
      <c r="T1461" s="58"/>
      <c r="U1461" s="58"/>
      <c r="V1461" s="59"/>
      <c r="W1461" s="60"/>
    </row>
    <row r="1462" spans="1:23" x14ac:dyDescent="0.35">
      <c r="A1462" s="61"/>
      <c r="B1462" s="55"/>
      <c r="C1462" s="70"/>
      <c r="D1462" s="12"/>
      <c r="E1462" s="128"/>
      <c r="F1462" s="12"/>
      <c r="G1462" s="71"/>
      <c r="H1462" s="71"/>
      <c r="I1462" s="56"/>
      <c r="J1462" s="71"/>
      <c r="K1462" s="56"/>
      <c r="L1462" s="71"/>
      <c r="M1462" s="56"/>
      <c r="N1462" s="12"/>
      <c r="O1462" s="12"/>
      <c r="P1462" s="57"/>
      <c r="Q1462" s="50"/>
      <c r="R1462" s="229"/>
      <c r="S1462" s="58"/>
      <c r="T1462" s="58"/>
      <c r="U1462" s="58"/>
      <c r="V1462" s="59"/>
      <c r="W1462" s="60"/>
    </row>
    <row r="1463" spans="1:23" x14ac:dyDescent="0.35">
      <c r="A1463" s="61"/>
      <c r="B1463" s="55"/>
      <c r="C1463" s="70"/>
      <c r="D1463" s="12"/>
      <c r="E1463" s="128"/>
      <c r="F1463" s="12"/>
      <c r="G1463" s="71"/>
      <c r="H1463" s="71"/>
      <c r="I1463" s="56"/>
      <c r="J1463" s="71"/>
      <c r="K1463" s="56"/>
      <c r="L1463" s="71"/>
      <c r="M1463" s="56"/>
      <c r="N1463" s="12"/>
      <c r="O1463" s="12"/>
      <c r="P1463" s="57"/>
      <c r="Q1463" s="50"/>
      <c r="R1463" s="229"/>
      <c r="S1463" s="58"/>
      <c r="T1463" s="58"/>
      <c r="U1463" s="58"/>
      <c r="V1463" s="59"/>
      <c r="W1463" s="60"/>
    </row>
    <row r="1464" spans="1:23" x14ac:dyDescent="0.35">
      <c r="A1464" s="61"/>
      <c r="B1464" s="55"/>
      <c r="C1464" s="70"/>
      <c r="D1464" s="12"/>
      <c r="E1464" s="128"/>
      <c r="F1464" s="12"/>
      <c r="G1464" s="71"/>
      <c r="H1464" s="71"/>
      <c r="I1464" s="56"/>
      <c r="J1464" s="71"/>
      <c r="K1464" s="56"/>
      <c r="L1464" s="71"/>
      <c r="M1464" s="56"/>
      <c r="N1464" s="12"/>
      <c r="O1464" s="12"/>
      <c r="P1464" s="57"/>
      <c r="Q1464" s="50"/>
      <c r="R1464" s="229"/>
      <c r="S1464" s="58"/>
      <c r="T1464" s="58"/>
      <c r="U1464" s="58"/>
      <c r="V1464" s="59"/>
      <c r="W1464" s="60"/>
    </row>
    <row r="1465" spans="1:23" x14ac:dyDescent="0.35">
      <c r="A1465" s="61"/>
      <c r="B1465" s="55"/>
      <c r="C1465" s="70"/>
      <c r="D1465" s="12"/>
      <c r="E1465" s="128"/>
      <c r="F1465" s="12"/>
      <c r="G1465" s="71"/>
      <c r="H1465" s="71"/>
      <c r="I1465" s="56"/>
      <c r="J1465" s="71"/>
      <c r="K1465" s="56"/>
      <c r="L1465" s="71"/>
      <c r="M1465" s="56"/>
      <c r="N1465" s="12"/>
      <c r="O1465" s="12"/>
      <c r="P1465" s="57"/>
      <c r="Q1465" s="50"/>
      <c r="R1465" s="229"/>
      <c r="S1465" s="58"/>
      <c r="T1465" s="58"/>
      <c r="U1465" s="58"/>
      <c r="V1465" s="59"/>
      <c r="W1465" s="60"/>
    </row>
    <row r="1466" spans="1:23" x14ac:dyDescent="0.35">
      <c r="A1466" s="61"/>
      <c r="B1466" s="55"/>
      <c r="C1466" s="70"/>
      <c r="D1466" s="12"/>
      <c r="E1466" s="128"/>
      <c r="F1466" s="12"/>
      <c r="G1466" s="71"/>
      <c r="H1466" s="71"/>
      <c r="I1466" s="56"/>
      <c r="J1466" s="71"/>
      <c r="K1466" s="56"/>
      <c r="L1466" s="71"/>
      <c r="M1466" s="56"/>
      <c r="N1466" s="12"/>
      <c r="O1466" s="12"/>
      <c r="P1466" s="57"/>
      <c r="Q1466" s="50"/>
      <c r="R1466" s="229"/>
      <c r="S1466" s="58"/>
      <c r="T1466" s="58"/>
      <c r="U1466" s="58"/>
      <c r="V1466" s="59"/>
      <c r="W1466" s="60"/>
    </row>
    <row r="1467" spans="1:23" x14ac:dyDescent="0.35">
      <c r="A1467" s="61"/>
      <c r="B1467" s="55"/>
      <c r="C1467" s="70"/>
      <c r="D1467" s="12"/>
      <c r="E1467" s="128"/>
      <c r="F1467" s="12"/>
      <c r="G1467" s="71"/>
      <c r="H1467" s="71"/>
      <c r="I1467" s="56"/>
      <c r="J1467" s="71"/>
      <c r="K1467" s="56"/>
      <c r="L1467" s="71"/>
      <c r="M1467" s="56"/>
      <c r="N1467" s="12"/>
      <c r="O1467" s="12"/>
      <c r="P1467" s="57"/>
      <c r="Q1467" s="50"/>
      <c r="R1467" s="229"/>
      <c r="S1467" s="58"/>
      <c r="T1467" s="58"/>
      <c r="U1467" s="58"/>
      <c r="V1467" s="59"/>
      <c r="W1467" s="60"/>
    </row>
    <row r="1468" spans="1:23" x14ac:dyDescent="0.35">
      <c r="A1468" s="61"/>
      <c r="B1468" s="55"/>
      <c r="C1468" s="70"/>
      <c r="D1468" s="12"/>
      <c r="E1468" s="128"/>
      <c r="F1468" s="12"/>
      <c r="G1468" s="71"/>
      <c r="H1468" s="71"/>
      <c r="I1468" s="56"/>
      <c r="J1468" s="71"/>
      <c r="K1468" s="56"/>
      <c r="L1468" s="71"/>
      <c r="M1468" s="56"/>
      <c r="N1468" s="12"/>
      <c r="O1468" s="12"/>
      <c r="P1468" s="57"/>
      <c r="Q1468" s="50"/>
      <c r="R1468" s="229"/>
      <c r="S1468" s="58"/>
      <c r="T1468" s="58"/>
      <c r="U1468" s="58"/>
      <c r="V1468" s="59"/>
      <c r="W1468" s="60"/>
    </row>
    <row r="1469" spans="1:23" x14ac:dyDescent="0.35">
      <c r="A1469" s="61"/>
      <c r="B1469" s="55"/>
      <c r="C1469" s="70"/>
      <c r="D1469" s="12"/>
      <c r="E1469" s="128"/>
      <c r="F1469" s="12"/>
      <c r="G1469" s="71"/>
      <c r="H1469" s="71"/>
      <c r="I1469" s="56"/>
      <c r="J1469" s="71"/>
      <c r="K1469" s="56"/>
      <c r="L1469" s="71"/>
      <c r="M1469" s="56"/>
      <c r="N1469" s="12"/>
      <c r="O1469" s="12"/>
      <c r="P1469" s="57"/>
      <c r="Q1469" s="50"/>
      <c r="R1469" s="229"/>
      <c r="S1469" s="58"/>
      <c r="T1469" s="58"/>
      <c r="U1469" s="58"/>
      <c r="V1469" s="59"/>
      <c r="W1469" s="60"/>
    </row>
    <row r="1470" spans="1:23" x14ac:dyDescent="0.35">
      <c r="A1470" s="61"/>
      <c r="B1470" s="55"/>
      <c r="C1470" s="70"/>
      <c r="D1470" s="12"/>
      <c r="E1470" s="128"/>
      <c r="F1470" s="12"/>
      <c r="G1470" s="71"/>
      <c r="H1470" s="71"/>
      <c r="I1470" s="56"/>
      <c r="J1470" s="71"/>
      <c r="K1470" s="56"/>
      <c r="L1470" s="71"/>
      <c r="M1470" s="56"/>
      <c r="N1470" s="12"/>
      <c r="O1470" s="12"/>
      <c r="P1470" s="57"/>
      <c r="Q1470" s="50"/>
      <c r="R1470" s="229"/>
      <c r="S1470" s="58"/>
      <c r="T1470" s="58"/>
      <c r="U1470" s="58"/>
      <c r="V1470" s="59"/>
      <c r="W1470" s="60"/>
    </row>
    <row r="1471" spans="1:23" x14ac:dyDescent="0.35">
      <c r="A1471" s="61"/>
      <c r="B1471" s="55"/>
      <c r="C1471" s="70"/>
      <c r="D1471" s="12"/>
      <c r="E1471" s="128"/>
      <c r="F1471" s="12"/>
      <c r="G1471" s="71"/>
      <c r="H1471" s="71"/>
      <c r="I1471" s="56"/>
      <c r="J1471" s="71"/>
      <c r="K1471" s="56"/>
      <c r="L1471" s="71"/>
      <c r="M1471" s="56"/>
      <c r="N1471" s="12"/>
      <c r="O1471" s="12"/>
      <c r="P1471" s="57"/>
      <c r="Q1471" s="50"/>
      <c r="R1471" s="229"/>
      <c r="S1471" s="58"/>
      <c r="T1471" s="58"/>
      <c r="U1471" s="58"/>
      <c r="V1471" s="59"/>
      <c r="W1471" s="60"/>
    </row>
    <row r="1472" spans="1:23" x14ac:dyDescent="0.35">
      <c r="A1472" s="61"/>
      <c r="B1472" s="55"/>
      <c r="C1472" s="70"/>
      <c r="D1472" s="12"/>
      <c r="E1472" s="128"/>
      <c r="F1472" s="12"/>
      <c r="G1472" s="71"/>
      <c r="H1472" s="71"/>
      <c r="I1472" s="56"/>
      <c r="J1472" s="71"/>
      <c r="K1472" s="56"/>
      <c r="L1472" s="71"/>
      <c r="M1472" s="56"/>
      <c r="N1472" s="12"/>
      <c r="O1472" s="12"/>
      <c r="P1472" s="57"/>
      <c r="Q1472" s="50"/>
      <c r="R1472" s="229"/>
      <c r="S1472" s="58"/>
      <c r="T1472" s="58"/>
      <c r="U1472" s="58"/>
      <c r="V1472" s="59"/>
      <c r="W1472" s="60"/>
    </row>
    <row r="1473" spans="1:23" x14ac:dyDescent="0.35">
      <c r="A1473" s="61"/>
      <c r="B1473" s="55"/>
      <c r="C1473" s="70"/>
      <c r="D1473" s="12"/>
      <c r="E1473" s="128"/>
      <c r="F1473" s="12"/>
      <c r="G1473" s="71"/>
      <c r="H1473" s="71"/>
      <c r="I1473" s="56"/>
      <c r="J1473" s="71"/>
      <c r="K1473" s="56"/>
      <c r="L1473" s="71"/>
      <c r="M1473" s="56"/>
      <c r="N1473" s="12"/>
      <c r="O1473" s="12"/>
      <c r="P1473" s="57"/>
      <c r="Q1473" s="50"/>
      <c r="R1473" s="229"/>
      <c r="S1473" s="58"/>
      <c r="T1473" s="58"/>
      <c r="U1473" s="58"/>
      <c r="V1473" s="59"/>
      <c r="W1473" s="60"/>
    </row>
    <row r="1474" spans="1:23" x14ac:dyDescent="0.35">
      <c r="A1474" s="61"/>
      <c r="B1474" s="55"/>
      <c r="C1474" s="70"/>
      <c r="D1474" s="12"/>
      <c r="E1474" s="128"/>
      <c r="F1474" s="12"/>
      <c r="G1474" s="71"/>
      <c r="H1474" s="71"/>
      <c r="I1474" s="56"/>
      <c r="J1474" s="71"/>
      <c r="K1474" s="56"/>
      <c r="L1474" s="71"/>
      <c r="M1474" s="56"/>
      <c r="N1474" s="12"/>
      <c r="O1474" s="12"/>
      <c r="P1474" s="57"/>
      <c r="Q1474" s="50"/>
      <c r="R1474" s="229"/>
      <c r="S1474" s="58"/>
      <c r="T1474" s="58"/>
      <c r="U1474" s="58"/>
      <c r="V1474" s="59"/>
      <c r="W1474" s="60"/>
    </row>
    <row r="1475" spans="1:23" x14ac:dyDescent="0.35">
      <c r="A1475" s="61"/>
      <c r="B1475" s="55"/>
      <c r="C1475" s="70"/>
      <c r="D1475" s="12"/>
      <c r="E1475" s="128"/>
      <c r="F1475" s="12"/>
      <c r="G1475" s="71"/>
      <c r="H1475" s="71"/>
      <c r="I1475" s="56"/>
      <c r="J1475" s="71"/>
      <c r="K1475" s="56"/>
      <c r="L1475" s="71"/>
      <c r="M1475" s="56"/>
      <c r="N1475" s="12"/>
      <c r="O1475" s="12"/>
      <c r="P1475" s="57"/>
      <c r="Q1475" s="50"/>
      <c r="R1475" s="229"/>
      <c r="S1475" s="58"/>
      <c r="T1475" s="58"/>
      <c r="U1475" s="58"/>
      <c r="V1475" s="59"/>
      <c r="W1475" s="60"/>
    </row>
    <row r="1476" spans="1:23" x14ac:dyDescent="0.35">
      <c r="A1476" s="61"/>
      <c r="B1476" s="55"/>
      <c r="C1476" s="70"/>
      <c r="D1476" s="12"/>
      <c r="E1476" s="128"/>
      <c r="F1476" s="12"/>
      <c r="G1476" s="71"/>
      <c r="H1476" s="71"/>
      <c r="I1476" s="56"/>
      <c r="J1476" s="71"/>
      <c r="K1476" s="56"/>
      <c r="L1476" s="71"/>
      <c r="M1476" s="56"/>
      <c r="N1476" s="12"/>
      <c r="O1476" s="12"/>
      <c r="P1476" s="57"/>
      <c r="Q1476" s="50"/>
      <c r="R1476" s="229"/>
      <c r="S1476" s="58"/>
      <c r="T1476" s="58"/>
      <c r="U1476" s="58"/>
      <c r="V1476" s="59"/>
      <c r="W1476" s="60"/>
    </row>
    <row r="1477" spans="1:23" x14ac:dyDescent="0.35">
      <c r="A1477" s="61"/>
      <c r="B1477" s="55"/>
      <c r="C1477" s="70"/>
      <c r="D1477" s="12"/>
      <c r="E1477" s="128"/>
      <c r="F1477" s="12"/>
      <c r="G1477" s="71"/>
      <c r="H1477" s="71"/>
      <c r="I1477" s="56"/>
      <c r="J1477" s="71"/>
      <c r="K1477" s="56"/>
      <c r="L1477" s="71"/>
      <c r="M1477" s="56"/>
      <c r="N1477" s="12"/>
      <c r="O1477" s="12"/>
      <c r="P1477" s="57"/>
      <c r="Q1477" s="50"/>
      <c r="R1477" s="229"/>
      <c r="S1477" s="58"/>
      <c r="T1477" s="58"/>
      <c r="U1477" s="58"/>
      <c r="V1477" s="59"/>
      <c r="W1477" s="60"/>
    </row>
    <row r="1478" spans="1:23" x14ac:dyDescent="0.35">
      <c r="A1478" s="61"/>
      <c r="B1478" s="55"/>
      <c r="C1478" s="70"/>
      <c r="D1478" s="12"/>
      <c r="E1478" s="128"/>
      <c r="F1478" s="12"/>
      <c r="G1478" s="71"/>
      <c r="H1478" s="71"/>
      <c r="I1478" s="56"/>
      <c r="J1478" s="71"/>
      <c r="K1478" s="56"/>
      <c r="L1478" s="71"/>
      <c r="M1478" s="56"/>
      <c r="N1478" s="12"/>
      <c r="O1478" s="12"/>
      <c r="P1478" s="57"/>
      <c r="Q1478" s="50"/>
      <c r="R1478" s="229"/>
      <c r="S1478" s="58"/>
      <c r="T1478" s="58"/>
      <c r="U1478" s="58"/>
      <c r="V1478" s="59"/>
      <c r="W1478" s="60"/>
    </row>
    <row r="1479" spans="1:23" x14ac:dyDescent="0.35">
      <c r="A1479" s="61"/>
      <c r="B1479" s="55"/>
      <c r="C1479" s="70"/>
      <c r="D1479" s="12"/>
      <c r="E1479" s="128"/>
      <c r="F1479" s="12"/>
      <c r="G1479" s="71"/>
      <c r="H1479" s="71"/>
      <c r="I1479" s="56"/>
      <c r="J1479" s="71"/>
      <c r="K1479" s="56"/>
      <c r="L1479" s="71"/>
      <c r="M1479" s="56"/>
      <c r="N1479" s="12"/>
      <c r="O1479" s="12"/>
      <c r="P1479" s="57"/>
      <c r="Q1479" s="50"/>
      <c r="R1479" s="229"/>
      <c r="S1479" s="58"/>
      <c r="T1479" s="58"/>
      <c r="U1479" s="58"/>
      <c r="V1479" s="59"/>
      <c r="W1479" s="60"/>
    </row>
    <row r="1480" spans="1:23" x14ac:dyDescent="0.35">
      <c r="A1480" s="61"/>
      <c r="B1480" s="55"/>
      <c r="C1480" s="70"/>
      <c r="D1480" s="12"/>
      <c r="E1480" s="128"/>
      <c r="F1480" s="12"/>
      <c r="G1480" s="71"/>
      <c r="H1480" s="71"/>
      <c r="I1480" s="56"/>
      <c r="J1480" s="71"/>
      <c r="K1480" s="56"/>
      <c r="L1480" s="71"/>
      <c r="M1480" s="56"/>
      <c r="N1480" s="12"/>
      <c r="O1480" s="12"/>
      <c r="P1480" s="57"/>
      <c r="Q1480" s="50"/>
      <c r="R1480" s="229"/>
      <c r="S1480" s="58"/>
      <c r="T1480" s="58"/>
      <c r="U1480" s="58"/>
      <c r="V1480" s="59"/>
      <c r="W1480" s="60"/>
    </row>
    <row r="1481" spans="1:23" x14ac:dyDescent="0.35">
      <c r="A1481" s="61"/>
      <c r="B1481" s="55"/>
      <c r="C1481" s="70"/>
      <c r="D1481" s="12"/>
      <c r="E1481" s="128"/>
      <c r="F1481" s="12"/>
      <c r="G1481" s="71"/>
      <c r="H1481" s="71"/>
      <c r="I1481" s="56"/>
      <c r="J1481" s="71"/>
      <c r="K1481" s="56"/>
      <c r="L1481" s="71"/>
      <c r="M1481" s="56"/>
      <c r="N1481" s="12"/>
      <c r="O1481" s="12"/>
      <c r="P1481" s="57"/>
      <c r="Q1481" s="50"/>
      <c r="R1481" s="229"/>
      <c r="S1481" s="58"/>
      <c r="T1481" s="58"/>
      <c r="U1481" s="58"/>
      <c r="V1481" s="59"/>
      <c r="W1481" s="60"/>
    </row>
    <row r="1482" spans="1:23" x14ac:dyDescent="0.35">
      <c r="A1482" s="61"/>
      <c r="B1482" s="55"/>
      <c r="C1482" s="70"/>
      <c r="D1482" s="12"/>
      <c r="E1482" s="128"/>
      <c r="F1482" s="12"/>
      <c r="G1482" s="71"/>
      <c r="H1482" s="71"/>
      <c r="I1482" s="56"/>
      <c r="J1482" s="71"/>
      <c r="K1482" s="56"/>
      <c r="L1482" s="71"/>
      <c r="M1482" s="56"/>
      <c r="N1482" s="12"/>
      <c r="O1482" s="12"/>
      <c r="P1482" s="57"/>
      <c r="Q1482" s="50"/>
      <c r="R1482" s="50"/>
      <c r="S1482" s="58"/>
      <c r="T1482" s="58"/>
      <c r="U1482" s="58"/>
      <c r="V1482" s="59"/>
      <c r="W1482" s="60"/>
    </row>
    <row r="1483" spans="1:23" x14ac:dyDescent="0.35">
      <c r="A1483" s="61"/>
      <c r="B1483" s="55"/>
      <c r="C1483" s="70"/>
      <c r="D1483" s="12"/>
      <c r="E1483" s="128"/>
      <c r="F1483" s="12"/>
      <c r="G1483" s="71"/>
      <c r="H1483" s="71"/>
      <c r="I1483" s="56"/>
      <c r="J1483" s="71"/>
      <c r="K1483" s="56"/>
      <c r="L1483" s="71"/>
      <c r="M1483" s="56"/>
      <c r="N1483" s="12"/>
      <c r="O1483" s="12"/>
      <c r="P1483" s="57"/>
      <c r="Q1483" s="50"/>
      <c r="R1483" s="229"/>
      <c r="S1483" s="58"/>
      <c r="T1483" s="58"/>
      <c r="U1483" s="58"/>
      <c r="V1483" s="59"/>
      <c r="W1483" s="60"/>
    </row>
    <row r="1484" spans="1:23" x14ac:dyDescent="0.35">
      <c r="A1484" s="61"/>
      <c r="B1484" s="55"/>
      <c r="C1484" s="70"/>
      <c r="D1484" s="12"/>
      <c r="E1484" s="128"/>
      <c r="F1484" s="12"/>
      <c r="G1484" s="71"/>
      <c r="H1484" s="71"/>
      <c r="I1484" s="56"/>
      <c r="J1484" s="71"/>
      <c r="K1484" s="56"/>
      <c r="L1484" s="71"/>
      <c r="M1484" s="56"/>
      <c r="N1484" s="12"/>
      <c r="O1484" s="12"/>
      <c r="P1484" s="57"/>
      <c r="Q1484" s="50"/>
      <c r="R1484" s="50"/>
      <c r="S1484" s="58"/>
      <c r="T1484" s="58"/>
      <c r="U1484" s="58"/>
      <c r="V1484" s="59"/>
      <c r="W1484" s="60"/>
    </row>
    <row r="1485" spans="1:23" x14ac:dyDescent="0.35">
      <c r="A1485" s="61"/>
      <c r="B1485" s="55"/>
      <c r="C1485" s="70"/>
      <c r="D1485" s="12"/>
      <c r="E1485" s="128"/>
      <c r="F1485" s="12"/>
      <c r="G1485" s="71"/>
      <c r="H1485" s="71"/>
      <c r="I1485" s="56"/>
      <c r="J1485" s="71"/>
      <c r="K1485" s="56"/>
      <c r="L1485" s="71"/>
      <c r="M1485" s="56"/>
      <c r="N1485" s="12"/>
      <c r="O1485" s="12"/>
      <c r="P1485" s="57"/>
      <c r="Q1485" s="50"/>
      <c r="R1485" s="229"/>
      <c r="S1485" s="58"/>
      <c r="T1485" s="58"/>
      <c r="U1485" s="58"/>
      <c r="V1485" s="59"/>
      <c r="W1485" s="60"/>
    </row>
    <row r="1486" spans="1:23" x14ac:dyDescent="0.35">
      <c r="A1486" s="61"/>
      <c r="B1486" s="55"/>
      <c r="C1486" s="70"/>
      <c r="D1486" s="12"/>
      <c r="E1486" s="128"/>
      <c r="F1486" s="12"/>
      <c r="G1486" s="71"/>
      <c r="H1486" s="71"/>
      <c r="I1486" s="56"/>
      <c r="J1486" s="71"/>
      <c r="K1486" s="56"/>
      <c r="L1486" s="71"/>
      <c r="M1486" s="56"/>
      <c r="N1486" s="12"/>
      <c r="O1486" s="12"/>
      <c r="P1486" s="57"/>
      <c r="Q1486" s="50"/>
      <c r="R1486" s="229"/>
      <c r="S1486" s="58"/>
      <c r="T1486" s="58"/>
      <c r="U1486" s="58"/>
      <c r="V1486" s="59"/>
      <c r="W1486" s="60"/>
    </row>
    <row r="1487" spans="1:23" x14ac:dyDescent="0.35">
      <c r="A1487" s="61"/>
      <c r="B1487" s="55"/>
      <c r="C1487" s="70"/>
      <c r="D1487" s="12"/>
      <c r="E1487" s="128"/>
      <c r="F1487" s="12"/>
      <c r="G1487" s="71"/>
      <c r="H1487" s="71"/>
      <c r="I1487" s="56"/>
      <c r="J1487" s="71"/>
      <c r="K1487" s="56"/>
      <c r="L1487" s="71"/>
      <c r="M1487" s="56"/>
      <c r="N1487" s="12"/>
      <c r="O1487" s="12"/>
      <c r="P1487" s="57"/>
      <c r="Q1487" s="50"/>
      <c r="R1487" s="229"/>
      <c r="S1487" s="58"/>
      <c r="T1487" s="58"/>
      <c r="U1487" s="58"/>
      <c r="V1487" s="59"/>
      <c r="W1487" s="60"/>
    </row>
    <row r="1488" spans="1:23" x14ac:dyDescent="0.35">
      <c r="A1488" s="61"/>
      <c r="B1488" s="55"/>
      <c r="C1488" s="70"/>
      <c r="D1488" s="12"/>
      <c r="E1488" s="128"/>
      <c r="F1488" s="12"/>
      <c r="G1488" s="71"/>
      <c r="H1488" s="71"/>
      <c r="I1488" s="56"/>
      <c r="J1488" s="71"/>
      <c r="K1488" s="56"/>
      <c r="L1488" s="71"/>
      <c r="M1488" s="56"/>
      <c r="N1488" s="12"/>
      <c r="O1488" s="12"/>
      <c r="P1488" s="57"/>
      <c r="Q1488" s="50"/>
      <c r="R1488" s="229"/>
      <c r="S1488" s="58"/>
      <c r="T1488" s="58"/>
      <c r="U1488" s="58"/>
      <c r="V1488" s="59"/>
      <c r="W1488" s="60"/>
    </row>
    <row r="1489" spans="1:23" x14ac:dyDescent="0.35">
      <c r="A1489" s="61"/>
      <c r="B1489" s="55"/>
      <c r="C1489" s="70"/>
      <c r="D1489" s="12"/>
      <c r="E1489" s="128"/>
      <c r="F1489" s="12"/>
      <c r="G1489" s="71"/>
      <c r="H1489" s="71"/>
      <c r="I1489" s="56"/>
      <c r="J1489" s="71"/>
      <c r="K1489" s="56"/>
      <c r="L1489" s="71"/>
      <c r="M1489" s="56"/>
      <c r="N1489" s="12"/>
      <c r="O1489" s="12"/>
      <c r="P1489" s="57"/>
      <c r="Q1489" s="50"/>
      <c r="R1489" s="229"/>
      <c r="S1489" s="58"/>
      <c r="T1489" s="58"/>
      <c r="U1489" s="58"/>
      <c r="V1489" s="59"/>
      <c r="W1489" s="60"/>
    </row>
    <row r="1490" spans="1:23" x14ac:dyDescent="0.35">
      <c r="A1490" s="61"/>
      <c r="B1490" s="55"/>
      <c r="C1490" s="70"/>
      <c r="D1490" s="12"/>
      <c r="E1490" s="128"/>
      <c r="F1490" s="12"/>
      <c r="G1490" s="71"/>
      <c r="H1490" s="71"/>
      <c r="I1490" s="56"/>
      <c r="J1490" s="71"/>
      <c r="K1490" s="56"/>
      <c r="L1490" s="71"/>
      <c r="M1490" s="56"/>
      <c r="N1490" s="12"/>
      <c r="O1490" s="12"/>
      <c r="P1490" s="57"/>
      <c r="Q1490" s="50"/>
      <c r="R1490" s="50"/>
      <c r="S1490" s="58"/>
      <c r="T1490" s="58"/>
      <c r="U1490" s="58"/>
      <c r="V1490" s="59"/>
      <c r="W1490" s="60"/>
    </row>
    <row r="1491" spans="1:23" x14ac:dyDescent="0.35">
      <c r="A1491" s="61"/>
      <c r="B1491" s="55"/>
      <c r="C1491" s="70"/>
      <c r="D1491" s="12"/>
      <c r="E1491" s="128"/>
      <c r="F1491" s="12"/>
      <c r="G1491" s="71"/>
      <c r="H1491" s="71"/>
      <c r="I1491" s="56"/>
      <c r="J1491" s="71"/>
      <c r="K1491" s="56"/>
      <c r="L1491" s="71"/>
      <c r="M1491" s="56"/>
      <c r="N1491" s="12"/>
      <c r="O1491" s="12"/>
      <c r="P1491" s="57"/>
      <c r="Q1491" s="50"/>
      <c r="R1491" s="229"/>
      <c r="S1491" s="58"/>
      <c r="T1491" s="58"/>
      <c r="U1491" s="58"/>
      <c r="V1491" s="59"/>
      <c r="W1491" s="60"/>
    </row>
    <row r="1492" spans="1:23" x14ac:dyDescent="0.35">
      <c r="A1492" s="61"/>
      <c r="B1492" s="55"/>
      <c r="C1492" s="70"/>
      <c r="D1492" s="12"/>
      <c r="E1492" s="128"/>
      <c r="F1492" s="12"/>
      <c r="G1492" s="71"/>
      <c r="H1492" s="71"/>
      <c r="I1492" s="56"/>
      <c r="J1492" s="71"/>
      <c r="K1492" s="56"/>
      <c r="L1492" s="71"/>
      <c r="M1492" s="56"/>
      <c r="N1492" s="12"/>
      <c r="O1492" s="12"/>
      <c r="P1492" s="57"/>
      <c r="Q1492" s="50"/>
      <c r="R1492" s="50"/>
      <c r="S1492" s="58"/>
      <c r="T1492" s="58"/>
      <c r="U1492" s="58"/>
      <c r="V1492" s="59"/>
      <c r="W1492" s="60"/>
    </row>
    <row r="1493" spans="1:23" x14ac:dyDescent="0.35">
      <c r="A1493" s="61"/>
      <c r="B1493" s="55"/>
      <c r="C1493" s="70"/>
      <c r="D1493" s="12"/>
      <c r="E1493" s="128"/>
      <c r="F1493" s="12"/>
      <c r="G1493" s="71"/>
      <c r="H1493" s="71"/>
      <c r="I1493" s="56"/>
      <c r="J1493" s="71"/>
      <c r="K1493" s="56"/>
      <c r="L1493" s="71"/>
      <c r="M1493" s="56"/>
      <c r="N1493" s="12"/>
      <c r="O1493" s="12"/>
      <c r="P1493" s="57"/>
      <c r="Q1493" s="50"/>
      <c r="R1493" s="229"/>
      <c r="S1493" s="58"/>
      <c r="T1493" s="58"/>
      <c r="U1493" s="58"/>
      <c r="V1493" s="59"/>
      <c r="W1493" s="60"/>
    </row>
    <row r="1494" spans="1:23" x14ac:dyDescent="0.35">
      <c r="A1494" s="61"/>
      <c r="B1494" s="55"/>
      <c r="C1494" s="70"/>
      <c r="D1494" s="12"/>
      <c r="E1494" s="128"/>
      <c r="F1494" s="12"/>
      <c r="G1494" s="71"/>
      <c r="H1494" s="71"/>
      <c r="I1494" s="56"/>
      <c r="J1494" s="71"/>
      <c r="K1494" s="56"/>
      <c r="L1494" s="71"/>
      <c r="M1494" s="56"/>
      <c r="N1494" s="12"/>
      <c r="O1494" s="12"/>
      <c r="P1494" s="57"/>
      <c r="Q1494" s="50"/>
      <c r="R1494" s="229"/>
      <c r="S1494" s="58"/>
      <c r="T1494" s="58"/>
      <c r="U1494" s="58"/>
      <c r="V1494" s="59"/>
      <c r="W1494" s="60"/>
    </row>
    <row r="1495" spans="1:23" x14ac:dyDescent="0.35">
      <c r="A1495" s="61"/>
      <c r="B1495" s="55"/>
      <c r="C1495" s="70"/>
      <c r="D1495" s="12"/>
      <c r="E1495" s="128"/>
      <c r="F1495" s="12"/>
      <c r="G1495" s="71"/>
      <c r="H1495" s="71"/>
      <c r="I1495" s="56"/>
      <c r="J1495" s="71"/>
      <c r="K1495" s="56"/>
      <c r="L1495" s="71"/>
      <c r="M1495" s="56"/>
      <c r="N1495" s="12"/>
      <c r="O1495" s="12"/>
      <c r="P1495" s="57"/>
      <c r="Q1495" s="50"/>
      <c r="R1495" s="229"/>
      <c r="S1495" s="58"/>
      <c r="T1495" s="58"/>
      <c r="U1495" s="58"/>
      <c r="V1495" s="59"/>
      <c r="W1495" s="60"/>
    </row>
    <row r="1496" spans="1:23" x14ac:dyDescent="0.35">
      <c r="A1496" s="61"/>
      <c r="B1496" s="55"/>
      <c r="C1496" s="70"/>
      <c r="D1496" s="12"/>
      <c r="E1496" s="128"/>
      <c r="F1496" s="12"/>
      <c r="G1496" s="71"/>
      <c r="H1496" s="71"/>
      <c r="I1496" s="56"/>
      <c r="J1496" s="71"/>
      <c r="K1496" s="56"/>
      <c r="L1496" s="71"/>
      <c r="M1496" s="56"/>
      <c r="N1496" s="12"/>
      <c r="O1496" s="12"/>
      <c r="P1496" s="57"/>
      <c r="Q1496" s="50"/>
      <c r="R1496" s="229"/>
      <c r="S1496" s="58"/>
      <c r="T1496" s="58"/>
      <c r="U1496" s="58"/>
      <c r="V1496" s="59"/>
      <c r="W1496" s="60"/>
    </row>
    <row r="1497" spans="1:23" x14ac:dyDescent="0.35">
      <c r="A1497" s="61"/>
      <c r="B1497" s="55"/>
      <c r="C1497" s="70"/>
      <c r="D1497" s="12"/>
      <c r="E1497" s="128"/>
      <c r="F1497" s="12"/>
      <c r="G1497" s="71"/>
      <c r="H1497" s="71"/>
      <c r="I1497" s="56"/>
      <c r="J1497" s="71"/>
      <c r="K1497" s="56"/>
      <c r="L1497" s="71"/>
      <c r="M1497" s="56"/>
      <c r="N1497" s="12"/>
      <c r="O1497" s="12"/>
      <c r="P1497" s="57"/>
      <c r="Q1497" s="50"/>
      <c r="R1497" s="229"/>
      <c r="S1497" s="58"/>
      <c r="T1497" s="58"/>
      <c r="U1497" s="58"/>
      <c r="V1497" s="59"/>
      <c r="W1497" s="60"/>
    </row>
    <row r="1498" spans="1:23" x14ac:dyDescent="0.35">
      <c r="A1498" s="61"/>
      <c r="B1498" s="55"/>
      <c r="C1498" s="70"/>
      <c r="D1498" s="12"/>
      <c r="E1498" s="128"/>
      <c r="F1498" s="12"/>
      <c r="G1498" s="71"/>
      <c r="H1498" s="71"/>
      <c r="I1498" s="56"/>
      <c r="J1498" s="71"/>
      <c r="K1498" s="56"/>
      <c r="L1498" s="71"/>
      <c r="M1498" s="56"/>
      <c r="N1498" s="12"/>
      <c r="O1498" s="12"/>
      <c r="P1498" s="57"/>
      <c r="Q1498" s="50"/>
      <c r="R1498" s="229"/>
      <c r="S1498" s="58"/>
      <c r="T1498" s="58"/>
      <c r="U1498" s="58"/>
      <c r="V1498" s="59"/>
      <c r="W1498" s="60"/>
    </row>
    <row r="1499" spans="1:23" x14ac:dyDescent="0.35">
      <c r="A1499" s="61"/>
      <c r="B1499" s="55"/>
      <c r="C1499" s="70"/>
      <c r="D1499" s="12"/>
      <c r="E1499" s="128"/>
      <c r="F1499" s="12"/>
      <c r="G1499" s="71"/>
      <c r="H1499" s="71"/>
      <c r="I1499" s="56"/>
      <c r="J1499" s="71"/>
      <c r="K1499" s="56"/>
      <c r="L1499" s="71"/>
      <c r="M1499" s="56"/>
      <c r="N1499" s="12"/>
      <c r="O1499" s="12"/>
      <c r="P1499" s="57"/>
      <c r="Q1499" s="50"/>
      <c r="R1499" s="229"/>
      <c r="S1499" s="58"/>
      <c r="T1499" s="58"/>
      <c r="U1499" s="58"/>
      <c r="V1499" s="59"/>
      <c r="W1499" s="60"/>
    </row>
    <row r="1500" spans="1:23" x14ac:dyDescent="0.35">
      <c r="A1500" s="61"/>
      <c r="B1500" s="55"/>
      <c r="C1500" s="70"/>
      <c r="D1500" s="12"/>
      <c r="E1500" s="128"/>
      <c r="F1500" s="12"/>
      <c r="G1500" s="71"/>
      <c r="H1500" s="71"/>
      <c r="I1500" s="56"/>
      <c r="J1500" s="71"/>
      <c r="K1500" s="56"/>
      <c r="L1500" s="71"/>
      <c r="M1500" s="56"/>
      <c r="N1500" s="12"/>
      <c r="O1500" s="12"/>
      <c r="P1500" s="57"/>
      <c r="Q1500" s="50"/>
      <c r="R1500" s="50"/>
      <c r="S1500" s="58"/>
      <c r="T1500" s="58"/>
      <c r="U1500" s="58"/>
      <c r="V1500" s="59"/>
      <c r="W1500" s="60"/>
    </row>
    <row r="1501" spans="1:23" x14ac:dyDescent="0.35">
      <c r="A1501" s="61"/>
      <c r="B1501" s="55"/>
      <c r="C1501" s="70"/>
      <c r="D1501" s="12"/>
      <c r="E1501" s="128"/>
      <c r="F1501" s="12"/>
      <c r="G1501" s="71"/>
      <c r="H1501" s="71"/>
      <c r="I1501" s="56"/>
      <c r="J1501" s="71"/>
      <c r="K1501" s="56"/>
      <c r="L1501" s="71"/>
      <c r="M1501" s="56"/>
      <c r="N1501" s="12"/>
      <c r="O1501" s="12"/>
      <c r="P1501" s="57"/>
      <c r="Q1501" s="50"/>
      <c r="R1501" s="229"/>
      <c r="S1501" s="58"/>
      <c r="T1501" s="58"/>
      <c r="U1501" s="58"/>
      <c r="V1501" s="59"/>
      <c r="W1501" s="60"/>
    </row>
    <row r="1502" spans="1:23" x14ac:dyDescent="0.35">
      <c r="A1502" s="61"/>
      <c r="B1502" s="55"/>
      <c r="C1502" s="70"/>
      <c r="D1502" s="12"/>
      <c r="E1502" s="128"/>
      <c r="F1502" s="12"/>
      <c r="G1502" s="71"/>
      <c r="H1502" s="71"/>
      <c r="I1502" s="56"/>
      <c r="J1502" s="71"/>
      <c r="K1502" s="56"/>
      <c r="L1502" s="71"/>
      <c r="M1502" s="56"/>
      <c r="N1502" s="12"/>
      <c r="O1502" s="12"/>
      <c r="P1502" s="57"/>
      <c r="Q1502" s="50"/>
      <c r="R1502" s="229"/>
      <c r="S1502" s="58"/>
      <c r="T1502" s="58"/>
      <c r="U1502" s="58"/>
      <c r="V1502" s="59"/>
      <c r="W1502" s="60"/>
    </row>
    <row r="1503" spans="1:23" x14ac:dyDescent="0.35">
      <c r="A1503" s="61"/>
      <c r="B1503" s="55"/>
      <c r="C1503" s="70"/>
      <c r="D1503" s="12"/>
      <c r="E1503" s="128"/>
      <c r="F1503" s="12"/>
      <c r="G1503" s="71"/>
      <c r="H1503" s="71"/>
      <c r="I1503" s="56"/>
      <c r="J1503" s="71"/>
      <c r="K1503" s="56"/>
      <c r="L1503" s="71"/>
      <c r="M1503" s="56"/>
      <c r="N1503" s="12"/>
      <c r="O1503" s="12"/>
      <c r="P1503" s="57"/>
      <c r="Q1503" s="50"/>
      <c r="R1503" s="229"/>
      <c r="S1503" s="58"/>
      <c r="T1503" s="58"/>
      <c r="U1503" s="58"/>
      <c r="V1503" s="59"/>
      <c r="W1503" s="60"/>
    </row>
    <row r="1504" spans="1:23" x14ac:dyDescent="0.35">
      <c r="A1504" s="61"/>
      <c r="B1504" s="55"/>
      <c r="C1504" s="70"/>
      <c r="D1504" s="12"/>
      <c r="E1504" s="128"/>
      <c r="F1504" s="12"/>
      <c r="G1504" s="71"/>
      <c r="H1504" s="71"/>
      <c r="I1504" s="56"/>
      <c r="J1504" s="71"/>
      <c r="K1504" s="56"/>
      <c r="L1504" s="71"/>
      <c r="M1504" s="56"/>
      <c r="N1504" s="12"/>
      <c r="O1504" s="12"/>
      <c r="P1504" s="57"/>
      <c r="Q1504" s="50"/>
      <c r="R1504" s="229"/>
      <c r="S1504" s="58"/>
      <c r="T1504" s="58"/>
      <c r="U1504" s="58"/>
      <c r="V1504" s="59"/>
      <c r="W1504" s="60"/>
    </row>
    <row r="1505" spans="1:23" x14ac:dyDescent="0.35">
      <c r="A1505" s="61"/>
      <c r="B1505" s="55"/>
      <c r="C1505" s="70"/>
      <c r="D1505" s="12"/>
      <c r="E1505" s="128"/>
      <c r="F1505" s="12"/>
      <c r="G1505" s="71"/>
      <c r="H1505" s="71"/>
      <c r="I1505" s="56"/>
      <c r="J1505" s="71"/>
      <c r="K1505" s="56"/>
      <c r="L1505" s="71"/>
      <c r="M1505" s="56"/>
      <c r="N1505" s="12"/>
      <c r="O1505" s="12"/>
      <c r="P1505" s="57"/>
      <c r="Q1505" s="50"/>
      <c r="R1505" s="229"/>
      <c r="S1505" s="58"/>
      <c r="T1505" s="58"/>
      <c r="U1505" s="58"/>
      <c r="V1505" s="59"/>
      <c r="W1505" s="60"/>
    </row>
    <row r="1506" spans="1:23" x14ac:dyDescent="0.35">
      <c r="A1506" s="61"/>
      <c r="B1506" s="55"/>
      <c r="C1506" s="70"/>
      <c r="D1506" s="12"/>
      <c r="E1506" s="128"/>
      <c r="F1506" s="12"/>
      <c r="G1506" s="71"/>
      <c r="H1506" s="71"/>
      <c r="I1506" s="56"/>
      <c r="J1506" s="71"/>
      <c r="K1506" s="56"/>
      <c r="L1506" s="71"/>
      <c r="M1506" s="56"/>
      <c r="N1506" s="12"/>
      <c r="O1506" s="12"/>
      <c r="P1506" s="57"/>
      <c r="Q1506" s="50"/>
      <c r="R1506" s="229"/>
      <c r="S1506" s="58"/>
      <c r="T1506" s="58"/>
      <c r="U1506" s="58"/>
      <c r="V1506" s="59"/>
      <c r="W1506" s="60"/>
    </row>
    <row r="1507" spans="1:23" x14ac:dyDescent="0.35">
      <c r="A1507" s="61"/>
      <c r="B1507" s="55"/>
      <c r="C1507" s="70"/>
      <c r="D1507" s="12"/>
      <c r="E1507" s="128"/>
      <c r="F1507" s="12"/>
      <c r="G1507" s="71"/>
      <c r="H1507" s="71"/>
      <c r="I1507" s="56"/>
      <c r="J1507" s="71"/>
      <c r="K1507" s="56"/>
      <c r="L1507" s="71"/>
      <c r="M1507" s="56"/>
      <c r="N1507" s="12"/>
      <c r="O1507" s="12"/>
      <c r="P1507" s="57"/>
      <c r="Q1507" s="50"/>
      <c r="R1507" s="229"/>
      <c r="S1507" s="58"/>
      <c r="T1507" s="58"/>
      <c r="U1507" s="58"/>
      <c r="V1507" s="59"/>
      <c r="W1507" s="60"/>
    </row>
    <row r="1508" spans="1:23" x14ac:dyDescent="0.35">
      <c r="A1508" s="61"/>
      <c r="B1508" s="55"/>
      <c r="C1508" s="70"/>
      <c r="D1508" s="12"/>
      <c r="E1508" s="128"/>
      <c r="F1508" s="12"/>
      <c r="G1508" s="71"/>
      <c r="H1508" s="71"/>
      <c r="I1508" s="56"/>
      <c r="J1508" s="71"/>
      <c r="K1508" s="56"/>
      <c r="L1508" s="71"/>
      <c r="M1508" s="56"/>
      <c r="N1508" s="12"/>
      <c r="O1508" s="12"/>
      <c r="P1508" s="57"/>
      <c r="Q1508" s="50"/>
      <c r="R1508" s="229"/>
      <c r="S1508" s="58"/>
      <c r="T1508" s="58"/>
      <c r="U1508" s="58"/>
      <c r="V1508" s="59"/>
      <c r="W1508" s="60"/>
    </row>
    <row r="1509" spans="1:23" x14ac:dyDescent="0.35">
      <c r="A1509" s="61"/>
      <c r="B1509" s="55"/>
      <c r="C1509" s="70"/>
      <c r="D1509" s="12"/>
      <c r="E1509" s="128"/>
      <c r="F1509" s="12"/>
      <c r="G1509" s="71"/>
      <c r="H1509" s="71"/>
      <c r="I1509" s="56"/>
      <c r="J1509" s="71"/>
      <c r="K1509" s="56"/>
      <c r="L1509" s="71"/>
      <c r="M1509" s="56"/>
      <c r="N1509" s="12"/>
      <c r="O1509" s="12"/>
      <c r="P1509" s="57"/>
      <c r="Q1509" s="50"/>
      <c r="R1509" s="229"/>
      <c r="S1509" s="58"/>
      <c r="T1509" s="58"/>
      <c r="U1509" s="58"/>
      <c r="V1509" s="59"/>
      <c r="W1509" s="60"/>
    </row>
    <row r="1510" spans="1:23" x14ac:dyDescent="0.35">
      <c r="A1510" s="61"/>
      <c r="B1510" s="55"/>
      <c r="C1510" s="70"/>
      <c r="D1510" s="12"/>
      <c r="E1510" s="128"/>
      <c r="F1510" s="12"/>
      <c r="G1510" s="71"/>
      <c r="H1510" s="71"/>
      <c r="I1510" s="56"/>
      <c r="J1510" s="71"/>
      <c r="K1510" s="56"/>
      <c r="L1510" s="71"/>
      <c r="M1510" s="56"/>
      <c r="N1510" s="12"/>
      <c r="O1510" s="12"/>
      <c r="P1510" s="57"/>
      <c r="Q1510" s="50"/>
      <c r="R1510" s="229"/>
      <c r="S1510" s="58"/>
      <c r="T1510" s="58"/>
      <c r="U1510" s="58"/>
      <c r="V1510" s="59"/>
      <c r="W1510" s="60"/>
    </row>
    <row r="1511" spans="1:23" x14ac:dyDescent="0.35">
      <c r="A1511" s="61"/>
      <c r="B1511" s="55"/>
      <c r="C1511" s="70"/>
      <c r="D1511" s="12"/>
      <c r="E1511" s="128"/>
      <c r="F1511" s="12"/>
      <c r="G1511" s="71"/>
      <c r="H1511" s="71"/>
      <c r="I1511" s="56"/>
      <c r="J1511" s="71"/>
      <c r="K1511" s="56"/>
      <c r="L1511" s="71"/>
      <c r="M1511" s="56"/>
      <c r="N1511" s="12"/>
      <c r="O1511" s="12"/>
      <c r="P1511" s="57"/>
      <c r="Q1511" s="50"/>
      <c r="R1511" s="229"/>
      <c r="S1511" s="58"/>
      <c r="T1511" s="58"/>
      <c r="U1511" s="58"/>
      <c r="V1511" s="59"/>
      <c r="W1511" s="60"/>
    </row>
    <row r="1512" spans="1:23" x14ac:dyDescent="0.35">
      <c r="A1512" s="61"/>
      <c r="B1512" s="55"/>
      <c r="C1512" s="70"/>
      <c r="D1512" s="12"/>
      <c r="E1512" s="128"/>
      <c r="F1512" s="12"/>
      <c r="G1512" s="71"/>
      <c r="H1512" s="71"/>
      <c r="I1512" s="56"/>
      <c r="J1512" s="71"/>
      <c r="K1512" s="56"/>
      <c r="L1512" s="71"/>
      <c r="M1512" s="56"/>
      <c r="N1512" s="12"/>
      <c r="O1512" s="12"/>
      <c r="P1512" s="57"/>
      <c r="Q1512" s="50"/>
      <c r="R1512" s="229"/>
      <c r="S1512" s="58"/>
      <c r="T1512" s="58"/>
      <c r="U1512" s="58"/>
      <c r="V1512" s="59"/>
      <c r="W1512" s="60"/>
    </row>
    <row r="1513" spans="1:23" x14ac:dyDescent="0.35">
      <c r="A1513" s="61"/>
      <c r="B1513" s="55"/>
      <c r="C1513" s="70"/>
      <c r="D1513" s="12"/>
      <c r="E1513" s="128"/>
      <c r="F1513" s="12"/>
      <c r="G1513" s="71"/>
      <c r="H1513" s="71"/>
      <c r="I1513" s="56"/>
      <c r="J1513" s="71"/>
      <c r="K1513" s="56"/>
      <c r="L1513" s="71"/>
      <c r="M1513" s="56"/>
      <c r="N1513" s="12"/>
      <c r="O1513" s="12"/>
      <c r="P1513" s="57"/>
      <c r="Q1513" s="50"/>
      <c r="R1513" s="229"/>
      <c r="S1513" s="58"/>
      <c r="T1513" s="58"/>
      <c r="U1513" s="58"/>
      <c r="V1513" s="59"/>
      <c r="W1513" s="60"/>
    </row>
    <row r="1514" spans="1:23" x14ac:dyDescent="0.35">
      <c r="A1514" s="61"/>
      <c r="B1514" s="55"/>
      <c r="C1514" s="70"/>
      <c r="D1514" s="12"/>
      <c r="E1514" s="128"/>
      <c r="F1514" s="12"/>
      <c r="G1514" s="71"/>
      <c r="H1514" s="71"/>
      <c r="I1514" s="56"/>
      <c r="J1514" s="71"/>
      <c r="K1514" s="56"/>
      <c r="L1514" s="71"/>
      <c r="M1514" s="56"/>
      <c r="N1514" s="12"/>
      <c r="O1514" s="12"/>
      <c r="P1514" s="57"/>
      <c r="Q1514" s="50"/>
      <c r="R1514" s="50"/>
      <c r="S1514" s="58"/>
      <c r="T1514" s="58"/>
      <c r="U1514" s="58"/>
      <c r="V1514" s="59"/>
      <c r="W1514" s="60"/>
    </row>
    <row r="1515" spans="1:23" x14ac:dyDescent="0.35">
      <c r="A1515" s="61"/>
      <c r="B1515" s="55"/>
      <c r="C1515" s="70"/>
      <c r="D1515" s="12"/>
      <c r="E1515" s="128"/>
      <c r="F1515" s="12"/>
      <c r="G1515" s="71"/>
      <c r="H1515" s="71"/>
      <c r="I1515" s="56"/>
      <c r="J1515" s="71"/>
      <c r="K1515" s="56"/>
      <c r="L1515" s="71"/>
      <c r="M1515" s="56"/>
      <c r="N1515" s="12"/>
      <c r="O1515" s="12"/>
      <c r="P1515" s="57"/>
      <c r="Q1515" s="50"/>
      <c r="R1515" s="50"/>
      <c r="S1515" s="58"/>
      <c r="T1515" s="58"/>
      <c r="U1515" s="58"/>
      <c r="V1515" s="59"/>
      <c r="W1515" s="60"/>
    </row>
    <row r="1516" spans="1:23" x14ac:dyDescent="0.35">
      <c r="A1516" s="61"/>
      <c r="B1516" s="55"/>
      <c r="C1516" s="70"/>
      <c r="D1516" s="12"/>
      <c r="E1516" s="128"/>
      <c r="F1516" s="12"/>
      <c r="G1516" s="71"/>
      <c r="H1516" s="71"/>
      <c r="I1516" s="56"/>
      <c r="J1516" s="71"/>
      <c r="K1516" s="56"/>
      <c r="L1516" s="71"/>
      <c r="M1516" s="56"/>
      <c r="N1516" s="12"/>
      <c r="O1516" s="12"/>
      <c r="P1516" s="57"/>
      <c r="Q1516" s="50"/>
      <c r="R1516" s="50"/>
      <c r="S1516" s="58"/>
      <c r="T1516" s="58"/>
      <c r="U1516" s="58"/>
      <c r="V1516" s="59"/>
      <c r="W1516" s="60"/>
    </row>
    <row r="1517" spans="1:23" x14ac:dyDescent="0.35">
      <c r="A1517" s="61"/>
      <c r="B1517" s="55"/>
      <c r="C1517" s="70"/>
      <c r="D1517" s="12"/>
      <c r="E1517" s="128"/>
      <c r="F1517" s="12"/>
      <c r="G1517" s="71"/>
      <c r="H1517" s="71"/>
      <c r="I1517" s="56"/>
      <c r="J1517" s="71"/>
      <c r="K1517" s="56"/>
      <c r="L1517" s="71"/>
      <c r="M1517" s="56"/>
      <c r="N1517" s="12"/>
      <c r="O1517" s="12"/>
      <c r="P1517" s="57"/>
      <c r="Q1517" s="50"/>
      <c r="R1517" s="229"/>
      <c r="S1517" s="58"/>
      <c r="T1517" s="58"/>
      <c r="U1517" s="58"/>
      <c r="V1517" s="59"/>
      <c r="W1517" s="60"/>
    </row>
    <row r="1518" spans="1:23" x14ac:dyDescent="0.35">
      <c r="A1518" s="61"/>
      <c r="B1518" s="55"/>
      <c r="C1518" s="70"/>
      <c r="D1518" s="12"/>
      <c r="E1518" s="128"/>
      <c r="F1518" s="12"/>
      <c r="G1518" s="71"/>
      <c r="H1518" s="71"/>
      <c r="I1518" s="56"/>
      <c r="J1518" s="71"/>
      <c r="K1518" s="56"/>
      <c r="L1518" s="71"/>
      <c r="M1518" s="56"/>
      <c r="N1518" s="12"/>
      <c r="O1518" s="12"/>
      <c r="P1518" s="57"/>
      <c r="Q1518" s="50"/>
      <c r="R1518" s="229"/>
      <c r="S1518" s="58"/>
      <c r="T1518" s="58"/>
      <c r="U1518" s="58"/>
      <c r="V1518" s="59"/>
      <c r="W1518" s="60"/>
    </row>
    <row r="1519" spans="1:23" x14ac:dyDescent="0.35">
      <c r="A1519" s="61"/>
      <c r="B1519" s="55"/>
      <c r="C1519" s="70"/>
      <c r="D1519" s="12"/>
      <c r="E1519" s="128"/>
      <c r="F1519" s="12"/>
      <c r="G1519" s="71"/>
      <c r="H1519" s="71"/>
      <c r="I1519" s="56"/>
      <c r="J1519" s="71"/>
      <c r="K1519" s="56"/>
      <c r="L1519" s="71"/>
      <c r="M1519" s="56"/>
      <c r="N1519" s="12"/>
      <c r="O1519" s="12"/>
      <c r="P1519" s="57"/>
      <c r="Q1519" s="50"/>
      <c r="R1519" s="229"/>
      <c r="S1519" s="58"/>
      <c r="T1519" s="58"/>
      <c r="U1519" s="58"/>
      <c r="V1519" s="59"/>
      <c r="W1519" s="60"/>
    </row>
    <row r="1520" spans="1:23" x14ac:dyDescent="0.35">
      <c r="A1520" s="61"/>
      <c r="B1520" s="55"/>
      <c r="C1520" s="70"/>
      <c r="D1520" s="12"/>
      <c r="E1520" s="128"/>
      <c r="F1520" s="12"/>
      <c r="G1520" s="71"/>
      <c r="H1520" s="71"/>
      <c r="I1520" s="56"/>
      <c r="J1520" s="71"/>
      <c r="K1520" s="56"/>
      <c r="L1520" s="71"/>
      <c r="M1520" s="56"/>
      <c r="N1520" s="12"/>
      <c r="O1520" s="12"/>
      <c r="P1520" s="57"/>
      <c r="Q1520" s="50"/>
      <c r="R1520" s="229"/>
      <c r="S1520" s="58"/>
      <c r="T1520" s="58"/>
      <c r="U1520" s="58"/>
      <c r="V1520" s="59"/>
      <c r="W1520" s="60"/>
    </row>
    <row r="1521" spans="1:23" x14ac:dyDescent="0.35">
      <c r="A1521" s="61"/>
      <c r="B1521" s="55"/>
      <c r="C1521" s="70"/>
      <c r="D1521" s="12"/>
      <c r="E1521" s="128"/>
      <c r="F1521" s="12"/>
      <c r="G1521" s="71"/>
      <c r="H1521" s="71"/>
      <c r="I1521" s="56"/>
      <c r="J1521" s="71"/>
      <c r="K1521" s="56"/>
      <c r="L1521" s="71"/>
      <c r="M1521" s="56"/>
      <c r="N1521" s="12"/>
      <c r="O1521" s="12"/>
      <c r="P1521" s="57"/>
      <c r="Q1521" s="50"/>
      <c r="R1521" s="229"/>
      <c r="S1521" s="58"/>
      <c r="T1521" s="58"/>
      <c r="U1521" s="58"/>
      <c r="V1521" s="59"/>
      <c r="W1521" s="60"/>
    </row>
    <row r="1522" spans="1:23" x14ac:dyDescent="0.35">
      <c r="A1522" s="61"/>
      <c r="B1522" s="55"/>
      <c r="C1522" s="70"/>
      <c r="D1522" s="12"/>
      <c r="E1522" s="128"/>
      <c r="F1522" s="12"/>
      <c r="G1522" s="71"/>
      <c r="H1522" s="71"/>
      <c r="I1522" s="56"/>
      <c r="J1522" s="71"/>
      <c r="K1522" s="56"/>
      <c r="L1522" s="71"/>
      <c r="M1522" s="56"/>
      <c r="N1522" s="12"/>
      <c r="O1522" s="12"/>
      <c r="P1522" s="57"/>
      <c r="Q1522" s="50"/>
      <c r="R1522" s="50"/>
      <c r="S1522" s="58"/>
      <c r="T1522" s="58"/>
      <c r="U1522" s="58"/>
      <c r="V1522" s="59"/>
      <c r="W1522" s="60"/>
    </row>
    <row r="1523" spans="1:23" x14ac:dyDescent="0.35">
      <c r="A1523" s="61"/>
      <c r="B1523" s="55"/>
      <c r="C1523" s="70"/>
      <c r="D1523" s="12"/>
      <c r="E1523" s="128"/>
      <c r="F1523" s="12"/>
      <c r="G1523" s="71"/>
      <c r="H1523" s="71"/>
      <c r="I1523" s="56"/>
      <c r="J1523" s="71"/>
      <c r="K1523" s="56"/>
      <c r="L1523" s="71"/>
      <c r="M1523" s="56"/>
      <c r="N1523" s="12"/>
      <c r="O1523" s="12"/>
      <c r="P1523" s="57"/>
      <c r="Q1523" s="50"/>
      <c r="R1523" s="50"/>
      <c r="S1523" s="58"/>
      <c r="T1523" s="58"/>
      <c r="U1523" s="58"/>
      <c r="V1523" s="59"/>
      <c r="W1523" s="60"/>
    </row>
    <row r="1524" spans="1:23" x14ac:dyDescent="0.35">
      <c r="A1524" s="61"/>
      <c r="B1524" s="55"/>
      <c r="C1524" s="70"/>
      <c r="D1524" s="12"/>
      <c r="E1524" s="128"/>
      <c r="F1524" s="12"/>
      <c r="G1524" s="71"/>
      <c r="H1524" s="71"/>
      <c r="I1524" s="56"/>
      <c r="J1524" s="71"/>
      <c r="K1524" s="56"/>
      <c r="L1524" s="71"/>
      <c r="M1524" s="56"/>
      <c r="N1524" s="12"/>
      <c r="O1524" s="12"/>
      <c r="P1524" s="57"/>
      <c r="Q1524" s="50"/>
      <c r="R1524" s="229"/>
      <c r="S1524" s="58"/>
      <c r="T1524" s="58"/>
      <c r="U1524" s="58"/>
      <c r="V1524" s="59"/>
      <c r="W1524" s="60"/>
    </row>
    <row r="1525" spans="1:23" x14ac:dyDescent="0.35">
      <c r="A1525" s="61"/>
      <c r="B1525" s="55"/>
      <c r="C1525" s="70"/>
      <c r="D1525" s="12"/>
      <c r="E1525" s="128"/>
      <c r="F1525" s="12"/>
      <c r="G1525" s="71"/>
      <c r="H1525" s="71"/>
      <c r="I1525" s="56"/>
      <c r="J1525" s="71"/>
      <c r="K1525" s="56"/>
      <c r="L1525" s="71"/>
      <c r="M1525" s="56"/>
      <c r="N1525" s="12"/>
      <c r="O1525" s="12"/>
      <c r="P1525" s="57"/>
      <c r="Q1525" s="50"/>
      <c r="R1525" s="229"/>
      <c r="S1525" s="58"/>
      <c r="T1525" s="58"/>
      <c r="U1525" s="58"/>
      <c r="V1525" s="59"/>
      <c r="W1525" s="60"/>
    </row>
    <row r="1526" spans="1:23" x14ac:dyDescent="0.35">
      <c r="A1526" s="61"/>
      <c r="B1526" s="55"/>
      <c r="C1526" s="70"/>
      <c r="D1526" s="12"/>
      <c r="E1526" s="128"/>
      <c r="F1526" s="12"/>
      <c r="G1526" s="71"/>
      <c r="H1526" s="71"/>
      <c r="I1526" s="56"/>
      <c r="J1526" s="71"/>
      <c r="K1526" s="56"/>
      <c r="L1526" s="71"/>
      <c r="M1526" s="56"/>
      <c r="N1526" s="12"/>
      <c r="O1526" s="12"/>
      <c r="P1526" s="57"/>
      <c r="Q1526" s="50"/>
      <c r="R1526" s="229"/>
      <c r="S1526" s="58"/>
      <c r="T1526" s="58"/>
      <c r="U1526" s="58"/>
      <c r="V1526" s="59"/>
      <c r="W1526" s="60"/>
    </row>
    <row r="1527" spans="1:23" x14ac:dyDescent="0.35">
      <c r="A1527" s="61"/>
      <c r="B1527" s="55"/>
      <c r="C1527" s="70"/>
      <c r="D1527" s="12"/>
      <c r="E1527" s="128"/>
      <c r="F1527" s="12"/>
      <c r="G1527" s="71"/>
      <c r="H1527" s="71"/>
      <c r="I1527" s="56"/>
      <c r="J1527" s="71"/>
      <c r="K1527" s="56"/>
      <c r="L1527" s="71"/>
      <c r="M1527" s="56"/>
      <c r="N1527" s="12"/>
      <c r="O1527" s="12"/>
      <c r="P1527" s="57"/>
      <c r="Q1527" s="50"/>
      <c r="R1527" s="229"/>
      <c r="S1527" s="58"/>
      <c r="T1527" s="58"/>
      <c r="U1527" s="58"/>
      <c r="V1527" s="59"/>
      <c r="W1527" s="60"/>
    </row>
    <row r="1528" spans="1:23" x14ac:dyDescent="0.35">
      <c r="A1528" s="61"/>
      <c r="B1528" s="55"/>
      <c r="C1528" s="70"/>
      <c r="D1528" s="12"/>
      <c r="E1528" s="128"/>
      <c r="F1528" s="12"/>
      <c r="G1528" s="71"/>
      <c r="H1528" s="71"/>
      <c r="I1528" s="56"/>
      <c r="J1528" s="71"/>
      <c r="K1528" s="56"/>
      <c r="L1528" s="71"/>
      <c r="M1528" s="56"/>
      <c r="N1528" s="12"/>
      <c r="O1528" s="12"/>
      <c r="P1528" s="57"/>
      <c r="Q1528" s="50"/>
      <c r="R1528" s="229"/>
      <c r="S1528" s="58"/>
      <c r="T1528" s="58"/>
      <c r="U1528" s="58"/>
      <c r="V1528" s="59"/>
      <c r="W1528" s="60"/>
    </row>
    <row r="1529" spans="1:23" x14ac:dyDescent="0.35">
      <c r="A1529" s="61"/>
      <c r="B1529" s="55"/>
      <c r="C1529" s="70"/>
      <c r="D1529" s="12"/>
      <c r="E1529" s="128"/>
      <c r="F1529" s="12"/>
      <c r="G1529" s="71"/>
      <c r="H1529" s="71"/>
      <c r="I1529" s="56"/>
      <c r="J1529" s="71"/>
      <c r="K1529" s="56"/>
      <c r="L1529" s="71"/>
      <c r="M1529" s="56"/>
      <c r="N1529" s="12"/>
      <c r="O1529" s="12"/>
      <c r="P1529" s="57"/>
      <c r="Q1529" s="50"/>
      <c r="R1529" s="229"/>
      <c r="S1529" s="58"/>
      <c r="T1529" s="58"/>
      <c r="U1529" s="58"/>
      <c r="V1529" s="59"/>
      <c r="W1529" s="60"/>
    </row>
    <row r="1530" spans="1:23" x14ac:dyDescent="0.35">
      <c r="A1530" s="61"/>
      <c r="B1530" s="55"/>
      <c r="C1530" s="70"/>
      <c r="D1530" s="12"/>
      <c r="E1530" s="128"/>
      <c r="F1530" s="12"/>
      <c r="G1530" s="71"/>
      <c r="H1530" s="71"/>
      <c r="I1530" s="56"/>
      <c r="J1530" s="71"/>
      <c r="K1530" s="56"/>
      <c r="L1530" s="71"/>
      <c r="M1530" s="56"/>
      <c r="N1530" s="12"/>
      <c r="O1530" s="12"/>
      <c r="P1530" s="57"/>
      <c r="Q1530" s="50"/>
      <c r="R1530" s="229"/>
      <c r="S1530" s="58"/>
      <c r="T1530" s="58"/>
      <c r="U1530" s="58"/>
      <c r="V1530" s="59"/>
      <c r="W1530" s="60"/>
    </row>
    <row r="1531" spans="1:23" x14ac:dyDescent="0.35">
      <c r="A1531" s="61"/>
      <c r="B1531" s="55"/>
      <c r="C1531" s="70"/>
      <c r="D1531" s="12"/>
      <c r="E1531" s="128"/>
      <c r="F1531" s="12"/>
      <c r="G1531" s="71"/>
      <c r="H1531" s="71"/>
      <c r="I1531" s="56"/>
      <c r="J1531" s="71"/>
      <c r="K1531" s="56"/>
      <c r="L1531" s="71"/>
      <c r="M1531" s="56"/>
      <c r="N1531" s="12"/>
      <c r="O1531" s="12"/>
      <c r="P1531" s="57"/>
      <c r="Q1531" s="50"/>
      <c r="R1531" s="229"/>
      <c r="S1531" s="58"/>
      <c r="T1531" s="58"/>
      <c r="U1531" s="58"/>
      <c r="V1531" s="59"/>
      <c r="W1531" s="60"/>
    </row>
    <row r="1532" spans="1:23" x14ac:dyDescent="0.35">
      <c r="A1532" s="61"/>
      <c r="B1532" s="55"/>
      <c r="C1532" s="70"/>
      <c r="D1532" s="12"/>
      <c r="E1532" s="128"/>
      <c r="F1532" s="12"/>
      <c r="G1532" s="71"/>
      <c r="H1532" s="71"/>
      <c r="I1532" s="56"/>
      <c r="J1532" s="71"/>
      <c r="K1532" s="56"/>
      <c r="L1532" s="71"/>
      <c r="M1532" s="56"/>
      <c r="N1532" s="12"/>
      <c r="O1532" s="12"/>
      <c r="P1532" s="57"/>
      <c r="Q1532" s="50"/>
      <c r="R1532" s="229"/>
      <c r="S1532" s="58"/>
      <c r="T1532" s="58"/>
      <c r="U1532" s="58"/>
      <c r="V1532" s="59"/>
      <c r="W1532" s="60"/>
    </row>
    <row r="1533" spans="1:23" x14ac:dyDescent="0.35">
      <c r="A1533" s="61"/>
      <c r="B1533" s="55"/>
      <c r="C1533" s="70"/>
      <c r="D1533" s="12"/>
      <c r="E1533" s="128"/>
      <c r="F1533" s="12"/>
      <c r="G1533" s="71"/>
      <c r="H1533" s="71"/>
      <c r="I1533" s="56"/>
      <c r="J1533" s="71"/>
      <c r="K1533" s="56"/>
      <c r="L1533" s="71"/>
      <c r="M1533" s="56"/>
      <c r="N1533" s="12"/>
      <c r="O1533" s="12"/>
      <c r="P1533" s="57"/>
      <c r="Q1533" s="50"/>
      <c r="R1533" s="229"/>
      <c r="S1533" s="58"/>
      <c r="T1533" s="58"/>
      <c r="U1533" s="58"/>
      <c r="V1533" s="59"/>
      <c r="W1533" s="60"/>
    </row>
    <row r="1534" spans="1:23" x14ac:dyDescent="0.35">
      <c r="A1534" s="61"/>
      <c r="B1534" s="55"/>
      <c r="C1534" s="70"/>
      <c r="D1534" s="12"/>
      <c r="E1534" s="128"/>
      <c r="F1534" s="12"/>
      <c r="G1534" s="71"/>
      <c r="H1534" s="71"/>
      <c r="I1534" s="56"/>
      <c r="J1534" s="71"/>
      <c r="K1534" s="56"/>
      <c r="L1534" s="71"/>
      <c r="M1534" s="56"/>
      <c r="N1534" s="12"/>
      <c r="O1534" s="12"/>
      <c r="P1534" s="57"/>
      <c r="Q1534" s="50"/>
      <c r="R1534" s="229"/>
      <c r="S1534" s="58"/>
      <c r="T1534" s="58"/>
      <c r="U1534" s="58"/>
      <c r="V1534" s="59"/>
      <c r="W1534" s="60"/>
    </row>
    <row r="1535" spans="1:23" x14ac:dyDescent="0.35">
      <c r="A1535" s="61"/>
      <c r="B1535" s="55"/>
      <c r="C1535" s="70"/>
      <c r="D1535" s="12"/>
      <c r="E1535" s="128"/>
      <c r="F1535" s="12"/>
      <c r="G1535" s="71"/>
      <c r="H1535" s="71"/>
      <c r="I1535" s="56"/>
      <c r="J1535" s="71"/>
      <c r="K1535" s="56"/>
      <c r="L1535" s="71"/>
      <c r="M1535" s="56"/>
      <c r="N1535" s="12"/>
      <c r="O1535" s="12"/>
      <c r="P1535" s="57"/>
      <c r="Q1535" s="50"/>
      <c r="R1535" s="229"/>
      <c r="S1535" s="58"/>
      <c r="T1535" s="58"/>
      <c r="U1535" s="58"/>
      <c r="V1535" s="59"/>
      <c r="W1535" s="60"/>
    </row>
    <row r="1536" spans="1:23" x14ac:dyDescent="0.35">
      <c r="A1536" s="61"/>
      <c r="B1536" s="55"/>
      <c r="C1536" s="70"/>
      <c r="D1536" s="12"/>
      <c r="E1536" s="128"/>
      <c r="F1536" s="12"/>
      <c r="G1536" s="71"/>
      <c r="H1536" s="71"/>
      <c r="I1536" s="56"/>
      <c r="J1536" s="71"/>
      <c r="K1536" s="56"/>
      <c r="L1536" s="71"/>
      <c r="M1536" s="56"/>
      <c r="N1536" s="12"/>
      <c r="O1536" s="12"/>
      <c r="P1536" s="57"/>
      <c r="Q1536" s="50"/>
      <c r="R1536" s="229"/>
      <c r="S1536" s="58"/>
      <c r="T1536" s="58"/>
      <c r="U1536" s="58"/>
      <c r="V1536" s="59"/>
      <c r="W1536" s="60"/>
    </row>
    <row r="1537" spans="1:23" x14ac:dyDescent="0.35">
      <c r="A1537" s="61"/>
      <c r="B1537" s="55"/>
      <c r="C1537" s="70"/>
      <c r="D1537" s="12"/>
      <c r="E1537" s="128"/>
      <c r="F1537" s="12"/>
      <c r="G1537" s="71"/>
      <c r="H1537" s="71"/>
      <c r="I1537" s="56"/>
      <c r="J1537" s="71"/>
      <c r="K1537" s="56"/>
      <c r="L1537" s="71"/>
      <c r="M1537" s="56"/>
      <c r="N1537" s="12"/>
      <c r="O1537" s="12"/>
      <c r="P1537" s="57"/>
      <c r="Q1537" s="50"/>
      <c r="R1537" s="229"/>
      <c r="S1537" s="58"/>
      <c r="T1537" s="58"/>
      <c r="U1537" s="58"/>
      <c r="V1537" s="59"/>
      <c r="W1537" s="60"/>
    </row>
    <row r="1538" spans="1:23" x14ac:dyDescent="0.35">
      <c r="A1538" s="61"/>
      <c r="B1538" s="55"/>
      <c r="C1538" s="70"/>
      <c r="D1538" s="12"/>
      <c r="E1538" s="128"/>
      <c r="F1538" s="12"/>
      <c r="G1538" s="71"/>
      <c r="H1538" s="71"/>
      <c r="I1538" s="56"/>
      <c r="J1538" s="71"/>
      <c r="K1538" s="56"/>
      <c r="L1538" s="71"/>
      <c r="M1538" s="56"/>
      <c r="N1538" s="12"/>
      <c r="O1538" s="12"/>
      <c r="P1538" s="57"/>
      <c r="Q1538" s="50"/>
      <c r="R1538" s="229"/>
      <c r="S1538" s="58"/>
      <c r="T1538" s="58"/>
      <c r="U1538" s="58"/>
      <c r="V1538" s="59"/>
      <c r="W1538" s="60"/>
    </row>
    <row r="1539" spans="1:23" x14ac:dyDescent="0.35">
      <c r="A1539" s="61"/>
      <c r="B1539" s="55"/>
      <c r="C1539" s="70"/>
      <c r="D1539" s="12"/>
      <c r="E1539" s="128"/>
      <c r="F1539" s="12"/>
      <c r="G1539" s="71"/>
      <c r="H1539" s="71"/>
      <c r="I1539" s="56"/>
      <c r="J1539" s="71"/>
      <c r="K1539" s="56"/>
      <c r="L1539" s="71"/>
      <c r="M1539" s="56"/>
      <c r="N1539" s="12"/>
      <c r="O1539" s="12"/>
      <c r="P1539" s="57"/>
      <c r="Q1539" s="50"/>
      <c r="R1539" s="229"/>
      <c r="S1539" s="58"/>
      <c r="T1539" s="58"/>
      <c r="U1539" s="58"/>
      <c r="V1539" s="59"/>
      <c r="W1539" s="60"/>
    </row>
    <row r="1540" spans="1:23" x14ac:dyDescent="0.35">
      <c r="A1540" s="61"/>
      <c r="B1540" s="55"/>
      <c r="C1540" s="70"/>
      <c r="D1540" s="12"/>
      <c r="E1540" s="128"/>
      <c r="F1540" s="12"/>
      <c r="G1540" s="71"/>
      <c r="H1540" s="71"/>
      <c r="I1540" s="56"/>
      <c r="J1540" s="71"/>
      <c r="K1540" s="56"/>
      <c r="L1540" s="71"/>
      <c r="M1540" s="56"/>
      <c r="N1540" s="12"/>
      <c r="O1540" s="12"/>
      <c r="P1540" s="57"/>
      <c r="Q1540" s="50"/>
      <c r="R1540" s="229"/>
      <c r="S1540" s="58"/>
      <c r="T1540" s="58"/>
      <c r="U1540" s="58"/>
      <c r="V1540" s="59"/>
      <c r="W1540" s="60"/>
    </row>
    <row r="1541" spans="1:23" x14ac:dyDescent="0.35">
      <c r="A1541" s="61"/>
      <c r="B1541" s="55"/>
      <c r="C1541" s="70"/>
      <c r="D1541" s="12"/>
      <c r="E1541" s="128"/>
      <c r="F1541" s="12"/>
      <c r="G1541" s="71"/>
      <c r="H1541" s="71"/>
      <c r="I1541" s="56"/>
      <c r="J1541" s="71"/>
      <c r="K1541" s="56"/>
      <c r="L1541" s="71"/>
      <c r="M1541" s="56"/>
      <c r="N1541" s="12"/>
      <c r="O1541" s="12"/>
      <c r="P1541" s="57"/>
      <c r="Q1541" s="50"/>
      <c r="R1541" s="229"/>
      <c r="S1541" s="58"/>
      <c r="T1541" s="58"/>
      <c r="U1541" s="58"/>
      <c r="V1541" s="59"/>
      <c r="W1541" s="60"/>
    </row>
    <row r="1542" spans="1:23" x14ac:dyDescent="0.35">
      <c r="A1542" s="61"/>
      <c r="B1542" s="55"/>
      <c r="C1542" s="70"/>
      <c r="D1542" s="12"/>
      <c r="E1542" s="128"/>
      <c r="F1542" s="12"/>
      <c r="G1542" s="71"/>
      <c r="H1542" s="71"/>
      <c r="I1542" s="56"/>
      <c r="J1542" s="71"/>
      <c r="K1542" s="56"/>
      <c r="L1542" s="71"/>
      <c r="M1542" s="56"/>
      <c r="N1542" s="12"/>
      <c r="O1542" s="12"/>
      <c r="P1542" s="57"/>
      <c r="Q1542" s="50"/>
      <c r="R1542" s="229"/>
      <c r="S1542" s="58"/>
      <c r="T1542" s="58"/>
      <c r="U1542" s="58"/>
      <c r="V1542" s="59"/>
      <c r="W1542" s="60"/>
    </row>
    <row r="1543" spans="1:23" x14ac:dyDescent="0.35">
      <c r="A1543" s="61"/>
      <c r="B1543" s="55"/>
      <c r="C1543" s="70"/>
      <c r="D1543" s="12"/>
      <c r="E1543" s="128"/>
      <c r="F1543" s="12"/>
      <c r="G1543" s="71"/>
      <c r="H1543" s="71"/>
      <c r="I1543" s="56"/>
      <c r="J1543" s="71"/>
      <c r="K1543" s="56"/>
      <c r="L1543" s="71"/>
      <c r="M1543" s="56"/>
      <c r="N1543" s="12"/>
      <c r="O1543" s="12"/>
      <c r="P1543" s="57"/>
      <c r="Q1543" s="50"/>
      <c r="R1543" s="229"/>
      <c r="S1543" s="58"/>
      <c r="T1543" s="58"/>
      <c r="U1543" s="58"/>
      <c r="V1543" s="59"/>
      <c r="W1543" s="60"/>
    </row>
    <row r="1544" spans="1:23" x14ac:dyDescent="0.35">
      <c r="A1544" s="61"/>
      <c r="B1544" s="55"/>
      <c r="C1544" s="70"/>
      <c r="D1544" s="12"/>
      <c r="E1544" s="128"/>
      <c r="F1544" s="12"/>
      <c r="G1544" s="71"/>
      <c r="H1544" s="71"/>
      <c r="I1544" s="56"/>
      <c r="J1544" s="71"/>
      <c r="K1544" s="56"/>
      <c r="L1544" s="71"/>
      <c r="M1544" s="56"/>
      <c r="N1544" s="12"/>
      <c r="O1544" s="12"/>
      <c r="P1544" s="57"/>
      <c r="Q1544" s="50"/>
      <c r="R1544" s="229"/>
      <c r="S1544" s="58"/>
      <c r="T1544" s="58"/>
      <c r="U1544" s="58"/>
      <c r="V1544" s="59"/>
      <c r="W1544" s="60"/>
    </row>
    <row r="1545" spans="1:23" x14ac:dyDescent="0.35">
      <c r="A1545" s="61"/>
      <c r="B1545" s="55"/>
      <c r="C1545" s="70"/>
      <c r="D1545" s="12"/>
      <c r="E1545" s="128"/>
      <c r="F1545" s="12"/>
      <c r="G1545" s="71"/>
      <c r="H1545" s="71"/>
      <c r="I1545" s="56"/>
      <c r="J1545" s="71"/>
      <c r="K1545" s="56"/>
      <c r="L1545" s="71"/>
      <c r="M1545" s="56"/>
      <c r="N1545" s="12"/>
      <c r="O1545" s="12"/>
      <c r="P1545" s="57"/>
      <c r="Q1545" s="50"/>
      <c r="R1545" s="229"/>
      <c r="S1545" s="58"/>
      <c r="T1545" s="58"/>
      <c r="U1545" s="58"/>
      <c r="V1545" s="59"/>
      <c r="W1545" s="60"/>
    </row>
    <row r="1546" spans="1:23" x14ac:dyDescent="0.35">
      <c r="A1546" s="61"/>
      <c r="B1546" s="55"/>
      <c r="C1546" s="70"/>
      <c r="D1546" s="12"/>
      <c r="E1546" s="128"/>
      <c r="F1546" s="12"/>
      <c r="G1546" s="71"/>
      <c r="H1546" s="71"/>
      <c r="I1546" s="56"/>
      <c r="J1546" s="71"/>
      <c r="K1546" s="56"/>
      <c r="L1546" s="71"/>
      <c r="M1546" s="56"/>
      <c r="N1546" s="12"/>
      <c r="O1546" s="12"/>
      <c r="P1546" s="57"/>
      <c r="Q1546" s="50"/>
      <c r="R1546" s="229"/>
      <c r="S1546" s="58"/>
      <c r="T1546" s="58"/>
      <c r="U1546" s="58"/>
      <c r="V1546" s="59"/>
      <c r="W1546" s="60"/>
    </row>
    <row r="1547" spans="1:23" x14ac:dyDescent="0.35">
      <c r="A1547" s="61"/>
      <c r="B1547" s="55"/>
      <c r="C1547" s="70"/>
      <c r="D1547" s="12"/>
      <c r="E1547" s="128"/>
      <c r="F1547" s="12"/>
      <c r="G1547" s="71"/>
      <c r="H1547" s="71"/>
      <c r="I1547" s="56"/>
      <c r="J1547" s="71"/>
      <c r="K1547" s="56"/>
      <c r="L1547" s="71"/>
      <c r="M1547" s="56"/>
      <c r="N1547" s="12"/>
      <c r="O1547" s="12"/>
      <c r="P1547" s="57"/>
      <c r="Q1547" s="50"/>
      <c r="R1547" s="229"/>
      <c r="S1547" s="58"/>
      <c r="T1547" s="58"/>
      <c r="U1547" s="58"/>
      <c r="V1547" s="59"/>
      <c r="W1547" s="60"/>
    </row>
    <row r="1548" spans="1:23" x14ac:dyDescent="0.35">
      <c r="A1548" s="61"/>
      <c r="B1548" s="55"/>
      <c r="C1548" s="70"/>
      <c r="D1548" s="12"/>
      <c r="E1548" s="128"/>
      <c r="F1548" s="12"/>
      <c r="G1548" s="71"/>
      <c r="H1548" s="71"/>
      <c r="I1548" s="56"/>
      <c r="J1548" s="71"/>
      <c r="K1548" s="56"/>
      <c r="L1548" s="71"/>
      <c r="M1548" s="56"/>
      <c r="N1548" s="12"/>
      <c r="O1548" s="12"/>
      <c r="P1548" s="57"/>
      <c r="Q1548" s="50"/>
      <c r="R1548" s="229"/>
      <c r="S1548" s="58"/>
      <c r="T1548" s="58"/>
      <c r="U1548" s="58"/>
      <c r="V1548" s="59"/>
      <c r="W1548" s="60"/>
    </row>
    <row r="1549" spans="1:23" x14ac:dyDescent="0.35">
      <c r="A1549" s="61"/>
      <c r="B1549" s="55"/>
      <c r="C1549" s="70"/>
      <c r="D1549" s="12"/>
      <c r="E1549" s="128"/>
      <c r="F1549" s="12"/>
      <c r="G1549" s="71"/>
      <c r="H1549" s="71"/>
      <c r="I1549" s="56"/>
      <c r="J1549" s="71"/>
      <c r="K1549" s="56"/>
      <c r="L1549" s="71"/>
      <c r="M1549" s="56"/>
      <c r="N1549" s="12"/>
      <c r="O1549" s="12"/>
      <c r="P1549" s="57"/>
      <c r="Q1549" s="50"/>
      <c r="R1549" s="229"/>
      <c r="S1549" s="58"/>
      <c r="T1549" s="58"/>
      <c r="U1549" s="58"/>
      <c r="V1549" s="59"/>
      <c r="W1549" s="60"/>
    </row>
    <row r="1550" spans="1:23" x14ac:dyDescent="0.35">
      <c r="A1550" s="61"/>
      <c r="B1550" s="55"/>
      <c r="C1550" s="70"/>
      <c r="D1550" s="12"/>
      <c r="E1550" s="128"/>
      <c r="F1550" s="12"/>
      <c r="G1550" s="71"/>
      <c r="H1550" s="71"/>
      <c r="I1550" s="56"/>
      <c r="J1550" s="71"/>
      <c r="K1550" s="56"/>
      <c r="L1550" s="71"/>
      <c r="M1550" s="56"/>
      <c r="N1550" s="12"/>
      <c r="O1550" s="12"/>
      <c r="P1550" s="57"/>
      <c r="Q1550" s="50"/>
      <c r="R1550" s="229"/>
      <c r="S1550" s="58"/>
      <c r="T1550" s="58"/>
      <c r="U1550" s="58"/>
      <c r="V1550" s="59"/>
      <c r="W1550" s="60"/>
    </row>
    <row r="1551" spans="1:23" x14ac:dyDescent="0.35">
      <c r="A1551" s="61"/>
      <c r="B1551" s="55"/>
      <c r="C1551" s="70"/>
      <c r="D1551" s="12"/>
      <c r="E1551" s="128"/>
      <c r="F1551" s="12"/>
      <c r="G1551" s="71"/>
      <c r="H1551" s="71"/>
      <c r="I1551" s="56"/>
      <c r="J1551" s="71"/>
      <c r="K1551" s="56"/>
      <c r="L1551" s="71"/>
      <c r="M1551" s="56"/>
      <c r="N1551" s="12"/>
      <c r="O1551" s="12"/>
      <c r="P1551" s="57"/>
      <c r="Q1551" s="50"/>
      <c r="R1551" s="229"/>
      <c r="S1551" s="58"/>
      <c r="T1551" s="58"/>
      <c r="U1551" s="58"/>
      <c r="V1551" s="59"/>
      <c r="W1551" s="60"/>
    </row>
    <row r="1552" spans="1:23" x14ac:dyDescent="0.35">
      <c r="A1552" s="61"/>
      <c r="B1552" s="55"/>
      <c r="C1552" s="70"/>
      <c r="D1552" s="12"/>
      <c r="E1552" s="128"/>
      <c r="F1552" s="12"/>
      <c r="G1552" s="71"/>
      <c r="H1552" s="71"/>
      <c r="I1552" s="56"/>
      <c r="J1552" s="71"/>
      <c r="K1552" s="56"/>
      <c r="L1552" s="71"/>
      <c r="M1552" s="56"/>
      <c r="N1552" s="12"/>
      <c r="O1552" s="12"/>
      <c r="P1552" s="57"/>
      <c r="Q1552" s="50"/>
      <c r="R1552" s="229"/>
      <c r="S1552" s="58"/>
      <c r="T1552" s="58"/>
      <c r="U1552" s="58"/>
      <c r="V1552" s="59"/>
      <c r="W1552" s="60"/>
    </row>
    <row r="1553" spans="1:23" x14ac:dyDescent="0.35">
      <c r="A1553" s="61"/>
      <c r="B1553" s="55"/>
      <c r="C1553" s="70"/>
      <c r="D1553" s="12"/>
      <c r="E1553" s="128"/>
      <c r="F1553" s="12"/>
      <c r="G1553" s="71"/>
      <c r="H1553" s="71"/>
      <c r="I1553" s="56"/>
      <c r="J1553" s="71"/>
      <c r="K1553" s="56"/>
      <c r="L1553" s="71"/>
      <c r="M1553" s="56"/>
      <c r="N1553" s="12"/>
      <c r="O1553" s="12"/>
      <c r="P1553" s="57"/>
      <c r="Q1553" s="50"/>
      <c r="R1553" s="229"/>
      <c r="S1553" s="58"/>
      <c r="T1553" s="58"/>
      <c r="U1553" s="58"/>
      <c r="V1553" s="59"/>
      <c r="W1553" s="60"/>
    </row>
    <row r="1554" spans="1:23" x14ac:dyDescent="0.35">
      <c r="A1554" s="61"/>
      <c r="B1554" s="55"/>
      <c r="C1554" s="70"/>
      <c r="D1554" s="12"/>
      <c r="E1554" s="128"/>
      <c r="F1554" s="12"/>
      <c r="G1554" s="71"/>
      <c r="H1554" s="71"/>
      <c r="I1554" s="56"/>
      <c r="J1554" s="71"/>
      <c r="K1554" s="56"/>
      <c r="L1554" s="71"/>
      <c r="M1554" s="56"/>
      <c r="N1554" s="12"/>
      <c r="O1554" s="12"/>
      <c r="P1554" s="57"/>
      <c r="Q1554" s="50"/>
      <c r="R1554" s="229"/>
      <c r="S1554" s="58"/>
      <c r="T1554" s="58"/>
      <c r="U1554" s="58"/>
      <c r="V1554" s="59"/>
      <c r="W1554" s="60"/>
    </row>
    <row r="1555" spans="1:23" x14ac:dyDescent="0.35">
      <c r="A1555" s="61"/>
      <c r="B1555" s="55"/>
      <c r="C1555" s="70"/>
      <c r="D1555" s="12"/>
      <c r="E1555" s="128"/>
      <c r="F1555" s="12"/>
      <c r="G1555" s="71"/>
      <c r="H1555" s="71"/>
      <c r="I1555" s="56"/>
      <c r="J1555" s="71"/>
      <c r="K1555" s="56"/>
      <c r="L1555" s="71"/>
      <c r="M1555" s="56"/>
      <c r="N1555" s="12"/>
      <c r="O1555" s="12"/>
      <c r="P1555" s="57"/>
      <c r="Q1555" s="50"/>
      <c r="R1555" s="229"/>
      <c r="S1555" s="58"/>
      <c r="T1555" s="58"/>
      <c r="U1555" s="58"/>
      <c r="V1555" s="59"/>
      <c r="W1555" s="60"/>
    </row>
    <row r="1556" spans="1:23" x14ac:dyDescent="0.35">
      <c r="A1556" s="61"/>
      <c r="B1556" s="55"/>
      <c r="C1556" s="70"/>
      <c r="D1556" s="12"/>
      <c r="E1556" s="128"/>
      <c r="F1556" s="12"/>
      <c r="G1556" s="71"/>
      <c r="H1556" s="71"/>
      <c r="I1556" s="56"/>
      <c r="J1556" s="71"/>
      <c r="K1556" s="56"/>
      <c r="L1556" s="71"/>
      <c r="M1556" s="56"/>
      <c r="N1556" s="12"/>
      <c r="O1556" s="12"/>
      <c r="P1556" s="57"/>
      <c r="Q1556" s="50"/>
      <c r="R1556" s="229"/>
      <c r="S1556" s="58"/>
      <c r="T1556" s="58"/>
      <c r="U1556" s="58"/>
      <c r="V1556" s="59"/>
      <c r="W1556" s="60"/>
    </row>
    <row r="1557" spans="1:23" x14ac:dyDescent="0.35">
      <c r="A1557" s="61"/>
      <c r="B1557" s="55"/>
      <c r="C1557" s="70"/>
      <c r="D1557" s="12"/>
      <c r="E1557" s="128"/>
      <c r="F1557" s="12"/>
      <c r="G1557" s="71"/>
      <c r="H1557" s="71"/>
      <c r="I1557" s="56"/>
      <c r="J1557" s="71"/>
      <c r="K1557" s="56"/>
      <c r="L1557" s="71"/>
      <c r="M1557" s="56"/>
      <c r="N1557" s="12"/>
      <c r="O1557" s="12"/>
      <c r="P1557" s="57"/>
      <c r="Q1557" s="50"/>
      <c r="R1557" s="50"/>
      <c r="S1557" s="58"/>
      <c r="T1557" s="58"/>
      <c r="U1557" s="58"/>
      <c r="V1557" s="59"/>
      <c r="W1557" s="60"/>
    </row>
    <row r="1558" spans="1:23" x14ac:dyDescent="0.35">
      <c r="A1558" s="61"/>
      <c r="B1558" s="55"/>
      <c r="C1558" s="70"/>
      <c r="D1558" s="12"/>
      <c r="E1558" s="128"/>
      <c r="F1558" s="12"/>
      <c r="G1558" s="71"/>
      <c r="H1558" s="71"/>
      <c r="I1558" s="56"/>
      <c r="J1558" s="71"/>
      <c r="K1558" s="56"/>
      <c r="L1558" s="71"/>
      <c r="M1558" s="56"/>
      <c r="N1558" s="12"/>
      <c r="O1558" s="12"/>
      <c r="P1558" s="57"/>
      <c r="Q1558" s="50"/>
      <c r="R1558" s="50"/>
      <c r="S1558" s="58"/>
      <c r="T1558" s="58"/>
      <c r="U1558" s="58"/>
      <c r="V1558" s="59"/>
      <c r="W1558" s="60"/>
    </row>
    <row r="1559" spans="1:23" x14ac:dyDescent="0.35">
      <c r="A1559" s="61"/>
      <c r="B1559" s="55"/>
      <c r="C1559" s="70"/>
      <c r="D1559" s="12"/>
      <c r="E1559" s="128"/>
      <c r="F1559" s="12"/>
      <c r="G1559" s="71"/>
      <c r="H1559" s="71"/>
      <c r="I1559" s="56"/>
      <c r="J1559" s="71"/>
      <c r="K1559" s="56"/>
      <c r="L1559" s="71"/>
      <c r="M1559" s="56"/>
      <c r="N1559" s="12"/>
      <c r="O1559" s="12"/>
      <c r="P1559" s="57"/>
      <c r="Q1559" s="50"/>
      <c r="R1559" s="50"/>
      <c r="S1559" s="58"/>
      <c r="T1559" s="58"/>
      <c r="U1559" s="58"/>
      <c r="V1559" s="59"/>
      <c r="W1559" s="60"/>
    </row>
    <row r="1560" spans="1:23" x14ac:dyDescent="0.35">
      <c r="A1560" s="61"/>
      <c r="B1560" s="55"/>
      <c r="C1560" s="70"/>
      <c r="D1560" s="12"/>
      <c r="E1560" s="128"/>
      <c r="F1560" s="12"/>
      <c r="G1560" s="71"/>
      <c r="H1560" s="71"/>
      <c r="I1560" s="56"/>
      <c r="J1560" s="71"/>
      <c r="K1560" s="56"/>
      <c r="L1560" s="71"/>
      <c r="M1560" s="56"/>
      <c r="N1560" s="12"/>
      <c r="O1560" s="12"/>
      <c r="P1560" s="57"/>
      <c r="Q1560" s="50"/>
      <c r="R1560" s="229"/>
      <c r="S1560" s="58"/>
      <c r="T1560" s="58"/>
      <c r="U1560" s="58"/>
      <c r="V1560" s="59"/>
      <c r="W1560" s="60"/>
    </row>
    <row r="1561" spans="1:23" x14ac:dyDescent="0.35">
      <c r="A1561" s="61"/>
      <c r="B1561" s="55"/>
      <c r="C1561" s="70"/>
      <c r="D1561" s="12"/>
      <c r="E1561" s="128"/>
      <c r="F1561" s="12"/>
      <c r="G1561" s="71"/>
      <c r="H1561" s="71"/>
      <c r="I1561" s="56"/>
      <c r="J1561" s="71"/>
      <c r="K1561" s="56"/>
      <c r="L1561" s="71"/>
      <c r="M1561" s="56"/>
      <c r="N1561" s="12"/>
      <c r="O1561" s="12"/>
      <c r="P1561" s="57"/>
      <c r="Q1561" s="50"/>
      <c r="R1561" s="229"/>
      <c r="S1561" s="58"/>
      <c r="T1561" s="58"/>
      <c r="U1561" s="58"/>
      <c r="V1561" s="59"/>
      <c r="W1561" s="60"/>
    </row>
    <row r="1562" spans="1:23" x14ac:dyDescent="0.35">
      <c r="A1562" s="61"/>
      <c r="B1562" s="55"/>
      <c r="C1562" s="70"/>
      <c r="D1562" s="12"/>
      <c r="E1562" s="128"/>
      <c r="F1562" s="12"/>
      <c r="G1562" s="71"/>
      <c r="H1562" s="71"/>
      <c r="I1562" s="56"/>
      <c r="J1562" s="71"/>
      <c r="K1562" s="56"/>
      <c r="L1562" s="71"/>
      <c r="M1562" s="56"/>
      <c r="N1562" s="12"/>
      <c r="O1562" s="12"/>
      <c r="P1562" s="57"/>
      <c r="Q1562" s="50"/>
      <c r="R1562" s="229"/>
      <c r="S1562" s="58"/>
      <c r="T1562" s="58"/>
      <c r="U1562" s="58"/>
      <c r="V1562" s="59"/>
      <c r="W1562" s="60"/>
    </row>
    <row r="1563" spans="1:23" x14ac:dyDescent="0.35">
      <c r="A1563" s="61"/>
      <c r="B1563" s="55"/>
      <c r="C1563" s="70"/>
      <c r="D1563" s="12"/>
      <c r="E1563" s="128"/>
      <c r="F1563" s="12"/>
      <c r="G1563" s="71"/>
      <c r="H1563" s="71"/>
      <c r="I1563" s="56"/>
      <c r="J1563" s="71"/>
      <c r="K1563" s="56"/>
      <c r="L1563" s="71"/>
      <c r="M1563" s="56"/>
      <c r="N1563" s="12"/>
      <c r="O1563" s="12"/>
      <c r="P1563" s="57"/>
      <c r="Q1563" s="50"/>
      <c r="R1563" s="229"/>
      <c r="S1563" s="58"/>
      <c r="T1563" s="58"/>
      <c r="U1563" s="58"/>
      <c r="V1563" s="59"/>
      <c r="W1563" s="60"/>
    </row>
    <row r="1564" spans="1:23" x14ac:dyDescent="0.35">
      <c r="A1564" s="61"/>
      <c r="B1564" s="55"/>
      <c r="C1564" s="70"/>
      <c r="D1564" s="12"/>
      <c r="E1564" s="128"/>
      <c r="F1564" s="12"/>
      <c r="G1564" s="71"/>
      <c r="H1564" s="71"/>
      <c r="I1564" s="56"/>
      <c r="J1564" s="71"/>
      <c r="K1564" s="56"/>
      <c r="L1564" s="71"/>
      <c r="M1564" s="56"/>
      <c r="N1564" s="12"/>
      <c r="O1564" s="12"/>
      <c r="P1564" s="57"/>
      <c r="Q1564" s="50"/>
      <c r="R1564" s="50"/>
      <c r="S1564" s="58"/>
      <c r="T1564" s="58"/>
      <c r="U1564" s="58"/>
      <c r="V1564" s="59"/>
      <c r="W1564" s="60"/>
    </row>
    <row r="1565" spans="1:23" x14ac:dyDescent="0.35">
      <c r="A1565" s="61"/>
      <c r="B1565" s="55"/>
      <c r="C1565" s="70"/>
      <c r="D1565" s="12"/>
      <c r="E1565" s="128"/>
      <c r="F1565" s="12"/>
      <c r="G1565" s="71"/>
      <c r="H1565" s="71"/>
      <c r="I1565" s="56"/>
      <c r="J1565" s="71"/>
      <c r="K1565" s="56"/>
      <c r="L1565" s="71"/>
      <c r="M1565" s="56"/>
      <c r="N1565" s="12"/>
      <c r="O1565" s="12"/>
      <c r="P1565" s="57"/>
      <c r="Q1565" s="50"/>
      <c r="R1565" s="50"/>
      <c r="S1565" s="58"/>
      <c r="T1565" s="58"/>
      <c r="U1565" s="58"/>
      <c r="V1565" s="59"/>
      <c r="W1565" s="60"/>
    </row>
    <row r="1566" spans="1:23" x14ac:dyDescent="0.35">
      <c r="A1566" s="61"/>
      <c r="B1566" s="55"/>
      <c r="C1566" s="70"/>
      <c r="D1566" s="12"/>
      <c r="E1566" s="128"/>
      <c r="F1566" s="12"/>
      <c r="G1566" s="71"/>
      <c r="H1566" s="71"/>
      <c r="I1566" s="56"/>
      <c r="J1566" s="71"/>
      <c r="K1566" s="56"/>
      <c r="L1566" s="71"/>
      <c r="M1566" s="56"/>
      <c r="N1566" s="12"/>
      <c r="O1566" s="12"/>
      <c r="P1566" s="57"/>
      <c r="Q1566" s="50"/>
      <c r="R1566" s="50"/>
      <c r="S1566" s="58"/>
      <c r="T1566" s="58"/>
      <c r="U1566" s="58"/>
      <c r="V1566" s="59"/>
      <c r="W1566" s="60"/>
    </row>
    <row r="1567" spans="1:23" x14ac:dyDescent="0.35">
      <c r="A1567" s="61"/>
      <c r="B1567" s="55"/>
      <c r="C1567" s="70"/>
      <c r="D1567" s="12"/>
      <c r="E1567" s="128"/>
      <c r="F1567" s="12"/>
      <c r="G1567" s="71"/>
      <c r="H1567" s="71"/>
      <c r="I1567" s="56"/>
      <c r="J1567" s="71"/>
      <c r="K1567" s="56"/>
      <c r="L1567" s="71"/>
      <c r="M1567" s="56"/>
      <c r="N1567" s="12"/>
      <c r="O1567" s="12"/>
      <c r="P1567" s="57"/>
      <c r="Q1567" s="50"/>
      <c r="R1567" s="50"/>
      <c r="S1567" s="58"/>
      <c r="T1567" s="58"/>
      <c r="U1567" s="58"/>
      <c r="V1567" s="59"/>
      <c r="W1567" s="60"/>
    </row>
    <row r="1568" spans="1:23" x14ac:dyDescent="0.35">
      <c r="A1568" s="61"/>
      <c r="B1568" s="55"/>
      <c r="C1568" s="70"/>
      <c r="D1568" s="12"/>
      <c r="E1568" s="128"/>
      <c r="F1568" s="12"/>
      <c r="G1568" s="71"/>
      <c r="H1568" s="71"/>
      <c r="I1568" s="56"/>
      <c r="J1568" s="71"/>
      <c r="K1568" s="56"/>
      <c r="L1568" s="71"/>
      <c r="M1568" s="56"/>
      <c r="N1568" s="12"/>
      <c r="O1568" s="12"/>
      <c r="P1568" s="57"/>
      <c r="Q1568" s="50"/>
      <c r="R1568" s="50"/>
      <c r="S1568" s="58"/>
      <c r="T1568" s="58"/>
      <c r="U1568" s="58"/>
      <c r="V1568" s="59"/>
      <c r="W1568" s="60"/>
    </row>
    <row r="1569" spans="1:23" x14ac:dyDescent="0.35">
      <c r="A1569" s="61"/>
      <c r="B1569" s="55"/>
      <c r="C1569" s="70"/>
      <c r="D1569" s="12"/>
      <c r="E1569" s="128"/>
      <c r="F1569" s="12"/>
      <c r="G1569" s="71"/>
      <c r="H1569" s="71"/>
      <c r="I1569" s="56"/>
      <c r="J1569" s="71"/>
      <c r="K1569" s="56"/>
      <c r="L1569" s="71"/>
      <c r="M1569" s="56"/>
      <c r="N1569" s="12"/>
      <c r="O1569" s="12"/>
      <c r="P1569" s="57"/>
      <c r="Q1569" s="50"/>
      <c r="R1569" s="50"/>
      <c r="S1569" s="58"/>
      <c r="T1569" s="58"/>
      <c r="U1569" s="58"/>
      <c r="V1569" s="59"/>
      <c r="W1569" s="60"/>
    </row>
    <row r="1570" spans="1:23" x14ac:dyDescent="0.35">
      <c r="A1570" s="61"/>
      <c r="B1570" s="55"/>
      <c r="C1570" s="70"/>
      <c r="D1570" s="12"/>
      <c r="E1570" s="128"/>
      <c r="F1570" s="12"/>
      <c r="G1570" s="71"/>
      <c r="H1570" s="71"/>
      <c r="I1570" s="56"/>
      <c r="J1570" s="71"/>
      <c r="K1570" s="56"/>
      <c r="L1570" s="71"/>
      <c r="M1570" s="56"/>
      <c r="N1570" s="12"/>
      <c r="O1570" s="12"/>
      <c r="P1570" s="57"/>
      <c r="Q1570" s="50"/>
      <c r="R1570" s="50"/>
      <c r="S1570" s="58"/>
      <c r="T1570" s="58"/>
      <c r="U1570" s="58"/>
      <c r="V1570" s="59"/>
      <c r="W1570" s="60"/>
    </row>
    <row r="1571" spans="1:23" x14ac:dyDescent="0.35">
      <c r="A1571" s="61"/>
      <c r="B1571" s="55"/>
      <c r="C1571" s="70"/>
      <c r="D1571" s="12"/>
      <c r="E1571" s="128"/>
      <c r="F1571" s="12"/>
      <c r="G1571" s="71"/>
      <c r="H1571" s="71"/>
      <c r="I1571" s="56"/>
      <c r="J1571" s="71"/>
      <c r="K1571" s="56"/>
      <c r="L1571" s="71"/>
      <c r="M1571" s="56"/>
      <c r="N1571" s="12"/>
      <c r="O1571" s="12"/>
      <c r="P1571" s="57"/>
      <c r="Q1571" s="50"/>
      <c r="R1571" s="50"/>
      <c r="S1571" s="58"/>
      <c r="T1571" s="58"/>
      <c r="U1571" s="58"/>
      <c r="V1571" s="59"/>
      <c r="W1571" s="60"/>
    </row>
    <row r="1572" spans="1:23" x14ac:dyDescent="0.35">
      <c r="A1572" s="61"/>
      <c r="B1572" s="55"/>
      <c r="C1572" s="70"/>
      <c r="D1572" s="12"/>
      <c r="E1572" s="128"/>
      <c r="F1572" s="12"/>
      <c r="G1572" s="71"/>
      <c r="H1572" s="71"/>
      <c r="I1572" s="56"/>
      <c r="J1572" s="71"/>
      <c r="K1572" s="56"/>
      <c r="L1572" s="71"/>
      <c r="M1572" s="56"/>
      <c r="N1572" s="12"/>
      <c r="O1572" s="12"/>
      <c r="P1572" s="57"/>
      <c r="Q1572" s="50"/>
      <c r="R1572" s="50"/>
      <c r="S1572" s="58"/>
      <c r="T1572" s="58"/>
      <c r="U1572" s="58"/>
      <c r="V1572" s="59"/>
      <c r="W1572" s="60"/>
    </row>
    <row r="1573" spans="1:23" x14ac:dyDescent="0.35">
      <c r="A1573" s="61"/>
      <c r="B1573" s="55"/>
      <c r="C1573" s="70"/>
      <c r="D1573" s="12"/>
      <c r="E1573" s="128"/>
      <c r="F1573" s="12"/>
      <c r="G1573" s="71"/>
      <c r="H1573" s="71"/>
      <c r="I1573" s="56"/>
      <c r="J1573" s="71"/>
      <c r="K1573" s="56"/>
      <c r="L1573" s="71"/>
      <c r="M1573" s="56"/>
      <c r="N1573" s="12"/>
      <c r="O1573" s="12"/>
      <c r="P1573" s="57"/>
      <c r="Q1573" s="50"/>
      <c r="R1573" s="50"/>
      <c r="S1573" s="58"/>
      <c r="T1573" s="58"/>
      <c r="U1573" s="58"/>
      <c r="V1573" s="59"/>
      <c r="W1573" s="60"/>
    </row>
    <row r="1574" spans="1:23" x14ac:dyDescent="0.35">
      <c r="A1574" s="61"/>
      <c r="B1574" s="55"/>
      <c r="C1574" s="70"/>
      <c r="D1574" s="12"/>
      <c r="E1574" s="128"/>
      <c r="F1574" s="12"/>
      <c r="G1574" s="71"/>
      <c r="H1574" s="71"/>
      <c r="I1574" s="56"/>
      <c r="J1574" s="71"/>
      <c r="K1574" s="56"/>
      <c r="L1574" s="71"/>
      <c r="M1574" s="56"/>
      <c r="N1574" s="12"/>
      <c r="O1574" s="12"/>
      <c r="P1574" s="57"/>
      <c r="Q1574" s="50"/>
      <c r="R1574" s="50"/>
      <c r="S1574" s="58"/>
      <c r="T1574" s="58"/>
      <c r="U1574" s="58"/>
      <c r="V1574" s="59"/>
      <c r="W1574" s="60"/>
    </row>
    <row r="1575" spans="1:23" x14ac:dyDescent="0.35">
      <c r="A1575" s="61"/>
      <c r="B1575" s="55"/>
      <c r="C1575" s="70"/>
      <c r="D1575" s="12"/>
      <c r="E1575" s="128"/>
      <c r="F1575" s="12"/>
      <c r="G1575" s="71"/>
      <c r="H1575" s="71"/>
      <c r="I1575" s="56"/>
      <c r="J1575" s="71"/>
      <c r="K1575" s="56"/>
      <c r="L1575" s="71"/>
      <c r="M1575" s="56"/>
      <c r="N1575" s="12"/>
      <c r="O1575" s="12"/>
      <c r="P1575" s="57"/>
      <c r="Q1575" s="50"/>
      <c r="R1575" s="50"/>
      <c r="S1575" s="58"/>
      <c r="T1575" s="58"/>
      <c r="U1575" s="58"/>
      <c r="V1575" s="59"/>
      <c r="W1575" s="60"/>
    </row>
    <row r="1576" spans="1:23" x14ac:dyDescent="0.35">
      <c r="A1576" s="61"/>
      <c r="B1576" s="55"/>
      <c r="C1576" s="70"/>
      <c r="D1576" s="12"/>
      <c r="E1576" s="128"/>
      <c r="F1576" s="12"/>
      <c r="G1576" s="71"/>
      <c r="H1576" s="71"/>
      <c r="I1576" s="56"/>
      <c r="J1576" s="71"/>
      <c r="K1576" s="56"/>
      <c r="L1576" s="71"/>
      <c r="M1576" s="56"/>
      <c r="N1576" s="12"/>
      <c r="O1576" s="12"/>
      <c r="P1576" s="57"/>
      <c r="Q1576" s="50"/>
      <c r="R1576" s="50"/>
      <c r="S1576" s="58"/>
      <c r="T1576" s="58"/>
      <c r="U1576" s="58"/>
      <c r="V1576" s="59"/>
      <c r="W1576" s="60"/>
    </row>
    <row r="1577" spans="1:23" x14ac:dyDescent="0.35">
      <c r="A1577" s="61"/>
      <c r="B1577" s="55"/>
      <c r="C1577" s="70"/>
      <c r="D1577" s="12"/>
      <c r="E1577" s="128"/>
      <c r="F1577" s="12"/>
      <c r="G1577" s="71"/>
      <c r="H1577" s="71"/>
      <c r="I1577" s="56"/>
      <c r="J1577" s="71"/>
      <c r="K1577" s="56"/>
      <c r="L1577" s="71"/>
      <c r="M1577" s="56"/>
      <c r="N1577" s="12"/>
      <c r="O1577" s="12"/>
      <c r="P1577" s="57"/>
      <c r="Q1577" s="50"/>
      <c r="R1577" s="50"/>
      <c r="S1577" s="58"/>
      <c r="T1577" s="58"/>
      <c r="U1577" s="58"/>
      <c r="V1577" s="59"/>
      <c r="W1577" s="60"/>
    </row>
    <row r="1578" spans="1:23" x14ac:dyDescent="0.35">
      <c r="A1578" s="61"/>
      <c r="B1578" s="55"/>
      <c r="C1578" s="70"/>
      <c r="D1578" s="12"/>
      <c r="E1578" s="128"/>
      <c r="F1578" s="12"/>
      <c r="G1578" s="71"/>
      <c r="H1578" s="71"/>
      <c r="I1578" s="56"/>
      <c r="J1578" s="71"/>
      <c r="K1578" s="56"/>
      <c r="L1578" s="71"/>
      <c r="M1578" s="56"/>
      <c r="N1578" s="12"/>
      <c r="O1578" s="12"/>
      <c r="P1578" s="57"/>
      <c r="Q1578" s="50"/>
      <c r="R1578" s="50"/>
      <c r="S1578" s="58"/>
      <c r="T1578" s="58"/>
      <c r="U1578" s="58"/>
      <c r="V1578" s="59"/>
      <c r="W1578" s="60"/>
    </row>
    <row r="1579" spans="1:23" x14ac:dyDescent="0.35">
      <c r="A1579" s="61"/>
      <c r="B1579" s="55"/>
      <c r="C1579" s="70"/>
      <c r="D1579" s="12"/>
      <c r="E1579" s="128"/>
      <c r="F1579" s="12"/>
      <c r="G1579" s="71"/>
      <c r="H1579" s="71"/>
      <c r="I1579" s="56"/>
      <c r="J1579" s="71"/>
      <c r="K1579" s="56"/>
      <c r="L1579" s="71"/>
      <c r="M1579" s="56"/>
      <c r="N1579" s="12"/>
      <c r="O1579" s="12"/>
      <c r="P1579" s="57"/>
      <c r="Q1579" s="50"/>
      <c r="R1579" s="50"/>
      <c r="S1579" s="58"/>
      <c r="T1579" s="58"/>
      <c r="U1579" s="58"/>
      <c r="V1579" s="59"/>
      <c r="W1579" s="60"/>
    </row>
    <row r="1580" spans="1:23" x14ac:dyDescent="0.35">
      <c r="A1580" s="61"/>
      <c r="B1580" s="55"/>
      <c r="C1580" s="70"/>
      <c r="D1580" s="12"/>
      <c r="E1580" s="128"/>
      <c r="F1580" s="12"/>
      <c r="G1580" s="71"/>
      <c r="H1580" s="71"/>
      <c r="I1580" s="56"/>
      <c r="J1580" s="71"/>
      <c r="K1580" s="56"/>
      <c r="L1580" s="71"/>
      <c r="M1580" s="56"/>
      <c r="N1580" s="12"/>
      <c r="O1580" s="12"/>
      <c r="P1580" s="57"/>
      <c r="Q1580" s="50"/>
      <c r="R1580" s="50"/>
      <c r="S1580" s="58"/>
      <c r="T1580" s="58"/>
      <c r="U1580" s="58"/>
      <c r="V1580" s="59"/>
      <c r="W1580" s="60"/>
    </row>
    <row r="1581" spans="1:23" x14ac:dyDescent="0.35">
      <c r="A1581" s="61"/>
      <c r="B1581" s="55"/>
      <c r="C1581" s="70"/>
      <c r="D1581" s="12"/>
      <c r="E1581" s="128"/>
      <c r="F1581" s="12"/>
      <c r="G1581" s="71"/>
      <c r="H1581" s="71"/>
      <c r="I1581" s="56"/>
      <c r="J1581" s="71"/>
      <c r="K1581" s="56"/>
      <c r="L1581" s="71"/>
      <c r="M1581" s="56"/>
      <c r="N1581" s="12"/>
      <c r="O1581" s="12"/>
      <c r="P1581" s="57"/>
      <c r="Q1581" s="50"/>
      <c r="R1581" s="50"/>
      <c r="S1581" s="58"/>
      <c r="T1581" s="58"/>
      <c r="U1581" s="58"/>
      <c r="V1581" s="59"/>
      <c r="W1581" s="60"/>
    </row>
    <row r="1582" spans="1:23" x14ac:dyDescent="0.35">
      <c r="A1582" s="61"/>
      <c r="B1582" s="55"/>
      <c r="C1582" s="70"/>
      <c r="D1582" s="12"/>
      <c r="E1582" s="128"/>
      <c r="F1582" s="12"/>
      <c r="G1582" s="71"/>
      <c r="H1582" s="71"/>
      <c r="I1582" s="56"/>
      <c r="J1582" s="71"/>
      <c r="K1582" s="56"/>
      <c r="L1582" s="71"/>
      <c r="M1582" s="56"/>
      <c r="N1582" s="12"/>
      <c r="O1582" s="12"/>
      <c r="P1582" s="57"/>
      <c r="Q1582" s="50"/>
      <c r="R1582" s="50"/>
      <c r="S1582" s="58"/>
      <c r="T1582" s="58"/>
      <c r="U1582" s="58"/>
      <c r="V1582" s="59"/>
      <c r="W1582" s="60"/>
    </row>
    <row r="1583" spans="1:23" x14ac:dyDescent="0.35">
      <c r="A1583" s="61"/>
      <c r="B1583" s="55"/>
      <c r="C1583" s="70"/>
      <c r="D1583" s="12"/>
      <c r="E1583" s="128"/>
      <c r="F1583" s="12"/>
      <c r="G1583" s="71"/>
      <c r="H1583" s="71"/>
      <c r="I1583" s="56"/>
      <c r="J1583" s="71"/>
      <c r="K1583" s="56"/>
      <c r="L1583" s="71"/>
      <c r="M1583" s="56"/>
      <c r="N1583" s="12"/>
      <c r="O1583" s="12"/>
      <c r="P1583" s="57"/>
      <c r="Q1583" s="50"/>
      <c r="R1583" s="50"/>
      <c r="S1583" s="58"/>
      <c r="T1583" s="58"/>
      <c r="U1583" s="58"/>
      <c r="V1583" s="59"/>
      <c r="W1583" s="60"/>
    </row>
    <row r="1584" spans="1:23" x14ac:dyDescent="0.35">
      <c r="A1584" s="61"/>
      <c r="B1584" s="55"/>
      <c r="C1584" s="70"/>
      <c r="D1584" s="12"/>
      <c r="E1584" s="128"/>
      <c r="F1584" s="12"/>
      <c r="G1584" s="71"/>
      <c r="H1584" s="71"/>
      <c r="I1584" s="56"/>
      <c r="J1584" s="71"/>
      <c r="K1584" s="56"/>
      <c r="L1584" s="71"/>
      <c r="M1584" s="56"/>
      <c r="N1584" s="12"/>
      <c r="O1584" s="12"/>
      <c r="P1584" s="57"/>
      <c r="Q1584" s="50"/>
      <c r="R1584" s="50"/>
      <c r="S1584" s="58"/>
      <c r="T1584" s="58"/>
      <c r="U1584" s="58"/>
      <c r="V1584" s="59"/>
      <c r="W1584" s="60"/>
    </row>
    <row r="1585" spans="1:23" x14ac:dyDescent="0.35">
      <c r="A1585" s="61"/>
      <c r="B1585" s="55"/>
      <c r="C1585" s="70"/>
      <c r="D1585" s="12"/>
      <c r="E1585" s="128"/>
      <c r="F1585" s="12"/>
      <c r="G1585" s="71"/>
      <c r="H1585" s="71"/>
      <c r="I1585" s="56"/>
      <c r="J1585" s="71"/>
      <c r="K1585" s="56"/>
      <c r="L1585" s="71"/>
      <c r="M1585" s="56"/>
      <c r="N1585" s="12"/>
      <c r="O1585" s="12"/>
      <c r="P1585" s="57"/>
      <c r="Q1585" s="50"/>
      <c r="R1585" s="50"/>
      <c r="S1585" s="58"/>
      <c r="T1585" s="58"/>
      <c r="U1585" s="58"/>
      <c r="V1585" s="59"/>
      <c r="W1585" s="60"/>
    </row>
    <row r="1586" spans="1:23" x14ac:dyDescent="0.35">
      <c r="A1586" s="61"/>
      <c r="B1586" s="55"/>
      <c r="C1586" s="70"/>
      <c r="D1586" s="12"/>
      <c r="E1586" s="128"/>
      <c r="F1586" s="12"/>
      <c r="G1586" s="71"/>
      <c r="H1586" s="71"/>
      <c r="I1586" s="56"/>
      <c r="J1586" s="71"/>
      <c r="K1586" s="56"/>
      <c r="L1586" s="71"/>
      <c r="M1586" s="56"/>
      <c r="N1586" s="12"/>
      <c r="O1586" s="12"/>
      <c r="P1586" s="57"/>
      <c r="Q1586" s="50"/>
      <c r="R1586" s="50"/>
      <c r="S1586" s="58"/>
      <c r="T1586" s="58"/>
      <c r="U1586" s="58"/>
      <c r="V1586" s="59"/>
      <c r="W1586" s="60"/>
    </row>
    <row r="1587" spans="1:23" x14ac:dyDescent="0.35">
      <c r="A1587" s="61"/>
      <c r="B1587" s="55"/>
      <c r="C1587" s="70"/>
      <c r="D1587" s="12"/>
      <c r="E1587" s="128"/>
      <c r="F1587" s="12"/>
      <c r="G1587" s="71"/>
      <c r="H1587" s="71"/>
      <c r="I1587" s="56"/>
      <c r="J1587" s="71"/>
      <c r="K1587" s="56"/>
      <c r="L1587" s="71"/>
      <c r="M1587" s="56"/>
      <c r="N1587" s="12"/>
      <c r="O1587" s="12"/>
      <c r="P1587" s="57"/>
      <c r="Q1587" s="50"/>
      <c r="R1587" s="50"/>
      <c r="S1587" s="58"/>
      <c r="T1587" s="58"/>
      <c r="U1587" s="58"/>
      <c r="V1587" s="59"/>
      <c r="W1587" s="60"/>
    </row>
    <row r="1588" spans="1:23" x14ac:dyDescent="0.35">
      <c r="A1588" s="61"/>
      <c r="B1588" s="55"/>
      <c r="C1588" s="70"/>
      <c r="D1588" s="12"/>
      <c r="E1588" s="128"/>
      <c r="F1588" s="12"/>
      <c r="G1588" s="71"/>
      <c r="H1588" s="71"/>
      <c r="I1588" s="56"/>
      <c r="J1588" s="71"/>
      <c r="K1588" s="56"/>
      <c r="L1588" s="71"/>
      <c r="M1588" s="56"/>
      <c r="N1588" s="12"/>
      <c r="O1588" s="12"/>
      <c r="P1588" s="57"/>
      <c r="Q1588" s="50"/>
      <c r="R1588" s="50"/>
      <c r="S1588" s="58"/>
      <c r="T1588" s="58"/>
      <c r="U1588" s="58"/>
      <c r="V1588" s="59"/>
      <c r="W1588" s="60"/>
    </row>
    <row r="1589" spans="1:23" x14ac:dyDescent="0.35">
      <c r="A1589" s="61"/>
      <c r="B1589" s="55"/>
      <c r="C1589" s="70"/>
      <c r="D1589" s="12"/>
      <c r="E1589" s="128"/>
      <c r="F1589" s="12"/>
      <c r="G1589" s="71"/>
      <c r="H1589" s="71"/>
      <c r="I1589" s="56"/>
      <c r="J1589" s="71"/>
      <c r="K1589" s="56"/>
      <c r="L1589" s="71"/>
      <c r="M1589" s="56"/>
      <c r="N1589" s="12"/>
      <c r="O1589" s="12"/>
      <c r="P1589" s="57"/>
      <c r="Q1589" s="50"/>
      <c r="R1589" s="50"/>
      <c r="S1589" s="58"/>
      <c r="T1589" s="58"/>
      <c r="U1589" s="58"/>
      <c r="V1589" s="59"/>
      <c r="W1589" s="60"/>
    </row>
    <row r="1590" spans="1:23" x14ac:dyDescent="0.35">
      <c r="A1590" s="61"/>
      <c r="B1590" s="55"/>
      <c r="C1590" s="70"/>
      <c r="D1590" s="12"/>
      <c r="E1590" s="128"/>
      <c r="F1590" s="12"/>
      <c r="G1590" s="71"/>
      <c r="H1590" s="71"/>
      <c r="I1590" s="56"/>
      <c r="J1590" s="71"/>
      <c r="K1590" s="56"/>
      <c r="L1590" s="71"/>
      <c r="M1590" s="56"/>
      <c r="N1590" s="12"/>
      <c r="O1590" s="12"/>
      <c r="P1590" s="57"/>
      <c r="Q1590" s="50"/>
      <c r="R1590" s="50"/>
      <c r="S1590" s="58"/>
      <c r="T1590" s="58"/>
      <c r="U1590" s="58"/>
      <c r="V1590" s="59"/>
      <c r="W1590" s="60"/>
    </row>
    <row r="1591" spans="1:23" x14ac:dyDescent="0.35">
      <c r="A1591" s="61"/>
      <c r="B1591" s="55"/>
      <c r="C1591" s="70"/>
      <c r="D1591" s="12"/>
      <c r="E1591" s="128"/>
      <c r="F1591" s="12"/>
      <c r="G1591" s="71"/>
      <c r="H1591" s="71"/>
      <c r="I1591" s="56"/>
      <c r="J1591" s="71"/>
      <c r="K1591" s="56"/>
      <c r="L1591" s="71"/>
      <c r="M1591" s="56"/>
      <c r="N1591" s="12"/>
      <c r="O1591" s="12"/>
      <c r="P1591" s="57"/>
      <c r="Q1591" s="50"/>
      <c r="R1591" s="50"/>
      <c r="S1591" s="58"/>
      <c r="T1591" s="58"/>
      <c r="U1591" s="58"/>
      <c r="V1591" s="59"/>
      <c r="W1591" s="60"/>
    </row>
    <row r="1592" spans="1:23" x14ac:dyDescent="0.35">
      <c r="A1592" s="61"/>
      <c r="B1592" s="55"/>
      <c r="C1592" s="70"/>
      <c r="D1592" s="12"/>
      <c r="E1592" s="128"/>
      <c r="F1592" s="12"/>
      <c r="G1592" s="71"/>
      <c r="H1592" s="71"/>
      <c r="I1592" s="56"/>
      <c r="J1592" s="71"/>
      <c r="K1592" s="56"/>
      <c r="L1592" s="71"/>
      <c r="M1592" s="56"/>
      <c r="N1592" s="12"/>
      <c r="O1592" s="12"/>
      <c r="P1592" s="57"/>
      <c r="Q1592" s="50"/>
      <c r="R1592" s="50"/>
      <c r="S1592" s="58"/>
      <c r="T1592" s="58"/>
      <c r="U1592" s="58"/>
      <c r="V1592" s="59"/>
      <c r="W1592" s="60"/>
    </row>
    <row r="1593" spans="1:23" x14ac:dyDescent="0.35">
      <c r="A1593" s="61"/>
      <c r="B1593" s="55"/>
      <c r="C1593" s="70"/>
      <c r="D1593" s="12"/>
      <c r="E1593" s="128"/>
      <c r="F1593" s="12"/>
      <c r="G1593" s="71"/>
      <c r="H1593" s="71"/>
      <c r="I1593" s="56"/>
      <c r="J1593" s="71"/>
      <c r="K1593" s="56"/>
      <c r="L1593" s="71"/>
      <c r="M1593" s="56"/>
      <c r="N1593" s="12"/>
      <c r="O1593" s="12"/>
      <c r="P1593" s="57"/>
      <c r="Q1593" s="50"/>
      <c r="R1593" s="50"/>
      <c r="S1593" s="58"/>
      <c r="T1593" s="58"/>
      <c r="U1593" s="58"/>
      <c r="V1593" s="59"/>
      <c r="W1593" s="60"/>
    </row>
    <row r="1594" spans="1:23" x14ac:dyDescent="0.35">
      <c r="A1594" s="61"/>
      <c r="B1594" s="55"/>
      <c r="C1594" s="70"/>
      <c r="D1594" s="12"/>
      <c r="E1594" s="128"/>
      <c r="F1594" s="12"/>
      <c r="G1594" s="71"/>
      <c r="H1594" s="71"/>
      <c r="I1594" s="56"/>
      <c r="J1594" s="71"/>
      <c r="K1594" s="56"/>
      <c r="L1594" s="71"/>
      <c r="M1594" s="56"/>
      <c r="N1594" s="12"/>
      <c r="O1594" s="12"/>
      <c r="P1594" s="57"/>
      <c r="Q1594" s="50"/>
      <c r="R1594" s="50"/>
      <c r="S1594" s="58"/>
      <c r="T1594" s="58"/>
      <c r="U1594" s="58"/>
      <c r="V1594" s="59"/>
      <c r="W1594" s="60"/>
    </row>
    <row r="1595" spans="1:23" x14ac:dyDescent="0.35">
      <c r="A1595" s="61"/>
      <c r="B1595" s="55"/>
      <c r="C1595" s="70"/>
      <c r="D1595" s="12"/>
      <c r="E1595" s="128"/>
      <c r="F1595" s="12"/>
      <c r="G1595" s="71"/>
      <c r="H1595" s="71"/>
      <c r="I1595" s="56"/>
      <c r="J1595" s="71"/>
      <c r="K1595" s="56"/>
      <c r="L1595" s="71"/>
      <c r="M1595" s="56"/>
      <c r="N1595" s="12"/>
      <c r="O1595" s="12"/>
      <c r="P1595" s="57"/>
      <c r="Q1595" s="50"/>
      <c r="R1595" s="50"/>
      <c r="S1595" s="58"/>
      <c r="T1595" s="58"/>
      <c r="U1595" s="58"/>
      <c r="V1595" s="59"/>
      <c r="W1595" s="60"/>
    </row>
    <row r="1596" spans="1:23" x14ac:dyDescent="0.35">
      <c r="A1596" s="61"/>
      <c r="B1596" s="55"/>
      <c r="C1596" s="70"/>
      <c r="D1596" s="12"/>
      <c r="E1596" s="128"/>
      <c r="F1596" s="12"/>
      <c r="G1596" s="71"/>
      <c r="H1596" s="71"/>
      <c r="I1596" s="56"/>
      <c r="J1596" s="71"/>
      <c r="K1596" s="56"/>
      <c r="L1596" s="71"/>
      <c r="M1596" s="56"/>
      <c r="N1596" s="12"/>
      <c r="O1596" s="12"/>
      <c r="P1596" s="57"/>
      <c r="Q1596" s="50"/>
      <c r="R1596" s="50"/>
      <c r="S1596" s="58"/>
      <c r="T1596" s="58"/>
      <c r="U1596" s="58"/>
      <c r="V1596" s="59"/>
      <c r="W1596" s="60"/>
    </row>
    <row r="1597" spans="1:23" x14ac:dyDescent="0.35">
      <c r="A1597" s="61"/>
      <c r="B1597" s="55"/>
      <c r="C1597" s="70"/>
      <c r="D1597" s="12"/>
      <c r="E1597" s="128"/>
      <c r="F1597" s="12"/>
      <c r="G1597" s="71"/>
      <c r="H1597" s="71"/>
      <c r="I1597" s="56"/>
      <c r="J1597" s="71"/>
      <c r="K1597" s="56"/>
      <c r="L1597" s="71"/>
      <c r="M1597" s="56"/>
      <c r="N1597" s="12"/>
      <c r="O1597" s="12"/>
      <c r="P1597" s="57"/>
      <c r="Q1597" s="50"/>
      <c r="R1597" s="50"/>
      <c r="S1597" s="58"/>
      <c r="T1597" s="58"/>
      <c r="U1597" s="58"/>
      <c r="V1597" s="59"/>
      <c r="W1597" s="60"/>
    </row>
    <row r="1598" spans="1:23" x14ac:dyDescent="0.35">
      <c r="A1598" s="61"/>
      <c r="B1598" s="55"/>
      <c r="C1598" s="70"/>
      <c r="D1598" s="12"/>
      <c r="E1598" s="128"/>
      <c r="F1598" s="12"/>
      <c r="G1598" s="71"/>
      <c r="H1598" s="71"/>
      <c r="I1598" s="56"/>
      <c r="J1598" s="71"/>
      <c r="K1598" s="56"/>
      <c r="L1598" s="71"/>
      <c r="M1598" s="56"/>
      <c r="N1598" s="12"/>
      <c r="O1598" s="12"/>
      <c r="P1598" s="57"/>
      <c r="Q1598" s="50"/>
      <c r="R1598" s="50"/>
      <c r="S1598" s="58"/>
      <c r="T1598" s="58"/>
      <c r="U1598" s="58"/>
      <c r="V1598" s="59"/>
      <c r="W1598" s="60"/>
    </row>
    <row r="1599" spans="1:23" x14ac:dyDescent="0.35">
      <c r="A1599" s="61"/>
      <c r="B1599" s="55"/>
      <c r="C1599" s="70"/>
      <c r="D1599" s="12"/>
      <c r="E1599" s="128"/>
      <c r="F1599" s="12"/>
      <c r="G1599" s="71"/>
      <c r="H1599" s="71"/>
      <c r="I1599" s="56"/>
      <c r="J1599" s="71"/>
      <c r="K1599" s="56"/>
      <c r="L1599" s="71"/>
      <c r="M1599" s="56"/>
      <c r="N1599" s="12"/>
      <c r="O1599" s="12"/>
      <c r="P1599" s="57"/>
      <c r="Q1599" s="50"/>
      <c r="R1599" s="229"/>
      <c r="S1599" s="58"/>
      <c r="T1599" s="58"/>
      <c r="U1599" s="58"/>
      <c r="V1599" s="59"/>
      <c r="W1599" s="60"/>
    </row>
    <row r="1600" spans="1:23" x14ac:dyDescent="0.35">
      <c r="A1600" s="61"/>
      <c r="B1600" s="55"/>
      <c r="C1600" s="70"/>
      <c r="D1600" s="12"/>
      <c r="E1600" s="128"/>
      <c r="F1600" s="12"/>
      <c r="G1600" s="71"/>
      <c r="H1600" s="71"/>
      <c r="I1600" s="56"/>
      <c r="J1600" s="71"/>
      <c r="K1600" s="56"/>
      <c r="L1600" s="71"/>
      <c r="M1600" s="56"/>
      <c r="N1600" s="12"/>
      <c r="O1600" s="12"/>
      <c r="P1600" s="57"/>
      <c r="Q1600" s="50"/>
      <c r="R1600" s="50"/>
      <c r="S1600" s="58"/>
      <c r="T1600" s="58"/>
      <c r="U1600" s="58"/>
      <c r="V1600" s="59"/>
      <c r="W1600" s="60"/>
    </row>
    <row r="1601" spans="1:23" x14ac:dyDescent="0.35">
      <c r="A1601" s="61"/>
      <c r="B1601" s="55"/>
      <c r="C1601" s="70"/>
      <c r="D1601" s="12"/>
      <c r="E1601" s="128"/>
      <c r="F1601" s="12"/>
      <c r="G1601" s="71"/>
      <c r="H1601" s="71"/>
      <c r="I1601" s="56"/>
      <c r="J1601" s="71"/>
      <c r="K1601" s="56"/>
      <c r="L1601" s="71"/>
      <c r="M1601" s="56"/>
      <c r="N1601" s="12"/>
      <c r="O1601" s="12"/>
      <c r="P1601" s="57"/>
      <c r="Q1601" s="50"/>
      <c r="R1601" s="50"/>
      <c r="S1601" s="58"/>
      <c r="T1601" s="58"/>
      <c r="U1601" s="58"/>
      <c r="V1601" s="59"/>
      <c r="W1601" s="60"/>
    </row>
    <row r="1602" spans="1:23" x14ac:dyDescent="0.35">
      <c r="A1602" s="61"/>
      <c r="B1602" s="55"/>
      <c r="C1602" s="70"/>
      <c r="D1602" s="12"/>
      <c r="E1602" s="128"/>
      <c r="F1602" s="12"/>
      <c r="G1602" s="71"/>
      <c r="H1602" s="71"/>
      <c r="I1602" s="56"/>
      <c r="J1602" s="71"/>
      <c r="K1602" s="56"/>
      <c r="L1602" s="71"/>
      <c r="M1602" s="56"/>
      <c r="N1602" s="12"/>
      <c r="O1602" s="12"/>
      <c r="P1602" s="57"/>
      <c r="Q1602" s="50"/>
      <c r="R1602" s="50"/>
      <c r="S1602" s="58"/>
      <c r="T1602" s="58"/>
      <c r="U1602" s="58"/>
      <c r="V1602" s="59"/>
      <c r="W1602" s="60"/>
    </row>
    <row r="1603" spans="1:23" x14ac:dyDescent="0.35">
      <c r="A1603" s="61"/>
      <c r="B1603" s="55"/>
      <c r="C1603" s="70"/>
      <c r="D1603" s="12"/>
      <c r="E1603" s="128"/>
      <c r="F1603" s="12"/>
      <c r="G1603" s="71"/>
      <c r="H1603" s="71"/>
      <c r="I1603" s="56"/>
      <c r="J1603" s="71"/>
      <c r="K1603" s="56"/>
      <c r="L1603" s="71"/>
      <c r="M1603" s="56"/>
      <c r="N1603" s="12"/>
      <c r="O1603" s="12"/>
      <c r="P1603" s="57"/>
      <c r="Q1603" s="50"/>
      <c r="R1603" s="50"/>
      <c r="S1603" s="58"/>
      <c r="T1603" s="58"/>
      <c r="U1603" s="58"/>
      <c r="V1603" s="59"/>
      <c r="W1603" s="60"/>
    </row>
    <row r="1604" spans="1:23" x14ac:dyDescent="0.35">
      <c r="A1604" s="61"/>
      <c r="B1604" s="55"/>
      <c r="C1604" s="70"/>
      <c r="D1604" s="12"/>
      <c r="E1604" s="128"/>
      <c r="F1604" s="12"/>
      <c r="G1604" s="71"/>
      <c r="H1604" s="71"/>
      <c r="I1604" s="56"/>
      <c r="J1604" s="71"/>
      <c r="K1604" s="56"/>
      <c r="L1604" s="71"/>
      <c r="M1604" s="56"/>
      <c r="N1604" s="12"/>
      <c r="O1604" s="12"/>
      <c r="P1604" s="57"/>
      <c r="Q1604" s="50"/>
      <c r="R1604" s="50"/>
      <c r="S1604" s="58"/>
      <c r="T1604" s="58"/>
      <c r="U1604" s="58"/>
      <c r="V1604" s="59"/>
      <c r="W1604" s="60"/>
    </row>
    <row r="1605" spans="1:23" x14ac:dyDescent="0.35">
      <c r="A1605" s="61"/>
      <c r="B1605" s="55"/>
      <c r="C1605" s="70"/>
      <c r="D1605" s="12"/>
      <c r="E1605" s="128"/>
      <c r="F1605" s="12"/>
      <c r="G1605" s="71"/>
      <c r="H1605" s="71"/>
      <c r="I1605" s="56"/>
      <c r="J1605" s="71"/>
      <c r="K1605" s="56"/>
      <c r="L1605" s="71"/>
      <c r="M1605" s="56"/>
      <c r="N1605" s="12"/>
      <c r="O1605" s="12"/>
      <c r="P1605" s="57"/>
      <c r="Q1605" s="50"/>
      <c r="R1605" s="50"/>
      <c r="S1605" s="58"/>
      <c r="T1605" s="58"/>
      <c r="U1605" s="58"/>
      <c r="V1605" s="59"/>
      <c r="W1605" s="60"/>
    </row>
    <row r="1606" spans="1:23" x14ac:dyDescent="0.35">
      <c r="A1606" s="61"/>
      <c r="B1606" s="55"/>
      <c r="C1606" s="70"/>
      <c r="D1606" s="12"/>
      <c r="E1606" s="128"/>
      <c r="F1606" s="12"/>
      <c r="G1606" s="71"/>
      <c r="H1606" s="71"/>
      <c r="I1606" s="56"/>
      <c r="J1606" s="71"/>
      <c r="K1606" s="56"/>
      <c r="L1606" s="71"/>
      <c r="M1606" s="56"/>
      <c r="N1606" s="12"/>
      <c r="O1606" s="12"/>
      <c r="P1606" s="57"/>
      <c r="Q1606" s="50"/>
      <c r="R1606" s="50"/>
      <c r="S1606" s="58"/>
      <c r="T1606" s="58"/>
      <c r="U1606" s="58"/>
      <c r="V1606" s="59"/>
      <c r="W1606" s="60"/>
    </row>
    <row r="1607" spans="1:23" x14ac:dyDescent="0.35">
      <c r="A1607" s="61"/>
      <c r="B1607" s="55"/>
      <c r="C1607" s="70"/>
      <c r="D1607" s="12"/>
      <c r="E1607" s="128"/>
      <c r="F1607" s="12"/>
      <c r="G1607" s="71"/>
      <c r="H1607" s="71"/>
      <c r="I1607" s="56"/>
      <c r="J1607" s="71"/>
      <c r="K1607" s="56"/>
      <c r="L1607" s="71"/>
      <c r="M1607" s="56"/>
      <c r="N1607" s="12"/>
      <c r="O1607" s="12"/>
      <c r="P1607" s="57"/>
      <c r="Q1607" s="50"/>
      <c r="R1607" s="50"/>
      <c r="S1607" s="58"/>
      <c r="T1607" s="58"/>
      <c r="U1607" s="58"/>
      <c r="V1607" s="59"/>
      <c r="W1607" s="60"/>
    </row>
    <row r="1608" spans="1:23" x14ac:dyDescent="0.35">
      <c r="A1608" s="61"/>
      <c r="B1608" s="55"/>
      <c r="C1608" s="70"/>
      <c r="D1608" s="12"/>
      <c r="E1608" s="128"/>
      <c r="F1608" s="12"/>
      <c r="G1608" s="71"/>
      <c r="H1608" s="71"/>
      <c r="I1608" s="56"/>
      <c r="J1608" s="71"/>
      <c r="K1608" s="56"/>
      <c r="L1608" s="71"/>
      <c r="M1608" s="56"/>
      <c r="N1608" s="12"/>
      <c r="O1608" s="12"/>
      <c r="P1608" s="57"/>
      <c r="Q1608" s="50"/>
      <c r="R1608" s="50"/>
      <c r="S1608" s="58"/>
      <c r="T1608" s="58"/>
      <c r="U1608" s="58"/>
      <c r="V1608" s="59"/>
      <c r="W1608" s="60"/>
    </row>
    <row r="1609" spans="1:23" x14ac:dyDescent="0.35">
      <c r="A1609" s="61"/>
      <c r="B1609" s="55"/>
      <c r="C1609" s="70"/>
      <c r="D1609" s="12"/>
      <c r="E1609" s="128"/>
      <c r="F1609" s="12"/>
      <c r="G1609" s="71"/>
      <c r="H1609" s="71"/>
      <c r="I1609" s="56"/>
      <c r="J1609" s="71"/>
      <c r="K1609" s="56"/>
      <c r="L1609" s="71"/>
      <c r="M1609" s="56"/>
      <c r="N1609" s="12"/>
      <c r="O1609" s="12"/>
      <c r="P1609" s="57"/>
      <c r="Q1609" s="50"/>
      <c r="R1609" s="50"/>
      <c r="S1609" s="58"/>
      <c r="T1609" s="58"/>
      <c r="U1609" s="58"/>
      <c r="V1609" s="59"/>
      <c r="W1609" s="60"/>
    </row>
    <row r="1610" spans="1:23" x14ac:dyDescent="0.35">
      <c r="A1610" s="61"/>
      <c r="B1610" s="55"/>
      <c r="C1610" s="70"/>
      <c r="D1610" s="12"/>
      <c r="E1610" s="128"/>
      <c r="F1610" s="12"/>
      <c r="G1610" s="71"/>
      <c r="H1610" s="71"/>
      <c r="I1610" s="56"/>
      <c r="J1610" s="71"/>
      <c r="K1610" s="56"/>
      <c r="L1610" s="71"/>
      <c r="M1610" s="56"/>
      <c r="N1610" s="12"/>
      <c r="O1610" s="12"/>
      <c r="P1610" s="57"/>
      <c r="Q1610" s="50"/>
      <c r="R1610" s="50"/>
      <c r="S1610" s="58"/>
      <c r="T1610" s="58"/>
      <c r="U1610" s="58"/>
      <c r="V1610" s="59"/>
      <c r="W1610" s="60"/>
    </row>
    <row r="1611" spans="1:23" x14ac:dyDescent="0.35">
      <c r="A1611" s="61"/>
      <c r="B1611" s="55"/>
      <c r="C1611" s="70"/>
      <c r="D1611" s="12"/>
      <c r="E1611" s="128"/>
      <c r="F1611" s="12"/>
      <c r="G1611" s="71"/>
      <c r="H1611" s="71"/>
      <c r="I1611" s="56"/>
      <c r="J1611" s="71"/>
      <c r="K1611" s="56"/>
      <c r="L1611" s="71"/>
      <c r="M1611" s="56"/>
      <c r="N1611" s="12"/>
      <c r="O1611" s="12"/>
      <c r="P1611" s="57"/>
      <c r="Q1611" s="50"/>
      <c r="R1611" s="50"/>
      <c r="S1611" s="58"/>
      <c r="T1611" s="58"/>
      <c r="U1611" s="58"/>
      <c r="V1611" s="59"/>
      <c r="W1611" s="60"/>
    </row>
    <row r="1612" spans="1:23" x14ac:dyDescent="0.35">
      <c r="A1612" s="61"/>
      <c r="B1612" s="55"/>
      <c r="C1612" s="70"/>
      <c r="D1612" s="12"/>
      <c r="E1612" s="128"/>
      <c r="F1612" s="12"/>
      <c r="G1612" s="71"/>
      <c r="H1612" s="71"/>
      <c r="I1612" s="56"/>
      <c r="J1612" s="71"/>
      <c r="K1612" s="56"/>
      <c r="L1612" s="71"/>
      <c r="M1612" s="56"/>
      <c r="N1612" s="12"/>
      <c r="O1612" s="12"/>
      <c r="P1612" s="57"/>
      <c r="Q1612" s="50"/>
      <c r="R1612" s="50"/>
      <c r="S1612" s="58"/>
      <c r="T1612" s="58"/>
      <c r="U1612" s="58"/>
      <c r="V1612" s="59"/>
      <c r="W1612" s="60"/>
    </row>
    <row r="1613" spans="1:23" x14ac:dyDescent="0.35">
      <c r="A1613" s="61"/>
      <c r="B1613" s="55"/>
      <c r="C1613" s="70"/>
      <c r="D1613" s="12"/>
      <c r="E1613" s="128"/>
      <c r="F1613" s="12"/>
      <c r="G1613" s="71"/>
      <c r="H1613" s="71"/>
      <c r="I1613" s="56"/>
      <c r="J1613" s="71"/>
      <c r="K1613" s="56"/>
      <c r="L1613" s="71"/>
      <c r="M1613" s="56"/>
      <c r="N1613" s="12"/>
      <c r="O1613" s="12"/>
      <c r="P1613" s="57"/>
      <c r="Q1613" s="50"/>
      <c r="R1613" s="50"/>
      <c r="S1613" s="58"/>
      <c r="T1613" s="58"/>
      <c r="U1613" s="58"/>
      <c r="V1613" s="59"/>
      <c r="W1613" s="60"/>
    </row>
    <row r="1614" spans="1:23" x14ac:dyDescent="0.35">
      <c r="A1614" s="61"/>
      <c r="B1614" s="55"/>
      <c r="C1614" s="70"/>
      <c r="D1614" s="12"/>
      <c r="E1614" s="128"/>
      <c r="F1614" s="12"/>
      <c r="G1614" s="71"/>
      <c r="H1614" s="71"/>
      <c r="I1614" s="56"/>
      <c r="J1614" s="71"/>
      <c r="K1614" s="56"/>
      <c r="L1614" s="71"/>
      <c r="M1614" s="56"/>
      <c r="N1614" s="12"/>
      <c r="O1614" s="12"/>
      <c r="P1614" s="57"/>
      <c r="Q1614" s="50"/>
      <c r="R1614" s="50"/>
      <c r="S1614" s="58"/>
      <c r="T1614" s="58"/>
      <c r="U1614" s="58"/>
      <c r="V1614" s="59"/>
      <c r="W1614" s="60"/>
    </row>
    <row r="1615" spans="1:23" x14ac:dyDescent="0.35">
      <c r="A1615" s="61"/>
      <c r="B1615" s="55"/>
      <c r="C1615" s="70"/>
      <c r="D1615" s="12"/>
      <c r="E1615" s="128"/>
      <c r="F1615" s="12"/>
      <c r="G1615" s="71"/>
      <c r="H1615" s="71"/>
      <c r="I1615" s="56"/>
      <c r="J1615" s="71"/>
      <c r="K1615" s="56"/>
      <c r="L1615" s="71"/>
      <c r="M1615" s="56"/>
      <c r="N1615" s="12"/>
      <c r="O1615" s="12"/>
      <c r="P1615" s="57"/>
      <c r="Q1615" s="50"/>
      <c r="R1615" s="50"/>
      <c r="S1615" s="58"/>
      <c r="T1615" s="58"/>
      <c r="U1615" s="58"/>
      <c r="V1615" s="59"/>
      <c r="W1615" s="60"/>
    </row>
    <row r="1616" spans="1:23" x14ac:dyDescent="0.35">
      <c r="A1616" s="61"/>
      <c r="B1616" s="55"/>
      <c r="C1616" s="70"/>
      <c r="D1616" s="12"/>
      <c r="E1616" s="128"/>
      <c r="F1616" s="12"/>
      <c r="G1616" s="71"/>
      <c r="H1616" s="71"/>
      <c r="I1616" s="56"/>
      <c r="J1616" s="71"/>
      <c r="K1616" s="56"/>
      <c r="L1616" s="71"/>
      <c r="M1616" s="56"/>
      <c r="N1616" s="12"/>
      <c r="O1616" s="12"/>
      <c r="P1616" s="57"/>
      <c r="Q1616" s="50"/>
      <c r="R1616" s="50"/>
      <c r="S1616" s="58"/>
      <c r="T1616" s="58"/>
      <c r="U1616" s="58"/>
      <c r="V1616" s="59"/>
      <c r="W1616" s="60"/>
    </row>
    <row r="1617" spans="1:23" x14ac:dyDescent="0.35">
      <c r="A1617" s="61"/>
      <c r="B1617" s="55"/>
      <c r="C1617" s="70"/>
      <c r="D1617" s="12"/>
      <c r="E1617" s="128"/>
      <c r="F1617" s="12"/>
      <c r="G1617" s="71"/>
      <c r="H1617" s="71"/>
      <c r="I1617" s="56"/>
      <c r="J1617" s="71"/>
      <c r="K1617" s="56"/>
      <c r="L1617" s="71"/>
      <c r="M1617" s="56"/>
      <c r="N1617" s="12"/>
      <c r="O1617" s="12"/>
      <c r="P1617" s="57"/>
      <c r="Q1617" s="50"/>
      <c r="R1617" s="50"/>
      <c r="S1617" s="58"/>
      <c r="T1617" s="58"/>
      <c r="U1617" s="58"/>
      <c r="V1617" s="59"/>
      <c r="W1617" s="60"/>
    </row>
    <row r="1618" spans="1:23" x14ac:dyDescent="0.35">
      <c r="A1618" s="61"/>
      <c r="B1618" s="55"/>
      <c r="C1618" s="70"/>
      <c r="D1618" s="12"/>
      <c r="E1618" s="128"/>
      <c r="F1618" s="12"/>
      <c r="G1618" s="71"/>
      <c r="H1618" s="71"/>
      <c r="I1618" s="56"/>
      <c r="J1618" s="71"/>
      <c r="K1618" s="56"/>
      <c r="L1618" s="71"/>
      <c r="M1618" s="56"/>
      <c r="N1618" s="12"/>
      <c r="O1618" s="12"/>
      <c r="P1618" s="57"/>
      <c r="Q1618" s="50"/>
      <c r="R1618" s="50"/>
      <c r="S1618" s="58"/>
      <c r="T1618" s="58"/>
      <c r="U1618" s="58"/>
      <c r="V1618" s="59"/>
      <c r="W1618" s="60"/>
    </row>
    <row r="1619" spans="1:23" x14ac:dyDescent="0.35">
      <c r="A1619" s="61"/>
      <c r="B1619" s="55"/>
      <c r="C1619" s="70"/>
      <c r="D1619" s="12"/>
      <c r="E1619" s="128"/>
      <c r="F1619" s="12"/>
      <c r="G1619" s="71"/>
      <c r="H1619" s="71"/>
      <c r="I1619" s="56"/>
      <c r="J1619" s="71"/>
      <c r="K1619" s="56"/>
      <c r="L1619" s="71"/>
      <c r="M1619" s="56"/>
      <c r="N1619" s="12"/>
      <c r="O1619" s="12"/>
      <c r="P1619" s="57"/>
      <c r="Q1619" s="50"/>
      <c r="R1619" s="50"/>
      <c r="S1619" s="58"/>
      <c r="T1619" s="58"/>
      <c r="U1619" s="58"/>
      <c r="V1619" s="59"/>
      <c r="W1619" s="60"/>
    </row>
    <row r="1620" spans="1:23" x14ac:dyDescent="0.35">
      <c r="A1620" s="61"/>
      <c r="B1620" s="55"/>
      <c r="C1620" s="70"/>
      <c r="D1620" s="12"/>
      <c r="E1620" s="128"/>
      <c r="F1620" s="12"/>
      <c r="G1620" s="71"/>
      <c r="H1620" s="71"/>
      <c r="I1620" s="56"/>
      <c r="J1620" s="71"/>
      <c r="K1620" s="56"/>
      <c r="L1620" s="71"/>
      <c r="M1620" s="56"/>
      <c r="N1620" s="12"/>
      <c r="O1620" s="12"/>
      <c r="P1620" s="57"/>
      <c r="Q1620" s="50"/>
      <c r="R1620" s="50"/>
      <c r="S1620" s="58"/>
      <c r="T1620" s="58"/>
      <c r="U1620" s="58"/>
      <c r="V1620" s="59"/>
      <c r="W1620" s="60"/>
    </row>
    <row r="1621" spans="1:23" x14ac:dyDescent="0.35">
      <c r="A1621" s="61"/>
      <c r="B1621" s="55"/>
      <c r="C1621" s="70"/>
      <c r="D1621" s="12"/>
      <c r="E1621" s="128"/>
      <c r="F1621" s="12"/>
      <c r="G1621" s="71"/>
      <c r="H1621" s="71"/>
      <c r="I1621" s="56"/>
      <c r="J1621" s="71"/>
      <c r="K1621" s="56"/>
      <c r="L1621" s="71"/>
      <c r="M1621" s="56"/>
      <c r="N1621" s="12"/>
      <c r="O1621" s="12"/>
      <c r="P1621" s="57"/>
      <c r="Q1621" s="50"/>
      <c r="R1621" s="50"/>
      <c r="S1621" s="58"/>
      <c r="T1621" s="58"/>
      <c r="U1621" s="58"/>
      <c r="V1621" s="59"/>
      <c r="W1621" s="60"/>
    </row>
    <row r="1622" spans="1:23" x14ac:dyDescent="0.35">
      <c r="A1622" s="61"/>
      <c r="B1622" s="55"/>
      <c r="C1622" s="70"/>
      <c r="D1622" s="12"/>
      <c r="E1622" s="128"/>
      <c r="F1622" s="12"/>
      <c r="G1622" s="71"/>
      <c r="H1622" s="71"/>
      <c r="I1622" s="56"/>
      <c r="J1622" s="71"/>
      <c r="K1622" s="56"/>
      <c r="L1622" s="71"/>
      <c r="M1622" s="56"/>
      <c r="N1622" s="12"/>
      <c r="O1622" s="12"/>
      <c r="P1622" s="57"/>
      <c r="Q1622" s="50"/>
      <c r="R1622" s="50"/>
      <c r="S1622" s="58"/>
      <c r="T1622" s="58"/>
      <c r="U1622" s="58"/>
      <c r="V1622" s="59"/>
      <c r="W1622" s="60"/>
    </row>
    <row r="1623" spans="1:23" x14ac:dyDescent="0.35">
      <c r="A1623" s="61"/>
      <c r="B1623" s="55"/>
      <c r="C1623" s="70"/>
      <c r="D1623" s="12"/>
      <c r="E1623" s="128"/>
      <c r="F1623" s="12"/>
      <c r="G1623" s="71"/>
      <c r="H1623" s="71"/>
      <c r="I1623" s="56"/>
      <c r="J1623" s="71"/>
      <c r="K1623" s="56"/>
      <c r="L1623" s="71"/>
      <c r="M1623" s="56"/>
      <c r="N1623" s="12"/>
      <c r="O1623" s="12"/>
      <c r="P1623" s="57"/>
      <c r="Q1623" s="50"/>
      <c r="R1623" s="50"/>
      <c r="S1623" s="58"/>
      <c r="T1623" s="58"/>
      <c r="U1623" s="58"/>
      <c r="V1623" s="59"/>
      <c r="W1623" s="60"/>
    </row>
    <row r="1624" spans="1:23" x14ac:dyDescent="0.35">
      <c r="A1624" s="61"/>
      <c r="B1624" s="55"/>
      <c r="C1624" s="70"/>
      <c r="D1624" s="12"/>
      <c r="E1624" s="128"/>
      <c r="F1624" s="12"/>
      <c r="G1624" s="71"/>
      <c r="H1624" s="71"/>
      <c r="I1624" s="56"/>
      <c r="J1624" s="71"/>
      <c r="K1624" s="56"/>
      <c r="L1624" s="71"/>
      <c r="M1624" s="56"/>
      <c r="N1624" s="12"/>
      <c r="O1624" s="12"/>
      <c r="P1624" s="57"/>
      <c r="Q1624" s="50"/>
      <c r="R1624" s="50"/>
      <c r="S1624" s="58"/>
      <c r="T1624" s="58"/>
      <c r="U1624" s="58"/>
      <c r="V1624" s="59"/>
      <c r="W1624" s="60"/>
    </row>
    <row r="1625" spans="1:23" x14ac:dyDescent="0.35">
      <c r="A1625" s="61"/>
      <c r="B1625" s="55"/>
      <c r="C1625" s="70"/>
      <c r="D1625" s="12"/>
      <c r="E1625" s="128"/>
      <c r="F1625" s="12"/>
      <c r="G1625" s="71"/>
      <c r="H1625" s="71"/>
      <c r="I1625" s="56"/>
      <c r="J1625" s="71"/>
      <c r="K1625" s="56"/>
      <c r="L1625" s="71"/>
      <c r="M1625" s="56"/>
      <c r="N1625" s="12"/>
      <c r="O1625" s="12"/>
      <c r="P1625" s="57"/>
      <c r="Q1625" s="50"/>
      <c r="R1625" s="50"/>
      <c r="S1625" s="58"/>
      <c r="T1625" s="58"/>
      <c r="U1625" s="58"/>
      <c r="V1625" s="59"/>
      <c r="W1625" s="60"/>
    </row>
    <row r="1626" spans="1:23" x14ac:dyDescent="0.35">
      <c r="A1626" s="61"/>
      <c r="B1626" s="55"/>
      <c r="C1626" s="70"/>
      <c r="D1626" s="12"/>
      <c r="E1626" s="128"/>
      <c r="F1626" s="12"/>
      <c r="G1626" s="71"/>
      <c r="H1626" s="71"/>
      <c r="I1626" s="56"/>
      <c r="J1626" s="71"/>
      <c r="K1626" s="56"/>
      <c r="L1626" s="71"/>
      <c r="M1626" s="56"/>
      <c r="N1626" s="12"/>
      <c r="O1626" s="12"/>
      <c r="P1626" s="57"/>
      <c r="Q1626" s="50"/>
      <c r="R1626" s="50"/>
      <c r="S1626" s="58"/>
      <c r="T1626" s="58"/>
      <c r="U1626" s="58"/>
      <c r="V1626" s="59"/>
      <c r="W1626" s="60"/>
    </row>
    <row r="1627" spans="1:23" x14ac:dyDescent="0.35">
      <c r="A1627" s="61"/>
      <c r="B1627" s="55"/>
      <c r="C1627" s="70"/>
      <c r="D1627" s="12"/>
      <c r="E1627" s="128"/>
      <c r="F1627" s="12"/>
      <c r="G1627" s="71"/>
      <c r="H1627" s="71"/>
      <c r="I1627" s="56"/>
      <c r="J1627" s="71"/>
      <c r="K1627" s="56"/>
      <c r="L1627" s="71"/>
      <c r="M1627" s="56"/>
      <c r="N1627" s="12"/>
      <c r="O1627" s="12"/>
      <c r="P1627" s="57"/>
      <c r="Q1627" s="50"/>
      <c r="R1627" s="50"/>
      <c r="S1627" s="58"/>
      <c r="T1627" s="58"/>
      <c r="U1627" s="58"/>
      <c r="V1627" s="59"/>
      <c r="W1627" s="60"/>
    </row>
    <row r="1628" spans="1:23" x14ac:dyDescent="0.35">
      <c r="A1628" s="61"/>
      <c r="B1628" s="55"/>
      <c r="C1628" s="70"/>
      <c r="D1628" s="12"/>
      <c r="E1628" s="128"/>
      <c r="F1628" s="12"/>
      <c r="G1628" s="71"/>
      <c r="H1628" s="71"/>
      <c r="I1628" s="56"/>
      <c r="J1628" s="71"/>
      <c r="K1628" s="56"/>
      <c r="L1628" s="71"/>
      <c r="M1628" s="56"/>
      <c r="N1628" s="12"/>
      <c r="O1628" s="12"/>
      <c r="P1628" s="57"/>
      <c r="Q1628" s="50"/>
      <c r="R1628" s="50"/>
      <c r="S1628" s="58"/>
      <c r="T1628" s="58"/>
      <c r="U1628" s="58"/>
      <c r="V1628" s="59"/>
      <c r="W1628" s="60"/>
    </row>
    <row r="1629" spans="1:23" x14ac:dyDescent="0.35">
      <c r="A1629" s="61"/>
      <c r="B1629" s="55"/>
      <c r="C1629" s="70"/>
      <c r="D1629" s="12"/>
      <c r="E1629" s="128"/>
      <c r="F1629" s="12"/>
      <c r="G1629" s="71"/>
      <c r="H1629" s="71"/>
      <c r="I1629" s="56"/>
      <c r="J1629" s="71"/>
      <c r="K1629" s="56"/>
      <c r="L1629" s="71"/>
      <c r="M1629" s="56"/>
      <c r="N1629" s="12"/>
      <c r="O1629" s="12"/>
      <c r="P1629" s="57"/>
      <c r="Q1629" s="50"/>
      <c r="R1629" s="50"/>
      <c r="S1629" s="58"/>
      <c r="T1629" s="58"/>
      <c r="U1629" s="58"/>
      <c r="V1629" s="59"/>
      <c r="W1629" s="60"/>
    </row>
    <row r="1630" spans="1:23" x14ac:dyDescent="0.35">
      <c r="A1630" s="61"/>
      <c r="B1630" s="55"/>
      <c r="C1630" s="70"/>
      <c r="D1630" s="12"/>
      <c r="E1630" s="128"/>
      <c r="F1630" s="12"/>
      <c r="G1630" s="71"/>
      <c r="H1630" s="71"/>
      <c r="I1630" s="56"/>
      <c r="J1630" s="71"/>
      <c r="K1630" s="56"/>
      <c r="L1630" s="71"/>
      <c r="M1630" s="56"/>
      <c r="N1630" s="12"/>
      <c r="O1630" s="12"/>
      <c r="P1630" s="57"/>
      <c r="Q1630" s="50"/>
      <c r="R1630" s="50"/>
      <c r="S1630" s="58"/>
      <c r="T1630" s="58"/>
      <c r="U1630" s="58"/>
      <c r="V1630" s="59"/>
      <c r="W1630" s="60"/>
    </row>
    <row r="1631" spans="1:23" x14ac:dyDescent="0.35">
      <c r="A1631" s="61"/>
      <c r="B1631" s="55"/>
      <c r="C1631" s="70"/>
      <c r="D1631" s="12"/>
      <c r="E1631" s="128"/>
      <c r="F1631" s="12"/>
      <c r="G1631" s="71"/>
      <c r="H1631" s="71"/>
      <c r="I1631" s="56"/>
      <c r="J1631" s="71"/>
      <c r="K1631" s="56"/>
      <c r="L1631" s="71"/>
      <c r="M1631" s="56"/>
      <c r="N1631" s="12"/>
      <c r="O1631" s="12"/>
      <c r="P1631" s="57"/>
      <c r="Q1631" s="50"/>
      <c r="R1631" s="50"/>
      <c r="S1631" s="58"/>
      <c r="T1631" s="58"/>
      <c r="U1631" s="58"/>
      <c r="V1631" s="59"/>
      <c r="W1631" s="60"/>
    </row>
    <row r="1632" spans="1:23" x14ac:dyDescent="0.35">
      <c r="A1632" s="61"/>
      <c r="B1632" s="55"/>
      <c r="C1632" s="70"/>
      <c r="D1632" s="12"/>
      <c r="E1632" s="128"/>
      <c r="F1632" s="12"/>
      <c r="G1632" s="71"/>
      <c r="H1632" s="71"/>
      <c r="I1632" s="56"/>
      <c r="J1632" s="71"/>
      <c r="K1632" s="56"/>
      <c r="L1632" s="71"/>
      <c r="M1632" s="56"/>
      <c r="N1632" s="12"/>
      <c r="O1632" s="12"/>
      <c r="P1632" s="57"/>
      <c r="Q1632" s="50"/>
      <c r="R1632" s="50"/>
      <c r="S1632" s="58"/>
      <c r="T1632" s="58"/>
      <c r="U1632" s="58"/>
      <c r="V1632" s="59"/>
      <c r="W1632" s="60"/>
    </row>
    <row r="1633" spans="1:23" x14ac:dyDescent="0.35">
      <c r="A1633" s="61"/>
      <c r="B1633" s="55"/>
      <c r="C1633" s="70"/>
      <c r="D1633" s="12"/>
      <c r="E1633" s="128"/>
      <c r="F1633" s="12"/>
      <c r="G1633" s="71"/>
      <c r="H1633" s="71"/>
      <c r="I1633" s="56"/>
      <c r="J1633" s="71"/>
      <c r="K1633" s="56"/>
      <c r="L1633" s="71"/>
      <c r="M1633" s="56"/>
      <c r="N1633" s="12"/>
      <c r="O1633" s="12"/>
      <c r="P1633" s="57"/>
      <c r="Q1633" s="50"/>
      <c r="R1633" s="50"/>
      <c r="S1633" s="58"/>
      <c r="T1633" s="58"/>
      <c r="U1633" s="58"/>
      <c r="V1633" s="59"/>
      <c r="W1633" s="60"/>
    </row>
    <row r="1634" spans="1:23" x14ac:dyDescent="0.35">
      <c r="A1634" s="61"/>
      <c r="B1634" s="55"/>
      <c r="C1634" s="70"/>
      <c r="D1634" s="12"/>
      <c r="E1634" s="128"/>
      <c r="F1634" s="12"/>
      <c r="G1634" s="71"/>
      <c r="H1634" s="71"/>
      <c r="I1634" s="56"/>
      <c r="J1634" s="71"/>
      <c r="K1634" s="56"/>
      <c r="L1634" s="71"/>
      <c r="M1634" s="56"/>
      <c r="N1634" s="12"/>
      <c r="O1634" s="12"/>
      <c r="P1634" s="57"/>
      <c r="Q1634" s="224"/>
      <c r="R1634" s="224"/>
      <c r="S1634" s="58"/>
      <c r="T1634" s="58"/>
      <c r="U1634" s="58"/>
      <c r="V1634" s="59"/>
      <c r="W1634" s="60"/>
    </row>
    <row r="1635" spans="1:23" x14ac:dyDescent="0.35">
      <c r="A1635" s="61"/>
      <c r="B1635" s="55"/>
      <c r="C1635" s="70"/>
      <c r="D1635" s="12"/>
      <c r="E1635" s="128"/>
      <c r="F1635" s="12"/>
      <c r="G1635" s="71"/>
      <c r="H1635" s="71"/>
      <c r="I1635" s="56"/>
      <c r="J1635" s="71"/>
      <c r="K1635" s="56"/>
      <c r="L1635" s="71"/>
      <c r="M1635" s="56"/>
      <c r="N1635" s="12"/>
      <c r="O1635" s="12"/>
      <c r="P1635" s="57"/>
      <c r="Q1635" s="50"/>
      <c r="R1635" s="50"/>
      <c r="S1635" s="58"/>
      <c r="T1635" s="58"/>
      <c r="U1635" s="58"/>
      <c r="V1635" s="59"/>
      <c r="W1635" s="60"/>
    </row>
    <row r="1636" spans="1:23" x14ac:dyDescent="0.35">
      <c r="A1636" s="61"/>
      <c r="B1636" s="55"/>
      <c r="C1636" s="70"/>
      <c r="D1636" s="12"/>
      <c r="E1636" s="128"/>
      <c r="F1636" s="12"/>
      <c r="G1636" s="71"/>
      <c r="H1636" s="71"/>
      <c r="I1636" s="56"/>
      <c r="J1636" s="71"/>
      <c r="K1636" s="56"/>
      <c r="L1636" s="71"/>
      <c r="M1636" s="56"/>
      <c r="N1636" s="12"/>
      <c r="O1636" s="12"/>
      <c r="P1636" s="57"/>
      <c r="Q1636" s="50"/>
      <c r="R1636" s="50"/>
      <c r="S1636" s="58"/>
      <c r="T1636" s="58"/>
      <c r="U1636" s="58"/>
      <c r="V1636" s="59"/>
      <c r="W1636" s="60"/>
    </row>
    <row r="1637" spans="1:23" x14ac:dyDescent="0.35">
      <c r="A1637" s="61"/>
      <c r="B1637" s="55"/>
      <c r="C1637" s="70"/>
      <c r="D1637" s="12"/>
      <c r="E1637" s="128"/>
      <c r="F1637" s="12"/>
      <c r="G1637" s="71"/>
      <c r="H1637" s="71"/>
      <c r="I1637" s="56"/>
      <c r="J1637" s="71"/>
      <c r="K1637" s="56"/>
      <c r="L1637" s="71"/>
      <c r="M1637" s="56"/>
      <c r="N1637" s="12"/>
      <c r="O1637" s="12"/>
      <c r="P1637" s="57"/>
      <c r="Q1637" s="224"/>
      <c r="R1637" s="224"/>
      <c r="S1637" s="58"/>
      <c r="T1637" s="58"/>
      <c r="U1637" s="58"/>
      <c r="V1637" s="59"/>
      <c r="W1637" s="60"/>
    </row>
    <row r="1638" spans="1:23" x14ac:dyDescent="0.35">
      <c r="A1638" s="61"/>
      <c r="B1638" s="55"/>
      <c r="C1638" s="70"/>
      <c r="D1638" s="12"/>
      <c r="E1638" s="128"/>
      <c r="F1638" s="12"/>
      <c r="G1638" s="71"/>
      <c r="H1638" s="71"/>
      <c r="I1638" s="56"/>
      <c r="J1638" s="71"/>
      <c r="K1638" s="56"/>
      <c r="L1638" s="71"/>
      <c r="M1638" s="56"/>
      <c r="N1638" s="12"/>
      <c r="O1638" s="12"/>
      <c r="P1638" s="57"/>
      <c r="Q1638" s="50"/>
      <c r="R1638" s="50"/>
      <c r="S1638" s="58"/>
      <c r="T1638" s="58"/>
      <c r="U1638" s="58"/>
      <c r="V1638" s="59"/>
      <c r="W1638" s="60"/>
    </row>
    <row r="1639" spans="1:23" x14ac:dyDescent="0.35">
      <c r="A1639" s="61"/>
      <c r="B1639" s="55"/>
      <c r="C1639" s="70"/>
      <c r="D1639" s="12"/>
      <c r="E1639" s="128"/>
      <c r="F1639" s="12"/>
      <c r="G1639" s="71"/>
      <c r="H1639" s="71"/>
      <c r="I1639" s="56"/>
      <c r="J1639" s="71"/>
      <c r="K1639" s="56"/>
      <c r="L1639" s="71"/>
      <c r="M1639" s="56"/>
      <c r="N1639" s="12"/>
      <c r="O1639" s="12"/>
      <c r="P1639" s="57"/>
      <c r="Q1639" s="224"/>
      <c r="R1639" s="224"/>
      <c r="S1639" s="58"/>
      <c r="T1639" s="58"/>
      <c r="U1639" s="58"/>
      <c r="V1639" s="59"/>
      <c r="W1639" s="60"/>
    </row>
    <row r="1640" spans="1:23" x14ac:dyDescent="0.35">
      <c r="A1640" s="61"/>
      <c r="B1640" s="55"/>
      <c r="C1640" s="70"/>
      <c r="D1640" s="12"/>
      <c r="E1640" s="128"/>
      <c r="F1640" s="12"/>
      <c r="G1640" s="71"/>
      <c r="H1640" s="71"/>
      <c r="I1640" s="56"/>
      <c r="J1640" s="71"/>
      <c r="K1640" s="56"/>
      <c r="L1640" s="71"/>
      <c r="M1640" s="56"/>
      <c r="N1640" s="12"/>
      <c r="O1640" s="12"/>
      <c r="P1640" s="57"/>
      <c r="Q1640" s="50"/>
      <c r="R1640" s="50"/>
      <c r="S1640" s="58"/>
      <c r="T1640" s="58"/>
      <c r="U1640" s="58"/>
      <c r="V1640" s="59"/>
      <c r="W1640" s="60"/>
    </row>
    <row r="1641" spans="1:23" x14ac:dyDescent="0.35">
      <c r="A1641" s="61"/>
      <c r="B1641" s="55"/>
      <c r="C1641" s="70"/>
      <c r="D1641" s="12"/>
      <c r="E1641" s="128"/>
      <c r="F1641" s="12"/>
      <c r="G1641" s="71"/>
      <c r="H1641" s="71"/>
      <c r="I1641" s="56"/>
      <c r="J1641" s="71"/>
      <c r="K1641" s="56"/>
      <c r="L1641" s="71"/>
      <c r="M1641" s="56"/>
      <c r="N1641" s="12"/>
      <c r="O1641" s="12"/>
      <c r="P1641" s="57"/>
      <c r="Q1641" s="50"/>
      <c r="R1641" s="50"/>
      <c r="S1641" s="58"/>
      <c r="T1641" s="58"/>
      <c r="U1641" s="58"/>
      <c r="V1641" s="59"/>
      <c r="W1641" s="60"/>
    </row>
    <row r="1642" spans="1:23" x14ac:dyDescent="0.35">
      <c r="A1642" s="61"/>
      <c r="B1642" s="55"/>
      <c r="C1642" s="70"/>
      <c r="D1642" s="12"/>
      <c r="E1642" s="128"/>
      <c r="F1642" s="12"/>
      <c r="G1642" s="71"/>
      <c r="H1642" s="71"/>
      <c r="I1642" s="56"/>
      <c r="J1642" s="71"/>
      <c r="K1642" s="56"/>
      <c r="L1642" s="71"/>
      <c r="M1642" s="56"/>
      <c r="N1642" s="12"/>
      <c r="O1642" s="12"/>
      <c r="P1642" s="57"/>
      <c r="Q1642" s="224"/>
      <c r="R1642" s="224"/>
      <c r="S1642" s="58"/>
      <c r="T1642" s="58"/>
      <c r="U1642" s="58"/>
      <c r="V1642" s="59"/>
      <c r="W1642" s="60"/>
    </row>
    <row r="1643" spans="1:23" x14ac:dyDescent="0.35">
      <c r="A1643" s="61"/>
      <c r="B1643" s="55"/>
      <c r="C1643" s="70"/>
      <c r="D1643" s="12"/>
      <c r="E1643" s="128"/>
      <c r="F1643" s="12"/>
      <c r="G1643" s="71"/>
      <c r="H1643" s="71"/>
      <c r="I1643" s="56"/>
      <c r="J1643" s="71"/>
      <c r="K1643" s="56"/>
      <c r="L1643" s="71"/>
      <c r="M1643" s="56"/>
      <c r="N1643" s="12"/>
      <c r="O1643" s="12"/>
      <c r="P1643" s="57"/>
      <c r="Q1643" s="50"/>
      <c r="R1643" s="50"/>
      <c r="S1643" s="58"/>
      <c r="T1643" s="58"/>
      <c r="U1643" s="58"/>
      <c r="V1643" s="59"/>
      <c r="W1643" s="60"/>
    </row>
    <row r="1644" spans="1:23" x14ac:dyDescent="0.35">
      <c r="A1644" s="61"/>
      <c r="B1644" s="55"/>
      <c r="C1644" s="70"/>
      <c r="D1644" s="12"/>
      <c r="E1644" s="128"/>
      <c r="F1644" s="12"/>
      <c r="G1644" s="71"/>
      <c r="H1644" s="71"/>
      <c r="I1644" s="56"/>
      <c r="J1644" s="71"/>
      <c r="K1644" s="56"/>
      <c r="L1644" s="71"/>
      <c r="M1644" s="56"/>
      <c r="N1644" s="12"/>
      <c r="O1644" s="12"/>
      <c r="P1644" s="57"/>
      <c r="Q1644" s="224"/>
      <c r="R1644" s="224"/>
      <c r="S1644" s="58"/>
      <c r="T1644" s="58"/>
      <c r="U1644" s="58"/>
      <c r="V1644" s="59"/>
      <c r="W1644" s="60"/>
    </row>
    <row r="1645" spans="1:23" x14ac:dyDescent="0.35">
      <c r="A1645" s="61"/>
      <c r="B1645" s="55"/>
      <c r="C1645" s="70"/>
      <c r="D1645" s="12"/>
      <c r="E1645" s="128"/>
      <c r="F1645" s="12"/>
      <c r="G1645" s="71"/>
      <c r="H1645" s="71"/>
      <c r="I1645" s="56"/>
      <c r="J1645" s="71"/>
      <c r="K1645" s="56"/>
      <c r="L1645" s="71"/>
      <c r="M1645" s="56"/>
      <c r="N1645" s="12"/>
      <c r="O1645" s="12"/>
      <c r="P1645" s="57"/>
      <c r="Q1645" s="224"/>
      <c r="R1645" s="224"/>
      <c r="S1645" s="58"/>
      <c r="T1645" s="58"/>
      <c r="U1645" s="58"/>
      <c r="V1645" s="59"/>
      <c r="W1645" s="60"/>
    </row>
    <row r="1646" spans="1:23" x14ac:dyDescent="0.35">
      <c r="A1646" s="61"/>
      <c r="B1646" s="55"/>
      <c r="C1646" s="70"/>
      <c r="D1646" s="12"/>
      <c r="E1646" s="128"/>
      <c r="F1646" s="12"/>
      <c r="G1646" s="71"/>
      <c r="H1646" s="71"/>
      <c r="I1646" s="56"/>
      <c r="J1646" s="71"/>
      <c r="K1646" s="56"/>
      <c r="L1646" s="71"/>
      <c r="M1646" s="56"/>
      <c r="N1646" s="12"/>
      <c r="O1646" s="12"/>
      <c r="P1646" s="57"/>
      <c r="Q1646" s="224"/>
      <c r="R1646" s="224"/>
      <c r="S1646" s="58"/>
      <c r="T1646" s="58"/>
      <c r="U1646" s="58"/>
      <c r="V1646" s="59"/>
      <c r="W1646" s="60"/>
    </row>
    <row r="1647" spans="1:23" x14ac:dyDescent="0.35">
      <c r="A1647" s="61"/>
      <c r="B1647" s="55"/>
      <c r="C1647" s="70"/>
      <c r="D1647" s="12"/>
      <c r="E1647" s="128"/>
      <c r="F1647" s="12"/>
      <c r="G1647" s="71"/>
      <c r="H1647" s="71"/>
      <c r="I1647" s="56"/>
      <c r="J1647" s="71"/>
      <c r="K1647" s="56"/>
      <c r="L1647" s="71"/>
      <c r="M1647" s="56"/>
      <c r="N1647" s="12"/>
      <c r="O1647" s="12"/>
      <c r="P1647" s="57"/>
      <c r="Q1647" s="224"/>
      <c r="R1647" s="224"/>
      <c r="S1647" s="58"/>
      <c r="T1647" s="58"/>
      <c r="U1647" s="58"/>
      <c r="V1647" s="59"/>
      <c r="W1647" s="60"/>
    </row>
    <row r="1648" spans="1:23" x14ac:dyDescent="0.35">
      <c r="A1648" s="61"/>
      <c r="B1648" s="55"/>
      <c r="C1648" s="70"/>
      <c r="D1648" s="12"/>
      <c r="E1648" s="128"/>
      <c r="F1648" s="12"/>
      <c r="G1648" s="71"/>
      <c r="H1648" s="71"/>
      <c r="I1648" s="56"/>
      <c r="J1648" s="71"/>
      <c r="K1648" s="56"/>
      <c r="L1648" s="71"/>
      <c r="M1648" s="56"/>
      <c r="N1648" s="12"/>
      <c r="O1648" s="12"/>
      <c r="P1648" s="57"/>
      <c r="Q1648" s="224"/>
      <c r="R1648" s="224"/>
      <c r="S1648" s="58"/>
      <c r="T1648" s="58"/>
      <c r="U1648" s="58"/>
      <c r="V1648" s="59"/>
      <c r="W1648" s="60"/>
    </row>
    <row r="1649" spans="1:23" x14ac:dyDescent="0.35">
      <c r="A1649" s="61"/>
      <c r="B1649" s="55"/>
      <c r="C1649" s="70"/>
      <c r="D1649" s="12"/>
      <c r="E1649" s="128"/>
      <c r="F1649" s="12"/>
      <c r="G1649" s="71"/>
      <c r="H1649" s="71"/>
      <c r="I1649" s="56"/>
      <c r="J1649" s="71"/>
      <c r="K1649" s="56"/>
      <c r="L1649" s="71"/>
      <c r="M1649" s="56"/>
      <c r="N1649" s="12"/>
      <c r="O1649" s="12"/>
      <c r="P1649" s="57"/>
      <c r="Q1649" s="224"/>
      <c r="R1649" s="224"/>
      <c r="S1649" s="58"/>
      <c r="T1649" s="58"/>
      <c r="U1649" s="58"/>
      <c r="V1649" s="59"/>
      <c r="W1649" s="60"/>
    </row>
    <row r="1650" spans="1:23" x14ac:dyDescent="0.35">
      <c r="A1650" s="61"/>
      <c r="B1650" s="55"/>
      <c r="C1650" s="70"/>
      <c r="D1650" s="12"/>
      <c r="E1650" s="128"/>
      <c r="F1650" s="12"/>
      <c r="G1650" s="71"/>
      <c r="H1650" s="71"/>
      <c r="I1650" s="56"/>
      <c r="J1650" s="71"/>
      <c r="K1650" s="56"/>
      <c r="L1650" s="71"/>
      <c r="M1650" s="56"/>
      <c r="N1650" s="12"/>
      <c r="O1650" s="12"/>
      <c r="P1650" s="57"/>
      <c r="Q1650" s="50"/>
      <c r="R1650" s="50"/>
      <c r="S1650" s="58"/>
      <c r="T1650" s="58"/>
      <c r="U1650" s="58"/>
      <c r="V1650" s="59"/>
      <c r="W1650" s="60"/>
    </row>
    <row r="1651" spans="1:23" x14ac:dyDescent="0.35">
      <c r="A1651" s="61"/>
      <c r="B1651" s="55"/>
      <c r="C1651" s="70"/>
      <c r="D1651" s="12"/>
      <c r="E1651" s="128"/>
      <c r="F1651" s="12"/>
      <c r="G1651" s="71"/>
      <c r="H1651" s="71"/>
      <c r="I1651" s="56"/>
      <c r="J1651" s="71"/>
      <c r="K1651" s="56"/>
      <c r="L1651" s="71"/>
      <c r="M1651" s="56"/>
      <c r="N1651" s="12"/>
      <c r="O1651" s="12"/>
      <c r="P1651" s="57"/>
      <c r="Q1651" s="50"/>
      <c r="R1651" s="50"/>
      <c r="S1651" s="58"/>
      <c r="T1651" s="58"/>
      <c r="U1651" s="58"/>
      <c r="V1651" s="59"/>
      <c r="W1651" s="60"/>
    </row>
    <row r="1652" spans="1:23" x14ac:dyDescent="0.35">
      <c r="A1652" s="61"/>
      <c r="B1652" s="55"/>
      <c r="C1652" s="70"/>
      <c r="D1652" s="12"/>
      <c r="E1652" s="128"/>
      <c r="F1652" s="12"/>
      <c r="G1652" s="71"/>
      <c r="H1652" s="71"/>
      <c r="I1652" s="56"/>
      <c r="J1652" s="71"/>
      <c r="K1652" s="56"/>
      <c r="L1652" s="71"/>
      <c r="M1652" s="56"/>
      <c r="N1652" s="12"/>
      <c r="O1652" s="12"/>
      <c r="P1652" s="57"/>
      <c r="Q1652" s="224"/>
      <c r="R1652" s="224"/>
      <c r="S1652" s="58"/>
      <c r="T1652" s="58"/>
      <c r="U1652" s="58"/>
      <c r="V1652" s="59"/>
      <c r="W1652" s="60"/>
    </row>
    <row r="1653" spans="1:23" x14ac:dyDescent="0.35">
      <c r="A1653" s="61"/>
      <c r="B1653" s="55"/>
      <c r="C1653" s="70"/>
      <c r="D1653" s="12"/>
      <c r="E1653" s="128"/>
      <c r="F1653" s="12"/>
      <c r="G1653" s="71"/>
      <c r="H1653" s="71"/>
      <c r="I1653" s="56"/>
      <c r="J1653" s="71"/>
      <c r="K1653" s="56"/>
      <c r="L1653" s="71"/>
      <c r="M1653" s="56"/>
      <c r="N1653" s="12"/>
      <c r="O1653" s="12"/>
      <c r="P1653" s="57"/>
      <c r="Q1653" s="224"/>
      <c r="R1653" s="224"/>
      <c r="S1653" s="58"/>
      <c r="T1653" s="58"/>
      <c r="U1653" s="58"/>
      <c r="V1653" s="59"/>
      <c r="W1653" s="60"/>
    </row>
    <row r="1654" spans="1:23" x14ac:dyDescent="0.35">
      <c r="A1654" s="61"/>
      <c r="B1654" s="55"/>
      <c r="C1654" s="70"/>
      <c r="D1654" s="12"/>
      <c r="E1654" s="128"/>
      <c r="F1654" s="12"/>
      <c r="G1654" s="71"/>
      <c r="H1654" s="71"/>
      <c r="I1654" s="56"/>
      <c r="J1654" s="71"/>
      <c r="K1654" s="56"/>
      <c r="L1654" s="71"/>
      <c r="M1654" s="56"/>
      <c r="N1654" s="12"/>
      <c r="O1654" s="12"/>
      <c r="P1654" s="57"/>
      <c r="Q1654" s="50"/>
      <c r="R1654" s="50"/>
      <c r="S1654" s="58"/>
      <c r="T1654" s="58"/>
      <c r="U1654" s="58"/>
      <c r="V1654" s="59"/>
      <c r="W1654" s="60"/>
    </row>
    <row r="1655" spans="1:23" x14ac:dyDescent="0.35">
      <c r="A1655" s="61"/>
      <c r="B1655" s="55"/>
      <c r="C1655" s="70"/>
      <c r="D1655" s="12"/>
      <c r="E1655" s="128"/>
      <c r="F1655" s="12"/>
      <c r="G1655" s="71"/>
      <c r="H1655" s="71"/>
      <c r="I1655" s="56"/>
      <c r="J1655" s="71"/>
      <c r="K1655" s="56"/>
      <c r="L1655" s="71"/>
      <c r="M1655" s="56"/>
      <c r="N1655" s="12"/>
      <c r="O1655" s="12"/>
      <c r="P1655" s="57"/>
      <c r="Q1655" s="224"/>
      <c r="R1655" s="224"/>
      <c r="S1655" s="58"/>
      <c r="T1655" s="58"/>
      <c r="U1655" s="58"/>
      <c r="V1655" s="59"/>
      <c r="W1655" s="60"/>
    </row>
    <row r="1656" spans="1:23" x14ac:dyDescent="0.35">
      <c r="A1656" s="61"/>
      <c r="B1656" s="55"/>
      <c r="C1656" s="70"/>
      <c r="D1656" s="12"/>
      <c r="E1656" s="128"/>
      <c r="F1656" s="12"/>
      <c r="G1656" s="71"/>
      <c r="H1656" s="71"/>
      <c r="I1656" s="56"/>
      <c r="J1656" s="71"/>
      <c r="K1656" s="56"/>
      <c r="L1656" s="71"/>
      <c r="M1656" s="56"/>
      <c r="N1656" s="12"/>
      <c r="O1656" s="12"/>
      <c r="P1656" s="57"/>
      <c r="Q1656" s="50"/>
      <c r="R1656" s="50"/>
      <c r="S1656" s="58"/>
      <c r="T1656" s="58"/>
      <c r="U1656" s="58"/>
      <c r="V1656" s="59"/>
      <c r="W1656" s="60"/>
    </row>
    <row r="1657" spans="1:23" x14ac:dyDescent="0.35">
      <c r="A1657" s="61"/>
      <c r="B1657" s="55"/>
      <c r="C1657" s="70"/>
      <c r="D1657" s="12"/>
      <c r="E1657" s="128"/>
      <c r="F1657" s="12"/>
      <c r="G1657" s="71"/>
      <c r="H1657" s="71"/>
      <c r="I1657" s="56"/>
      <c r="J1657" s="71"/>
      <c r="K1657" s="56"/>
      <c r="L1657" s="71"/>
      <c r="M1657" s="56"/>
      <c r="N1657" s="12"/>
      <c r="O1657" s="12"/>
      <c r="P1657" s="57"/>
      <c r="Q1657" s="50"/>
      <c r="R1657" s="50"/>
      <c r="S1657" s="58"/>
      <c r="T1657" s="58"/>
      <c r="U1657" s="58"/>
      <c r="V1657" s="59"/>
      <c r="W1657" s="60"/>
    </row>
    <row r="1658" spans="1:23" x14ac:dyDescent="0.35">
      <c r="A1658" s="61"/>
      <c r="B1658" s="55"/>
      <c r="C1658" s="70"/>
      <c r="D1658" s="12"/>
      <c r="E1658" s="128"/>
      <c r="F1658" s="12"/>
      <c r="G1658" s="71"/>
      <c r="H1658" s="71"/>
      <c r="I1658" s="56"/>
      <c r="J1658" s="71"/>
      <c r="K1658" s="56"/>
      <c r="L1658" s="71"/>
      <c r="M1658" s="56"/>
      <c r="N1658" s="12"/>
      <c r="O1658" s="12"/>
      <c r="P1658" s="57"/>
      <c r="Q1658" s="224"/>
      <c r="R1658" s="224"/>
      <c r="S1658" s="58"/>
      <c r="T1658" s="58"/>
      <c r="U1658" s="58"/>
      <c r="V1658" s="59"/>
      <c r="W1658" s="60"/>
    </row>
    <row r="1659" spans="1:23" x14ac:dyDescent="0.35">
      <c r="A1659" s="61"/>
      <c r="B1659" s="55"/>
      <c r="C1659" s="70"/>
      <c r="D1659" s="12"/>
      <c r="E1659" s="128"/>
      <c r="F1659" s="12"/>
      <c r="G1659" s="71"/>
      <c r="H1659" s="71"/>
      <c r="I1659" s="56"/>
      <c r="J1659" s="71"/>
      <c r="K1659" s="56"/>
      <c r="L1659" s="71"/>
      <c r="M1659" s="56"/>
      <c r="N1659" s="12"/>
      <c r="O1659" s="12"/>
      <c r="P1659" s="57"/>
      <c r="Q1659" s="224"/>
      <c r="R1659" s="224"/>
      <c r="S1659" s="58"/>
      <c r="T1659" s="58"/>
      <c r="U1659" s="58"/>
      <c r="V1659" s="59"/>
      <c r="W1659" s="60"/>
    </row>
    <row r="1660" spans="1:23" x14ac:dyDescent="0.35">
      <c r="A1660" s="61"/>
      <c r="B1660" s="55"/>
      <c r="C1660" s="70"/>
      <c r="D1660" s="12"/>
      <c r="E1660" s="128"/>
      <c r="F1660" s="12"/>
      <c r="G1660" s="71"/>
      <c r="H1660" s="71"/>
      <c r="I1660" s="56"/>
      <c r="J1660" s="71"/>
      <c r="K1660" s="56"/>
      <c r="L1660" s="71"/>
      <c r="M1660" s="56"/>
      <c r="N1660" s="12"/>
      <c r="O1660" s="12"/>
      <c r="P1660" s="57"/>
      <c r="Q1660" s="224"/>
      <c r="R1660" s="224"/>
      <c r="S1660" s="58"/>
      <c r="T1660" s="58"/>
      <c r="U1660" s="58"/>
      <c r="V1660" s="59"/>
      <c r="W1660" s="60"/>
    </row>
    <row r="1661" spans="1:23" x14ac:dyDescent="0.35">
      <c r="A1661" s="61"/>
      <c r="B1661" s="55"/>
      <c r="C1661" s="70"/>
      <c r="D1661" s="12"/>
      <c r="E1661" s="128"/>
      <c r="F1661" s="12"/>
      <c r="G1661" s="71"/>
      <c r="H1661" s="71"/>
      <c r="I1661" s="56"/>
      <c r="J1661" s="71"/>
      <c r="K1661" s="56"/>
      <c r="L1661" s="71"/>
      <c r="M1661" s="56"/>
      <c r="N1661" s="12"/>
      <c r="O1661" s="12"/>
      <c r="P1661" s="57"/>
      <c r="Q1661" s="50"/>
      <c r="R1661" s="50"/>
      <c r="S1661" s="58"/>
      <c r="T1661" s="58"/>
      <c r="U1661" s="58"/>
      <c r="V1661" s="59"/>
      <c r="W1661" s="60"/>
    </row>
    <row r="1662" spans="1:23" x14ac:dyDescent="0.35">
      <c r="A1662" s="61"/>
      <c r="B1662" s="55"/>
      <c r="C1662" s="70"/>
      <c r="D1662" s="12"/>
      <c r="E1662" s="128"/>
      <c r="F1662" s="12"/>
      <c r="G1662" s="71"/>
      <c r="H1662" s="71"/>
      <c r="I1662" s="56"/>
      <c r="J1662" s="71"/>
      <c r="K1662" s="56"/>
      <c r="L1662" s="71"/>
      <c r="M1662" s="56"/>
      <c r="N1662" s="12"/>
      <c r="O1662" s="12"/>
      <c r="P1662" s="57"/>
      <c r="Q1662" s="50"/>
      <c r="R1662" s="50"/>
      <c r="S1662" s="58"/>
      <c r="T1662" s="58"/>
      <c r="U1662" s="58"/>
      <c r="V1662" s="59"/>
      <c r="W1662" s="60"/>
    </row>
    <row r="1663" spans="1:23" x14ac:dyDescent="0.35">
      <c r="A1663" s="61"/>
      <c r="B1663" s="55"/>
      <c r="C1663" s="70"/>
      <c r="D1663" s="12"/>
      <c r="E1663" s="128"/>
      <c r="F1663" s="12"/>
      <c r="G1663" s="71"/>
      <c r="H1663" s="71"/>
      <c r="I1663" s="56"/>
      <c r="J1663" s="71"/>
      <c r="K1663" s="56"/>
      <c r="L1663" s="71"/>
      <c r="M1663" s="56"/>
      <c r="N1663" s="12"/>
      <c r="O1663" s="12"/>
      <c r="P1663" s="57"/>
      <c r="Q1663" s="50"/>
      <c r="R1663" s="50"/>
      <c r="S1663" s="58"/>
      <c r="T1663" s="58"/>
      <c r="U1663" s="58"/>
      <c r="V1663" s="59"/>
      <c r="W1663" s="60"/>
    </row>
    <row r="1664" spans="1:23" x14ac:dyDescent="0.35">
      <c r="A1664" s="61"/>
      <c r="B1664" s="55"/>
      <c r="C1664" s="70"/>
      <c r="D1664" s="12"/>
      <c r="E1664" s="128"/>
      <c r="F1664" s="12"/>
      <c r="G1664" s="71"/>
      <c r="H1664" s="71"/>
      <c r="I1664" s="56"/>
      <c r="J1664" s="71"/>
      <c r="K1664" s="56"/>
      <c r="L1664" s="71"/>
      <c r="M1664" s="56"/>
      <c r="N1664" s="12"/>
      <c r="O1664" s="12"/>
      <c r="P1664" s="57"/>
      <c r="Q1664" s="50"/>
      <c r="R1664" s="50"/>
      <c r="S1664" s="58"/>
      <c r="T1664" s="58"/>
      <c r="U1664" s="58"/>
      <c r="V1664" s="59"/>
      <c r="W1664" s="60"/>
    </row>
    <row r="1665" spans="1:23" x14ac:dyDescent="0.35">
      <c r="A1665" s="61"/>
      <c r="B1665" s="55"/>
      <c r="C1665" s="70"/>
      <c r="D1665" s="12"/>
      <c r="E1665" s="128"/>
      <c r="F1665" s="12"/>
      <c r="G1665" s="71"/>
      <c r="H1665" s="71"/>
      <c r="I1665" s="56"/>
      <c r="J1665" s="71"/>
      <c r="K1665" s="56"/>
      <c r="L1665" s="71"/>
      <c r="M1665" s="56"/>
      <c r="N1665" s="12"/>
      <c r="O1665" s="12"/>
      <c r="P1665" s="57"/>
      <c r="Q1665" s="228"/>
      <c r="R1665" s="228"/>
      <c r="S1665" s="58"/>
      <c r="T1665" s="58"/>
      <c r="U1665" s="58"/>
      <c r="V1665" s="59"/>
      <c r="W1665" s="60"/>
    </row>
    <row r="1666" spans="1:23" x14ac:dyDescent="0.35">
      <c r="A1666" s="61"/>
      <c r="B1666" s="55"/>
      <c r="C1666" s="70"/>
      <c r="D1666" s="12"/>
      <c r="E1666" s="128"/>
      <c r="F1666" s="12"/>
      <c r="G1666" s="71"/>
      <c r="H1666" s="71"/>
      <c r="I1666" s="56"/>
      <c r="J1666" s="71"/>
      <c r="K1666" s="56"/>
      <c r="L1666" s="71"/>
      <c r="M1666" s="56"/>
      <c r="N1666" s="12"/>
      <c r="O1666" s="12"/>
      <c r="P1666" s="57"/>
      <c r="Q1666" s="228"/>
      <c r="R1666" s="228"/>
      <c r="S1666" s="58"/>
      <c r="T1666" s="58"/>
      <c r="U1666" s="58"/>
      <c r="V1666" s="59"/>
      <c r="W1666" s="60"/>
    </row>
    <row r="1667" spans="1:23" x14ac:dyDescent="0.35">
      <c r="A1667" s="61"/>
      <c r="B1667" s="55"/>
      <c r="C1667" s="70"/>
      <c r="D1667" s="12"/>
      <c r="E1667" s="128"/>
      <c r="F1667" s="12"/>
      <c r="G1667" s="71"/>
      <c r="H1667" s="71"/>
      <c r="I1667" s="56"/>
      <c r="J1667" s="71"/>
      <c r="K1667" s="56"/>
      <c r="L1667" s="71"/>
      <c r="M1667" s="56"/>
      <c r="N1667" s="12"/>
      <c r="O1667" s="12"/>
      <c r="P1667" s="57"/>
      <c r="Q1667" s="228"/>
      <c r="R1667" s="228"/>
      <c r="S1667" s="58"/>
      <c r="T1667" s="58"/>
      <c r="U1667" s="58"/>
      <c r="V1667" s="59"/>
      <c r="W1667" s="60"/>
    </row>
    <row r="1668" spans="1:23" x14ac:dyDescent="0.35">
      <c r="A1668" s="61"/>
      <c r="B1668" s="55"/>
      <c r="C1668" s="70"/>
      <c r="D1668" s="12"/>
      <c r="E1668" s="128"/>
      <c r="F1668" s="12"/>
      <c r="G1668" s="71"/>
      <c r="H1668" s="71"/>
      <c r="I1668" s="56"/>
      <c r="J1668" s="71"/>
      <c r="K1668" s="56"/>
      <c r="L1668" s="71"/>
      <c r="M1668" s="56"/>
      <c r="N1668" s="12"/>
      <c r="O1668" s="12"/>
      <c r="P1668" s="57"/>
      <c r="Q1668" s="50"/>
      <c r="R1668" s="50"/>
      <c r="S1668" s="58"/>
      <c r="T1668" s="58"/>
      <c r="U1668" s="58"/>
      <c r="V1668" s="59"/>
      <c r="W1668" s="60"/>
    </row>
    <row r="1669" spans="1:23" x14ac:dyDescent="0.35">
      <c r="A1669" s="61"/>
      <c r="B1669" s="55"/>
      <c r="C1669" s="70"/>
      <c r="D1669" s="12"/>
      <c r="E1669" s="128"/>
      <c r="F1669" s="12"/>
      <c r="G1669" s="71"/>
      <c r="H1669" s="71"/>
      <c r="I1669" s="56"/>
      <c r="J1669" s="71"/>
      <c r="K1669" s="56"/>
      <c r="L1669" s="71"/>
      <c r="M1669" s="56"/>
      <c r="N1669" s="12"/>
      <c r="O1669" s="12"/>
      <c r="P1669" s="57"/>
      <c r="Q1669" s="50"/>
      <c r="R1669" s="50"/>
      <c r="S1669" s="58"/>
      <c r="T1669" s="58"/>
      <c r="U1669" s="58"/>
      <c r="V1669" s="59"/>
      <c r="W1669" s="60"/>
    </row>
    <row r="1670" spans="1:23" x14ac:dyDescent="0.35">
      <c r="A1670" s="61"/>
      <c r="B1670" s="55"/>
      <c r="C1670" s="70"/>
      <c r="D1670" s="12"/>
      <c r="E1670" s="128"/>
      <c r="F1670" s="12"/>
      <c r="G1670" s="71"/>
      <c r="H1670" s="71"/>
      <c r="I1670" s="56"/>
      <c r="J1670" s="71"/>
      <c r="K1670" s="56"/>
      <c r="L1670" s="71"/>
      <c r="M1670" s="56"/>
      <c r="N1670" s="12"/>
      <c r="O1670" s="12"/>
      <c r="P1670" s="57"/>
      <c r="Q1670" s="50"/>
      <c r="R1670" s="50"/>
      <c r="S1670" s="58"/>
      <c r="T1670" s="58"/>
      <c r="U1670" s="58"/>
      <c r="V1670" s="59"/>
      <c r="W1670" s="60"/>
    </row>
    <row r="1671" spans="1:23" x14ac:dyDescent="0.35">
      <c r="A1671" s="61"/>
      <c r="B1671" s="55"/>
      <c r="C1671" s="70"/>
      <c r="D1671" s="12"/>
      <c r="E1671" s="128"/>
      <c r="F1671" s="12"/>
      <c r="G1671" s="71"/>
      <c r="H1671" s="71"/>
      <c r="I1671" s="56"/>
      <c r="J1671" s="71"/>
      <c r="K1671" s="56"/>
      <c r="L1671" s="71"/>
      <c r="M1671" s="56"/>
      <c r="N1671" s="12"/>
      <c r="O1671" s="12"/>
      <c r="P1671" s="57"/>
      <c r="Q1671" s="50"/>
      <c r="R1671" s="50"/>
      <c r="S1671" s="58"/>
      <c r="T1671" s="58"/>
      <c r="U1671" s="58"/>
      <c r="V1671" s="59"/>
      <c r="W1671" s="60"/>
    </row>
    <row r="1672" spans="1:23" x14ac:dyDescent="0.35">
      <c r="A1672" s="61"/>
      <c r="B1672" s="55"/>
      <c r="C1672" s="70"/>
      <c r="D1672" s="12"/>
      <c r="E1672" s="128"/>
      <c r="F1672" s="12"/>
      <c r="G1672" s="71"/>
      <c r="H1672" s="71"/>
      <c r="I1672" s="56"/>
      <c r="J1672" s="71"/>
      <c r="K1672" s="56"/>
      <c r="L1672" s="71"/>
      <c r="M1672" s="56"/>
      <c r="N1672" s="12"/>
      <c r="O1672" s="12"/>
      <c r="P1672" s="57"/>
      <c r="Q1672" s="50"/>
      <c r="R1672" s="50"/>
      <c r="S1672" s="58"/>
      <c r="T1672" s="58"/>
      <c r="U1672" s="58"/>
      <c r="V1672" s="59"/>
      <c r="W1672" s="60"/>
    </row>
    <row r="1673" spans="1:23" x14ac:dyDescent="0.35">
      <c r="A1673" s="61"/>
      <c r="B1673" s="55"/>
      <c r="C1673" s="70"/>
      <c r="D1673" s="12"/>
      <c r="E1673" s="128"/>
      <c r="F1673" s="12"/>
      <c r="G1673" s="71"/>
      <c r="H1673" s="71"/>
      <c r="I1673" s="56"/>
      <c r="J1673" s="71"/>
      <c r="K1673" s="56"/>
      <c r="L1673" s="71"/>
      <c r="M1673" s="56"/>
      <c r="N1673" s="12"/>
      <c r="O1673" s="12"/>
      <c r="P1673" s="57"/>
      <c r="Q1673" s="50"/>
      <c r="R1673" s="50"/>
      <c r="S1673" s="58"/>
      <c r="T1673" s="58"/>
      <c r="U1673" s="58"/>
      <c r="V1673" s="59"/>
      <c r="W1673" s="60"/>
    </row>
    <row r="1674" spans="1:23" x14ac:dyDescent="0.35">
      <c r="A1674" s="61"/>
      <c r="B1674" s="55"/>
      <c r="C1674" s="70"/>
      <c r="D1674" s="12"/>
      <c r="E1674" s="128"/>
      <c r="F1674" s="12"/>
      <c r="G1674" s="71"/>
      <c r="H1674" s="71"/>
      <c r="I1674" s="56"/>
      <c r="J1674" s="71"/>
      <c r="K1674" s="56"/>
      <c r="L1674" s="71"/>
      <c r="M1674" s="56"/>
      <c r="N1674" s="12"/>
      <c r="O1674" s="12"/>
      <c r="P1674" s="57"/>
      <c r="Q1674" s="50"/>
      <c r="R1674" s="50"/>
      <c r="S1674" s="58"/>
      <c r="T1674" s="58"/>
      <c r="U1674" s="58"/>
      <c r="V1674" s="59"/>
      <c r="W1674" s="60"/>
    </row>
    <row r="1675" spans="1:23" x14ac:dyDescent="0.35">
      <c r="A1675" s="61"/>
      <c r="B1675" s="55"/>
      <c r="C1675" s="70"/>
      <c r="D1675" s="12"/>
      <c r="E1675" s="128"/>
      <c r="F1675" s="12"/>
      <c r="G1675" s="71"/>
      <c r="H1675" s="71"/>
      <c r="I1675" s="56"/>
      <c r="J1675" s="71"/>
      <c r="K1675" s="56"/>
      <c r="L1675" s="71"/>
      <c r="M1675" s="56"/>
      <c r="N1675" s="12"/>
      <c r="O1675" s="12"/>
      <c r="P1675" s="57"/>
      <c r="Q1675" s="50"/>
      <c r="R1675" s="50"/>
      <c r="S1675" s="58"/>
      <c r="T1675" s="58"/>
      <c r="U1675" s="58"/>
      <c r="V1675" s="59"/>
      <c r="W1675" s="60"/>
    </row>
    <row r="1676" spans="1:23" x14ac:dyDescent="0.35">
      <c r="A1676" s="61"/>
      <c r="B1676" s="55"/>
      <c r="C1676" s="70"/>
      <c r="D1676" s="12"/>
      <c r="E1676" s="128"/>
      <c r="F1676" s="12"/>
      <c r="G1676" s="71"/>
      <c r="H1676" s="71"/>
      <c r="I1676" s="56"/>
      <c r="J1676" s="71"/>
      <c r="K1676" s="56"/>
      <c r="L1676" s="71"/>
      <c r="M1676" s="56"/>
      <c r="N1676" s="12"/>
      <c r="O1676" s="12"/>
      <c r="P1676" s="57"/>
      <c r="Q1676" s="50"/>
      <c r="R1676" s="50"/>
      <c r="S1676" s="58"/>
      <c r="T1676" s="58"/>
      <c r="U1676" s="58"/>
      <c r="V1676" s="59"/>
      <c r="W1676" s="60"/>
    </row>
    <row r="1677" spans="1:23" x14ac:dyDescent="0.35">
      <c r="A1677" s="61"/>
      <c r="B1677" s="55"/>
      <c r="C1677" s="70"/>
      <c r="D1677" s="12"/>
      <c r="E1677" s="128"/>
      <c r="F1677" s="12"/>
      <c r="G1677" s="71"/>
      <c r="H1677" s="71"/>
      <c r="I1677" s="56"/>
      <c r="J1677" s="71"/>
      <c r="K1677" s="56"/>
      <c r="L1677" s="71"/>
      <c r="M1677" s="56"/>
      <c r="N1677" s="12"/>
      <c r="O1677" s="12"/>
      <c r="P1677" s="57"/>
      <c r="Q1677" s="228"/>
      <c r="R1677" s="228"/>
      <c r="S1677" s="58"/>
      <c r="T1677" s="58"/>
      <c r="U1677" s="58"/>
      <c r="V1677" s="59"/>
      <c r="W1677" s="60"/>
    </row>
    <row r="1678" spans="1:23" x14ac:dyDescent="0.35">
      <c r="A1678" s="61"/>
      <c r="B1678" s="55"/>
      <c r="C1678" s="70"/>
      <c r="D1678" s="12"/>
      <c r="E1678" s="128"/>
      <c r="F1678" s="12"/>
      <c r="G1678" s="71"/>
      <c r="H1678" s="71"/>
      <c r="I1678" s="56"/>
      <c r="J1678" s="71"/>
      <c r="K1678" s="56"/>
      <c r="L1678" s="71"/>
      <c r="M1678" s="56"/>
      <c r="N1678" s="12"/>
      <c r="O1678" s="12"/>
      <c r="P1678" s="57"/>
      <c r="Q1678" s="228"/>
      <c r="R1678" s="228"/>
      <c r="S1678" s="58"/>
      <c r="T1678" s="58"/>
      <c r="U1678" s="58"/>
      <c r="V1678" s="59"/>
      <c r="W1678" s="60"/>
    </row>
    <row r="1679" spans="1:23" x14ac:dyDescent="0.35">
      <c r="A1679" s="61"/>
      <c r="B1679" s="55"/>
      <c r="C1679" s="70"/>
      <c r="D1679" s="12"/>
      <c r="E1679" s="128"/>
      <c r="F1679" s="12"/>
      <c r="G1679" s="71"/>
      <c r="H1679" s="71"/>
      <c r="I1679" s="56"/>
      <c r="J1679" s="71"/>
      <c r="K1679" s="56"/>
      <c r="L1679" s="71"/>
      <c r="M1679" s="56"/>
      <c r="N1679" s="12"/>
      <c r="O1679" s="12"/>
      <c r="P1679" s="57"/>
      <c r="Q1679" s="228"/>
      <c r="R1679" s="228"/>
      <c r="S1679" s="58"/>
      <c r="T1679" s="58"/>
      <c r="U1679" s="58"/>
      <c r="V1679" s="59"/>
      <c r="W1679" s="60"/>
    </row>
    <row r="1680" spans="1:23" x14ac:dyDescent="0.35">
      <c r="A1680" s="61"/>
      <c r="B1680" s="55"/>
      <c r="C1680" s="70"/>
      <c r="D1680" s="12"/>
      <c r="E1680" s="128"/>
      <c r="F1680" s="12"/>
      <c r="G1680" s="71"/>
      <c r="H1680" s="71"/>
      <c r="I1680" s="56"/>
      <c r="J1680" s="71"/>
      <c r="K1680" s="56"/>
      <c r="L1680" s="71"/>
      <c r="M1680" s="56"/>
      <c r="N1680" s="12"/>
      <c r="O1680" s="12"/>
      <c r="P1680" s="57"/>
      <c r="Q1680" s="228"/>
      <c r="R1680" s="228"/>
      <c r="S1680" s="58"/>
      <c r="T1680" s="58"/>
      <c r="U1680" s="58"/>
      <c r="V1680" s="59"/>
      <c r="W1680" s="60"/>
    </row>
    <row r="1681" spans="1:23" x14ac:dyDescent="0.35">
      <c r="A1681" s="61"/>
      <c r="B1681" s="55"/>
      <c r="C1681" s="70"/>
      <c r="D1681" s="12"/>
      <c r="E1681" s="128"/>
      <c r="F1681" s="12"/>
      <c r="G1681" s="71"/>
      <c r="H1681" s="71"/>
      <c r="I1681" s="56"/>
      <c r="J1681" s="71"/>
      <c r="K1681" s="56"/>
      <c r="L1681" s="71"/>
      <c r="M1681" s="56"/>
      <c r="N1681" s="12"/>
      <c r="O1681" s="12"/>
      <c r="P1681" s="57"/>
      <c r="Q1681" s="228"/>
      <c r="R1681" s="228"/>
      <c r="S1681" s="58"/>
      <c r="T1681" s="58"/>
      <c r="U1681" s="58"/>
      <c r="V1681" s="59"/>
      <c r="W1681" s="60"/>
    </row>
    <row r="1682" spans="1:23" x14ac:dyDescent="0.35">
      <c r="A1682" s="61"/>
      <c r="B1682" s="55"/>
      <c r="C1682" s="70"/>
      <c r="D1682" s="12"/>
      <c r="E1682" s="128"/>
      <c r="F1682" s="12"/>
      <c r="G1682" s="71"/>
      <c r="H1682" s="71"/>
      <c r="I1682" s="56"/>
      <c r="J1682" s="71"/>
      <c r="K1682" s="56"/>
      <c r="L1682" s="71"/>
      <c r="M1682" s="56"/>
      <c r="N1682" s="12"/>
      <c r="O1682" s="12"/>
      <c r="P1682" s="57"/>
      <c r="Q1682" s="228"/>
      <c r="R1682" s="228"/>
      <c r="S1682" s="58"/>
      <c r="T1682" s="58"/>
      <c r="U1682" s="58"/>
      <c r="V1682" s="59"/>
      <c r="W1682" s="60"/>
    </row>
    <row r="1683" spans="1:23" x14ac:dyDescent="0.35">
      <c r="A1683" s="61"/>
      <c r="B1683" s="55"/>
      <c r="C1683" s="70"/>
      <c r="D1683" s="12"/>
      <c r="E1683" s="128"/>
      <c r="F1683" s="12"/>
      <c r="G1683" s="71"/>
      <c r="H1683" s="71"/>
      <c r="I1683" s="56"/>
      <c r="J1683" s="71"/>
      <c r="K1683" s="56"/>
      <c r="L1683" s="71"/>
      <c r="M1683" s="56"/>
      <c r="N1683" s="12"/>
      <c r="O1683" s="12"/>
      <c r="P1683" s="57"/>
      <c r="Q1683" s="50"/>
      <c r="R1683" s="50"/>
      <c r="S1683" s="58"/>
      <c r="T1683" s="58"/>
      <c r="U1683" s="58"/>
      <c r="V1683" s="59"/>
      <c r="W1683" s="60"/>
    </row>
    <row r="1684" spans="1:23" x14ac:dyDescent="0.35">
      <c r="A1684" s="61"/>
      <c r="B1684" s="55"/>
      <c r="C1684" s="70"/>
      <c r="D1684" s="12"/>
      <c r="E1684" s="128"/>
      <c r="F1684" s="12"/>
      <c r="G1684" s="71"/>
      <c r="H1684" s="71"/>
      <c r="I1684" s="56"/>
      <c r="J1684" s="71"/>
      <c r="K1684" s="56"/>
      <c r="L1684" s="71"/>
      <c r="M1684" s="56"/>
      <c r="N1684" s="12"/>
      <c r="O1684" s="12"/>
      <c r="P1684" s="57"/>
      <c r="Q1684" s="50"/>
      <c r="R1684" s="50"/>
      <c r="S1684" s="58"/>
      <c r="T1684" s="58"/>
      <c r="U1684" s="58"/>
      <c r="V1684" s="59"/>
      <c r="W1684" s="60"/>
    </row>
    <row r="1685" spans="1:23" x14ac:dyDescent="0.35">
      <c r="A1685" s="61"/>
      <c r="B1685" s="55"/>
      <c r="C1685" s="70"/>
      <c r="D1685" s="12"/>
      <c r="E1685" s="128"/>
      <c r="F1685" s="12"/>
      <c r="G1685" s="71"/>
      <c r="H1685" s="71"/>
      <c r="I1685" s="56"/>
      <c r="J1685" s="71"/>
      <c r="K1685" s="56"/>
      <c r="L1685" s="71"/>
      <c r="M1685" s="56"/>
      <c r="N1685" s="12"/>
      <c r="O1685" s="12"/>
      <c r="P1685" s="57"/>
      <c r="Q1685" s="228"/>
      <c r="R1685" s="228"/>
      <c r="S1685" s="58"/>
      <c r="T1685" s="58"/>
      <c r="U1685" s="58"/>
      <c r="V1685" s="59"/>
      <c r="W1685" s="60"/>
    </row>
    <row r="1686" spans="1:23" x14ac:dyDescent="0.35">
      <c r="A1686" s="61"/>
      <c r="B1686" s="55"/>
      <c r="C1686" s="70"/>
      <c r="D1686" s="12"/>
      <c r="E1686" s="128"/>
      <c r="F1686" s="12"/>
      <c r="G1686" s="71"/>
      <c r="H1686" s="71"/>
      <c r="I1686" s="56"/>
      <c r="J1686" s="71"/>
      <c r="K1686" s="56"/>
      <c r="L1686" s="71"/>
      <c r="M1686" s="56"/>
      <c r="N1686" s="12"/>
      <c r="O1686" s="12"/>
      <c r="P1686" s="57"/>
      <c r="Q1686" s="50"/>
      <c r="R1686" s="50"/>
      <c r="S1686" s="58"/>
      <c r="T1686" s="58"/>
      <c r="U1686" s="58"/>
      <c r="V1686" s="59"/>
      <c r="W1686" s="60"/>
    </row>
    <row r="1687" spans="1:23" x14ac:dyDescent="0.35">
      <c r="A1687" s="61"/>
      <c r="B1687" s="55"/>
      <c r="C1687" s="70"/>
      <c r="D1687" s="12"/>
      <c r="E1687" s="128"/>
      <c r="F1687" s="12"/>
      <c r="G1687" s="71"/>
      <c r="H1687" s="71"/>
      <c r="I1687" s="56"/>
      <c r="J1687" s="71"/>
      <c r="K1687" s="56"/>
      <c r="L1687" s="71"/>
      <c r="M1687" s="56"/>
      <c r="N1687" s="12"/>
      <c r="O1687" s="12"/>
      <c r="P1687" s="57"/>
      <c r="Q1687" s="50"/>
      <c r="R1687" s="50"/>
      <c r="S1687" s="58"/>
      <c r="T1687" s="58"/>
      <c r="U1687" s="58"/>
      <c r="V1687" s="59"/>
      <c r="W1687" s="60"/>
    </row>
    <row r="1688" spans="1:23" x14ac:dyDescent="0.35">
      <c r="A1688" s="61"/>
      <c r="B1688" s="55"/>
      <c r="C1688" s="70"/>
      <c r="D1688" s="12"/>
      <c r="E1688" s="128"/>
      <c r="F1688" s="12"/>
      <c r="G1688" s="71"/>
      <c r="H1688" s="71"/>
      <c r="I1688" s="56"/>
      <c r="J1688" s="71"/>
      <c r="K1688" s="56"/>
      <c r="L1688" s="71"/>
      <c r="M1688" s="56"/>
      <c r="N1688" s="12"/>
      <c r="O1688" s="12"/>
      <c r="P1688" s="57"/>
      <c r="Q1688" s="50"/>
      <c r="R1688" s="50"/>
      <c r="S1688" s="58"/>
      <c r="T1688" s="58"/>
      <c r="U1688" s="58"/>
      <c r="V1688" s="59"/>
      <c r="W1688" s="60"/>
    </row>
    <row r="1689" spans="1:23" x14ac:dyDescent="0.35">
      <c r="A1689" s="61"/>
      <c r="B1689" s="55"/>
      <c r="C1689" s="70"/>
      <c r="D1689" s="12"/>
      <c r="E1689" s="128"/>
      <c r="F1689" s="12"/>
      <c r="G1689" s="71"/>
      <c r="H1689" s="71"/>
      <c r="I1689" s="56"/>
      <c r="J1689" s="71"/>
      <c r="K1689" s="56"/>
      <c r="L1689" s="71"/>
      <c r="M1689" s="56"/>
      <c r="N1689" s="12"/>
      <c r="O1689" s="12"/>
      <c r="P1689" s="57"/>
      <c r="Q1689" s="228"/>
      <c r="R1689" s="228"/>
      <c r="S1689" s="58"/>
      <c r="T1689" s="58"/>
      <c r="U1689" s="58"/>
      <c r="V1689" s="59"/>
      <c r="W1689" s="60"/>
    </row>
    <row r="1690" spans="1:23" x14ac:dyDescent="0.35">
      <c r="A1690" s="61"/>
      <c r="B1690" s="55"/>
      <c r="C1690" s="70"/>
      <c r="D1690" s="12"/>
      <c r="E1690" s="128"/>
      <c r="F1690" s="12"/>
      <c r="G1690" s="71"/>
      <c r="H1690" s="71"/>
      <c r="I1690" s="56"/>
      <c r="J1690" s="71"/>
      <c r="K1690" s="56"/>
      <c r="L1690" s="71"/>
      <c r="M1690" s="56"/>
      <c r="N1690" s="12"/>
      <c r="O1690" s="12"/>
      <c r="P1690" s="57"/>
      <c r="Q1690" s="50"/>
      <c r="R1690" s="50"/>
      <c r="S1690" s="58"/>
      <c r="T1690" s="58"/>
      <c r="U1690" s="58"/>
      <c r="V1690" s="59"/>
      <c r="W1690" s="60"/>
    </row>
    <row r="1691" spans="1:23" x14ac:dyDescent="0.35">
      <c r="A1691" s="61"/>
      <c r="B1691" s="55"/>
      <c r="C1691" s="70"/>
      <c r="D1691" s="12"/>
      <c r="E1691" s="128"/>
      <c r="F1691" s="12"/>
      <c r="G1691" s="71"/>
      <c r="H1691" s="71"/>
      <c r="I1691" s="56"/>
      <c r="J1691" s="71"/>
      <c r="K1691" s="56"/>
      <c r="L1691" s="71"/>
      <c r="M1691" s="56"/>
      <c r="N1691" s="12"/>
      <c r="O1691" s="12"/>
      <c r="P1691" s="57"/>
      <c r="Q1691" s="50"/>
      <c r="R1691" s="50"/>
      <c r="S1691" s="58"/>
      <c r="T1691" s="58"/>
      <c r="U1691" s="58"/>
      <c r="V1691" s="59"/>
      <c r="W1691" s="60"/>
    </row>
    <row r="1692" spans="1:23" x14ac:dyDescent="0.35">
      <c r="A1692" s="61"/>
      <c r="B1692" s="55"/>
      <c r="C1692" s="70"/>
      <c r="D1692" s="12"/>
      <c r="E1692" s="128"/>
      <c r="F1692" s="12"/>
      <c r="G1692" s="71"/>
      <c r="H1692" s="71"/>
      <c r="I1692" s="56"/>
      <c r="J1692" s="71"/>
      <c r="K1692" s="56"/>
      <c r="L1692" s="71"/>
      <c r="M1692" s="56"/>
      <c r="N1692" s="12"/>
      <c r="O1692" s="12"/>
      <c r="P1692" s="57"/>
      <c r="Q1692" s="50"/>
      <c r="R1692" s="50"/>
      <c r="S1692" s="58"/>
      <c r="T1692" s="58"/>
      <c r="U1692" s="58"/>
      <c r="V1692" s="59"/>
      <c r="W1692" s="60"/>
    </row>
    <row r="1693" spans="1:23" x14ac:dyDescent="0.35">
      <c r="A1693" s="61"/>
      <c r="B1693" s="55"/>
      <c r="C1693" s="70"/>
      <c r="D1693" s="12"/>
      <c r="E1693" s="128"/>
      <c r="F1693" s="12"/>
      <c r="G1693" s="71"/>
      <c r="H1693" s="71"/>
      <c r="I1693" s="56"/>
      <c r="J1693" s="71"/>
      <c r="K1693" s="56"/>
      <c r="L1693" s="71"/>
      <c r="M1693" s="56"/>
      <c r="N1693" s="12"/>
      <c r="O1693" s="12"/>
      <c r="P1693" s="57"/>
      <c r="Q1693" s="228"/>
      <c r="R1693" s="228"/>
      <c r="S1693" s="58"/>
      <c r="T1693" s="58"/>
      <c r="U1693" s="58"/>
      <c r="V1693" s="59"/>
      <c r="W1693" s="60"/>
    </row>
    <row r="1694" spans="1:23" x14ac:dyDescent="0.35">
      <c r="A1694" s="61"/>
      <c r="B1694" s="55"/>
      <c r="C1694" s="70"/>
      <c r="D1694" s="12"/>
      <c r="E1694" s="128"/>
      <c r="F1694" s="12"/>
      <c r="G1694" s="71"/>
      <c r="H1694" s="71"/>
      <c r="I1694" s="56"/>
      <c r="J1694" s="71"/>
      <c r="K1694" s="56"/>
      <c r="L1694" s="71"/>
      <c r="M1694" s="56"/>
      <c r="N1694" s="12"/>
      <c r="O1694" s="12"/>
      <c r="P1694" s="57"/>
      <c r="Q1694" s="50"/>
      <c r="R1694" s="50"/>
      <c r="S1694" s="58"/>
      <c r="T1694" s="58"/>
      <c r="U1694" s="58"/>
      <c r="V1694" s="59"/>
      <c r="W1694" s="60"/>
    </row>
    <row r="1695" spans="1:23" x14ac:dyDescent="0.35">
      <c r="A1695" s="61"/>
      <c r="B1695" s="55"/>
      <c r="C1695" s="70"/>
      <c r="D1695" s="12"/>
      <c r="E1695" s="128"/>
      <c r="F1695" s="12"/>
      <c r="G1695" s="71"/>
      <c r="H1695" s="71"/>
      <c r="I1695" s="56"/>
      <c r="J1695" s="71"/>
      <c r="K1695" s="56"/>
      <c r="L1695" s="71"/>
      <c r="M1695" s="56"/>
      <c r="N1695" s="12"/>
      <c r="O1695" s="12"/>
      <c r="P1695" s="57"/>
      <c r="Q1695" s="50"/>
      <c r="R1695" s="50"/>
      <c r="S1695" s="58"/>
      <c r="T1695" s="58"/>
      <c r="U1695" s="58"/>
      <c r="V1695" s="59"/>
      <c r="W1695" s="60"/>
    </row>
    <row r="1696" spans="1:23" x14ac:dyDescent="0.35">
      <c r="A1696" s="61"/>
      <c r="B1696" s="55"/>
      <c r="C1696" s="70"/>
      <c r="D1696" s="12"/>
      <c r="E1696" s="128"/>
      <c r="F1696" s="12"/>
      <c r="G1696" s="71"/>
      <c r="H1696" s="71"/>
      <c r="I1696" s="56"/>
      <c r="J1696" s="71"/>
      <c r="K1696" s="56"/>
      <c r="L1696" s="71"/>
      <c r="M1696" s="56"/>
      <c r="N1696" s="12"/>
      <c r="O1696" s="12"/>
      <c r="P1696" s="57"/>
      <c r="Q1696" s="50"/>
      <c r="R1696" s="50"/>
      <c r="S1696" s="58"/>
      <c r="T1696" s="58"/>
      <c r="U1696" s="58"/>
      <c r="V1696" s="59"/>
      <c r="W1696" s="60"/>
    </row>
    <row r="1697" spans="1:23" x14ac:dyDescent="0.35">
      <c r="A1697" s="61"/>
      <c r="B1697" s="55"/>
      <c r="C1697" s="70"/>
      <c r="D1697" s="12"/>
      <c r="E1697" s="128"/>
      <c r="F1697" s="12"/>
      <c r="G1697" s="71"/>
      <c r="H1697" s="71"/>
      <c r="I1697" s="56"/>
      <c r="J1697" s="71"/>
      <c r="K1697" s="56"/>
      <c r="L1697" s="71"/>
      <c r="M1697" s="56"/>
      <c r="N1697" s="12"/>
      <c r="O1697" s="12"/>
      <c r="P1697" s="57"/>
      <c r="Q1697" s="50"/>
      <c r="R1697" s="50"/>
      <c r="S1697" s="58"/>
      <c r="T1697" s="58"/>
      <c r="U1697" s="58"/>
      <c r="V1697" s="59"/>
      <c r="W1697" s="60"/>
    </row>
    <row r="1698" spans="1:23" x14ac:dyDescent="0.35">
      <c r="A1698" s="61"/>
      <c r="B1698" s="55"/>
      <c r="C1698" s="70"/>
      <c r="D1698" s="12"/>
      <c r="E1698" s="128"/>
      <c r="F1698" s="12"/>
      <c r="G1698" s="71"/>
      <c r="H1698" s="71"/>
      <c r="I1698" s="56"/>
      <c r="J1698" s="71"/>
      <c r="K1698" s="56"/>
      <c r="L1698" s="71"/>
      <c r="M1698" s="56"/>
      <c r="N1698" s="12"/>
      <c r="O1698" s="12"/>
      <c r="P1698" s="57"/>
      <c r="Q1698" s="50"/>
      <c r="R1698" s="50"/>
      <c r="S1698" s="58"/>
      <c r="T1698" s="58"/>
      <c r="U1698" s="58"/>
      <c r="V1698" s="59"/>
      <c r="W1698" s="60"/>
    </row>
    <row r="1699" spans="1:23" x14ac:dyDescent="0.35">
      <c r="A1699" s="61"/>
      <c r="B1699" s="55"/>
      <c r="C1699" s="70"/>
      <c r="D1699" s="12"/>
      <c r="E1699" s="128"/>
      <c r="F1699" s="12"/>
      <c r="G1699" s="71"/>
      <c r="H1699" s="71"/>
      <c r="I1699" s="56"/>
      <c r="J1699" s="71"/>
      <c r="K1699" s="56"/>
      <c r="L1699" s="71"/>
      <c r="M1699" s="56"/>
      <c r="N1699" s="12"/>
      <c r="O1699" s="12"/>
      <c r="P1699" s="57"/>
      <c r="Q1699" s="50"/>
      <c r="R1699" s="50"/>
      <c r="S1699" s="58"/>
      <c r="T1699" s="58"/>
      <c r="U1699" s="58"/>
      <c r="V1699" s="59"/>
      <c r="W1699" s="60"/>
    </row>
    <row r="1700" spans="1:23" x14ac:dyDescent="0.35">
      <c r="A1700" s="61"/>
      <c r="B1700" s="55"/>
      <c r="C1700" s="70"/>
      <c r="D1700" s="12"/>
      <c r="E1700" s="128"/>
      <c r="F1700" s="12"/>
      <c r="G1700" s="71"/>
      <c r="H1700" s="71"/>
      <c r="I1700" s="56"/>
      <c r="J1700" s="71"/>
      <c r="K1700" s="56"/>
      <c r="L1700" s="71"/>
      <c r="M1700" s="56"/>
      <c r="N1700" s="12"/>
      <c r="O1700" s="12"/>
      <c r="P1700" s="57"/>
      <c r="Q1700" s="228"/>
      <c r="R1700" s="228"/>
      <c r="S1700" s="58"/>
      <c r="T1700" s="58"/>
      <c r="U1700" s="58"/>
      <c r="V1700" s="59"/>
      <c r="W1700" s="60"/>
    </row>
    <row r="1701" spans="1:23" x14ac:dyDescent="0.35">
      <c r="A1701" s="61"/>
      <c r="B1701" s="55"/>
      <c r="C1701" s="70"/>
      <c r="D1701" s="12"/>
      <c r="E1701" s="128"/>
      <c r="F1701" s="12"/>
      <c r="G1701" s="71"/>
      <c r="H1701" s="71"/>
      <c r="I1701" s="56"/>
      <c r="J1701" s="71"/>
      <c r="K1701" s="56"/>
      <c r="L1701" s="71"/>
      <c r="M1701" s="56"/>
      <c r="N1701" s="12"/>
      <c r="O1701" s="12"/>
      <c r="P1701" s="57"/>
      <c r="Q1701" s="228"/>
      <c r="R1701" s="228"/>
      <c r="S1701" s="58"/>
      <c r="T1701" s="58"/>
      <c r="U1701" s="58"/>
      <c r="V1701" s="59"/>
      <c r="W1701" s="60"/>
    </row>
    <row r="1702" spans="1:23" x14ac:dyDescent="0.35">
      <c r="A1702" s="61"/>
      <c r="B1702" s="55"/>
      <c r="C1702" s="70"/>
      <c r="D1702" s="12"/>
      <c r="E1702" s="128"/>
      <c r="F1702" s="12"/>
      <c r="G1702" s="71"/>
      <c r="H1702" s="71"/>
      <c r="I1702" s="56"/>
      <c r="J1702" s="71"/>
      <c r="K1702" s="56"/>
      <c r="L1702" s="71"/>
      <c r="M1702" s="56"/>
      <c r="N1702" s="12"/>
      <c r="O1702" s="12"/>
      <c r="P1702" s="57"/>
      <c r="Q1702" s="228"/>
      <c r="R1702" s="228"/>
      <c r="S1702" s="58"/>
      <c r="T1702" s="58"/>
      <c r="U1702" s="58"/>
      <c r="V1702" s="59"/>
      <c r="W1702" s="60"/>
    </row>
    <row r="1703" spans="1:23" x14ac:dyDescent="0.35">
      <c r="A1703" s="61"/>
      <c r="B1703" s="55"/>
      <c r="C1703" s="70"/>
      <c r="D1703" s="12"/>
      <c r="E1703" s="128"/>
      <c r="F1703" s="12"/>
      <c r="G1703" s="71"/>
      <c r="H1703" s="71"/>
      <c r="I1703" s="56"/>
      <c r="J1703" s="71"/>
      <c r="K1703" s="56"/>
      <c r="L1703" s="71"/>
      <c r="M1703" s="56"/>
      <c r="N1703" s="12"/>
      <c r="O1703" s="12"/>
      <c r="P1703" s="57"/>
      <c r="Q1703" s="50"/>
      <c r="R1703" s="50"/>
      <c r="S1703" s="58"/>
      <c r="T1703" s="58"/>
      <c r="U1703" s="58"/>
      <c r="V1703" s="59"/>
      <c r="W1703" s="60"/>
    </row>
    <row r="1704" spans="1:23" x14ac:dyDescent="0.35">
      <c r="A1704" s="61"/>
      <c r="B1704" s="55"/>
      <c r="C1704" s="70"/>
      <c r="D1704" s="12"/>
      <c r="E1704" s="128"/>
      <c r="F1704" s="12"/>
      <c r="G1704" s="71"/>
      <c r="H1704" s="71"/>
      <c r="I1704" s="56"/>
      <c r="J1704" s="71"/>
      <c r="K1704" s="56"/>
      <c r="L1704" s="71"/>
      <c r="M1704" s="56"/>
      <c r="N1704" s="12"/>
      <c r="O1704" s="12"/>
      <c r="P1704" s="57"/>
      <c r="Q1704" s="50"/>
      <c r="R1704" s="50"/>
      <c r="S1704" s="58"/>
      <c r="T1704" s="58"/>
      <c r="U1704" s="58"/>
      <c r="V1704" s="59"/>
      <c r="W1704" s="60"/>
    </row>
    <row r="1705" spans="1:23" x14ac:dyDescent="0.35">
      <c r="A1705" s="61"/>
      <c r="B1705" s="55"/>
      <c r="C1705" s="70"/>
      <c r="D1705" s="12"/>
      <c r="E1705" s="128"/>
      <c r="F1705" s="12"/>
      <c r="G1705" s="71"/>
      <c r="H1705" s="71"/>
      <c r="I1705" s="56"/>
      <c r="J1705" s="71"/>
      <c r="K1705" s="56"/>
      <c r="L1705" s="71"/>
      <c r="M1705" s="56"/>
      <c r="N1705" s="12"/>
      <c r="O1705" s="12"/>
      <c r="P1705" s="57"/>
      <c r="Q1705" s="228"/>
      <c r="R1705" s="228"/>
      <c r="S1705" s="58"/>
      <c r="T1705" s="58"/>
      <c r="U1705" s="58"/>
      <c r="V1705" s="59"/>
      <c r="W1705" s="60"/>
    </row>
    <row r="1706" spans="1:23" x14ac:dyDescent="0.35">
      <c r="A1706" s="61"/>
      <c r="B1706" s="55"/>
      <c r="C1706" s="70"/>
      <c r="D1706" s="12"/>
      <c r="E1706" s="128"/>
      <c r="F1706" s="12"/>
      <c r="G1706" s="71"/>
      <c r="H1706" s="71"/>
      <c r="I1706" s="56"/>
      <c r="J1706" s="71"/>
      <c r="K1706" s="56"/>
      <c r="L1706" s="71"/>
      <c r="M1706" s="56"/>
      <c r="N1706" s="12"/>
      <c r="O1706" s="12"/>
      <c r="P1706" s="57"/>
      <c r="Q1706" s="228"/>
      <c r="R1706" s="228"/>
      <c r="S1706" s="58"/>
      <c r="T1706" s="58"/>
      <c r="U1706" s="58"/>
      <c r="V1706" s="59"/>
      <c r="W1706" s="60"/>
    </row>
    <row r="1707" spans="1:23" x14ac:dyDescent="0.35">
      <c r="A1707" s="61"/>
      <c r="B1707" s="55"/>
      <c r="C1707" s="70"/>
      <c r="D1707" s="12"/>
      <c r="E1707" s="128"/>
      <c r="F1707" s="12"/>
      <c r="G1707" s="71"/>
      <c r="H1707" s="71"/>
      <c r="I1707" s="56"/>
      <c r="J1707" s="71"/>
      <c r="K1707" s="56"/>
      <c r="L1707" s="71"/>
      <c r="M1707" s="56"/>
      <c r="N1707" s="12"/>
      <c r="O1707" s="12"/>
      <c r="P1707" s="57"/>
      <c r="Q1707" s="50"/>
      <c r="R1707" s="50"/>
      <c r="S1707" s="58"/>
      <c r="T1707" s="58"/>
      <c r="U1707" s="58"/>
      <c r="V1707" s="59"/>
      <c r="W1707" s="60"/>
    </row>
    <row r="1708" spans="1:23" x14ac:dyDescent="0.35">
      <c r="A1708" s="61"/>
      <c r="B1708" s="55"/>
      <c r="C1708" s="70"/>
      <c r="D1708" s="12"/>
      <c r="E1708" s="128"/>
      <c r="F1708" s="12"/>
      <c r="G1708" s="71"/>
      <c r="H1708" s="71"/>
      <c r="I1708" s="56"/>
      <c r="J1708" s="71"/>
      <c r="K1708" s="56"/>
      <c r="L1708" s="71"/>
      <c r="M1708" s="56"/>
      <c r="N1708" s="12"/>
      <c r="O1708" s="12"/>
      <c r="P1708" s="57"/>
      <c r="Q1708" s="228"/>
      <c r="R1708" s="228"/>
      <c r="S1708" s="58"/>
      <c r="T1708" s="58"/>
      <c r="U1708" s="58"/>
      <c r="V1708" s="59"/>
      <c r="W1708" s="60"/>
    </row>
    <row r="1709" spans="1:23" x14ac:dyDescent="0.35">
      <c r="A1709" s="61"/>
      <c r="B1709" s="55"/>
      <c r="C1709" s="70"/>
      <c r="D1709" s="12"/>
      <c r="E1709" s="128"/>
      <c r="F1709" s="12"/>
      <c r="G1709" s="71"/>
      <c r="H1709" s="71"/>
      <c r="I1709" s="56"/>
      <c r="J1709" s="71"/>
      <c r="K1709" s="56"/>
      <c r="L1709" s="71"/>
      <c r="M1709" s="56"/>
      <c r="N1709" s="12"/>
      <c r="O1709" s="12"/>
      <c r="P1709" s="57"/>
      <c r="Q1709" s="228"/>
      <c r="R1709" s="228"/>
      <c r="S1709" s="58"/>
      <c r="T1709" s="58"/>
      <c r="U1709" s="58"/>
      <c r="V1709" s="59"/>
      <c r="W1709" s="60"/>
    </row>
    <row r="1710" spans="1:23" x14ac:dyDescent="0.35">
      <c r="A1710" s="61"/>
      <c r="B1710" s="55"/>
      <c r="C1710" s="70"/>
      <c r="D1710" s="12"/>
      <c r="E1710" s="128"/>
      <c r="F1710" s="12"/>
      <c r="G1710" s="71"/>
      <c r="H1710" s="71"/>
      <c r="I1710" s="56"/>
      <c r="J1710" s="71"/>
      <c r="K1710" s="56"/>
      <c r="L1710" s="71"/>
      <c r="M1710" s="56"/>
      <c r="N1710" s="12"/>
      <c r="O1710" s="12"/>
      <c r="P1710" s="57"/>
      <c r="Q1710" s="228"/>
      <c r="R1710" s="228"/>
      <c r="S1710" s="58"/>
      <c r="T1710" s="58"/>
      <c r="U1710" s="58"/>
      <c r="V1710" s="59"/>
      <c r="W1710" s="60"/>
    </row>
    <row r="1711" spans="1:23" x14ac:dyDescent="0.35">
      <c r="A1711" s="61"/>
      <c r="B1711" s="55"/>
      <c r="C1711" s="70"/>
      <c r="D1711" s="12"/>
      <c r="E1711" s="128"/>
      <c r="F1711" s="12"/>
      <c r="G1711" s="71"/>
      <c r="H1711" s="71"/>
      <c r="I1711" s="56"/>
      <c r="J1711" s="71"/>
      <c r="K1711" s="56"/>
      <c r="L1711" s="71"/>
      <c r="M1711" s="56"/>
      <c r="N1711" s="12"/>
      <c r="O1711" s="12"/>
      <c r="P1711" s="57"/>
      <c r="Q1711" s="50"/>
      <c r="R1711" s="50"/>
      <c r="S1711" s="58"/>
      <c r="T1711" s="58"/>
      <c r="U1711" s="58"/>
      <c r="V1711" s="59"/>
      <c r="W1711" s="60"/>
    </row>
    <row r="1712" spans="1:23" x14ac:dyDescent="0.35">
      <c r="A1712" s="61"/>
      <c r="B1712" s="55"/>
      <c r="C1712" s="70"/>
      <c r="D1712" s="12"/>
      <c r="E1712" s="128"/>
      <c r="F1712" s="12"/>
      <c r="G1712" s="71"/>
      <c r="H1712" s="71"/>
      <c r="I1712" s="56"/>
      <c r="J1712" s="71"/>
      <c r="K1712" s="56"/>
      <c r="L1712" s="71"/>
      <c r="M1712" s="56"/>
      <c r="N1712" s="12"/>
      <c r="O1712" s="12"/>
      <c r="P1712" s="57"/>
      <c r="Q1712" s="50"/>
      <c r="R1712" s="50"/>
      <c r="S1712" s="58"/>
      <c r="T1712" s="58"/>
      <c r="U1712" s="58"/>
      <c r="V1712" s="59"/>
      <c r="W1712" s="60"/>
    </row>
    <row r="1713" spans="1:23" x14ac:dyDescent="0.35">
      <c r="A1713" s="61"/>
      <c r="B1713" s="55"/>
      <c r="C1713" s="70"/>
      <c r="D1713" s="12"/>
      <c r="E1713" s="128"/>
      <c r="F1713" s="12"/>
      <c r="G1713" s="71"/>
      <c r="H1713" s="71"/>
      <c r="I1713" s="56"/>
      <c r="J1713" s="71"/>
      <c r="K1713" s="56"/>
      <c r="L1713" s="71"/>
      <c r="M1713" s="56"/>
      <c r="N1713" s="12"/>
      <c r="O1713" s="12"/>
      <c r="P1713" s="57"/>
      <c r="Q1713" s="50"/>
      <c r="R1713" s="50"/>
      <c r="S1713" s="58"/>
      <c r="T1713" s="58"/>
      <c r="U1713" s="58"/>
      <c r="V1713" s="59"/>
      <c r="W1713" s="60"/>
    </row>
    <row r="1714" spans="1:23" x14ac:dyDescent="0.35">
      <c r="A1714" s="61"/>
      <c r="B1714" s="55"/>
      <c r="C1714" s="70"/>
      <c r="D1714" s="12"/>
      <c r="E1714" s="128"/>
      <c r="F1714" s="12"/>
      <c r="G1714" s="71"/>
      <c r="H1714" s="71"/>
      <c r="I1714" s="56"/>
      <c r="J1714" s="71"/>
      <c r="K1714" s="56"/>
      <c r="L1714" s="71"/>
      <c r="M1714" s="56"/>
      <c r="N1714" s="12"/>
      <c r="O1714" s="12"/>
      <c r="P1714" s="57"/>
      <c r="Q1714" s="228"/>
      <c r="R1714" s="228"/>
      <c r="S1714" s="58"/>
      <c r="T1714" s="58"/>
      <c r="U1714" s="58"/>
      <c r="V1714" s="59"/>
      <c r="W1714" s="60"/>
    </row>
    <row r="1715" spans="1:23" x14ac:dyDescent="0.35">
      <c r="A1715" s="61"/>
      <c r="B1715" s="55"/>
      <c r="C1715" s="70"/>
      <c r="D1715" s="12"/>
      <c r="E1715" s="128"/>
      <c r="F1715" s="12"/>
      <c r="G1715" s="71"/>
      <c r="H1715" s="71"/>
      <c r="I1715" s="56"/>
      <c r="J1715" s="71"/>
      <c r="K1715" s="56"/>
      <c r="L1715" s="71"/>
      <c r="M1715" s="56"/>
      <c r="N1715" s="12"/>
      <c r="O1715" s="12"/>
      <c r="P1715" s="57"/>
      <c r="Q1715" s="228"/>
      <c r="R1715" s="228"/>
      <c r="S1715" s="58"/>
      <c r="T1715" s="58"/>
      <c r="U1715" s="58"/>
      <c r="V1715" s="59"/>
      <c r="W1715" s="60"/>
    </row>
    <row r="1716" spans="1:23" x14ac:dyDescent="0.35">
      <c r="A1716" s="61"/>
      <c r="B1716" s="55"/>
      <c r="C1716" s="70"/>
      <c r="D1716" s="12"/>
      <c r="E1716" s="128"/>
      <c r="F1716" s="12"/>
      <c r="G1716" s="71"/>
      <c r="H1716" s="71"/>
      <c r="I1716" s="56"/>
      <c r="J1716" s="71"/>
      <c r="K1716" s="56"/>
      <c r="L1716" s="71"/>
      <c r="M1716" s="56"/>
      <c r="N1716" s="12"/>
      <c r="O1716" s="12"/>
      <c r="P1716" s="57"/>
      <c r="Q1716" s="50"/>
      <c r="R1716" s="50"/>
      <c r="S1716" s="58"/>
      <c r="T1716" s="58"/>
      <c r="U1716" s="58"/>
      <c r="V1716" s="59"/>
      <c r="W1716" s="60"/>
    </row>
    <row r="1717" spans="1:23" x14ac:dyDescent="0.35">
      <c r="A1717" s="61"/>
      <c r="B1717" s="55"/>
      <c r="C1717" s="70"/>
      <c r="D1717" s="12"/>
      <c r="E1717" s="128"/>
      <c r="F1717" s="12"/>
      <c r="G1717" s="71"/>
      <c r="H1717" s="71"/>
      <c r="I1717" s="56"/>
      <c r="J1717" s="71"/>
      <c r="K1717" s="56"/>
      <c r="L1717" s="71"/>
      <c r="M1717" s="56"/>
      <c r="N1717" s="12"/>
      <c r="O1717" s="12"/>
      <c r="P1717" s="57"/>
      <c r="Q1717" s="228"/>
      <c r="R1717" s="228"/>
      <c r="S1717" s="58"/>
      <c r="T1717" s="58"/>
      <c r="U1717" s="58"/>
      <c r="V1717" s="59"/>
      <c r="W1717" s="60"/>
    </row>
    <row r="1718" spans="1:23" x14ac:dyDescent="0.35">
      <c r="A1718" s="61"/>
      <c r="B1718" s="55"/>
      <c r="C1718" s="70"/>
      <c r="D1718" s="12"/>
      <c r="E1718" s="128"/>
      <c r="F1718" s="12"/>
      <c r="G1718" s="71"/>
      <c r="H1718" s="71"/>
      <c r="I1718" s="56"/>
      <c r="J1718" s="71"/>
      <c r="K1718" s="56"/>
      <c r="L1718" s="71"/>
      <c r="M1718" s="56"/>
      <c r="N1718" s="12"/>
      <c r="O1718" s="12"/>
      <c r="P1718" s="57"/>
      <c r="Q1718" s="228"/>
      <c r="R1718" s="228"/>
      <c r="S1718" s="58"/>
      <c r="T1718" s="58"/>
      <c r="U1718" s="58"/>
      <c r="V1718" s="59"/>
      <c r="W1718" s="60"/>
    </row>
    <row r="1719" spans="1:23" x14ac:dyDescent="0.35">
      <c r="A1719" s="61"/>
      <c r="B1719" s="55"/>
      <c r="C1719" s="70"/>
      <c r="D1719" s="12"/>
      <c r="E1719" s="128"/>
      <c r="F1719" s="12"/>
      <c r="G1719" s="71"/>
      <c r="H1719" s="71"/>
      <c r="I1719" s="56"/>
      <c r="J1719" s="71"/>
      <c r="K1719" s="56"/>
      <c r="L1719" s="71"/>
      <c r="M1719" s="56"/>
      <c r="N1719" s="12"/>
      <c r="O1719" s="12"/>
      <c r="P1719" s="57"/>
      <c r="Q1719" s="228"/>
      <c r="R1719" s="228"/>
      <c r="S1719" s="58"/>
      <c r="T1719" s="58"/>
      <c r="U1719" s="58"/>
      <c r="V1719" s="59"/>
      <c r="W1719" s="60"/>
    </row>
    <row r="1720" spans="1:23" x14ac:dyDescent="0.35">
      <c r="A1720" s="61"/>
      <c r="B1720" s="55"/>
      <c r="C1720" s="70"/>
      <c r="D1720" s="12"/>
      <c r="E1720" s="128"/>
      <c r="F1720" s="12"/>
      <c r="G1720" s="71"/>
      <c r="H1720" s="71"/>
      <c r="I1720" s="56"/>
      <c r="J1720" s="71"/>
      <c r="K1720" s="56"/>
      <c r="L1720" s="71"/>
      <c r="M1720" s="56"/>
      <c r="N1720" s="12"/>
      <c r="O1720" s="12"/>
      <c r="P1720" s="57"/>
      <c r="Q1720" s="228"/>
      <c r="R1720" s="228"/>
      <c r="S1720" s="58"/>
      <c r="T1720" s="58"/>
      <c r="U1720" s="58"/>
      <c r="V1720" s="59"/>
      <c r="W1720" s="60"/>
    </row>
    <row r="1721" spans="1:23" x14ac:dyDescent="0.35">
      <c r="A1721" s="61"/>
      <c r="B1721" s="55"/>
      <c r="C1721" s="70"/>
      <c r="D1721" s="12"/>
      <c r="E1721" s="128"/>
      <c r="F1721" s="12"/>
      <c r="G1721" s="71"/>
      <c r="H1721" s="71"/>
      <c r="I1721" s="56"/>
      <c r="J1721" s="71"/>
      <c r="K1721" s="56"/>
      <c r="L1721" s="71"/>
      <c r="M1721" s="56"/>
      <c r="N1721" s="12"/>
      <c r="O1721" s="12"/>
      <c r="P1721" s="57"/>
      <c r="Q1721" s="228"/>
      <c r="R1721" s="228"/>
      <c r="S1721" s="58"/>
      <c r="T1721" s="58"/>
      <c r="U1721" s="58"/>
      <c r="V1721" s="59"/>
      <c r="W1721" s="60"/>
    </row>
    <row r="1722" spans="1:23" x14ac:dyDescent="0.35">
      <c r="A1722" s="61"/>
      <c r="B1722" s="55"/>
      <c r="C1722" s="70"/>
      <c r="D1722" s="12"/>
      <c r="E1722" s="128"/>
      <c r="F1722" s="12"/>
      <c r="G1722" s="71"/>
      <c r="H1722" s="71"/>
      <c r="I1722" s="56"/>
      <c r="J1722" s="71"/>
      <c r="K1722" s="56"/>
      <c r="L1722" s="71"/>
      <c r="M1722" s="56"/>
      <c r="N1722" s="12"/>
      <c r="O1722" s="12"/>
      <c r="P1722" s="57"/>
      <c r="Q1722" s="50"/>
      <c r="R1722" s="50"/>
      <c r="S1722" s="58"/>
      <c r="T1722" s="58"/>
      <c r="U1722" s="58"/>
      <c r="V1722" s="59"/>
      <c r="W1722" s="60"/>
    </row>
    <row r="1723" spans="1:23" x14ac:dyDescent="0.35">
      <c r="A1723" s="61"/>
      <c r="B1723" s="55"/>
      <c r="C1723" s="70"/>
      <c r="D1723" s="12"/>
      <c r="E1723" s="128"/>
      <c r="F1723" s="12"/>
      <c r="G1723" s="71"/>
      <c r="H1723" s="71"/>
      <c r="I1723" s="56"/>
      <c r="J1723" s="71"/>
      <c r="K1723" s="56"/>
      <c r="L1723" s="71"/>
      <c r="M1723" s="56"/>
      <c r="N1723" s="12"/>
      <c r="O1723" s="12"/>
      <c r="P1723" s="57"/>
      <c r="Q1723" s="50"/>
      <c r="R1723" s="50"/>
      <c r="S1723" s="58"/>
      <c r="T1723" s="58"/>
      <c r="U1723" s="58"/>
      <c r="V1723" s="59"/>
      <c r="W1723" s="60"/>
    </row>
    <row r="1724" spans="1:23" x14ac:dyDescent="0.35">
      <c r="A1724" s="61"/>
      <c r="B1724" s="55"/>
      <c r="C1724" s="70"/>
      <c r="D1724" s="12"/>
      <c r="E1724" s="128"/>
      <c r="F1724" s="12"/>
      <c r="G1724" s="71"/>
      <c r="H1724" s="71"/>
      <c r="I1724" s="56"/>
      <c r="J1724" s="71"/>
      <c r="K1724" s="56"/>
      <c r="L1724" s="71"/>
      <c r="M1724" s="56"/>
      <c r="N1724" s="12"/>
      <c r="O1724" s="12"/>
      <c r="P1724" s="57"/>
      <c r="Q1724" s="50"/>
      <c r="R1724" s="50"/>
      <c r="S1724" s="58"/>
      <c r="T1724" s="58"/>
      <c r="U1724" s="58"/>
      <c r="V1724" s="59"/>
      <c r="W1724" s="60"/>
    </row>
    <row r="1725" spans="1:23" x14ac:dyDescent="0.35">
      <c r="A1725" s="61"/>
      <c r="B1725" s="55"/>
      <c r="C1725" s="70"/>
      <c r="D1725" s="12"/>
      <c r="E1725" s="128"/>
      <c r="F1725" s="12"/>
      <c r="G1725" s="71"/>
      <c r="H1725" s="71"/>
      <c r="I1725" s="56"/>
      <c r="J1725" s="71"/>
      <c r="K1725" s="56"/>
      <c r="L1725" s="71"/>
      <c r="M1725" s="56"/>
      <c r="N1725" s="12"/>
      <c r="O1725" s="12"/>
      <c r="P1725" s="57"/>
      <c r="Q1725" s="50"/>
      <c r="R1725" s="50"/>
      <c r="S1725" s="58"/>
      <c r="T1725" s="58"/>
      <c r="U1725" s="58"/>
      <c r="V1725" s="59"/>
      <c r="W1725" s="60"/>
    </row>
    <row r="1726" spans="1:23" x14ac:dyDescent="0.35">
      <c r="A1726" s="61"/>
      <c r="B1726" s="55"/>
      <c r="C1726" s="70"/>
      <c r="D1726" s="12"/>
      <c r="E1726" s="128"/>
      <c r="F1726" s="12"/>
      <c r="G1726" s="71"/>
      <c r="H1726" s="71"/>
      <c r="I1726" s="56"/>
      <c r="J1726" s="71"/>
      <c r="K1726" s="56"/>
      <c r="L1726" s="71"/>
      <c r="M1726" s="56"/>
      <c r="N1726" s="12"/>
      <c r="O1726" s="12"/>
      <c r="P1726" s="57"/>
      <c r="Q1726" s="50"/>
      <c r="R1726" s="50"/>
      <c r="S1726" s="58"/>
      <c r="T1726" s="58"/>
      <c r="U1726" s="58"/>
      <c r="V1726" s="59"/>
      <c r="W1726" s="60"/>
    </row>
    <row r="1727" spans="1:23" x14ac:dyDescent="0.35">
      <c r="A1727" s="61"/>
      <c r="B1727" s="55"/>
      <c r="C1727" s="70"/>
      <c r="D1727" s="12"/>
      <c r="E1727" s="128"/>
      <c r="F1727" s="12"/>
      <c r="G1727" s="71"/>
      <c r="H1727" s="71"/>
      <c r="I1727" s="56"/>
      <c r="J1727" s="71"/>
      <c r="K1727" s="56"/>
      <c r="L1727" s="71"/>
      <c r="M1727" s="56"/>
      <c r="N1727" s="12"/>
      <c r="O1727" s="12"/>
      <c r="P1727" s="57"/>
      <c r="Q1727" s="228"/>
      <c r="R1727" s="228"/>
      <c r="S1727" s="58"/>
      <c r="T1727" s="58"/>
      <c r="U1727" s="58"/>
      <c r="V1727" s="59"/>
      <c r="W1727" s="60"/>
    </row>
    <row r="1728" spans="1:23" x14ac:dyDescent="0.35">
      <c r="A1728" s="61"/>
      <c r="B1728" s="55"/>
      <c r="C1728" s="70"/>
      <c r="D1728" s="12"/>
      <c r="E1728" s="128"/>
      <c r="F1728" s="12"/>
      <c r="G1728" s="71"/>
      <c r="H1728" s="71"/>
      <c r="I1728" s="56"/>
      <c r="J1728" s="71"/>
      <c r="K1728" s="56"/>
      <c r="L1728" s="71"/>
      <c r="M1728" s="56"/>
      <c r="N1728" s="12"/>
      <c r="O1728" s="12"/>
      <c r="P1728" s="57"/>
      <c r="Q1728" s="228"/>
      <c r="R1728" s="228"/>
      <c r="S1728" s="58"/>
      <c r="T1728" s="58"/>
      <c r="U1728" s="58"/>
      <c r="V1728" s="59"/>
      <c r="W1728" s="60"/>
    </row>
    <row r="1729" spans="1:23" x14ac:dyDescent="0.35">
      <c r="A1729" s="61"/>
      <c r="B1729" s="55"/>
      <c r="C1729" s="70"/>
      <c r="D1729" s="12"/>
      <c r="E1729" s="128"/>
      <c r="F1729" s="12"/>
      <c r="G1729" s="71"/>
      <c r="H1729" s="71"/>
      <c r="I1729" s="56"/>
      <c r="J1729" s="71"/>
      <c r="K1729" s="56"/>
      <c r="L1729" s="71"/>
      <c r="M1729" s="56"/>
      <c r="N1729" s="12"/>
      <c r="O1729" s="12"/>
      <c r="P1729" s="57"/>
      <c r="Q1729" s="228"/>
      <c r="R1729" s="228"/>
      <c r="S1729" s="58"/>
      <c r="T1729" s="58"/>
      <c r="U1729" s="58"/>
      <c r="V1729" s="59"/>
      <c r="W1729" s="60"/>
    </row>
    <row r="1730" spans="1:23" x14ac:dyDescent="0.35">
      <c r="A1730" s="61"/>
      <c r="B1730" s="55"/>
      <c r="C1730" s="70"/>
      <c r="D1730" s="12"/>
      <c r="E1730" s="128"/>
      <c r="F1730" s="12"/>
      <c r="G1730" s="71"/>
      <c r="H1730" s="71"/>
      <c r="I1730" s="56"/>
      <c r="J1730" s="71"/>
      <c r="K1730" s="56"/>
      <c r="L1730" s="71"/>
      <c r="M1730" s="56"/>
      <c r="N1730" s="12"/>
      <c r="O1730" s="12"/>
      <c r="P1730" s="57"/>
      <c r="Q1730" s="228"/>
      <c r="R1730" s="228"/>
      <c r="S1730" s="58"/>
      <c r="T1730" s="58"/>
      <c r="U1730" s="58"/>
      <c r="V1730" s="59"/>
      <c r="W1730" s="60"/>
    </row>
    <row r="1731" spans="1:23" x14ac:dyDescent="0.35">
      <c r="A1731" s="61"/>
      <c r="B1731" s="55"/>
      <c r="C1731" s="70"/>
      <c r="D1731" s="12"/>
      <c r="E1731" s="128"/>
      <c r="F1731" s="12"/>
      <c r="G1731" s="71"/>
      <c r="H1731" s="71"/>
      <c r="I1731" s="56"/>
      <c r="J1731" s="71"/>
      <c r="K1731" s="56"/>
      <c r="L1731" s="71"/>
      <c r="M1731" s="56"/>
      <c r="N1731" s="12"/>
      <c r="O1731" s="12"/>
      <c r="P1731" s="57"/>
      <c r="Q1731" s="228"/>
      <c r="R1731" s="228"/>
      <c r="S1731" s="58"/>
      <c r="T1731" s="58"/>
      <c r="U1731" s="58"/>
      <c r="V1731" s="59"/>
      <c r="W1731" s="60"/>
    </row>
    <row r="1732" spans="1:23" x14ac:dyDescent="0.35">
      <c r="A1732" s="61"/>
      <c r="B1732" s="55"/>
      <c r="C1732" s="70"/>
      <c r="D1732" s="12"/>
      <c r="E1732" s="128"/>
      <c r="F1732" s="12"/>
      <c r="G1732" s="71"/>
      <c r="H1732" s="71"/>
      <c r="I1732" s="56"/>
      <c r="J1732" s="71"/>
      <c r="K1732" s="56"/>
      <c r="L1732" s="71"/>
      <c r="M1732" s="56"/>
      <c r="N1732" s="12"/>
      <c r="O1732" s="12"/>
      <c r="P1732" s="57"/>
      <c r="Q1732" s="228"/>
      <c r="R1732" s="228"/>
      <c r="S1732" s="58"/>
      <c r="T1732" s="58"/>
      <c r="U1732" s="58"/>
      <c r="V1732" s="59"/>
      <c r="W1732" s="60"/>
    </row>
    <row r="1733" spans="1:23" x14ac:dyDescent="0.35">
      <c r="A1733" s="61"/>
      <c r="B1733" s="55"/>
      <c r="C1733" s="70"/>
      <c r="D1733" s="12"/>
      <c r="E1733" s="128"/>
      <c r="F1733" s="12"/>
      <c r="G1733" s="71"/>
      <c r="H1733" s="71"/>
      <c r="I1733" s="56"/>
      <c r="J1733" s="71"/>
      <c r="K1733" s="56"/>
      <c r="L1733" s="71"/>
      <c r="M1733" s="56"/>
      <c r="N1733" s="12"/>
      <c r="O1733" s="12"/>
      <c r="P1733" s="57"/>
      <c r="Q1733" s="228"/>
      <c r="R1733" s="228"/>
      <c r="S1733" s="58"/>
      <c r="T1733" s="58"/>
      <c r="U1733" s="58"/>
      <c r="V1733" s="59"/>
      <c r="W1733" s="60"/>
    </row>
    <row r="1734" spans="1:23" x14ac:dyDescent="0.35">
      <c r="A1734" s="61"/>
      <c r="B1734" s="55"/>
      <c r="C1734" s="70"/>
      <c r="D1734" s="12"/>
      <c r="E1734" s="128"/>
      <c r="F1734" s="12"/>
      <c r="G1734" s="71"/>
      <c r="H1734" s="71"/>
      <c r="I1734" s="56"/>
      <c r="J1734" s="71"/>
      <c r="K1734" s="56"/>
      <c r="L1734" s="71"/>
      <c r="M1734" s="56"/>
      <c r="N1734" s="12"/>
      <c r="O1734" s="12"/>
      <c r="P1734" s="57"/>
      <c r="Q1734" s="228"/>
      <c r="R1734" s="228"/>
      <c r="S1734" s="58"/>
      <c r="T1734" s="58"/>
      <c r="U1734" s="58"/>
      <c r="V1734" s="59"/>
      <c r="W1734" s="60"/>
    </row>
    <row r="1735" spans="1:23" x14ac:dyDescent="0.35">
      <c r="A1735" s="61"/>
      <c r="B1735" s="55"/>
      <c r="C1735" s="70"/>
      <c r="D1735" s="12"/>
      <c r="E1735" s="128"/>
      <c r="F1735" s="12"/>
      <c r="G1735" s="71"/>
      <c r="H1735" s="71"/>
      <c r="I1735" s="56"/>
      <c r="J1735" s="71"/>
      <c r="K1735" s="56"/>
      <c r="L1735" s="71"/>
      <c r="M1735" s="56"/>
      <c r="N1735" s="12"/>
      <c r="O1735" s="12"/>
      <c r="P1735" s="57"/>
      <c r="Q1735" s="228"/>
      <c r="R1735" s="228"/>
      <c r="S1735" s="58"/>
      <c r="T1735" s="58"/>
      <c r="U1735" s="58"/>
      <c r="V1735" s="59"/>
      <c r="W1735" s="60"/>
    </row>
    <row r="1736" spans="1:23" x14ac:dyDescent="0.35">
      <c r="A1736" s="61"/>
      <c r="B1736" s="55"/>
      <c r="C1736" s="70"/>
      <c r="D1736" s="12"/>
      <c r="E1736" s="128"/>
      <c r="F1736" s="12"/>
      <c r="G1736" s="71"/>
      <c r="H1736" s="71"/>
      <c r="I1736" s="56"/>
      <c r="J1736" s="71"/>
      <c r="K1736" s="56"/>
      <c r="L1736" s="71"/>
      <c r="M1736" s="56"/>
      <c r="N1736" s="12"/>
      <c r="O1736" s="12"/>
      <c r="P1736" s="57"/>
      <c r="Q1736" s="228"/>
      <c r="R1736" s="228"/>
      <c r="S1736" s="58"/>
      <c r="T1736" s="58"/>
      <c r="U1736" s="58"/>
      <c r="V1736" s="59"/>
      <c r="W1736" s="60"/>
    </row>
    <row r="1737" spans="1:23" x14ac:dyDescent="0.35">
      <c r="A1737" s="61"/>
      <c r="B1737" s="55"/>
      <c r="C1737" s="70"/>
      <c r="D1737" s="12"/>
      <c r="E1737" s="128"/>
      <c r="F1737" s="12"/>
      <c r="G1737" s="71"/>
      <c r="H1737" s="71"/>
      <c r="I1737" s="56"/>
      <c r="J1737" s="71"/>
      <c r="K1737" s="56"/>
      <c r="L1737" s="71"/>
      <c r="M1737" s="56"/>
      <c r="N1737" s="12"/>
      <c r="O1737" s="12"/>
      <c r="P1737" s="57"/>
      <c r="Q1737" s="228"/>
      <c r="R1737" s="228"/>
      <c r="S1737" s="58"/>
      <c r="T1737" s="58"/>
      <c r="U1737" s="58"/>
      <c r="V1737" s="59"/>
      <c r="W1737" s="60"/>
    </row>
    <row r="1738" spans="1:23" x14ac:dyDescent="0.35">
      <c r="A1738" s="61"/>
      <c r="B1738" s="55"/>
      <c r="C1738" s="70"/>
      <c r="D1738" s="12"/>
      <c r="E1738" s="128"/>
      <c r="F1738" s="12"/>
      <c r="G1738" s="71"/>
      <c r="H1738" s="71"/>
      <c r="I1738" s="56"/>
      <c r="J1738" s="71"/>
      <c r="K1738" s="56"/>
      <c r="L1738" s="71"/>
      <c r="M1738" s="56"/>
      <c r="N1738" s="12"/>
      <c r="O1738" s="12"/>
      <c r="P1738" s="57"/>
      <c r="Q1738" s="228"/>
      <c r="R1738" s="228"/>
      <c r="S1738" s="58"/>
      <c r="T1738" s="58"/>
      <c r="U1738" s="58"/>
      <c r="V1738" s="59"/>
      <c r="W1738" s="60"/>
    </row>
    <row r="1739" spans="1:23" x14ac:dyDescent="0.35">
      <c r="A1739" s="61"/>
      <c r="B1739" s="55"/>
      <c r="C1739" s="70"/>
      <c r="D1739" s="12"/>
      <c r="E1739" s="128"/>
      <c r="F1739" s="12"/>
      <c r="G1739" s="71"/>
      <c r="H1739" s="71"/>
      <c r="I1739" s="56"/>
      <c r="J1739" s="71"/>
      <c r="K1739" s="56"/>
      <c r="L1739" s="71"/>
      <c r="M1739" s="56"/>
      <c r="N1739" s="12"/>
      <c r="O1739" s="12"/>
      <c r="P1739" s="57"/>
      <c r="Q1739" s="228"/>
      <c r="R1739" s="228"/>
      <c r="S1739" s="58"/>
      <c r="T1739" s="58"/>
      <c r="U1739" s="58"/>
      <c r="V1739" s="59"/>
      <c r="W1739" s="60"/>
    </row>
    <row r="1740" spans="1:23" x14ac:dyDescent="0.35">
      <c r="A1740" s="61"/>
      <c r="B1740" s="55"/>
      <c r="C1740" s="70"/>
      <c r="D1740" s="12"/>
      <c r="E1740" s="128"/>
      <c r="F1740" s="12"/>
      <c r="G1740" s="71"/>
      <c r="H1740" s="71"/>
      <c r="I1740" s="56"/>
      <c r="J1740" s="71"/>
      <c r="K1740" s="56"/>
      <c r="L1740" s="71"/>
      <c r="M1740" s="56"/>
      <c r="N1740" s="12"/>
      <c r="O1740" s="12"/>
      <c r="P1740" s="57"/>
      <c r="Q1740" s="228"/>
      <c r="R1740" s="228"/>
      <c r="S1740" s="58"/>
      <c r="T1740" s="58"/>
      <c r="U1740" s="58"/>
      <c r="V1740" s="59"/>
      <c r="W1740" s="60"/>
    </row>
    <row r="1741" spans="1:23" x14ac:dyDescent="0.35">
      <c r="A1741" s="61"/>
      <c r="B1741" s="55"/>
      <c r="C1741" s="70"/>
      <c r="D1741" s="12"/>
      <c r="E1741" s="128"/>
      <c r="F1741" s="12"/>
      <c r="G1741" s="71"/>
      <c r="H1741" s="71"/>
      <c r="I1741" s="56"/>
      <c r="J1741" s="71"/>
      <c r="K1741" s="56"/>
      <c r="L1741" s="71"/>
      <c r="M1741" s="56"/>
      <c r="N1741" s="12"/>
      <c r="O1741" s="12"/>
      <c r="P1741" s="57"/>
      <c r="Q1741" s="228"/>
      <c r="R1741" s="228"/>
      <c r="S1741" s="58"/>
      <c r="T1741" s="58"/>
      <c r="U1741" s="58"/>
      <c r="V1741" s="59"/>
      <c r="W1741" s="60"/>
    </row>
    <row r="1742" spans="1:23" x14ac:dyDescent="0.35">
      <c r="A1742" s="61"/>
      <c r="B1742" s="55"/>
      <c r="C1742" s="70"/>
      <c r="D1742" s="12"/>
      <c r="E1742" s="128"/>
      <c r="F1742" s="12"/>
      <c r="G1742" s="71"/>
      <c r="H1742" s="71"/>
      <c r="I1742" s="56"/>
      <c r="J1742" s="71"/>
      <c r="K1742" s="56"/>
      <c r="L1742" s="71"/>
      <c r="M1742" s="56"/>
      <c r="N1742" s="12"/>
      <c r="O1742" s="12"/>
      <c r="P1742" s="57"/>
      <c r="Q1742" s="228"/>
      <c r="R1742" s="228"/>
      <c r="S1742" s="58"/>
      <c r="T1742" s="58"/>
      <c r="U1742" s="58"/>
      <c r="V1742" s="59"/>
      <c r="W1742" s="60"/>
    </row>
    <row r="1743" spans="1:23" x14ac:dyDescent="0.35">
      <c r="A1743" s="61"/>
      <c r="B1743" s="55"/>
      <c r="C1743" s="70"/>
      <c r="D1743" s="12"/>
      <c r="E1743" s="128"/>
      <c r="F1743" s="12"/>
      <c r="G1743" s="71"/>
      <c r="H1743" s="71"/>
      <c r="I1743" s="56"/>
      <c r="J1743" s="71"/>
      <c r="K1743" s="56"/>
      <c r="L1743" s="71"/>
      <c r="M1743" s="56"/>
      <c r="N1743" s="12"/>
      <c r="O1743" s="12"/>
      <c r="P1743" s="57"/>
      <c r="Q1743" s="228"/>
      <c r="R1743" s="228"/>
      <c r="S1743" s="58"/>
      <c r="T1743" s="58"/>
      <c r="U1743" s="58"/>
      <c r="V1743" s="59"/>
      <c r="W1743" s="60"/>
    </row>
    <row r="1744" spans="1:23" x14ac:dyDescent="0.35">
      <c r="A1744" s="61"/>
      <c r="B1744" s="55"/>
      <c r="C1744" s="70"/>
      <c r="D1744" s="12"/>
      <c r="E1744" s="128"/>
      <c r="F1744" s="12"/>
      <c r="G1744" s="71"/>
      <c r="H1744" s="71"/>
      <c r="I1744" s="56"/>
      <c r="J1744" s="71"/>
      <c r="K1744" s="56"/>
      <c r="L1744" s="71"/>
      <c r="M1744" s="56"/>
      <c r="N1744" s="12"/>
      <c r="O1744" s="12"/>
      <c r="P1744" s="57"/>
      <c r="Q1744" s="228"/>
      <c r="R1744" s="228"/>
      <c r="S1744" s="58"/>
      <c r="T1744" s="58"/>
      <c r="U1744" s="58"/>
      <c r="V1744" s="59"/>
      <c r="W1744" s="60"/>
    </row>
    <row r="1745" spans="1:23" x14ac:dyDescent="0.35">
      <c r="A1745" s="61"/>
      <c r="B1745" s="55"/>
      <c r="C1745" s="70"/>
      <c r="D1745" s="12"/>
      <c r="E1745" s="128"/>
      <c r="F1745" s="12"/>
      <c r="G1745" s="71"/>
      <c r="H1745" s="71"/>
      <c r="I1745" s="56"/>
      <c r="J1745" s="71"/>
      <c r="K1745" s="56"/>
      <c r="L1745" s="71"/>
      <c r="M1745" s="56"/>
      <c r="N1745" s="12"/>
      <c r="O1745" s="12"/>
      <c r="P1745" s="57"/>
      <c r="Q1745" s="228"/>
      <c r="R1745" s="228"/>
      <c r="S1745" s="58"/>
      <c r="T1745" s="58"/>
      <c r="U1745" s="58"/>
      <c r="V1745" s="59"/>
      <c r="W1745" s="60"/>
    </row>
    <row r="1746" spans="1:23" x14ac:dyDescent="0.35">
      <c r="A1746" s="61"/>
      <c r="B1746" s="55"/>
      <c r="C1746" s="70"/>
      <c r="D1746" s="12"/>
      <c r="E1746" s="128"/>
      <c r="F1746" s="12"/>
      <c r="G1746" s="71"/>
      <c r="H1746" s="71"/>
      <c r="I1746" s="56"/>
      <c r="J1746" s="71"/>
      <c r="K1746" s="56"/>
      <c r="L1746" s="71"/>
      <c r="M1746" s="56"/>
      <c r="N1746" s="12"/>
      <c r="O1746" s="12"/>
      <c r="P1746" s="57"/>
      <c r="Q1746" s="228"/>
      <c r="R1746" s="228"/>
      <c r="S1746" s="58"/>
      <c r="T1746" s="58"/>
      <c r="U1746" s="58"/>
      <c r="V1746" s="59"/>
      <c r="W1746" s="60"/>
    </row>
    <row r="1747" spans="1:23" x14ac:dyDescent="0.35">
      <c r="A1747" s="61"/>
      <c r="B1747" s="55"/>
      <c r="C1747" s="70"/>
      <c r="D1747" s="12"/>
      <c r="E1747" s="128"/>
      <c r="F1747" s="12"/>
      <c r="G1747" s="71"/>
      <c r="H1747" s="71"/>
      <c r="I1747" s="56"/>
      <c r="J1747" s="71"/>
      <c r="K1747" s="56"/>
      <c r="L1747" s="71"/>
      <c r="M1747" s="56"/>
      <c r="N1747" s="12"/>
      <c r="O1747" s="12"/>
      <c r="P1747" s="57"/>
      <c r="Q1747" s="228"/>
      <c r="R1747" s="228"/>
      <c r="S1747" s="58"/>
      <c r="T1747" s="58"/>
      <c r="U1747" s="58"/>
      <c r="V1747" s="59"/>
      <c r="W1747" s="60"/>
    </row>
    <row r="1748" spans="1:23" x14ac:dyDescent="0.35">
      <c r="A1748" s="61"/>
      <c r="B1748" s="55"/>
      <c r="C1748" s="70"/>
      <c r="D1748" s="12"/>
      <c r="E1748" s="128"/>
      <c r="F1748" s="12"/>
      <c r="G1748" s="71"/>
      <c r="H1748" s="71"/>
      <c r="I1748" s="56"/>
      <c r="J1748" s="71"/>
      <c r="K1748" s="56"/>
      <c r="L1748" s="71"/>
      <c r="M1748" s="56"/>
      <c r="N1748" s="12"/>
      <c r="O1748" s="12"/>
      <c r="P1748" s="57"/>
      <c r="Q1748" s="228"/>
      <c r="R1748" s="228"/>
      <c r="S1748" s="58"/>
      <c r="T1748" s="58"/>
      <c r="U1748" s="58"/>
      <c r="V1748" s="59"/>
      <c r="W1748" s="60"/>
    </row>
    <row r="1749" spans="1:23" x14ac:dyDescent="0.35">
      <c r="A1749" s="61"/>
      <c r="B1749" s="55"/>
      <c r="C1749" s="70"/>
      <c r="D1749" s="12"/>
      <c r="E1749" s="128"/>
      <c r="F1749" s="12"/>
      <c r="G1749" s="71"/>
      <c r="H1749" s="71"/>
      <c r="I1749" s="56"/>
      <c r="J1749" s="71"/>
      <c r="K1749" s="56"/>
      <c r="L1749" s="71"/>
      <c r="M1749" s="56"/>
      <c r="N1749" s="12"/>
      <c r="O1749" s="12"/>
      <c r="P1749" s="57"/>
      <c r="Q1749" s="228"/>
      <c r="R1749" s="228"/>
      <c r="S1749" s="58"/>
      <c r="T1749" s="58"/>
      <c r="U1749" s="58"/>
      <c r="V1749" s="59"/>
      <c r="W1749" s="60"/>
    </row>
    <row r="1750" spans="1:23" x14ac:dyDescent="0.35">
      <c r="A1750" s="61"/>
      <c r="B1750" s="55"/>
      <c r="C1750" s="70"/>
      <c r="D1750" s="12"/>
      <c r="E1750" s="128"/>
      <c r="F1750" s="12"/>
      <c r="G1750" s="71"/>
      <c r="H1750" s="71"/>
      <c r="I1750" s="56"/>
      <c r="J1750" s="71"/>
      <c r="K1750" s="56"/>
      <c r="L1750" s="71"/>
      <c r="M1750" s="56"/>
      <c r="N1750" s="12"/>
      <c r="O1750" s="12"/>
      <c r="P1750" s="57"/>
      <c r="Q1750" s="228"/>
      <c r="R1750" s="228"/>
      <c r="S1750" s="58"/>
      <c r="T1750" s="58"/>
      <c r="U1750" s="58"/>
      <c r="V1750" s="59"/>
      <c r="W1750" s="60"/>
    </row>
    <row r="1751" spans="1:23" x14ac:dyDescent="0.35">
      <c r="A1751" s="61"/>
      <c r="B1751" s="55"/>
      <c r="C1751" s="70"/>
      <c r="D1751" s="12"/>
      <c r="E1751" s="128"/>
      <c r="F1751" s="12"/>
      <c r="G1751" s="71"/>
      <c r="H1751" s="71"/>
      <c r="I1751" s="56"/>
      <c r="J1751" s="71"/>
      <c r="K1751" s="56"/>
      <c r="L1751" s="71"/>
      <c r="M1751" s="56"/>
      <c r="N1751" s="12"/>
      <c r="O1751" s="12"/>
      <c r="P1751" s="57"/>
      <c r="Q1751" s="228"/>
      <c r="R1751" s="228"/>
      <c r="S1751" s="58"/>
      <c r="T1751" s="58"/>
      <c r="U1751" s="58"/>
      <c r="V1751" s="59"/>
      <c r="W1751" s="60"/>
    </row>
    <row r="1752" spans="1:23" x14ac:dyDescent="0.35">
      <c r="A1752" s="61"/>
      <c r="B1752" s="55"/>
      <c r="C1752" s="70"/>
      <c r="D1752" s="12"/>
      <c r="E1752" s="128"/>
      <c r="F1752" s="12"/>
      <c r="G1752" s="71"/>
      <c r="H1752" s="71"/>
      <c r="I1752" s="56"/>
      <c r="J1752" s="71"/>
      <c r="K1752" s="56"/>
      <c r="L1752" s="71"/>
      <c r="M1752" s="56"/>
      <c r="N1752" s="12"/>
      <c r="O1752" s="12"/>
      <c r="P1752" s="57"/>
      <c r="Q1752" s="228"/>
      <c r="R1752" s="228"/>
      <c r="S1752" s="58"/>
      <c r="T1752" s="58"/>
      <c r="U1752" s="58"/>
      <c r="V1752" s="59"/>
      <c r="W1752" s="60"/>
    </row>
    <row r="1753" spans="1:23" x14ac:dyDescent="0.35">
      <c r="A1753" s="61"/>
      <c r="B1753" s="55"/>
      <c r="C1753" s="70"/>
      <c r="D1753" s="12"/>
      <c r="E1753" s="128"/>
      <c r="F1753" s="12"/>
      <c r="G1753" s="71"/>
      <c r="H1753" s="71"/>
      <c r="I1753" s="56"/>
      <c r="J1753" s="71"/>
      <c r="K1753" s="56"/>
      <c r="L1753" s="71"/>
      <c r="M1753" s="56"/>
      <c r="N1753" s="12"/>
      <c r="O1753" s="12"/>
      <c r="P1753" s="57"/>
      <c r="Q1753" s="228"/>
      <c r="R1753" s="228"/>
      <c r="S1753" s="58"/>
      <c r="T1753" s="58"/>
      <c r="U1753" s="58"/>
      <c r="V1753" s="59"/>
      <c r="W1753" s="60"/>
    </row>
    <row r="1754" spans="1:23" x14ac:dyDescent="0.35">
      <c r="A1754" s="61"/>
      <c r="B1754" s="55"/>
      <c r="C1754" s="70"/>
      <c r="D1754" s="12"/>
      <c r="E1754" s="128"/>
      <c r="F1754" s="12"/>
      <c r="G1754" s="71"/>
      <c r="H1754" s="71"/>
      <c r="I1754" s="56"/>
      <c r="J1754" s="71"/>
      <c r="K1754" s="56"/>
      <c r="L1754" s="71"/>
      <c r="M1754" s="56"/>
      <c r="N1754" s="12"/>
      <c r="O1754" s="12"/>
      <c r="P1754" s="57"/>
      <c r="Q1754" s="228"/>
      <c r="R1754" s="228"/>
      <c r="S1754" s="58"/>
      <c r="T1754" s="58"/>
      <c r="U1754" s="58"/>
      <c r="V1754" s="59"/>
      <c r="W1754" s="60"/>
    </row>
    <row r="1755" spans="1:23" x14ac:dyDescent="0.35">
      <c r="A1755" s="61"/>
      <c r="B1755" s="55"/>
      <c r="C1755" s="70"/>
      <c r="D1755" s="12"/>
      <c r="E1755" s="128"/>
      <c r="F1755" s="12"/>
      <c r="G1755" s="71"/>
      <c r="H1755" s="71"/>
      <c r="I1755" s="56"/>
      <c r="J1755" s="71"/>
      <c r="K1755" s="56"/>
      <c r="L1755" s="71"/>
      <c r="M1755" s="56"/>
      <c r="N1755" s="12"/>
      <c r="O1755" s="12"/>
      <c r="P1755" s="57"/>
      <c r="Q1755" s="228"/>
      <c r="R1755" s="228"/>
      <c r="S1755" s="58"/>
      <c r="T1755" s="58"/>
      <c r="U1755" s="58"/>
      <c r="V1755" s="59"/>
      <c r="W1755" s="60"/>
    </row>
    <row r="1756" spans="1:23" x14ac:dyDescent="0.35">
      <c r="A1756" s="61"/>
      <c r="B1756" s="55"/>
      <c r="C1756" s="70"/>
      <c r="D1756" s="12"/>
      <c r="E1756" s="128"/>
      <c r="F1756" s="12"/>
      <c r="G1756" s="71"/>
      <c r="H1756" s="71"/>
      <c r="I1756" s="56"/>
      <c r="J1756" s="71"/>
      <c r="K1756" s="56"/>
      <c r="L1756" s="71"/>
      <c r="M1756" s="56"/>
      <c r="N1756" s="12"/>
      <c r="O1756" s="12"/>
      <c r="P1756" s="57"/>
      <c r="Q1756" s="228"/>
      <c r="R1756" s="228"/>
      <c r="S1756" s="58"/>
      <c r="T1756" s="58"/>
      <c r="U1756" s="58"/>
      <c r="V1756" s="59"/>
      <c r="W1756" s="60"/>
    </row>
    <row r="1757" spans="1:23" x14ac:dyDescent="0.35">
      <c r="A1757" s="61"/>
      <c r="B1757" s="55"/>
      <c r="C1757" s="70"/>
      <c r="D1757" s="12"/>
      <c r="E1757" s="128"/>
      <c r="F1757" s="12"/>
      <c r="G1757" s="71"/>
      <c r="H1757" s="71"/>
      <c r="I1757" s="56"/>
      <c r="J1757" s="71"/>
      <c r="K1757" s="56"/>
      <c r="L1757" s="71"/>
      <c r="M1757" s="56"/>
      <c r="N1757" s="12"/>
      <c r="O1757" s="12"/>
      <c r="P1757" s="57"/>
      <c r="Q1757" s="228"/>
      <c r="R1757" s="228"/>
      <c r="S1757" s="58"/>
      <c r="T1757" s="58"/>
      <c r="U1757" s="58"/>
      <c r="V1757" s="59"/>
      <c r="W1757" s="60"/>
    </row>
    <row r="1758" spans="1:23" x14ac:dyDescent="0.35">
      <c r="A1758" s="61"/>
      <c r="B1758" s="55"/>
      <c r="C1758" s="70"/>
      <c r="D1758" s="12"/>
      <c r="E1758" s="128"/>
      <c r="F1758" s="12"/>
      <c r="G1758" s="71"/>
      <c r="H1758" s="71"/>
      <c r="I1758" s="56"/>
      <c r="J1758" s="71"/>
      <c r="K1758" s="56"/>
      <c r="L1758" s="71"/>
      <c r="M1758" s="56"/>
      <c r="N1758" s="12"/>
      <c r="O1758" s="12"/>
      <c r="P1758" s="57"/>
      <c r="Q1758" s="228"/>
      <c r="R1758" s="228"/>
      <c r="S1758" s="58"/>
      <c r="T1758" s="58"/>
      <c r="U1758" s="58"/>
      <c r="V1758" s="59"/>
      <c r="W1758" s="60"/>
    </row>
  </sheetData>
  <autoFilter ref="B4:W1726" xr:uid="{00000000-0009-0000-0000-000002000000}"/>
  <mergeCells count="14">
    <mergeCell ref="B1:W1"/>
    <mergeCell ref="C2:C3"/>
    <mergeCell ref="G2:G3"/>
    <mergeCell ref="H2:H3"/>
    <mergeCell ref="J2:J3"/>
    <mergeCell ref="L2:L3"/>
    <mergeCell ref="I2:I3"/>
    <mergeCell ref="K2:K3"/>
    <mergeCell ref="M2:M3"/>
    <mergeCell ref="P2:P3"/>
    <mergeCell ref="S2:S3"/>
    <mergeCell ref="W2:W3"/>
    <mergeCell ref="T2:T3"/>
    <mergeCell ref="U2:U3"/>
  </mergeCells>
  <conditionalFormatting sqref="S5:U1758">
    <cfRule type="cellIs" dxfId="23" priority="70" stopIfTrue="1" operator="lessThan">
      <formula>#REF!</formula>
    </cfRule>
    <cfRule type="cellIs" dxfId="22" priority="71" stopIfTrue="1" operator="greaterThanOrEqual">
      <formula>#REF!</formula>
    </cfRule>
  </conditionalFormatting>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O703"/>
  <sheetViews>
    <sheetView zoomScale="80" zoomScaleNormal="80" workbookViewId="0">
      <pane xSplit="4" ySplit="4" topLeftCell="E5" activePane="bottomRight" state="frozen"/>
      <selection pane="topRight" activeCell="E1" sqref="E1"/>
      <selection pane="bottomLeft" activeCell="A5" sqref="A5"/>
      <selection pane="bottomRight" activeCell="L5" sqref="C5:L7"/>
    </sheetView>
  </sheetViews>
  <sheetFormatPr baseColWidth="10" defaultColWidth="11.453125" defaultRowHeight="14.5" x14ac:dyDescent="0.35"/>
  <cols>
    <col min="1" max="1" width="5.08984375" customWidth="1"/>
    <col min="2" max="2" width="5.54296875" bestFit="1" customWidth="1"/>
    <col min="3" max="3" width="15.1796875" bestFit="1" customWidth="1"/>
    <col min="4" max="4" width="21.81640625" customWidth="1"/>
    <col min="5" max="5" width="59.90625" customWidth="1"/>
    <col min="6" max="6" width="31.1796875" customWidth="1"/>
    <col min="7" max="7" width="17.1796875" customWidth="1"/>
    <col min="8" max="8" width="31.1796875" customWidth="1"/>
    <col min="9" max="9" width="11.36328125" customWidth="1"/>
    <col min="10" max="10" width="20.36328125" customWidth="1"/>
    <col min="11" max="11" width="15.08984375" customWidth="1"/>
    <col min="12" max="12" width="21.26953125" customWidth="1"/>
    <col min="13" max="13" width="13.81640625" customWidth="1"/>
  </cols>
  <sheetData>
    <row r="1" spans="2:15" ht="23.5" customHeight="1" x14ac:dyDescent="0.35">
      <c r="B1" s="233" t="s">
        <v>54</v>
      </c>
      <c r="C1" s="235"/>
      <c r="D1" s="235"/>
      <c r="E1" s="235"/>
      <c r="F1" s="235"/>
      <c r="G1" s="235"/>
      <c r="H1" s="235"/>
      <c r="I1" s="235"/>
      <c r="J1" s="235"/>
      <c r="K1" s="235"/>
      <c r="L1" s="235"/>
      <c r="M1" s="235"/>
    </row>
    <row r="2" spans="2:15" ht="14.5" customHeight="1" x14ac:dyDescent="0.35">
      <c r="C2" s="241" t="s">
        <v>74</v>
      </c>
      <c r="I2" s="263" t="s">
        <v>73</v>
      </c>
      <c r="J2" s="243" t="s">
        <v>72</v>
      </c>
      <c r="K2" s="243" t="s">
        <v>72</v>
      </c>
      <c r="L2" s="245" t="s">
        <v>76</v>
      </c>
    </row>
    <row r="3" spans="2:15" x14ac:dyDescent="0.35">
      <c r="C3" s="242"/>
      <c r="I3" s="264"/>
      <c r="J3" s="244"/>
      <c r="K3" s="244"/>
      <c r="L3" s="246"/>
    </row>
    <row r="4" spans="2:15" ht="43.5" customHeight="1" x14ac:dyDescent="0.35">
      <c r="B4" s="5" t="s">
        <v>33</v>
      </c>
      <c r="C4" s="5" t="s">
        <v>34</v>
      </c>
      <c r="D4" s="5" t="s">
        <v>35</v>
      </c>
      <c r="E4" s="5" t="s">
        <v>45</v>
      </c>
      <c r="F4" s="5" t="s">
        <v>228</v>
      </c>
      <c r="G4" s="5" t="s">
        <v>234</v>
      </c>
      <c r="H4" s="5" t="s">
        <v>227</v>
      </c>
      <c r="I4" s="5" t="s">
        <v>55</v>
      </c>
      <c r="J4" s="5" t="s">
        <v>56</v>
      </c>
      <c r="K4" s="5" t="s">
        <v>57</v>
      </c>
      <c r="L4" s="5" t="s">
        <v>58</v>
      </c>
      <c r="M4" s="5" t="s">
        <v>59</v>
      </c>
    </row>
    <row r="5" spans="2:15" ht="25" customHeight="1" x14ac:dyDescent="0.35">
      <c r="B5" s="10">
        <v>1</v>
      </c>
      <c r="C5" s="274" t="s">
        <v>822</v>
      </c>
      <c r="D5" s="285">
        <v>134118</v>
      </c>
      <c r="E5" s="285" t="s">
        <v>823</v>
      </c>
      <c r="F5" s="285" t="s">
        <v>836</v>
      </c>
      <c r="G5" s="285"/>
      <c r="H5" s="285"/>
      <c r="I5" s="285" t="s">
        <v>846</v>
      </c>
      <c r="J5" s="286">
        <v>46241</v>
      </c>
      <c r="K5" s="286">
        <v>46261</v>
      </c>
      <c r="L5" s="33">
        <f t="shared" ref="L5" si="0">IF(OR(J5="", K5=""), "", NETWORKDAYS(J5,K5))</f>
        <v>15</v>
      </c>
      <c r="M5" s="13">
        <f t="shared" ref="M5" si="1">IF(I5="SEA", 10, IF(I5="AIR", 5, ""))</f>
        <v>10</v>
      </c>
    </row>
    <row r="6" spans="2:15" ht="25" customHeight="1" x14ac:dyDescent="0.35">
      <c r="B6" s="10">
        <v>2</v>
      </c>
      <c r="C6" s="274" t="s">
        <v>822</v>
      </c>
      <c r="D6" s="285">
        <v>134287</v>
      </c>
      <c r="E6" s="285" t="s">
        <v>824</v>
      </c>
      <c r="F6" s="285" t="s">
        <v>837</v>
      </c>
      <c r="G6" s="285"/>
      <c r="H6" s="285"/>
      <c r="I6" s="285" t="s">
        <v>845</v>
      </c>
      <c r="J6" s="286">
        <v>46233</v>
      </c>
      <c r="K6" s="286">
        <v>46252</v>
      </c>
      <c r="L6" s="33">
        <f t="shared" ref="L6:L65" si="2">IF(OR(J6="", K6=""), "", NETWORKDAYS(J6,K6))</f>
        <v>14</v>
      </c>
      <c r="M6" s="13">
        <f t="shared" ref="M6:M65" si="3">IF(I6="SEA", 10, IF(I6="AIR", 5, ""))</f>
        <v>5</v>
      </c>
    </row>
    <row r="7" spans="2:15" ht="25" customHeight="1" x14ac:dyDescent="0.35">
      <c r="B7" s="10">
        <v>3</v>
      </c>
      <c r="C7" s="274" t="s">
        <v>822</v>
      </c>
      <c r="D7" s="285">
        <v>1333222</v>
      </c>
      <c r="E7" s="285" t="s">
        <v>825</v>
      </c>
      <c r="F7" s="285" t="s">
        <v>838</v>
      </c>
      <c r="G7" s="285"/>
      <c r="H7" s="285"/>
      <c r="I7" s="285" t="s">
        <v>846</v>
      </c>
      <c r="J7" s="286">
        <v>46248</v>
      </c>
      <c r="K7" s="286">
        <v>46265</v>
      </c>
      <c r="L7" s="33">
        <f t="shared" si="2"/>
        <v>12</v>
      </c>
      <c r="M7" s="13">
        <f t="shared" si="3"/>
        <v>10</v>
      </c>
    </row>
    <row r="8" spans="2:15" x14ac:dyDescent="0.35">
      <c r="B8" s="10">
        <v>4</v>
      </c>
      <c r="C8" s="274" t="s">
        <v>822</v>
      </c>
      <c r="D8" s="285">
        <v>134142</v>
      </c>
      <c r="E8" s="285" t="s">
        <v>826</v>
      </c>
      <c r="F8" s="285" t="s">
        <v>839</v>
      </c>
      <c r="G8" s="285"/>
      <c r="H8" s="285"/>
      <c r="I8" s="285" t="s">
        <v>845</v>
      </c>
      <c r="J8" s="286">
        <v>46245</v>
      </c>
      <c r="K8" s="286">
        <v>46252</v>
      </c>
      <c r="L8" s="33">
        <f t="shared" si="2"/>
        <v>6</v>
      </c>
      <c r="M8" s="13">
        <f t="shared" si="3"/>
        <v>5</v>
      </c>
      <c r="O8" s="6"/>
    </row>
    <row r="9" spans="2:15" ht="25" customHeight="1" x14ac:dyDescent="0.35">
      <c r="B9" s="10">
        <v>5</v>
      </c>
      <c r="C9" s="274" t="s">
        <v>822</v>
      </c>
      <c r="D9" s="285">
        <v>134610</v>
      </c>
      <c r="E9" s="285" t="s">
        <v>827</v>
      </c>
      <c r="F9" s="285" t="s">
        <v>840</v>
      </c>
      <c r="G9" s="285"/>
      <c r="H9" s="285"/>
      <c r="I9" s="285" t="s">
        <v>845</v>
      </c>
      <c r="J9" s="286">
        <v>46245</v>
      </c>
      <c r="K9" s="286">
        <v>46248</v>
      </c>
      <c r="L9" s="33">
        <f t="shared" si="2"/>
        <v>4</v>
      </c>
      <c r="M9" s="13">
        <f t="shared" si="3"/>
        <v>5</v>
      </c>
    </row>
    <row r="10" spans="2:15" ht="25" customHeight="1" x14ac:dyDescent="0.35">
      <c r="B10" s="10">
        <v>7</v>
      </c>
      <c r="C10" s="274" t="s">
        <v>822</v>
      </c>
      <c r="D10" s="285">
        <v>134379</v>
      </c>
      <c r="E10" s="285" t="s">
        <v>828</v>
      </c>
      <c r="F10" s="285" t="s">
        <v>841</v>
      </c>
      <c r="G10" s="285"/>
      <c r="H10" s="285"/>
      <c r="I10" s="285" t="s">
        <v>845</v>
      </c>
      <c r="J10" s="286">
        <v>46245</v>
      </c>
      <c r="K10" s="286">
        <v>46248</v>
      </c>
      <c r="L10" s="33">
        <f t="shared" si="2"/>
        <v>4</v>
      </c>
      <c r="M10" s="13">
        <f t="shared" si="3"/>
        <v>5</v>
      </c>
    </row>
    <row r="11" spans="2:15" x14ac:dyDescent="0.35">
      <c r="B11" s="10">
        <v>8</v>
      </c>
      <c r="C11" s="274" t="s">
        <v>822</v>
      </c>
      <c r="D11" s="285">
        <v>135045</v>
      </c>
      <c r="E11" s="285" t="s">
        <v>829</v>
      </c>
      <c r="F11" s="285" t="s">
        <v>842</v>
      </c>
      <c r="G11" s="285"/>
      <c r="H11" s="285"/>
      <c r="I11" s="285" t="s">
        <v>845</v>
      </c>
      <c r="J11" s="286">
        <v>46248</v>
      </c>
      <c r="K11" s="286">
        <v>46259</v>
      </c>
      <c r="L11" s="33">
        <f t="shared" si="2"/>
        <v>8</v>
      </c>
      <c r="M11" s="13">
        <f t="shared" si="3"/>
        <v>5</v>
      </c>
    </row>
    <row r="12" spans="2:15" x14ac:dyDescent="0.35">
      <c r="B12" s="10">
        <v>9</v>
      </c>
      <c r="C12" s="274" t="s">
        <v>822</v>
      </c>
      <c r="D12" s="285">
        <v>136002</v>
      </c>
      <c r="E12" s="285" t="s">
        <v>830</v>
      </c>
      <c r="F12" s="285" t="s">
        <v>841</v>
      </c>
      <c r="G12" s="285"/>
      <c r="H12" s="285"/>
      <c r="I12" s="285" t="s">
        <v>845</v>
      </c>
      <c r="J12" s="286">
        <v>46248</v>
      </c>
      <c r="K12" s="286">
        <v>46254</v>
      </c>
      <c r="L12" s="33">
        <f t="shared" si="2"/>
        <v>5</v>
      </c>
      <c r="M12" s="13">
        <f t="shared" si="3"/>
        <v>5</v>
      </c>
    </row>
    <row r="13" spans="2:15" ht="25" customHeight="1" x14ac:dyDescent="0.35">
      <c r="B13" s="10">
        <v>12</v>
      </c>
      <c r="C13" s="274" t="s">
        <v>822</v>
      </c>
      <c r="D13" s="285">
        <v>135080</v>
      </c>
      <c r="E13" s="285" t="s">
        <v>831</v>
      </c>
      <c r="F13" s="285" t="s">
        <v>840</v>
      </c>
      <c r="G13" s="285"/>
      <c r="H13" s="285"/>
      <c r="I13" s="285" t="s">
        <v>845</v>
      </c>
      <c r="J13" s="286">
        <v>46258</v>
      </c>
      <c r="K13" s="286">
        <v>46262</v>
      </c>
      <c r="L13" s="33">
        <f t="shared" si="2"/>
        <v>5</v>
      </c>
      <c r="M13" s="13">
        <f t="shared" si="3"/>
        <v>5</v>
      </c>
    </row>
    <row r="14" spans="2:15" x14ac:dyDescent="0.35">
      <c r="B14" s="10">
        <v>13</v>
      </c>
      <c r="C14" s="274" t="s">
        <v>822</v>
      </c>
      <c r="D14" s="285">
        <v>135180</v>
      </c>
      <c r="E14" s="285" t="s">
        <v>832</v>
      </c>
      <c r="F14" s="285" t="s">
        <v>843</v>
      </c>
      <c r="G14" s="285"/>
      <c r="H14" s="285"/>
      <c r="I14" s="285" t="s">
        <v>846</v>
      </c>
      <c r="J14" s="286">
        <v>46258</v>
      </c>
      <c r="K14" s="286">
        <v>46279</v>
      </c>
      <c r="L14" s="33">
        <f t="shared" si="2"/>
        <v>16</v>
      </c>
      <c r="M14" s="13">
        <f t="shared" si="3"/>
        <v>10</v>
      </c>
    </row>
    <row r="15" spans="2:15" x14ac:dyDescent="0.35">
      <c r="B15" s="10">
        <v>14</v>
      </c>
      <c r="C15" s="274" t="s">
        <v>822</v>
      </c>
      <c r="D15" s="285">
        <v>134378</v>
      </c>
      <c r="E15" s="285" t="s">
        <v>833</v>
      </c>
      <c r="F15" s="285" t="s">
        <v>841</v>
      </c>
      <c r="G15" s="285"/>
      <c r="H15" s="285"/>
      <c r="I15" s="285" t="s">
        <v>845</v>
      </c>
      <c r="J15" s="286">
        <v>46256</v>
      </c>
      <c r="K15" s="286">
        <v>46259</v>
      </c>
      <c r="L15" s="33">
        <f t="shared" si="2"/>
        <v>2</v>
      </c>
      <c r="M15" s="13">
        <f t="shared" si="3"/>
        <v>5</v>
      </c>
    </row>
    <row r="16" spans="2:15" x14ac:dyDescent="0.35">
      <c r="B16" s="10">
        <v>15</v>
      </c>
      <c r="C16" s="274" t="s">
        <v>822</v>
      </c>
      <c r="D16" s="285">
        <v>136318</v>
      </c>
      <c r="E16" s="285" t="s">
        <v>834</v>
      </c>
      <c r="F16" s="285" t="s">
        <v>841</v>
      </c>
      <c r="G16" s="285"/>
      <c r="H16" s="285"/>
      <c r="I16" s="285" t="s">
        <v>845</v>
      </c>
      <c r="J16" s="286">
        <v>46265</v>
      </c>
      <c r="K16" s="286">
        <v>46259</v>
      </c>
      <c r="L16" s="33">
        <f t="shared" si="2"/>
        <v>-5</v>
      </c>
      <c r="M16" s="13">
        <f t="shared" si="3"/>
        <v>5</v>
      </c>
    </row>
    <row r="17" spans="2:13" x14ac:dyDescent="0.35">
      <c r="B17" s="10">
        <v>16</v>
      </c>
      <c r="C17" s="274" t="s">
        <v>822</v>
      </c>
      <c r="D17" s="285">
        <v>134616</v>
      </c>
      <c r="E17" s="285" t="s">
        <v>835</v>
      </c>
      <c r="F17" s="285" t="s">
        <v>844</v>
      </c>
      <c r="G17" s="285"/>
      <c r="H17" s="285"/>
      <c r="I17" s="285" t="s">
        <v>845</v>
      </c>
      <c r="J17" s="286">
        <v>46262</v>
      </c>
      <c r="K17" s="286">
        <v>46273</v>
      </c>
      <c r="L17" s="33">
        <f t="shared" si="2"/>
        <v>8</v>
      </c>
      <c r="M17" s="13">
        <f t="shared" si="3"/>
        <v>5</v>
      </c>
    </row>
    <row r="18" spans="2:13" x14ac:dyDescent="0.35">
      <c r="B18" s="10">
        <v>17</v>
      </c>
      <c r="C18" s="10"/>
      <c r="D18" s="120"/>
      <c r="E18" s="34"/>
      <c r="F18" s="43"/>
      <c r="G18" s="43"/>
      <c r="H18" s="12"/>
      <c r="I18" s="43"/>
      <c r="J18" s="118"/>
      <c r="K18" s="118"/>
      <c r="L18" s="33" t="str">
        <f t="shared" si="2"/>
        <v/>
      </c>
      <c r="M18" s="13" t="str">
        <f t="shared" si="3"/>
        <v/>
      </c>
    </row>
    <row r="19" spans="2:13" x14ac:dyDescent="0.35">
      <c r="B19" s="10">
        <v>18</v>
      </c>
      <c r="C19" s="10"/>
      <c r="D19" s="120"/>
      <c r="E19" s="34"/>
      <c r="F19" s="43"/>
      <c r="G19" s="43"/>
      <c r="H19" s="12"/>
      <c r="I19" s="43"/>
      <c r="J19" s="118"/>
      <c r="K19" s="118"/>
      <c r="L19" s="33" t="str">
        <f t="shared" si="2"/>
        <v/>
      </c>
      <c r="M19" s="13" t="str">
        <f t="shared" si="3"/>
        <v/>
      </c>
    </row>
    <row r="20" spans="2:13" ht="24.5" customHeight="1" x14ac:dyDescent="0.35">
      <c r="B20" s="10">
        <v>19</v>
      </c>
      <c r="C20" s="10"/>
      <c r="D20" s="275"/>
      <c r="E20" s="276"/>
      <c r="F20" s="277"/>
      <c r="G20" s="277"/>
      <c r="H20" s="12"/>
      <c r="I20" s="43"/>
      <c r="J20" s="118"/>
      <c r="K20" s="118"/>
      <c r="L20" s="33" t="str">
        <f t="shared" si="2"/>
        <v/>
      </c>
      <c r="M20" s="13" t="str">
        <f t="shared" si="3"/>
        <v/>
      </c>
    </row>
    <row r="21" spans="2:13" ht="24.5" customHeight="1" x14ac:dyDescent="0.35">
      <c r="B21" s="10">
        <v>20</v>
      </c>
      <c r="C21" s="10"/>
      <c r="D21" s="120"/>
      <c r="E21" s="34"/>
      <c r="F21" s="277"/>
      <c r="G21" s="277"/>
      <c r="H21" s="12"/>
      <c r="I21" s="43"/>
      <c r="J21" s="118"/>
      <c r="K21" s="118"/>
      <c r="L21" s="33" t="str">
        <f t="shared" si="2"/>
        <v/>
      </c>
      <c r="M21" s="13" t="str">
        <f t="shared" si="3"/>
        <v/>
      </c>
    </row>
    <row r="22" spans="2:13" x14ac:dyDescent="0.35">
      <c r="B22" s="10">
        <v>21</v>
      </c>
      <c r="C22" s="10"/>
      <c r="D22" s="275"/>
      <c r="E22" s="276"/>
      <c r="F22" s="34"/>
      <c r="G22" s="34"/>
      <c r="H22" s="12"/>
      <c r="I22" s="43"/>
      <c r="J22" s="118"/>
      <c r="K22" s="118"/>
      <c r="L22" s="33" t="str">
        <f t="shared" si="2"/>
        <v/>
      </c>
      <c r="M22" s="13" t="str">
        <f t="shared" si="3"/>
        <v/>
      </c>
    </row>
    <row r="23" spans="2:13" x14ac:dyDescent="0.35">
      <c r="B23" s="10">
        <v>22</v>
      </c>
      <c r="C23" s="10"/>
      <c r="D23" s="275"/>
      <c r="E23" s="276"/>
      <c r="F23" s="34"/>
      <c r="G23" s="34"/>
      <c r="H23" s="12"/>
      <c r="I23" s="43"/>
      <c r="J23" s="118"/>
      <c r="K23" s="118"/>
      <c r="L23" s="33" t="str">
        <f t="shared" si="2"/>
        <v/>
      </c>
      <c r="M23" s="13" t="str">
        <f t="shared" si="3"/>
        <v/>
      </c>
    </row>
    <row r="24" spans="2:13" s="49" customFormat="1" ht="24" customHeight="1" x14ac:dyDescent="0.35">
      <c r="B24" s="10">
        <v>23</v>
      </c>
      <c r="C24" s="10"/>
      <c r="D24" s="278"/>
      <c r="E24" s="279"/>
      <c r="F24" s="280"/>
      <c r="G24" s="280"/>
      <c r="H24" s="12"/>
      <c r="I24" s="281"/>
      <c r="J24" s="282"/>
      <c r="K24" s="282"/>
      <c r="L24" s="33" t="str">
        <f t="shared" si="2"/>
        <v/>
      </c>
      <c r="M24" s="46" t="str">
        <f t="shared" si="3"/>
        <v/>
      </c>
    </row>
    <row r="25" spans="2:13" x14ac:dyDescent="0.35">
      <c r="B25" s="10">
        <v>24</v>
      </c>
      <c r="C25" s="10"/>
      <c r="D25" s="120"/>
      <c r="E25" s="283"/>
      <c r="F25" s="34"/>
      <c r="G25" s="34"/>
      <c r="H25" s="12"/>
      <c r="I25" s="43"/>
      <c r="J25" s="118"/>
      <c r="K25" s="118"/>
      <c r="L25" s="33" t="str">
        <f t="shared" si="2"/>
        <v/>
      </c>
      <c r="M25" s="13" t="str">
        <f t="shared" si="3"/>
        <v/>
      </c>
    </row>
    <row r="26" spans="2:13" x14ac:dyDescent="0.35">
      <c r="B26" s="10">
        <v>25</v>
      </c>
      <c r="C26" s="10"/>
      <c r="D26" s="275"/>
      <c r="E26" s="276"/>
      <c r="F26" s="34"/>
      <c r="G26" s="34"/>
      <c r="H26" s="12"/>
      <c r="I26" s="43"/>
      <c r="J26" s="118"/>
      <c r="K26" s="118"/>
      <c r="L26" s="33" t="str">
        <f t="shared" si="2"/>
        <v/>
      </c>
      <c r="M26" s="13" t="str">
        <f t="shared" si="3"/>
        <v/>
      </c>
    </row>
    <row r="27" spans="2:13" ht="26.5" customHeight="1" x14ac:dyDescent="0.35">
      <c r="B27" s="10">
        <v>26</v>
      </c>
      <c r="C27" s="10"/>
      <c r="D27" s="120"/>
      <c r="E27" s="284"/>
      <c r="F27" s="34"/>
      <c r="G27" s="34"/>
      <c r="H27" s="12"/>
      <c r="I27" s="43"/>
      <c r="J27" s="118"/>
      <c r="K27" s="118"/>
      <c r="L27" s="33" t="str">
        <f t="shared" si="2"/>
        <v/>
      </c>
      <c r="M27" s="13" t="str">
        <f t="shared" si="3"/>
        <v/>
      </c>
    </row>
    <row r="28" spans="2:13" x14ac:dyDescent="0.35">
      <c r="B28" s="10">
        <v>27</v>
      </c>
      <c r="C28" s="10"/>
      <c r="D28" s="120"/>
      <c r="E28" s="34"/>
      <c r="F28" s="43"/>
      <c r="G28" s="43"/>
      <c r="H28" s="12"/>
      <c r="I28" s="43"/>
      <c r="J28" s="118"/>
      <c r="K28" s="118"/>
      <c r="L28" s="33" t="str">
        <f t="shared" si="2"/>
        <v/>
      </c>
      <c r="M28" s="13" t="str">
        <f t="shared" si="3"/>
        <v/>
      </c>
    </row>
    <row r="29" spans="2:13" x14ac:dyDescent="0.35">
      <c r="B29" s="10">
        <v>28</v>
      </c>
      <c r="C29" s="10"/>
      <c r="D29" s="275"/>
      <c r="E29" s="276"/>
      <c r="F29" s="34"/>
      <c r="G29" s="34"/>
      <c r="H29" s="12"/>
      <c r="I29" s="43"/>
      <c r="J29" s="118"/>
      <c r="K29" s="118"/>
      <c r="L29" s="33" t="str">
        <f t="shared" si="2"/>
        <v/>
      </c>
      <c r="M29" s="13" t="str">
        <f t="shared" si="3"/>
        <v/>
      </c>
    </row>
    <row r="30" spans="2:13" x14ac:dyDescent="0.35">
      <c r="B30" s="10">
        <v>29</v>
      </c>
      <c r="C30" s="10"/>
      <c r="D30" s="275"/>
      <c r="E30" s="283"/>
      <c r="F30" s="43"/>
      <c r="G30" s="43"/>
      <c r="H30" s="12"/>
      <c r="I30" s="43"/>
      <c r="J30" s="118"/>
      <c r="K30" s="118"/>
      <c r="L30" s="33" t="str">
        <f t="shared" si="2"/>
        <v/>
      </c>
      <c r="M30" s="13" t="str">
        <f t="shared" si="3"/>
        <v/>
      </c>
    </row>
    <row r="31" spans="2:13" x14ac:dyDescent="0.35">
      <c r="B31" s="10">
        <v>30</v>
      </c>
      <c r="C31" s="10"/>
      <c r="D31" s="120"/>
      <c r="E31" s="283"/>
      <c r="F31" s="43"/>
      <c r="G31" s="43"/>
      <c r="H31" s="12"/>
      <c r="I31" s="43"/>
      <c r="J31" s="118"/>
      <c r="K31" s="118"/>
      <c r="L31" s="33" t="str">
        <f t="shared" si="2"/>
        <v/>
      </c>
      <c r="M31" s="13" t="str">
        <f t="shared" si="3"/>
        <v/>
      </c>
    </row>
    <row r="32" spans="2:13" s="47" customFormat="1" ht="24" customHeight="1" x14ac:dyDescent="0.35">
      <c r="B32" s="45">
        <v>31</v>
      </c>
      <c r="C32" s="10"/>
      <c r="D32" s="123"/>
      <c r="E32" s="124"/>
      <c r="F32" s="48"/>
      <c r="G32" s="48"/>
      <c r="H32" s="12"/>
      <c r="I32" s="119"/>
      <c r="J32" s="125"/>
      <c r="K32" s="125"/>
      <c r="L32" s="33" t="str">
        <f t="shared" si="2"/>
        <v/>
      </c>
      <c r="M32" s="46" t="str">
        <f t="shared" si="3"/>
        <v/>
      </c>
    </row>
    <row r="33" spans="2:13" x14ac:dyDescent="0.35">
      <c r="B33" s="10">
        <v>32</v>
      </c>
      <c r="C33" s="10"/>
      <c r="D33" s="122"/>
      <c r="E33" s="41"/>
      <c r="F33" s="36"/>
      <c r="G33" s="36"/>
      <c r="H33" s="12"/>
      <c r="I33" s="36"/>
      <c r="J33" s="117"/>
      <c r="K33" s="117"/>
      <c r="L33" s="33" t="str">
        <f t="shared" si="2"/>
        <v/>
      </c>
      <c r="M33" s="13" t="str">
        <f t="shared" si="3"/>
        <v/>
      </c>
    </row>
    <row r="34" spans="2:13" x14ac:dyDescent="0.35">
      <c r="B34" s="10">
        <v>33</v>
      </c>
      <c r="C34" s="10"/>
      <c r="D34" s="121"/>
      <c r="E34" s="126"/>
      <c r="F34" s="36"/>
      <c r="G34" s="36"/>
      <c r="H34" s="12"/>
      <c r="I34" s="36"/>
      <c r="J34" s="117"/>
      <c r="K34" s="117"/>
      <c r="L34" s="33" t="str">
        <f t="shared" si="2"/>
        <v/>
      </c>
      <c r="M34" s="13" t="str">
        <f t="shared" si="3"/>
        <v/>
      </c>
    </row>
    <row r="35" spans="2:13" x14ac:dyDescent="0.35">
      <c r="B35" s="10">
        <v>34</v>
      </c>
      <c r="C35" s="10"/>
      <c r="D35" s="121"/>
      <c r="E35" s="121"/>
      <c r="F35" s="39"/>
      <c r="G35" s="232"/>
      <c r="H35" s="12"/>
      <c r="I35" s="119"/>
      <c r="J35" s="116"/>
      <c r="K35" s="117"/>
      <c r="L35" s="33" t="str">
        <f t="shared" si="2"/>
        <v/>
      </c>
      <c r="M35" s="13" t="str">
        <f t="shared" si="3"/>
        <v/>
      </c>
    </row>
    <row r="36" spans="2:13" x14ac:dyDescent="0.35">
      <c r="B36" s="10">
        <v>35</v>
      </c>
      <c r="C36" s="10"/>
      <c r="D36" s="121"/>
      <c r="E36" s="121"/>
      <c r="F36" s="39"/>
      <c r="G36" s="232"/>
      <c r="H36" s="12"/>
      <c r="I36" s="119"/>
      <c r="J36" s="116"/>
      <c r="K36" s="117"/>
      <c r="L36" s="33" t="str">
        <f t="shared" si="2"/>
        <v/>
      </c>
      <c r="M36" s="13" t="str">
        <f t="shared" si="3"/>
        <v/>
      </c>
    </row>
    <row r="37" spans="2:13" ht="25" customHeight="1" x14ac:dyDescent="0.35">
      <c r="B37" s="10">
        <v>36</v>
      </c>
      <c r="C37" s="10"/>
      <c r="D37" s="121"/>
      <c r="E37" s="39"/>
      <c r="F37" s="39"/>
      <c r="G37" s="232"/>
      <c r="H37" s="12"/>
      <c r="I37" s="119"/>
      <c r="J37" s="116"/>
      <c r="K37" s="117"/>
      <c r="L37" s="33" t="str">
        <f t="shared" si="2"/>
        <v/>
      </c>
      <c r="M37" s="13" t="str">
        <f t="shared" si="3"/>
        <v/>
      </c>
    </row>
    <row r="38" spans="2:13" x14ac:dyDescent="0.35">
      <c r="B38" s="10">
        <v>39</v>
      </c>
      <c r="C38" s="121"/>
      <c r="D38" s="121"/>
      <c r="E38" s="121"/>
      <c r="F38" s="121"/>
      <c r="G38" s="121"/>
      <c r="H38" s="12"/>
      <c r="I38" s="121"/>
      <c r="J38" s="127"/>
      <c r="K38" s="127"/>
      <c r="L38" s="33" t="str">
        <f t="shared" si="2"/>
        <v/>
      </c>
      <c r="M38" s="13" t="str">
        <f t="shared" si="3"/>
        <v/>
      </c>
    </row>
    <row r="39" spans="2:13" x14ac:dyDescent="0.35">
      <c r="B39" s="10">
        <v>40</v>
      </c>
      <c r="C39" s="121"/>
      <c r="D39" s="121"/>
      <c r="E39" s="121"/>
      <c r="F39" s="121"/>
      <c r="G39" s="121"/>
      <c r="H39" s="12"/>
      <c r="I39" s="121"/>
      <c r="J39" s="127"/>
      <c r="K39" s="127"/>
      <c r="L39" s="33" t="str">
        <f t="shared" si="2"/>
        <v/>
      </c>
      <c r="M39" s="13" t="str">
        <f t="shared" si="3"/>
        <v/>
      </c>
    </row>
    <row r="40" spans="2:13" x14ac:dyDescent="0.35">
      <c r="B40" s="10">
        <v>41</v>
      </c>
      <c r="C40" s="121"/>
      <c r="D40" s="121"/>
      <c r="E40" s="121"/>
      <c r="F40" s="121"/>
      <c r="G40" s="121"/>
      <c r="H40" s="12"/>
      <c r="I40" s="121"/>
      <c r="J40" s="127"/>
      <c r="K40" s="127"/>
      <c r="L40" s="33" t="str">
        <f t="shared" si="2"/>
        <v/>
      </c>
      <c r="M40" s="13" t="str">
        <f t="shared" si="3"/>
        <v/>
      </c>
    </row>
    <row r="41" spans="2:13" x14ac:dyDescent="0.35">
      <c r="B41" s="10">
        <v>42</v>
      </c>
      <c r="C41" s="121"/>
      <c r="D41" s="121"/>
      <c r="E41" s="121"/>
      <c r="F41" s="121"/>
      <c r="G41" s="121"/>
      <c r="H41" s="12"/>
      <c r="I41" s="121"/>
      <c r="J41" s="127"/>
      <c r="K41" s="127"/>
      <c r="L41" s="33" t="str">
        <f t="shared" si="2"/>
        <v/>
      </c>
      <c r="M41" s="13" t="str">
        <f t="shared" si="3"/>
        <v/>
      </c>
    </row>
    <row r="42" spans="2:13" x14ac:dyDescent="0.35">
      <c r="B42" s="10">
        <v>43</v>
      </c>
      <c r="C42" s="121"/>
      <c r="D42" s="121"/>
      <c r="E42" s="121"/>
      <c r="F42" s="121"/>
      <c r="G42" s="121"/>
      <c r="H42" s="12"/>
      <c r="I42" s="121"/>
      <c r="J42" s="127"/>
      <c r="K42" s="127"/>
      <c r="L42" s="33" t="str">
        <f t="shared" si="2"/>
        <v/>
      </c>
      <c r="M42" s="13" t="str">
        <f t="shared" si="3"/>
        <v/>
      </c>
    </row>
    <row r="43" spans="2:13" x14ac:dyDescent="0.35">
      <c r="B43" s="10">
        <v>44</v>
      </c>
      <c r="C43" s="121"/>
      <c r="D43" s="121"/>
      <c r="E43" s="121"/>
      <c r="F43" s="121"/>
      <c r="G43" s="121"/>
      <c r="H43" s="12"/>
      <c r="I43" s="121"/>
      <c r="J43" s="127"/>
      <c r="K43" s="127"/>
      <c r="L43" s="33" t="str">
        <f t="shared" si="2"/>
        <v/>
      </c>
      <c r="M43" s="13" t="str">
        <f t="shared" si="3"/>
        <v/>
      </c>
    </row>
    <row r="44" spans="2:13" x14ac:dyDescent="0.35">
      <c r="B44" s="10">
        <v>45</v>
      </c>
      <c r="C44" s="121"/>
      <c r="D44" s="121"/>
      <c r="E44" s="121"/>
      <c r="F44" s="121"/>
      <c r="G44" s="121"/>
      <c r="H44" s="12"/>
      <c r="I44" s="121"/>
      <c r="J44" s="127"/>
      <c r="K44" s="127"/>
      <c r="L44" s="33" t="str">
        <f t="shared" si="2"/>
        <v/>
      </c>
      <c r="M44" s="13" t="str">
        <f t="shared" si="3"/>
        <v/>
      </c>
    </row>
    <row r="45" spans="2:13" x14ac:dyDescent="0.35">
      <c r="B45" s="10">
        <v>46</v>
      </c>
      <c r="C45" s="121"/>
      <c r="D45" s="121"/>
      <c r="E45" s="121"/>
      <c r="F45" s="121"/>
      <c r="G45" s="121"/>
      <c r="H45" s="12"/>
      <c r="I45" s="121"/>
      <c r="J45" s="127"/>
      <c r="K45" s="127"/>
      <c r="L45" s="33" t="str">
        <f t="shared" si="2"/>
        <v/>
      </c>
      <c r="M45" s="13" t="str">
        <f t="shared" si="3"/>
        <v/>
      </c>
    </row>
    <row r="46" spans="2:13" x14ac:dyDescent="0.35">
      <c r="B46" s="10">
        <v>47</v>
      </c>
      <c r="C46" s="121"/>
      <c r="D46" s="121"/>
      <c r="E46" s="121"/>
      <c r="F46" s="121"/>
      <c r="G46" s="121"/>
      <c r="H46" s="12"/>
      <c r="I46" s="121"/>
      <c r="J46" s="127"/>
      <c r="K46" s="127"/>
      <c r="L46" s="33" t="str">
        <f t="shared" si="2"/>
        <v/>
      </c>
      <c r="M46" s="13" t="str">
        <f t="shared" si="3"/>
        <v/>
      </c>
    </row>
    <row r="47" spans="2:13" x14ac:dyDescent="0.35">
      <c r="B47" s="10">
        <v>48</v>
      </c>
      <c r="C47" s="121"/>
      <c r="D47" s="121"/>
      <c r="E47" s="121"/>
      <c r="F47" s="121"/>
      <c r="G47" s="121"/>
      <c r="H47" s="12"/>
      <c r="I47" s="121"/>
      <c r="J47" s="127"/>
      <c r="K47" s="127"/>
      <c r="L47" s="33" t="str">
        <f t="shared" si="2"/>
        <v/>
      </c>
      <c r="M47" s="13" t="str">
        <f t="shared" si="3"/>
        <v/>
      </c>
    </row>
    <row r="48" spans="2:13" x14ac:dyDescent="0.35">
      <c r="B48" s="10">
        <v>49</v>
      </c>
      <c r="C48" s="121"/>
      <c r="D48" s="121"/>
      <c r="E48" s="121"/>
      <c r="F48" s="121"/>
      <c r="G48" s="121"/>
      <c r="H48" s="12"/>
      <c r="I48" s="121"/>
      <c r="J48" s="127"/>
      <c r="K48" s="127"/>
      <c r="L48" s="33" t="str">
        <f t="shared" si="2"/>
        <v/>
      </c>
      <c r="M48" s="13" t="str">
        <f t="shared" si="3"/>
        <v/>
      </c>
    </row>
    <row r="49" spans="2:13" x14ac:dyDescent="0.35">
      <c r="B49" s="10">
        <v>50</v>
      </c>
      <c r="C49" s="121"/>
      <c r="D49" s="121"/>
      <c r="E49" s="121"/>
      <c r="F49" s="121"/>
      <c r="G49" s="121"/>
      <c r="H49" s="12"/>
      <c r="I49" s="121"/>
      <c r="J49" s="127"/>
      <c r="K49" s="127"/>
      <c r="L49" s="33" t="str">
        <f t="shared" si="2"/>
        <v/>
      </c>
      <c r="M49" s="13" t="str">
        <f t="shared" si="3"/>
        <v/>
      </c>
    </row>
    <row r="50" spans="2:13" x14ac:dyDescent="0.35">
      <c r="B50" s="10">
        <v>51</v>
      </c>
      <c r="C50" s="121"/>
      <c r="D50" s="121"/>
      <c r="E50" s="121"/>
      <c r="F50" s="121"/>
      <c r="G50" s="121"/>
      <c r="H50" s="12"/>
      <c r="I50" s="121"/>
      <c r="J50" s="127"/>
      <c r="K50" s="127"/>
      <c r="L50" s="33" t="str">
        <f t="shared" si="2"/>
        <v/>
      </c>
      <c r="M50" s="13" t="str">
        <f t="shared" si="3"/>
        <v/>
      </c>
    </row>
    <row r="51" spans="2:13" x14ac:dyDescent="0.35">
      <c r="B51" s="10">
        <v>52</v>
      </c>
      <c r="C51" s="121"/>
      <c r="D51" s="121"/>
      <c r="E51" s="121"/>
      <c r="F51" s="121"/>
      <c r="G51" s="121"/>
      <c r="H51" s="12"/>
      <c r="I51" s="121"/>
      <c r="J51" s="127"/>
      <c r="K51" s="127"/>
      <c r="L51" s="33" t="str">
        <f t="shared" si="2"/>
        <v/>
      </c>
      <c r="M51" s="13" t="str">
        <f t="shared" si="3"/>
        <v/>
      </c>
    </row>
    <row r="52" spans="2:13" x14ac:dyDescent="0.35">
      <c r="B52" s="10">
        <v>53</v>
      </c>
      <c r="C52" s="121"/>
      <c r="D52" s="121"/>
      <c r="E52" s="121"/>
      <c r="F52" s="121"/>
      <c r="G52" s="121"/>
      <c r="H52" s="12"/>
      <c r="I52" s="121"/>
      <c r="J52" s="127"/>
      <c r="K52" s="127"/>
      <c r="L52" s="33" t="str">
        <f t="shared" si="2"/>
        <v/>
      </c>
      <c r="M52" s="13" t="str">
        <f t="shared" si="3"/>
        <v/>
      </c>
    </row>
    <row r="53" spans="2:13" x14ac:dyDescent="0.35">
      <c r="B53" s="10">
        <v>54</v>
      </c>
      <c r="C53" s="121"/>
      <c r="D53" s="121"/>
      <c r="E53" s="121"/>
      <c r="F53" s="121"/>
      <c r="G53" s="121"/>
      <c r="H53" s="12"/>
      <c r="I53" s="121"/>
      <c r="J53" s="127"/>
      <c r="K53" s="127"/>
      <c r="L53" s="33" t="str">
        <f t="shared" si="2"/>
        <v/>
      </c>
      <c r="M53" s="13" t="str">
        <f t="shared" si="3"/>
        <v/>
      </c>
    </row>
    <row r="54" spans="2:13" x14ac:dyDescent="0.35">
      <c r="B54" s="10">
        <v>55</v>
      </c>
      <c r="C54" s="121"/>
      <c r="D54" s="121"/>
      <c r="E54" s="121"/>
      <c r="F54" s="121"/>
      <c r="G54" s="121"/>
      <c r="H54" s="12"/>
      <c r="I54" s="121"/>
      <c r="J54" s="127"/>
      <c r="K54" s="127"/>
      <c r="L54" s="33" t="str">
        <f t="shared" si="2"/>
        <v/>
      </c>
      <c r="M54" s="13" t="str">
        <f t="shared" si="3"/>
        <v/>
      </c>
    </row>
    <row r="55" spans="2:13" x14ac:dyDescent="0.35">
      <c r="B55" s="10">
        <v>56</v>
      </c>
      <c r="C55" s="121"/>
      <c r="D55" s="121"/>
      <c r="E55" s="121"/>
      <c r="F55" s="121"/>
      <c r="G55" s="121"/>
      <c r="H55" s="12"/>
      <c r="I55" s="121"/>
      <c r="J55" s="127"/>
      <c r="K55" s="127"/>
      <c r="L55" s="33" t="str">
        <f t="shared" si="2"/>
        <v/>
      </c>
      <c r="M55" s="13" t="str">
        <f t="shared" si="3"/>
        <v/>
      </c>
    </row>
    <row r="56" spans="2:13" x14ac:dyDescent="0.35">
      <c r="B56" s="10">
        <v>57</v>
      </c>
      <c r="C56" s="121"/>
      <c r="D56" s="121"/>
      <c r="E56" s="121"/>
      <c r="F56" s="121"/>
      <c r="G56" s="121"/>
      <c r="H56" s="12"/>
      <c r="I56" s="121"/>
      <c r="J56" s="127"/>
      <c r="K56" s="127"/>
      <c r="L56" s="33" t="str">
        <f t="shared" si="2"/>
        <v/>
      </c>
      <c r="M56" s="13" t="str">
        <f t="shared" si="3"/>
        <v/>
      </c>
    </row>
    <row r="57" spans="2:13" x14ac:dyDescent="0.35">
      <c r="B57" s="10">
        <v>58</v>
      </c>
      <c r="C57" s="121"/>
      <c r="D57" s="121"/>
      <c r="E57" s="121"/>
      <c r="F57" s="121"/>
      <c r="G57" s="121"/>
      <c r="H57" s="12"/>
      <c r="I57" s="121"/>
      <c r="J57" s="127"/>
      <c r="K57" s="127"/>
      <c r="L57" s="33" t="str">
        <f t="shared" si="2"/>
        <v/>
      </c>
      <c r="M57" s="13" t="str">
        <f t="shared" si="3"/>
        <v/>
      </c>
    </row>
    <row r="58" spans="2:13" x14ac:dyDescent="0.35">
      <c r="B58" s="10">
        <v>59</v>
      </c>
      <c r="C58" s="121"/>
      <c r="D58" s="121"/>
      <c r="E58" s="121"/>
      <c r="F58" s="121"/>
      <c r="G58" s="121"/>
      <c r="H58" s="12"/>
      <c r="I58" s="121"/>
      <c r="J58" s="127"/>
      <c r="K58" s="127"/>
      <c r="L58" s="33" t="str">
        <f t="shared" si="2"/>
        <v/>
      </c>
      <c r="M58" s="13" t="str">
        <f t="shared" si="3"/>
        <v/>
      </c>
    </row>
    <row r="59" spans="2:13" x14ac:dyDescent="0.35">
      <c r="B59" s="10">
        <v>60</v>
      </c>
      <c r="C59" s="121"/>
      <c r="D59" s="121"/>
      <c r="E59" s="121"/>
      <c r="F59" s="121"/>
      <c r="G59" s="121"/>
      <c r="H59" s="12"/>
      <c r="I59" s="121"/>
      <c r="J59" s="127"/>
      <c r="K59" s="127"/>
      <c r="L59" s="33" t="str">
        <f t="shared" si="2"/>
        <v/>
      </c>
      <c r="M59" s="13" t="str">
        <f t="shared" si="3"/>
        <v/>
      </c>
    </row>
    <row r="60" spans="2:13" x14ac:dyDescent="0.35">
      <c r="B60" s="10">
        <v>61</v>
      </c>
      <c r="C60" s="121"/>
      <c r="D60" s="121"/>
      <c r="E60" s="121"/>
      <c r="F60" s="121"/>
      <c r="G60" s="121"/>
      <c r="H60" s="12"/>
      <c r="I60" s="121"/>
      <c r="J60" s="127"/>
      <c r="K60" s="127"/>
      <c r="L60" s="33" t="str">
        <f t="shared" si="2"/>
        <v/>
      </c>
      <c r="M60" s="13" t="str">
        <f t="shared" si="3"/>
        <v/>
      </c>
    </row>
    <row r="61" spans="2:13" x14ac:dyDescent="0.35">
      <c r="B61" s="10">
        <v>62</v>
      </c>
      <c r="C61" s="121"/>
      <c r="D61" s="121"/>
      <c r="E61" s="121"/>
      <c r="F61" s="121"/>
      <c r="G61" s="121"/>
      <c r="H61" s="12"/>
      <c r="I61" s="121"/>
      <c r="J61" s="127"/>
      <c r="K61" s="127"/>
      <c r="L61" s="33" t="str">
        <f t="shared" si="2"/>
        <v/>
      </c>
      <c r="M61" s="13" t="str">
        <f t="shared" si="3"/>
        <v/>
      </c>
    </row>
    <row r="62" spans="2:13" x14ac:dyDescent="0.35">
      <c r="B62" s="10">
        <v>63</v>
      </c>
      <c r="C62" s="121"/>
      <c r="D62" s="121"/>
      <c r="E62" s="121"/>
      <c r="F62" s="121"/>
      <c r="G62" s="121"/>
      <c r="H62" s="12"/>
      <c r="I62" s="121"/>
      <c r="J62" s="127"/>
      <c r="K62" s="127"/>
      <c r="L62" s="33" t="str">
        <f t="shared" si="2"/>
        <v/>
      </c>
      <c r="M62" s="13" t="str">
        <f t="shared" si="3"/>
        <v/>
      </c>
    </row>
    <row r="63" spans="2:13" x14ac:dyDescent="0.35">
      <c r="B63" s="10">
        <v>64</v>
      </c>
      <c r="C63" s="121"/>
      <c r="D63" s="121"/>
      <c r="E63" s="121"/>
      <c r="F63" s="121"/>
      <c r="G63" s="121"/>
      <c r="H63" s="12"/>
      <c r="I63" s="121"/>
      <c r="J63" s="127"/>
      <c r="K63" s="127"/>
      <c r="L63" s="33" t="str">
        <f t="shared" si="2"/>
        <v/>
      </c>
      <c r="M63" s="13" t="str">
        <f t="shared" si="3"/>
        <v/>
      </c>
    </row>
    <row r="64" spans="2:13" x14ac:dyDescent="0.35">
      <c r="B64" s="10">
        <v>65</v>
      </c>
      <c r="C64" s="121"/>
      <c r="D64" s="121"/>
      <c r="E64" s="121"/>
      <c r="F64" s="121"/>
      <c r="G64" s="121"/>
      <c r="H64" s="12"/>
      <c r="I64" s="121"/>
      <c r="J64" s="127"/>
      <c r="K64" s="127"/>
      <c r="L64" s="33" t="str">
        <f t="shared" si="2"/>
        <v/>
      </c>
      <c r="M64" s="13" t="str">
        <f t="shared" si="3"/>
        <v/>
      </c>
    </row>
    <row r="65" spans="2:13" x14ac:dyDescent="0.35">
      <c r="B65" s="10">
        <v>66</v>
      </c>
      <c r="C65" s="121"/>
      <c r="D65" s="121"/>
      <c r="E65" s="121"/>
      <c r="F65" s="121"/>
      <c r="G65" s="121"/>
      <c r="H65" s="12"/>
      <c r="I65" s="121"/>
      <c r="J65" s="127"/>
      <c r="K65" s="127"/>
      <c r="L65" s="33" t="str">
        <f t="shared" si="2"/>
        <v/>
      </c>
      <c r="M65" s="13" t="str">
        <f t="shared" si="3"/>
        <v/>
      </c>
    </row>
    <row r="66" spans="2:13" ht="14.5" customHeight="1" x14ac:dyDescent="0.35">
      <c r="B66" s="10">
        <v>67</v>
      </c>
      <c r="C66" s="121"/>
      <c r="D66" s="121"/>
      <c r="E66" s="121"/>
      <c r="F66" s="121"/>
      <c r="G66" s="121"/>
      <c r="H66" s="12"/>
      <c r="I66" s="121"/>
      <c r="J66" s="127"/>
      <c r="K66" s="127"/>
      <c r="L66" s="33" t="str">
        <f t="shared" ref="L66:L129" si="4">IF(OR(J66="", K66=""), "", NETWORKDAYS(J66,K66))</f>
        <v/>
      </c>
      <c r="M66" s="13" t="str">
        <f t="shared" ref="M66:M129" si="5">IF(I66="SEA", 10, IF(I66="AIR", 5, ""))</f>
        <v/>
      </c>
    </row>
    <row r="67" spans="2:13" ht="15.5" customHeight="1" x14ac:dyDescent="0.35">
      <c r="B67" s="10">
        <v>68</v>
      </c>
      <c r="C67" s="121"/>
      <c r="D67" s="121"/>
      <c r="E67" s="121"/>
      <c r="F67" s="121"/>
      <c r="G67" s="121"/>
      <c r="H67" s="12"/>
      <c r="I67" s="121"/>
      <c r="J67" s="127"/>
      <c r="K67" s="127"/>
      <c r="L67" s="33" t="str">
        <f t="shared" si="4"/>
        <v/>
      </c>
      <c r="M67" s="13" t="str">
        <f t="shared" si="5"/>
        <v/>
      </c>
    </row>
    <row r="68" spans="2:13" x14ac:dyDescent="0.35">
      <c r="B68" s="10">
        <v>69</v>
      </c>
      <c r="C68" s="121"/>
      <c r="D68" s="121"/>
      <c r="E68" s="121"/>
      <c r="F68" s="121"/>
      <c r="G68" s="121"/>
      <c r="H68" s="12"/>
      <c r="I68" s="121"/>
      <c r="J68" s="127"/>
      <c r="K68" s="127"/>
      <c r="L68" s="33" t="str">
        <f t="shared" si="4"/>
        <v/>
      </c>
      <c r="M68" s="13" t="str">
        <f t="shared" si="5"/>
        <v/>
      </c>
    </row>
    <row r="69" spans="2:13" x14ac:dyDescent="0.35">
      <c r="B69" s="10">
        <v>70</v>
      </c>
      <c r="C69" s="121"/>
      <c r="D69" s="121"/>
      <c r="E69" s="121"/>
      <c r="F69" s="121"/>
      <c r="G69" s="121"/>
      <c r="H69" s="12"/>
      <c r="I69" s="121"/>
      <c r="J69" s="127"/>
      <c r="K69" s="127"/>
      <c r="L69" s="33" t="str">
        <f t="shared" si="4"/>
        <v/>
      </c>
      <c r="M69" s="13" t="str">
        <f t="shared" si="5"/>
        <v/>
      </c>
    </row>
    <row r="70" spans="2:13" x14ac:dyDescent="0.35">
      <c r="B70" s="10">
        <v>71</v>
      </c>
      <c r="C70" s="121"/>
      <c r="D70" s="121"/>
      <c r="E70" s="121"/>
      <c r="F70" s="121"/>
      <c r="G70" s="121"/>
      <c r="H70" s="12"/>
      <c r="I70" s="121"/>
      <c r="J70" s="127"/>
      <c r="K70" s="127"/>
      <c r="L70" s="33" t="str">
        <f t="shared" si="4"/>
        <v/>
      </c>
      <c r="M70" s="13" t="str">
        <f t="shared" si="5"/>
        <v/>
      </c>
    </row>
    <row r="71" spans="2:13" x14ac:dyDescent="0.35">
      <c r="B71" s="10">
        <v>72</v>
      </c>
      <c r="C71" s="121"/>
      <c r="D71" s="121"/>
      <c r="E71" s="121"/>
      <c r="F71" s="121"/>
      <c r="G71" s="121"/>
      <c r="H71" s="12"/>
      <c r="I71" s="121"/>
      <c r="J71" s="127"/>
      <c r="K71" s="127"/>
      <c r="L71" s="33" t="str">
        <f t="shared" si="4"/>
        <v/>
      </c>
      <c r="M71" s="13" t="str">
        <f t="shared" si="5"/>
        <v/>
      </c>
    </row>
    <row r="72" spans="2:13" x14ac:dyDescent="0.35">
      <c r="B72" s="10">
        <v>73</v>
      </c>
      <c r="C72" s="121"/>
      <c r="D72" s="121"/>
      <c r="E72" s="121"/>
      <c r="F72" s="121"/>
      <c r="G72" s="121"/>
      <c r="H72" s="12"/>
      <c r="I72" s="121"/>
      <c r="J72" s="127"/>
      <c r="K72" s="127"/>
      <c r="L72" s="33" t="str">
        <f t="shared" si="4"/>
        <v/>
      </c>
      <c r="M72" s="13" t="str">
        <f t="shared" si="5"/>
        <v/>
      </c>
    </row>
    <row r="73" spans="2:13" x14ac:dyDescent="0.35">
      <c r="B73" s="10">
        <v>74</v>
      </c>
      <c r="C73" s="121"/>
      <c r="D73" s="121"/>
      <c r="E73" s="121"/>
      <c r="F73" s="121"/>
      <c r="G73" s="121"/>
      <c r="H73" s="12"/>
      <c r="I73" s="121"/>
      <c r="J73" s="127"/>
      <c r="K73" s="127"/>
      <c r="L73" s="33" t="str">
        <f t="shared" si="4"/>
        <v/>
      </c>
      <c r="M73" s="13" t="str">
        <f t="shared" si="5"/>
        <v/>
      </c>
    </row>
    <row r="74" spans="2:13" x14ac:dyDescent="0.35">
      <c r="B74" s="10">
        <v>75</v>
      </c>
      <c r="C74" s="121"/>
      <c r="D74" s="121"/>
      <c r="E74" s="121"/>
      <c r="F74" s="121"/>
      <c r="G74" s="121"/>
      <c r="H74" s="12"/>
      <c r="I74" s="121"/>
      <c r="J74" s="127"/>
      <c r="K74" s="127"/>
      <c r="L74" s="33" t="str">
        <f t="shared" si="4"/>
        <v/>
      </c>
      <c r="M74" s="13" t="str">
        <f t="shared" si="5"/>
        <v/>
      </c>
    </row>
    <row r="75" spans="2:13" x14ac:dyDescent="0.35">
      <c r="B75" s="10">
        <v>76</v>
      </c>
      <c r="C75" s="34"/>
      <c r="D75" s="34"/>
      <c r="E75" s="34"/>
      <c r="F75" s="34"/>
      <c r="G75" s="34"/>
      <c r="H75" s="12"/>
      <c r="I75" s="43"/>
      <c r="J75" s="118"/>
      <c r="K75" s="118"/>
      <c r="L75" s="33" t="str">
        <f t="shared" si="4"/>
        <v/>
      </c>
      <c r="M75" s="13" t="str">
        <f t="shared" si="5"/>
        <v/>
      </c>
    </row>
    <row r="76" spans="2:13" x14ac:dyDescent="0.35">
      <c r="B76" s="10">
        <v>77</v>
      </c>
      <c r="C76" s="35"/>
      <c r="D76" s="35"/>
      <c r="E76" s="35"/>
      <c r="F76" s="35"/>
      <c r="G76" s="35"/>
      <c r="H76" s="12"/>
      <c r="I76" s="119"/>
      <c r="J76" s="116"/>
      <c r="K76" s="116"/>
      <c r="L76" s="33" t="str">
        <f t="shared" si="4"/>
        <v/>
      </c>
      <c r="M76" s="13" t="str">
        <f t="shared" si="5"/>
        <v/>
      </c>
    </row>
    <row r="77" spans="2:13" x14ac:dyDescent="0.35">
      <c r="B77" s="10">
        <v>78</v>
      </c>
      <c r="C77" s="35"/>
      <c r="D77" s="35"/>
      <c r="E77" s="35"/>
      <c r="F77" s="35"/>
      <c r="G77" s="35"/>
      <c r="H77" s="12"/>
      <c r="I77" s="119"/>
      <c r="J77" s="116"/>
      <c r="K77" s="116"/>
      <c r="L77" s="33" t="str">
        <f t="shared" si="4"/>
        <v/>
      </c>
      <c r="M77" s="13" t="str">
        <f t="shared" si="5"/>
        <v/>
      </c>
    </row>
    <row r="78" spans="2:13" x14ac:dyDescent="0.35">
      <c r="B78" s="10">
        <v>79</v>
      </c>
      <c r="C78" s="35"/>
      <c r="D78" s="35"/>
      <c r="E78" s="35"/>
      <c r="F78" s="35"/>
      <c r="G78" s="35"/>
      <c r="H78" s="12"/>
      <c r="I78" s="119"/>
      <c r="J78" s="116"/>
      <c r="K78" s="116"/>
      <c r="L78" s="33" t="str">
        <f t="shared" si="4"/>
        <v/>
      </c>
      <c r="M78" s="13" t="str">
        <f t="shared" si="5"/>
        <v/>
      </c>
    </row>
    <row r="79" spans="2:13" x14ac:dyDescent="0.35">
      <c r="B79" s="10">
        <v>80</v>
      </c>
      <c r="C79" s="35"/>
      <c r="D79" s="35"/>
      <c r="E79" s="35"/>
      <c r="F79" s="35"/>
      <c r="G79" s="35"/>
      <c r="H79" s="12"/>
      <c r="I79" s="119"/>
      <c r="J79" s="116"/>
      <c r="K79" s="116"/>
      <c r="L79" s="33" t="str">
        <f t="shared" si="4"/>
        <v/>
      </c>
      <c r="M79" s="13" t="str">
        <f t="shared" si="5"/>
        <v/>
      </c>
    </row>
    <row r="80" spans="2:13" x14ac:dyDescent="0.35">
      <c r="B80" s="10">
        <v>81</v>
      </c>
      <c r="C80" s="35"/>
      <c r="D80" s="119"/>
      <c r="E80" s="132"/>
      <c r="F80" s="35"/>
      <c r="G80" s="35"/>
      <c r="H80" s="12"/>
      <c r="I80" s="119"/>
      <c r="J80" s="116"/>
      <c r="K80" s="116"/>
      <c r="L80" s="33" t="str">
        <f t="shared" si="4"/>
        <v/>
      </c>
      <c r="M80" s="13" t="str">
        <f t="shared" si="5"/>
        <v/>
      </c>
    </row>
    <row r="81" spans="2:13" x14ac:dyDescent="0.35">
      <c r="B81" s="10">
        <v>82</v>
      </c>
      <c r="C81" s="35"/>
      <c r="D81" s="119"/>
      <c r="E81" s="133"/>
      <c r="F81" s="35"/>
      <c r="G81" s="35"/>
      <c r="H81" s="12"/>
      <c r="I81" s="119"/>
      <c r="J81" s="116"/>
      <c r="K81" s="116"/>
      <c r="L81" s="33" t="str">
        <f t="shared" si="4"/>
        <v/>
      </c>
      <c r="M81" s="13" t="str">
        <f t="shared" si="5"/>
        <v/>
      </c>
    </row>
    <row r="82" spans="2:13" x14ac:dyDescent="0.35">
      <c r="B82" s="10">
        <v>83</v>
      </c>
      <c r="C82" s="35"/>
      <c r="D82" s="119"/>
      <c r="E82" s="132"/>
      <c r="F82" s="35"/>
      <c r="G82" s="35"/>
      <c r="H82" s="12"/>
      <c r="I82" s="119"/>
      <c r="J82" s="116"/>
      <c r="K82" s="116"/>
      <c r="L82" s="33" t="str">
        <f t="shared" si="4"/>
        <v/>
      </c>
      <c r="M82" s="13" t="str">
        <f t="shared" si="5"/>
        <v/>
      </c>
    </row>
    <row r="83" spans="2:13" x14ac:dyDescent="0.35">
      <c r="B83" s="10">
        <v>84</v>
      </c>
      <c r="C83" s="35"/>
      <c r="D83" s="119"/>
      <c r="E83" s="132"/>
      <c r="F83" s="35"/>
      <c r="G83" s="35"/>
      <c r="H83" s="12"/>
      <c r="I83" s="119"/>
      <c r="J83" s="116"/>
      <c r="K83" s="116"/>
      <c r="L83" s="33" t="str">
        <f t="shared" si="4"/>
        <v/>
      </c>
      <c r="M83" s="13" t="str">
        <f t="shared" si="5"/>
        <v/>
      </c>
    </row>
    <row r="84" spans="2:13" x14ac:dyDescent="0.35">
      <c r="B84" s="10">
        <v>85</v>
      </c>
      <c r="C84" s="35"/>
      <c r="D84" s="35"/>
      <c r="E84" s="132"/>
      <c r="F84" s="35"/>
      <c r="G84" s="35"/>
      <c r="H84" s="12"/>
      <c r="I84" s="119"/>
      <c r="J84" s="116"/>
      <c r="K84" s="116"/>
      <c r="L84" s="33" t="str">
        <f t="shared" si="4"/>
        <v/>
      </c>
      <c r="M84" s="13" t="str">
        <f t="shared" si="5"/>
        <v/>
      </c>
    </row>
    <row r="85" spans="2:13" x14ac:dyDescent="0.35">
      <c r="B85" s="10">
        <v>86</v>
      </c>
      <c r="C85" s="35"/>
      <c r="D85" s="35"/>
      <c r="E85" s="132"/>
      <c r="F85" s="35"/>
      <c r="G85" s="35"/>
      <c r="H85" s="12"/>
      <c r="I85" s="119"/>
      <c r="J85" s="116"/>
      <c r="K85" s="116"/>
      <c r="L85" s="33" t="str">
        <f t="shared" si="4"/>
        <v/>
      </c>
      <c r="M85" s="13" t="str">
        <f t="shared" si="5"/>
        <v/>
      </c>
    </row>
    <row r="86" spans="2:13" x14ac:dyDescent="0.35">
      <c r="B86" s="10">
        <v>87</v>
      </c>
      <c r="C86" s="35"/>
      <c r="D86" s="35"/>
      <c r="E86" s="132"/>
      <c r="F86" s="35"/>
      <c r="G86" s="35"/>
      <c r="H86" s="12"/>
      <c r="I86" s="119"/>
      <c r="J86" s="116"/>
      <c r="K86" s="116"/>
      <c r="L86" s="33" t="str">
        <f t="shared" si="4"/>
        <v/>
      </c>
      <c r="M86" s="13" t="str">
        <f t="shared" si="5"/>
        <v/>
      </c>
    </row>
    <row r="87" spans="2:13" x14ac:dyDescent="0.35">
      <c r="B87" s="10">
        <v>88</v>
      </c>
      <c r="C87" s="35"/>
      <c r="D87" s="35"/>
      <c r="E87" s="134"/>
      <c r="F87" s="35"/>
      <c r="G87" s="35"/>
      <c r="H87" s="12"/>
      <c r="I87" s="119"/>
      <c r="J87" s="116"/>
      <c r="K87" s="116"/>
      <c r="L87" s="33" t="str">
        <f t="shared" si="4"/>
        <v/>
      </c>
      <c r="M87" s="13" t="str">
        <f t="shared" si="5"/>
        <v/>
      </c>
    </row>
    <row r="88" spans="2:13" x14ac:dyDescent="0.35">
      <c r="B88" s="10">
        <v>89</v>
      </c>
      <c r="C88" s="35"/>
      <c r="D88" s="35"/>
      <c r="E88" s="134"/>
      <c r="F88" s="35"/>
      <c r="G88" s="35"/>
      <c r="H88" s="12"/>
      <c r="I88" s="119"/>
      <c r="J88" s="116"/>
      <c r="K88" s="116"/>
      <c r="L88" s="33" t="str">
        <f t="shared" si="4"/>
        <v/>
      </c>
      <c r="M88" s="13" t="str">
        <f t="shared" si="5"/>
        <v/>
      </c>
    </row>
    <row r="89" spans="2:13" x14ac:dyDescent="0.35">
      <c r="B89" s="10">
        <v>90</v>
      </c>
      <c r="C89" s="35"/>
      <c r="D89" s="35"/>
      <c r="E89" s="132"/>
      <c r="F89" s="35"/>
      <c r="G89" s="35"/>
      <c r="H89" s="12"/>
      <c r="I89" s="119"/>
      <c r="J89" s="116"/>
      <c r="K89" s="116"/>
      <c r="L89" s="33" t="str">
        <f t="shared" si="4"/>
        <v/>
      </c>
      <c r="M89" s="13" t="str">
        <f t="shared" si="5"/>
        <v/>
      </c>
    </row>
    <row r="90" spans="2:13" x14ac:dyDescent="0.35">
      <c r="B90" s="10">
        <v>91</v>
      </c>
      <c r="C90" s="10"/>
      <c r="D90" s="38"/>
      <c r="E90" s="38"/>
      <c r="F90" s="39"/>
      <c r="G90" s="232"/>
      <c r="H90" s="12"/>
      <c r="I90" s="119"/>
      <c r="J90" s="116"/>
      <c r="K90" s="117"/>
      <c r="L90" s="33" t="str">
        <f t="shared" si="4"/>
        <v/>
      </c>
      <c r="M90" s="13" t="str">
        <f t="shared" si="5"/>
        <v/>
      </c>
    </row>
    <row r="91" spans="2:13" x14ac:dyDescent="0.35">
      <c r="B91" s="10">
        <v>92</v>
      </c>
      <c r="C91" s="10"/>
      <c r="D91" s="38"/>
      <c r="E91" s="38"/>
      <c r="F91" s="39"/>
      <c r="G91" s="232"/>
      <c r="H91" s="12"/>
      <c r="I91" s="119"/>
      <c r="J91" s="116"/>
      <c r="K91" s="117"/>
      <c r="L91" s="33" t="str">
        <f t="shared" si="4"/>
        <v/>
      </c>
      <c r="M91" s="13" t="str">
        <f t="shared" si="5"/>
        <v/>
      </c>
    </row>
    <row r="92" spans="2:13" x14ac:dyDescent="0.35">
      <c r="B92" s="10">
        <v>93</v>
      </c>
      <c r="C92" s="10"/>
      <c r="D92" s="38"/>
      <c r="E92" s="38"/>
      <c r="F92" s="39"/>
      <c r="G92" s="232"/>
      <c r="H92" s="12"/>
      <c r="I92" s="119"/>
      <c r="J92" s="116"/>
      <c r="K92" s="117"/>
      <c r="L92" s="33" t="str">
        <f t="shared" si="4"/>
        <v/>
      </c>
      <c r="M92" s="13" t="str">
        <f t="shared" si="5"/>
        <v/>
      </c>
    </row>
    <row r="93" spans="2:13" x14ac:dyDescent="0.35">
      <c r="B93" s="10">
        <v>94</v>
      </c>
      <c r="C93" s="10"/>
      <c r="D93" s="38"/>
      <c r="E93" s="38"/>
      <c r="F93" s="39"/>
      <c r="G93" s="232"/>
      <c r="H93" s="12"/>
      <c r="I93" s="119"/>
      <c r="J93" s="116"/>
      <c r="K93" s="117"/>
      <c r="L93" s="33" t="str">
        <f t="shared" si="4"/>
        <v/>
      </c>
      <c r="M93" s="13" t="str">
        <f t="shared" si="5"/>
        <v/>
      </c>
    </row>
    <row r="94" spans="2:13" x14ac:dyDescent="0.35">
      <c r="B94" s="10">
        <v>95</v>
      </c>
      <c r="C94" s="10"/>
      <c r="D94" s="38"/>
      <c r="E94" s="38"/>
      <c r="F94" s="39"/>
      <c r="G94" s="232"/>
      <c r="H94" s="12"/>
      <c r="I94" s="119"/>
      <c r="J94" s="116"/>
      <c r="K94" s="117"/>
      <c r="L94" s="33" t="str">
        <f t="shared" si="4"/>
        <v/>
      </c>
      <c r="M94" s="13" t="str">
        <f t="shared" si="5"/>
        <v/>
      </c>
    </row>
    <row r="95" spans="2:13" x14ac:dyDescent="0.35">
      <c r="B95" s="10">
        <v>96</v>
      </c>
      <c r="C95" s="10"/>
      <c r="D95" s="38"/>
      <c r="E95" s="38"/>
      <c r="F95" s="39"/>
      <c r="G95" s="232"/>
      <c r="H95" s="12"/>
      <c r="I95" s="119"/>
      <c r="J95" s="116"/>
      <c r="K95" s="117"/>
      <c r="L95" s="33" t="str">
        <f t="shared" si="4"/>
        <v/>
      </c>
      <c r="M95" s="13" t="str">
        <f t="shared" si="5"/>
        <v/>
      </c>
    </row>
    <row r="96" spans="2:13" x14ac:dyDescent="0.35">
      <c r="B96" s="10">
        <v>97</v>
      </c>
      <c r="C96" s="10"/>
      <c r="D96" s="38"/>
      <c r="E96" s="38"/>
      <c r="F96" s="39"/>
      <c r="G96" s="232"/>
      <c r="H96" s="12"/>
      <c r="I96" s="119"/>
      <c r="J96" s="116"/>
      <c r="K96" s="117"/>
      <c r="L96" s="33" t="str">
        <f t="shared" si="4"/>
        <v/>
      </c>
      <c r="M96" s="13" t="str">
        <f t="shared" si="5"/>
        <v/>
      </c>
    </row>
    <row r="97" spans="2:13" x14ac:dyDescent="0.35">
      <c r="B97" s="10">
        <v>98</v>
      </c>
      <c r="C97" s="10"/>
      <c r="D97" s="38"/>
      <c r="E97" s="38"/>
      <c r="F97" s="39"/>
      <c r="G97" s="232"/>
      <c r="H97" s="12"/>
      <c r="I97" s="119"/>
      <c r="J97" s="116"/>
      <c r="K97" s="117"/>
      <c r="L97" s="33" t="str">
        <f t="shared" si="4"/>
        <v/>
      </c>
      <c r="M97" s="13" t="str">
        <f t="shared" si="5"/>
        <v/>
      </c>
    </row>
    <row r="98" spans="2:13" x14ac:dyDescent="0.35">
      <c r="B98" s="10">
        <v>99</v>
      </c>
      <c r="C98" s="10"/>
      <c r="D98" s="38"/>
      <c r="E98" s="38"/>
      <c r="F98" s="39"/>
      <c r="G98" s="232"/>
      <c r="H98" s="12"/>
      <c r="I98" s="119"/>
      <c r="J98" s="116"/>
      <c r="K98" s="117"/>
      <c r="L98" s="33" t="str">
        <f t="shared" si="4"/>
        <v/>
      </c>
      <c r="M98" s="13" t="str">
        <f t="shared" si="5"/>
        <v/>
      </c>
    </row>
    <row r="99" spans="2:13" x14ac:dyDescent="0.35">
      <c r="B99" s="10">
        <v>100</v>
      </c>
      <c r="C99" s="10"/>
      <c r="D99" s="38"/>
      <c r="E99" s="38"/>
      <c r="F99" s="39"/>
      <c r="G99" s="232"/>
      <c r="H99" s="12"/>
      <c r="I99" s="119"/>
      <c r="J99" s="116"/>
      <c r="K99" s="117"/>
      <c r="L99" s="33" t="str">
        <f t="shared" si="4"/>
        <v/>
      </c>
      <c r="M99" s="13" t="str">
        <f t="shared" si="5"/>
        <v/>
      </c>
    </row>
    <row r="100" spans="2:13" x14ac:dyDescent="0.35">
      <c r="B100" s="10">
        <v>101</v>
      </c>
      <c r="C100" s="10"/>
      <c r="D100" s="38"/>
      <c r="E100" s="38"/>
      <c r="F100" s="39"/>
      <c r="G100" s="232"/>
      <c r="H100" s="12"/>
      <c r="I100" s="119"/>
      <c r="J100" s="116"/>
      <c r="K100" s="117"/>
      <c r="L100" s="33" t="str">
        <f t="shared" si="4"/>
        <v/>
      </c>
      <c r="M100" s="13" t="str">
        <f t="shared" si="5"/>
        <v/>
      </c>
    </row>
    <row r="101" spans="2:13" x14ac:dyDescent="0.35">
      <c r="B101" s="10">
        <v>102</v>
      </c>
      <c r="C101" s="10"/>
      <c r="D101" s="38"/>
      <c r="E101" s="38"/>
      <c r="F101" s="39"/>
      <c r="G101" s="232"/>
      <c r="H101" s="12"/>
      <c r="I101" s="119"/>
      <c r="J101" s="116"/>
      <c r="K101" s="117"/>
      <c r="L101" s="33" t="str">
        <f t="shared" si="4"/>
        <v/>
      </c>
      <c r="M101" s="13" t="str">
        <f t="shared" si="5"/>
        <v/>
      </c>
    </row>
    <row r="102" spans="2:13" x14ac:dyDescent="0.35">
      <c r="B102" s="10">
        <v>103</v>
      </c>
      <c r="C102" s="10"/>
      <c r="D102" s="38"/>
      <c r="E102" s="38"/>
      <c r="F102" s="39"/>
      <c r="G102" s="232"/>
      <c r="H102" s="12"/>
      <c r="I102" s="119"/>
      <c r="J102" s="116"/>
      <c r="K102" s="117"/>
      <c r="L102" s="33" t="str">
        <f t="shared" si="4"/>
        <v/>
      </c>
      <c r="M102" s="13" t="str">
        <f t="shared" si="5"/>
        <v/>
      </c>
    </row>
    <row r="103" spans="2:13" x14ac:dyDescent="0.35">
      <c r="B103" s="10">
        <v>104</v>
      </c>
      <c r="C103" s="10"/>
      <c r="D103" s="38"/>
      <c r="E103" s="38"/>
      <c r="F103" s="39"/>
      <c r="G103" s="232"/>
      <c r="H103" s="12"/>
      <c r="I103" s="119"/>
      <c r="J103" s="116"/>
      <c r="K103" s="117"/>
      <c r="L103" s="33" t="str">
        <f t="shared" si="4"/>
        <v/>
      </c>
      <c r="M103" s="13" t="str">
        <f t="shared" si="5"/>
        <v/>
      </c>
    </row>
    <row r="104" spans="2:13" x14ac:dyDescent="0.35">
      <c r="B104" s="10">
        <v>105</v>
      </c>
      <c r="C104" s="10"/>
      <c r="D104" s="38"/>
      <c r="E104" s="38"/>
      <c r="F104" s="39"/>
      <c r="G104" s="232"/>
      <c r="H104" s="12"/>
      <c r="I104" s="119"/>
      <c r="J104" s="116"/>
      <c r="K104" s="117"/>
      <c r="L104" s="33" t="str">
        <f t="shared" si="4"/>
        <v/>
      </c>
      <c r="M104" s="13" t="str">
        <f t="shared" si="5"/>
        <v/>
      </c>
    </row>
    <row r="105" spans="2:13" x14ac:dyDescent="0.35">
      <c r="B105" s="10">
        <v>106</v>
      </c>
      <c r="C105" s="10"/>
      <c r="D105" s="38"/>
      <c r="E105" s="38"/>
      <c r="F105" s="39"/>
      <c r="G105" s="232"/>
      <c r="H105" s="12"/>
      <c r="I105" s="119"/>
      <c r="J105" s="116"/>
      <c r="K105" s="117"/>
      <c r="L105" s="33" t="str">
        <f t="shared" si="4"/>
        <v/>
      </c>
      <c r="M105" s="13" t="str">
        <f t="shared" si="5"/>
        <v/>
      </c>
    </row>
    <row r="106" spans="2:13" x14ac:dyDescent="0.35">
      <c r="B106" s="10">
        <v>107</v>
      </c>
      <c r="C106" s="10"/>
      <c r="D106" s="38"/>
      <c r="E106" s="38"/>
      <c r="F106" s="39"/>
      <c r="G106" s="232"/>
      <c r="H106" s="12"/>
      <c r="I106" s="119"/>
      <c r="J106" s="116"/>
      <c r="K106" s="117"/>
      <c r="L106" s="33" t="str">
        <f t="shared" si="4"/>
        <v/>
      </c>
      <c r="M106" s="13" t="str">
        <f t="shared" si="5"/>
        <v/>
      </c>
    </row>
    <row r="107" spans="2:13" x14ac:dyDescent="0.35">
      <c r="B107" s="10">
        <v>108</v>
      </c>
      <c r="C107" s="10"/>
      <c r="D107" s="38"/>
      <c r="E107" s="38"/>
      <c r="F107" s="39"/>
      <c r="G107" s="232"/>
      <c r="H107" s="12"/>
      <c r="I107" s="119"/>
      <c r="J107" s="116"/>
      <c r="K107" s="117"/>
      <c r="L107" s="33" t="str">
        <f t="shared" si="4"/>
        <v/>
      </c>
      <c r="M107" s="13" t="str">
        <f t="shared" si="5"/>
        <v/>
      </c>
    </row>
    <row r="108" spans="2:13" x14ac:dyDescent="0.35">
      <c r="B108" s="10">
        <v>109</v>
      </c>
      <c r="C108" s="10"/>
      <c r="D108" s="38"/>
      <c r="E108" s="38"/>
      <c r="F108" s="39"/>
      <c r="G108" s="232"/>
      <c r="H108" s="12"/>
      <c r="I108" s="119"/>
      <c r="J108" s="116"/>
      <c r="K108" s="117"/>
      <c r="L108" s="33" t="str">
        <f t="shared" si="4"/>
        <v/>
      </c>
      <c r="M108" s="13" t="str">
        <f t="shared" si="5"/>
        <v/>
      </c>
    </row>
    <row r="109" spans="2:13" x14ac:dyDescent="0.35">
      <c r="B109" s="10">
        <v>110</v>
      </c>
      <c r="C109" s="10"/>
      <c r="D109" s="38"/>
      <c r="E109" s="38"/>
      <c r="F109" s="39"/>
      <c r="G109" s="232"/>
      <c r="H109" s="12"/>
      <c r="I109" s="119"/>
      <c r="J109" s="116"/>
      <c r="K109" s="117"/>
      <c r="L109" s="33" t="str">
        <f t="shared" si="4"/>
        <v/>
      </c>
      <c r="M109" s="13" t="str">
        <f t="shared" si="5"/>
        <v/>
      </c>
    </row>
    <row r="110" spans="2:13" x14ac:dyDescent="0.35">
      <c r="B110" s="10">
        <v>111</v>
      </c>
      <c r="C110" s="10"/>
      <c r="D110" s="38"/>
      <c r="E110" s="38"/>
      <c r="F110" s="39"/>
      <c r="G110" s="232"/>
      <c r="H110" s="12"/>
      <c r="I110" s="119"/>
      <c r="J110" s="116"/>
      <c r="K110" s="117"/>
      <c r="L110" s="33" t="str">
        <f t="shared" si="4"/>
        <v/>
      </c>
      <c r="M110" s="13" t="str">
        <f t="shared" si="5"/>
        <v/>
      </c>
    </row>
    <row r="111" spans="2:13" x14ac:dyDescent="0.35">
      <c r="B111" s="10">
        <v>112</v>
      </c>
      <c r="C111" s="10"/>
      <c r="D111" s="38"/>
      <c r="E111" s="38"/>
      <c r="F111" s="39"/>
      <c r="G111" s="232"/>
      <c r="H111" s="12"/>
      <c r="I111" s="119"/>
      <c r="J111" s="116"/>
      <c r="K111" s="117"/>
      <c r="L111" s="33" t="str">
        <f t="shared" si="4"/>
        <v/>
      </c>
      <c r="M111" s="13" t="str">
        <f t="shared" si="5"/>
        <v/>
      </c>
    </row>
    <row r="112" spans="2:13" x14ac:dyDescent="0.35">
      <c r="B112" s="10">
        <v>113</v>
      </c>
      <c r="C112" s="10"/>
      <c r="D112" s="38"/>
      <c r="E112" s="38"/>
      <c r="F112" s="39"/>
      <c r="G112" s="232"/>
      <c r="H112" s="12"/>
      <c r="I112" s="119"/>
      <c r="J112" s="116"/>
      <c r="K112" s="117"/>
      <c r="L112" s="33" t="str">
        <f t="shared" si="4"/>
        <v/>
      </c>
      <c r="M112" s="13" t="str">
        <f t="shared" si="5"/>
        <v/>
      </c>
    </row>
    <row r="113" spans="2:13" x14ac:dyDescent="0.35">
      <c r="B113" s="10">
        <v>114</v>
      </c>
      <c r="C113" s="10"/>
      <c r="D113" s="38"/>
      <c r="E113" s="38"/>
      <c r="F113" s="39"/>
      <c r="G113" s="232"/>
      <c r="H113" s="12"/>
      <c r="I113" s="119"/>
      <c r="J113" s="116"/>
      <c r="K113" s="117"/>
      <c r="L113" s="33" t="str">
        <f t="shared" si="4"/>
        <v/>
      </c>
      <c r="M113" s="13" t="str">
        <f t="shared" si="5"/>
        <v/>
      </c>
    </row>
    <row r="114" spans="2:13" x14ac:dyDescent="0.35">
      <c r="B114" s="10">
        <v>115</v>
      </c>
      <c r="C114" s="10"/>
      <c r="D114" s="38"/>
      <c r="E114" s="38"/>
      <c r="F114" s="39"/>
      <c r="G114" s="232"/>
      <c r="H114" s="12"/>
      <c r="I114" s="119"/>
      <c r="J114" s="116"/>
      <c r="K114" s="117"/>
      <c r="L114" s="33" t="str">
        <f t="shared" si="4"/>
        <v/>
      </c>
      <c r="M114" s="13" t="str">
        <f t="shared" si="5"/>
        <v/>
      </c>
    </row>
    <row r="115" spans="2:13" x14ac:dyDescent="0.35">
      <c r="B115" s="10">
        <v>116</v>
      </c>
      <c r="C115" s="10"/>
      <c r="D115" s="38"/>
      <c r="E115" s="38"/>
      <c r="F115" s="39"/>
      <c r="G115" s="232"/>
      <c r="H115" s="12"/>
      <c r="I115" s="119"/>
      <c r="J115" s="116"/>
      <c r="K115" s="117"/>
      <c r="L115" s="33" t="str">
        <f t="shared" si="4"/>
        <v/>
      </c>
      <c r="M115" s="13" t="str">
        <f t="shared" si="5"/>
        <v/>
      </c>
    </row>
    <row r="116" spans="2:13" x14ac:dyDescent="0.35">
      <c r="B116" s="10">
        <v>117</v>
      </c>
      <c r="C116" s="10"/>
      <c r="D116" s="38"/>
      <c r="E116" s="38"/>
      <c r="F116" s="39"/>
      <c r="G116" s="232"/>
      <c r="H116" s="12"/>
      <c r="I116" s="119"/>
      <c r="J116" s="116"/>
      <c r="K116" s="117"/>
      <c r="L116" s="33" t="str">
        <f t="shared" si="4"/>
        <v/>
      </c>
      <c r="M116" s="13" t="str">
        <f t="shared" si="5"/>
        <v/>
      </c>
    </row>
    <row r="117" spans="2:13" x14ac:dyDescent="0.35">
      <c r="B117" s="10">
        <v>118</v>
      </c>
      <c r="C117" s="10"/>
      <c r="D117" s="38"/>
      <c r="E117" s="38"/>
      <c r="F117" s="39"/>
      <c r="G117" s="232"/>
      <c r="H117" s="12"/>
      <c r="I117" s="119"/>
      <c r="J117" s="116"/>
      <c r="K117" s="117"/>
      <c r="L117" s="33" t="str">
        <f t="shared" si="4"/>
        <v/>
      </c>
      <c r="M117" s="13" t="str">
        <f t="shared" si="5"/>
        <v/>
      </c>
    </row>
    <row r="118" spans="2:13" x14ac:dyDescent="0.35">
      <c r="B118" s="10">
        <v>119</v>
      </c>
      <c r="C118" s="10"/>
      <c r="D118" s="38"/>
      <c r="E118" s="38"/>
      <c r="F118" s="39"/>
      <c r="G118" s="232"/>
      <c r="H118" s="12"/>
      <c r="I118" s="119"/>
      <c r="J118" s="116"/>
      <c r="K118" s="117"/>
      <c r="L118" s="33" t="str">
        <f t="shared" si="4"/>
        <v/>
      </c>
      <c r="M118" s="13" t="str">
        <f t="shared" si="5"/>
        <v/>
      </c>
    </row>
    <row r="119" spans="2:13" x14ac:dyDescent="0.35">
      <c r="B119" s="10">
        <v>120</v>
      </c>
      <c r="C119" s="10"/>
      <c r="D119" s="38"/>
      <c r="E119" s="38"/>
      <c r="F119" s="39"/>
      <c r="G119" s="232"/>
      <c r="H119" s="12"/>
      <c r="I119" s="119"/>
      <c r="J119" s="116"/>
      <c r="K119" s="117"/>
      <c r="L119" s="33" t="str">
        <f t="shared" si="4"/>
        <v/>
      </c>
      <c r="M119" s="13" t="str">
        <f t="shared" si="5"/>
        <v/>
      </c>
    </row>
    <row r="120" spans="2:13" x14ac:dyDescent="0.35">
      <c r="B120" s="10">
        <v>121</v>
      </c>
      <c r="C120" s="10"/>
      <c r="D120" s="38"/>
      <c r="E120" s="38"/>
      <c r="F120" s="39"/>
      <c r="G120" s="232"/>
      <c r="H120" s="12"/>
      <c r="I120" s="119"/>
      <c r="J120" s="116"/>
      <c r="K120" s="117"/>
      <c r="L120" s="33" t="str">
        <f t="shared" si="4"/>
        <v/>
      </c>
      <c r="M120" s="13" t="str">
        <f t="shared" si="5"/>
        <v/>
      </c>
    </row>
    <row r="121" spans="2:13" x14ac:dyDescent="0.35">
      <c r="B121" s="10">
        <v>122</v>
      </c>
      <c r="C121" s="10"/>
      <c r="D121" s="38"/>
      <c r="E121" s="38"/>
      <c r="F121" s="39"/>
      <c r="G121" s="232"/>
      <c r="H121" s="12"/>
      <c r="I121" s="119"/>
      <c r="J121" s="116"/>
      <c r="K121" s="117"/>
      <c r="L121" s="33" t="str">
        <f t="shared" si="4"/>
        <v/>
      </c>
      <c r="M121" s="13" t="str">
        <f t="shared" si="5"/>
        <v/>
      </c>
    </row>
    <row r="122" spans="2:13" x14ac:dyDescent="0.35">
      <c r="B122" s="10">
        <v>123</v>
      </c>
      <c r="C122" s="10"/>
      <c r="D122" s="38"/>
      <c r="E122" s="38"/>
      <c r="F122" s="39"/>
      <c r="G122" s="232"/>
      <c r="H122" s="12"/>
      <c r="I122" s="119"/>
      <c r="J122" s="116"/>
      <c r="K122" s="117"/>
      <c r="L122" s="33" t="str">
        <f t="shared" si="4"/>
        <v/>
      </c>
      <c r="M122" s="13" t="str">
        <f t="shared" si="5"/>
        <v/>
      </c>
    </row>
    <row r="123" spans="2:13" x14ac:dyDescent="0.35">
      <c r="B123" s="10">
        <v>124</v>
      </c>
      <c r="C123" s="10"/>
      <c r="D123" s="38"/>
      <c r="E123" s="38"/>
      <c r="F123" s="39"/>
      <c r="G123" s="232"/>
      <c r="H123" s="12"/>
      <c r="I123" s="119"/>
      <c r="J123" s="116"/>
      <c r="K123" s="117"/>
      <c r="L123" s="33" t="str">
        <f t="shared" si="4"/>
        <v/>
      </c>
      <c r="M123" s="13" t="str">
        <f t="shared" si="5"/>
        <v/>
      </c>
    </row>
    <row r="124" spans="2:13" x14ac:dyDescent="0.35">
      <c r="B124" s="10">
        <v>125</v>
      </c>
      <c r="C124" s="10"/>
      <c r="D124" s="38"/>
      <c r="E124" s="38"/>
      <c r="F124" s="39"/>
      <c r="G124" s="232"/>
      <c r="H124" s="12"/>
      <c r="I124" s="119"/>
      <c r="J124" s="116"/>
      <c r="K124" s="117"/>
      <c r="L124" s="33" t="str">
        <f t="shared" si="4"/>
        <v/>
      </c>
      <c r="M124" s="13" t="str">
        <f t="shared" si="5"/>
        <v/>
      </c>
    </row>
    <row r="125" spans="2:13" x14ac:dyDescent="0.35">
      <c r="B125" s="10">
        <v>126</v>
      </c>
      <c r="C125" s="10"/>
      <c r="D125" s="38"/>
      <c r="E125" s="38"/>
      <c r="F125" s="39"/>
      <c r="G125" s="232"/>
      <c r="H125" s="12"/>
      <c r="I125" s="119"/>
      <c r="J125" s="116"/>
      <c r="K125" s="117"/>
      <c r="L125" s="33" t="str">
        <f t="shared" si="4"/>
        <v/>
      </c>
      <c r="M125" s="13" t="str">
        <f t="shared" si="5"/>
        <v/>
      </c>
    </row>
    <row r="126" spans="2:13" x14ac:dyDescent="0.35">
      <c r="B126" s="10">
        <v>127</v>
      </c>
      <c r="C126" s="10"/>
      <c r="D126" s="38"/>
      <c r="E126" s="38"/>
      <c r="F126" s="39"/>
      <c r="G126" s="232"/>
      <c r="H126" s="12"/>
      <c r="I126" s="119"/>
      <c r="J126" s="116"/>
      <c r="K126" s="117"/>
      <c r="L126" s="33" t="str">
        <f t="shared" si="4"/>
        <v/>
      </c>
      <c r="M126" s="13" t="str">
        <f t="shared" si="5"/>
        <v/>
      </c>
    </row>
    <row r="127" spans="2:13" x14ac:dyDescent="0.35">
      <c r="B127" s="10">
        <v>128</v>
      </c>
      <c r="C127" s="10"/>
      <c r="D127" s="38"/>
      <c r="E127" s="38"/>
      <c r="F127" s="39"/>
      <c r="G127" s="232"/>
      <c r="H127" s="12"/>
      <c r="I127" s="119"/>
      <c r="J127" s="116"/>
      <c r="K127" s="117"/>
      <c r="L127" s="33" t="str">
        <f t="shared" si="4"/>
        <v/>
      </c>
      <c r="M127" s="13" t="str">
        <f t="shared" si="5"/>
        <v/>
      </c>
    </row>
    <row r="128" spans="2:13" x14ac:dyDescent="0.35">
      <c r="B128" s="10">
        <v>129</v>
      </c>
      <c r="C128" s="10"/>
      <c r="D128" s="38"/>
      <c r="E128" s="38"/>
      <c r="F128" s="39"/>
      <c r="G128" s="232"/>
      <c r="H128" s="12"/>
      <c r="I128" s="119"/>
      <c r="J128" s="116"/>
      <c r="K128" s="117"/>
      <c r="L128" s="33" t="str">
        <f t="shared" si="4"/>
        <v/>
      </c>
      <c r="M128" s="13" t="str">
        <f t="shared" si="5"/>
        <v/>
      </c>
    </row>
    <row r="129" spans="2:13" x14ac:dyDescent="0.35">
      <c r="B129" s="10">
        <v>130</v>
      </c>
      <c r="C129" s="10"/>
      <c r="D129" s="38"/>
      <c r="E129" s="38"/>
      <c r="F129" s="39"/>
      <c r="G129" s="232"/>
      <c r="H129" s="12"/>
      <c r="I129" s="119"/>
      <c r="J129" s="116"/>
      <c r="K129" s="117"/>
      <c r="L129" s="33" t="str">
        <f t="shared" si="4"/>
        <v/>
      </c>
      <c r="M129" s="13" t="str">
        <f t="shared" si="5"/>
        <v/>
      </c>
    </row>
    <row r="130" spans="2:13" x14ac:dyDescent="0.35">
      <c r="B130" s="10">
        <v>131</v>
      </c>
      <c r="C130" s="10"/>
      <c r="D130" s="38"/>
      <c r="E130" s="38"/>
      <c r="F130" s="39"/>
      <c r="G130" s="232"/>
      <c r="H130" s="12"/>
      <c r="I130" s="119"/>
      <c r="J130" s="116"/>
      <c r="K130" s="117"/>
      <c r="L130" s="33" t="str">
        <f t="shared" ref="L130:L193" si="6">IF(OR(J130="", K130=""), "", NETWORKDAYS(J130,K130))</f>
        <v/>
      </c>
      <c r="M130" s="13" t="str">
        <f t="shared" ref="M130:M193" si="7">IF(I130="SEA", 10, IF(I130="AIR", 5, ""))</f>
        <v/>
      </c>
    </row>
    <row r="131" spans="2:13" x14ac:dyDescent="0.35">
      <c r="B131" s="10">
        <v>132</v>
      </c>
      <c r="C131" s="10"/>
      <c r="D131" s="38"/>
      <c r="E131" s="38"/>
      <c r="F131" s="39"/>
      <c r="G131" s="232"/>
      <c r="H131" s="12"/>
      <c r="I131" s="119"/>
      <c r="J131" s="116"/>
      <c r="K131" s="117"/>
      <c r="L131" s="33" t="str">
        <f t="shared" si="6"/>
        <v/>
      </c>
      <c r="M131" s="13" t="str">
        <f t="shared" si="7"/>
        <v/>
      </c>
    </row>
    <row r="132" spans="2:13" x14ac:dyDescent="0.35">
      <c r="B132" s="10">
        <v>133</v>
      </c>
      <c r="C132" s="10"/>
      <c r="D132" s="38"/>
      <c r="E132" s="38"/>
      <c r="F132" s="39"/>
      <c r="G132" s="232"/>
      <c r="H132" s="12"/>
      <c r="I132" s="119"/>
      <c r="J132" s="116"/>
      <c r="K132" s="117"/>
      <c r="L132" s="33" t="str">
        <f t="shared" si="6"/>
        <v/>
      </c>
      <c r="M132" s="13" t="str">
        <f t="shared" si="7"/>
        <v/>
      </c>
    </row>
    <row r="133" spans="2:13" x14ac:dyDescent="0.35">
      <c r="B133" s="10">
        <v>134</v>
      </c>
      <c r="C133" s="10"/>
      <c r="D133" s="38"/>
      <c r="E133" s="38"/>
      <c r="F133" s="39"/>
      <c r="G133" s="232"/>
      <c r="H133" s="12"/>
      <c r="I133" s="119"/>
      <c r="J133" s="116"/>
      <c r="K133" s="117"/>
      <c r="L133" s="33" t="str">
        <f t="shared" si="6"/>
        <v/>
      </c>
      <c r="M133" s="13" t="str">
        <f t="shared" si="7"/>
        <v/>
      </c>
    </row>
    <row r="134" spans="2:13" x14ac:dyDescent="0.35">
      <c r="B134" s="10">
        <v>135</v>
      </c>
      <c r="C134" s="10"/>
      <c r="D134" s="38"/>
      <c r="E134" s="38"/>
      <c r="F134" s="39"/>
      <c r="G134" s="232"/>
      <c r="H134" s="12"/>
      <c r="I134" s="119"/>
      <c r="J134" s="116"/>
      <c r="K134" s="117"/>
      <c r="L134" s="33" t="str">
        <f t="shared" si="6"/>
        <v/>
      </c>
      <c r="M134" s="13" t="str">
        <f t="shared" si="7"/>
        <v/>
      </c>
    </row>
    <row r="135" spans="2:13" x14ac:dyDescent="0.35">
      <c r="B135" s="10">
        <v>136</v>
      </c>
      <c r="C135" s="10"/>
      <c r="D135" s="38"/>
      <c r="E135" s="38"/>
      <c r="F135" s="39"/>
      <c r="G135" s="232"/>
      <c r="H135" s="12"/>
      <c r="I135" s="119"/>
      <c r="J135" s="116"/>
      <c r="K135" s="117"/>
      <c r="L135" s="33" t="str">
        <f t="shared" si="6"/>
        <v/>
      </c>
      <c r="M135" s="13" t="str">
        <f t="shared" si="7"/>
        <v/>
      </c>
    </row>
    <row r="136" spans="2:13" x14ac:dyDescent="0.35">
      <c r="B136" s="10">
        <v>137</v>
      </c>
      <c r="C136" s="10"/>
      <c r="D136" s="38"/>
      <c r="E136" s="38"/>
      <c r="F136" s="39"/>
      <c r="G136" s="232"/>
      <c r="H136" s="12"/>
      <c r="I136" s="119"/>
      <c r="J136" s="116"/>
      <c r="K136" s="117"/>
      <c r="L136" s="33" t="str">
        <f t="shared" si="6"/>
        <v/>
      </c>
      <c r="M136" s="13" t="str">
        <f t="shared" si="7"/>
        <v/>
      </c>
    </row>
    <row r="137" spans="2:13" x14ac:dyDescent="0.35">
      <c r="B137" s="10">
        <v>138</v>
      </c>
      <c r="C137" s="10"/>
      <c r="D137" s="38"/>
      <c r="E137" s="38"/>
      <c r="F137" s="39"/>
      <c r="G137" s="232"/>
      <c r="H137" s="12"/>
      <c r="I137" s="119"/>
      <c r="J137" s="116"/>
      <c r="K137" s="117"/>
      <c r="L137" s="33" t="str">
        <f t="shared" si="6"/>
        <v/>
      </c>
      <c r="M137" s="13" t="str">
        <f t="shared" si="7"/>
        <v/>
      </c>
    </row>
    <row r="138" spans="2:13" x14ac:dyDescent="0.35">
      <c r="B138" s="10">
        <v>139</v>
      </c>
      <c r="C138" s="10"/>
      <c r="D138" s="38"/>
      <c r="E138" s="38"/>
      <c r="F138" s="39"/>
      <c r="G138" s="232"/>
      <c r="H138" s="12"/>
      <c r="I138" s="119"/>
      <c r="J138" s="116"/>
      <c r="K138" s="117"/>
      <c r="L138" s="33" t="str">
        <f t="shared" si="6"/>
        <v/>
      </c>
      <c r="M138" s="13" t="str">
        <f t="shared" si="7"/>
        <v/>
      </c>
    </row>
    <row r="139" spans="2:13" x14ac:dyDescent="0.35">
      <c r="B139" s="10">
        <v>140</v>
      </c>
      <c r="C139" s="10"/>
      <c r="D139" s="38"/>
      <c r="E139" s="38"/>
      <c r="F139" s="39"/>
      <c r="G139" s="232"/>
      <c r="H139" s="12"/>
      <c r="I139" s="119"/>
      <c r="J139" s="116"/>
      <c r="K139" s="117"/>
      <c r="L139" s="33" t="str">
        <f t="shared" si="6"/>
        <v/>
      </c>
      <c r="M139" s="13" t="str">
        <f t="shared" si="7"/>
        <v/>
      </c>
    </row>
    <row r="140" spans="2:13" x14ac:dyDescent="0.35">
      <c r="B140" s="10">
        <v>141</v>
      </c>
      <c r="C140" s="10"/>
      <c r="D140" s="38"/>
      <c r="E140" s="38"/>
      <c r="F140" s="39"/>
      <c r="G140" s="232"/>
      <c r="H140" s="12"/>
      <c r="I140" s="119"/>
      <c r="J140" s="116"/>
      <c r="K140" s="117"/>
      <c r="L140" s="33" t="str">
        <f t="shared" si="6"/>
        <v/>
      </c>
      <c r="M140" s="13" t="str">
        <f t="shared" si="7"/>
        <v/>
      </c>
    </row>
    <row r="141" spans="2:13" x14ac:dyDescent="0.35">
      <c r="B141" s="10">
        <v>142</v>
      </c>
      <c r="C141" s="10"/>
      <c r="D141" s="38"/>
      <c r="E141" s="38"/>
      <c r="F141" s="39"/>
      <c r="G141" s="232"/>
      <c r="H141" s="12"/>
      <c r="I141" s="119"/>
      <c r="J141" s="116"/>
      <c r="K141" s="117"/>
      <c r="L141" s="33" t="str">
        <f t="shared" si="6"/>
        <v/>
      </c>
      <c r="M141" s="13" t="str">
        <f t="shared" si="7"/>
        <v/>
      </c>
    </row>
    <row r="142" spans="2:13" x14ac:dyDescent="0.35">
      <c r="B142" s="10">
        <v>143</v>
      </c>
      <c r="C142" s="10"/>
      <c r="D142" s="38"/>
      <c r="E142" s="38"/>
      <c r="F142" s="39"/>
      <c r="G142" s="232"/>
      <c r="H142" s="12"/>
      <c r="I142" s="119"/>
      <c r="J142" s="116"/>
      <c r="K142" s="117"/>
      <c r="L142" s="33" t="str">
        <f t="shared" si="6"/>
        <v/>
      </c>
      <c r="M142" s="13" t="str">
        <f t="shared" si="7"/>
        <v/>
      </c>
    </row>
    <row r="143" spans="2:13" x14ac:dyDescent="0.35">
      <c r="B143" s="10">
        <v>144</v>
      </c>
      <c r="C143" s="10"/>
      <c r="D143" s="38"/>
      <c r="E143" s="38"/>
      <c r="F143" s="39"/>
      <c r="G143" s="232"/>
      <c r="H143" s="12"/>
      <c r="I143" s="119"/>
      <c r="J143" s="116"/>
      <c r="K143" s="117"/>
      <c r="L143" s="33" t="str">
        <f t="shared" si="6"/>
        <v/>
      </c>
      <c r="M143" s="13" t="str">
        <f t="shared" si="7"/>
        <v/>
      </c>
    </row>
    <row r="144" spans="2:13" x14ac:dyDescent="0.35">
      <c r="B144" s="10">
        <v>145</v>
      </c>
      <c r="C144" s="10"/>
      <c r="D144" s="38"/>
      <c r="E144" s="38"/>
      <c r="F144" s="39"/>
      <c r="G144" s="232"/>
      <c r="H144" s="12"/>
      <c r="I144" s="119"/>
      <c r="J144" s="116"/>
      <c r="K144" s="117"/>
      <c r="L144" s="33" t="str">
        <f t="shared" si="6"/>
        <v/>
      </c>
      <c r="M144" s="13" t="str">
        <f t="shared" si="7"/>
        <v/>
      </c>
    </row>
    <row r="145" spans="2:13" x14ac:dyDescent="0.35">
      <c r="B145" s="10">
        <v>146</v>
      </c>
      <c r="C145" s="10"/>
      <c r="D145" s="38"/>
      <c r="E145" s="38"/>
      <c r="F145" s="39"/>
      <c r="G145" s="232"/>
      <c r="H145" s="12"/>
      <c r="I145" s="119"/>
      <c r="J145" s="116"/>
      <c r="K145" s="117"/>
      <c r="L145" s="33" t="str">
        <f t="shared" si="6"/>
        <v/>
      </c>
      <c r="M145" s="13" t="str">
        <f t="shared" si="7"/>
        <v/>
      </c>
    </row>
    <row r="146" spans="2:13" x14ac:dyDescent="0.35">
      <c r="B146" s="10">
        <v>147</v>
      </c>
      <c r="C146" s="10"/>
      <c r="D146" s="38"/>
      <c r="E146" s="38"/>
      <c r="F146" s="39"/>
      <c r="G146" s="232"/>
      <c r="H146" s="12"/>
      <c r="I146" s="119"/>
      <c r="J146" s="116"/>
      <c r="K146" s="117"/>
      <c r="L146" s="33" t="str">
        <f t="shared" si="6"/>
        <v/>
      </c>
      <c r="M146" s="13" t="str">
        <f t="shared" si="7"/>
        <v/>
      </c>
    </row>
    <row r="147" spans="2:13" x14ac:dyDescent="0.35">
      <c r="B147" s="10">
        <v>148</v>
      </c>
      <c r="C147" s="10"/>
      <c r="D147" s="38"/>
      <c r="E147" s="38"/>
      <c r="F147" s="39"/>
      <c r="G147" s="232"/>
      <c r="H147" s="12"/>
      <c r="I147" s="119"/>
      <c r="J147" s="116"/>
      <c r="K147" s="117"/>
      <c r="L147" s="33" t="str">
        <f t="shared" si="6"/>
        <v/>
      </c>
      <c r="M147" s="13" t="str">
        <f t="shared" si="7"/>
        <v/>
      </c>
    </row>
    <row r="148" spans="2:13" x14ac:dyDescent="0.35">
      <c r="B148" s="10">
        <v>149</v>
      </c>
      <c r="C148" s="10"/>
      <c r="D148" s="38"/>
      <c r="E148" s="38"/>
      <c r="F148" s="39"/>
      <c r="G148" s="232"/>
      <c r="H148" s="12"/>
      <c r="I148" s="119"/>
      <c r="J148" s="116"/>
      <c r="K148" s="117"/>
      <c r="L148" s="33" t="str">
        <f t="shared" si="6"/>
        <v/>
      </c>
      <c r="M148" s="13" t="str">
        <f t="shared" si="7"/>
        <v/>
      </c>
    </row>
    <row r="149" spans="2:13" x14ac:dyDescent="0.35">
      <c r="B149" s="10">
        <v>150</v>
      </c>
      <c r="C149" s="10"/>
      <c r="D149" s="38"/>
      <c r="E149" s="38"/>
      <c r="F149" s="39"/>
      <c r="G149" s="232"/>
      <c r="H149" s="12"/>
      <c r="I149" s="119"/>
      <c r="J149" s="116"/>
      <c r="K149" s="117"/>
      <c r="L149" s="33" t="str">
        <f t="shared" si="6"/>
        <v/>
      </c>
      <c r="M149" s="13" t="str">
        <f t="shared" si="7"/>
        <v/>
      </c>
    </row>
    <row r="150" spans="2:13" x14ac:dyDescent="0.35">
      <c r="B150" s="10">
        <v>151</v>
      </c>
      <c r="C150" s="10"/>
      <c r="D150" s="38"/>
      <c r="E150" s="38"/>
      <c r="F150" s="39"/>
      <c r="G150" s="232"/>
      <c r="H150" s="12"/>
      <c r="I150" s="119"/>
      <c r="J150" s="116"/>
      <c r="K150" s="117"/>
      <c r="L150" s="33" t="str">
        <f t="shared" si="6"/>
        <v/>
      </c>
      <c r="M150" s="13" t="str">
        <f t="shared" si="7"/>
        <v/>
      </c>
    </row>
    <row r="151" spans="2:13" x14ac:dyDescent="0.35">
      <c r="B151" s="10">
        <v>152</v>
      </c>
      <c r="C151" s="10"/>
      <c r="D151" s="38"/>
      <c r="E151" s="38"/>
      <c r="F151" s="39"/>
      <c r="G151" s="232"/>
      <c r="H151" s="12"/>
      <c r="I151" s="119"/>
      <c r="J151" s="116"/>
      <c r="K151" s="117"/>
      <c r="L151" s="33" t="str">
        <f t="shared" si="6"/>
        <v/>
      </c>
      <c r="M151" s="13" t="str">
        <f t="shared" si="7"/>
        <v/>
      </c>
    </row>
    <row r="152" spans="2:13" x14ac:dyDescent="0.35">
      <c r="B152" s="10">
        <v>153</v>
      </c>
      <c r="C152" s="10"/>
      <c r="D152" s="38"/>
      <c r="E152" s="38"/>
      <c r="F152" s="39"/>
      <c r="G152" s="232"/>
      <c r="H152" s="12"/>
      <c r="I152" s="119"/>
      <c r="J152" s="116"/>
      <c r="K152" s="117"/>
      <c r="L152" s="33" t="str">
        <f t="shared" si="6"/>
        <v/>
      </c>
      <c r="M152" s="13" t="str">
        <f t="shared" si="7"/>
        <v/>
      </c>
    </row>
    <row r="153" spans="2:13" x14ac:dyDescent="0.35">
      <c r="B153" s="10">
        <v>154</v>
      </c>
      <c r="C153" s="10"/>
      <c r="D153" s="38"/>
      <c r="E153" s="38"/>
      <c r="F153" s="39"/>
      <c r="G153" s="232"/>
      <c r="H153" s="12"/>
      <c r="I153" s="119"/>
      <c r="J153" s="116"/>
      <c r="K153" s="117"/>
      <c r="L153" s="33" t="str">
        <f t="shared" si="6"/>
        <v/>
      </c>
      <c r="M153" s="13" t="str">
        <f t="shared" si="7"/>
        <v/>
      </c>
    </row>
    <row r="154" spans="2:13" x14ac:dyDescent="0.35">
      <c r="B154" s="10">
        <v>155</v>
      </c>
      <c r="C154" s="10"/>
      <c r="D154" s="38"/>
      <c r="E154" s="38"/>
      <c r="F154" s="39"/>
      <c r="G154" s="232"/>
      <c r="H154" s="12"/>
      <c r="I154" s="119"/>
      <c r="J154" s="116"/>
      <c r="K154" s="117"/>
      <c r="L154" s="33" t="str">
        <f t="shared" si="6"/>
        <v/>
      </c>
      <c r="M154" s="13" t="str">
        <f t="shared" si="7"/>
        <v/>
      </c>
    </row>
    <row r="155" spans="2:13" x14ac:dyDescent="0.35">
      <c r="B155" s="10">
        <v>156</v>
      </c>
      <c r="C155" s="10"/>
      <c r="D155" s="38"/>
      <c r="E155" s="38"/>
      <c r="F155" s="39"/>
      <c r="G155" s="232"/>
      <c r="H155" s="12"/>
      <c r="I155" s="119"/>
      <c r="J155" s="116"/>
      <c r="K155" s="117"/>
      <c r="L155" s="33" t="str">
        <f t="shared" si="6"/>
        <v/>
      </c>
      <c r="M155" s="13" t="str">
        <f t="shared" si="7"/>
        <v/>
      </c>
    </row>
    <row r="156" spans="2:13" x14ac:dyDescent="0.35">
      <c r="B156" s="10">
        <v>157</v>
      </c>
      <c r="C156" s="10"/>
      <c r="D156" s="38"/>
      <c r="E156" s="38"/>
      <c r="F156" s="39"/>
      <c r="G156" s="232"/>
      <c r="H156" s="12"/>
      <c r="I156" s="119"/>
      <c r="J156" s="116"/>
      <c r="K156" s="117"/>
      <c r="L156" s="33" t="str">
        <f t="shared" si="6"/>
        <v/>
      </c>
      <c r="M156" s="13" t="str">
        <f t="shared" si="7"/>
        <v/>
      </c>
    </row>
    <row r="157" spans="2:13" x14ac:dyDescent="0.35">
      <c r="B157" s="10">
        <v>158</v>
      </c>
      <c r="C157" s="10"/>
      <c r="D157" s="38"/>
      <c r="E157" s="38"/>
      <c r="F157" s="39"/>
      <c r="G157" s="232"/>
      <c r="H157" s="12"/>
      <c r="I157" s="119"/>
      <c r="J157" s="116"/>
      <c r="K157" s="117"/>
      <c r="L157" s="33" t="str">
        <f t="shared" si="6"/>
        <v/>
      </c>
      <c r="M157" s="13" t="str">
        <f t="shared" si="7"/>
        <v/>
      </c>
    </row>
    <row r="158" spans="2:13" x14ac:dyDescent="0.35">
      <c r="B158" s="10">
        <v>159</v>
      </c>
      <c r="C158" s="10"/>
      <c r="D158" s="38"/>
      <c r="E158" s="38"/>
      <c r="F158" s="39"/>
      <c r="G158" s="232"/>
      <c r="H158" s="12"/>
      <c r="I158" s="119"/>
      <c r="J158" s="116"/>
      <c r="K158" s="117"/>
      <c r="L158" s="33" t="str">
        <f t="shared" si="6"/>
        <v/>
      </c>
      <c r="M158" s="13" t="str">
        <f t="shared" si="7"/>
        <v/>
      </c>
    </row>
    <row r="159" spans="2:13" x14ac:dyDescent="0.35">
      <c r="B159" s="10">
        <v>160</v>
      </c>
      <c r="C159" s="10"/>
      <c r="D159" s="38"/>
      <c r="E159" s="38"/>
      <c r="F159" s="39"/>
      <c r="G159" s="232"/>
      <c r="H159" s="12"/>
      <c r="I159" s="119"/>
      <c r="J159" s="116"/>
      <c r="K159" s="117"/>
      <c r="L159" s="33" t="str">
        <f t="shared" si="6"/>
        <v/>
      </c>
      <c r="M159" s="13" t="str">
        <f t="shared" si="7"/>
        <v/>
      </c>
    </row>
    <row r="160" spans="2:13" x14ac:dyDescent="0.35">
      <c r="B160" s="10">
        <v>161</v>
      </c>
      <c r="C160" s="10"/>
      <c r="D160" s="38"/>
      <c r="E160" s="38"/>
      <c r="F160" s="39"/>
      <c r="G160" s="232"/>
      <c r="H160" s="12"/>
      <c r="I160" s="119"/>
      <c r="J160" s="116"/>
      <c r="K160" s="117"/>
      <c r="L160" s="33" t="str">
        <f t="shared" si="6"/>
        <v/>
      </c>
      <c r="M160" s="13" t="str">
        <f t="shared" si="7"/>
        <v/>
      </c>
    </row>
    <row r="161" spans="2:13" x14ac:dyDescent="0.35">
      <c r="B161" s="10">
        <v>162</v>
      </c>
      <c r="C161" s="10"/>
      <c r="D161" s="38"/>
      <c r="E161" s="38"/>
      <c r="F161" s="39"/>
      <c r="G161" s="232"/>
      <c r="H161" s="12"/>
      <c r="I161" s="119"/>
      <c r="J161" s="116"/>
      <c r="K161" s="117"/>
      <c r="L161" s="33" t="str">
        <f t="shared" si="6"/>
        <v/>
      </c>
      <c r="M161" s="13" t="str">
        <f t="shared" si="7"/>
        <v/>
      </c>
    </row>
    <row r="162" spans="2:13" x14ac:dyDescent="0.35">
      <c r="B162" s="10">
        <v>163</v>
      </c>
      <c r="C162" s="10"/>
      <c r="D162" s="38"/>
      <c r="E162" s="38"/>
      <c r="F162" s="39"/>
      <c r="G162" s="232"/>
      <c r="H162" s="12"/>
      <c r="I162" s="119"/>
      <c r="J162" s="116"/>
      <c r="K162" s="117"/>
      <c r="L162" s="33" t="str">
        <f t="shared" si="6"/>
        <v/>
      </c>
      <c r="M162" s="13" t="str">
        <f t="shared" si="7"/>
        <v/>
      </c>
    </row>
    <row r="163" spans="2:13" x14ac:dyDescent="0.35">
      <c r="B163" s="10">
        <v>164</v>
      </c>
      <c r="C163" s="10"/>
      <c r="D163" s="38"/>
      <c r="E163" s="38"/>
      <c r="F163" s="39"/>
      <c r="G163" s="232"/>
      <c r="H163" s="12"/>
      <c r="I163" s="119"/>
      <c r="J163" s="116"/>
      <c r="K163" s="117"/>
      <c r="L163" s="33" t="str">
        <f t="shared" si="6"/>
        <v/>
      </c>
      <c r="M163" s="13" t="str">
        <f t="shared" si="7"/>
        <v/>
      </c>
    </row>
    <row r="164" spans="2:13" x14ac:dyDescent="0.35">
      <c r="B164" s="10">
        <v>165</v>
      </c>
      <c r="C164" s="10"/>
      <c r="D164" s="38"/>
      <c r="E164" s="38"/>
      <c r="F164" s="39"/>
      <c r="G164" s="232"/>
      <c r="H164" s="12"/>
      <c r="I164" s="119"/>
      <c r="J164" s="116"/>
      <c r="K164" s="117"/>
      <c r="L164" s="33" t="str">
        <f t="shared" si="6"/>
        <v/>
      </c>
      <c r="M164" s="13" t="str">
        <f t="shared" si="7"/>
        <v/>
      </c>
    </row>
    <row r="165" spans="2:13" x14ac:dyDescent="0.35">
      <c r="B165" s="10">
        <v>166</v>
      </c>
      <c r="C165" s="10"/>
      <c r="D165" s="38"/>
      <c r="E165" s="38"/>
      <c r="F165" s="39"/>
      <c r="G165" s="232"/>
      <c r="H165" s="12"/>
      <c r="I165" s="119"/>
      <c r="J165" s="116"/>
      <c r="K165" s="117"/>
      <c r="L165" s="33" t="str">
        <f t="shared" si="6"/>
        <v/>
      </c>
      <c r="M165" s="13" t="str">
        <f t="shared" si="7"/>
        <v/>
      </c>
    </row>
    <row r="166" spans="2:13" x14ac:dyDescent="0.35">
      <c r="B166" s="10">
        <v>167</v>
      </c>
      <c r="C166" s="10"/>
      <c r="D166" s="38"/>
      <c r="E166" s="38"/>
      <c r="F166" s="39"/>
      <c r="G166" s="232"/>
      <c r="H166" s="12"/>
      <c r="I166" s="119"/>
      <c r="J166" s="116"/>
      <c r="K166" s="117"/>
      <c r="L166" s="33" t="str">
        <f t="shared" si="6"/>
        <v/>
      </c>
      <c r="M166" s="13" t="str">
        <f t="shared" si="7"/>
        <v/>
      </c>
    </row>
    <row r="167" spans="2:13" x14ac:dyDescent="0.35">
      <c r="B167" s="10">
        <v>168</v>
      </c>
      <c r="C167" s="10"/>
      <c r="D167" s="38"/>
      <c r="E167" s="38"/>
      <c r="F167" s="39"/>
      <c r="G167" s="232"/>
      <c r="H167" s="12"/>
      <c r="I167" s="119"/>
      <c r="J167" s="116"/>
      <c r="K167" s="117"/>
      <c r="L167" s="33" t="str">
        <f t="shared" si="6"/>
        <v/>
      </c>
      <c r="M167" s="13" t="str">
        <f t="shared" si="7"/>
        <v/>
      </c>
    </row>
    <row r="168" spans="2:13" x14ac:dyDescent="0.35">
      <c r="B168" s="10">
        <v>169</v>
      </c>
      <c r="C168" s="10"/>
      <c r="D168" s="38"/>
      <c r="E168" s="38"/>
      <c r="F168" s="39"/>
      <c r="G168" s="232"/>
      <c r="H168" s="12"/>
      <c r="I168" s="119"/>
      <c r="J168" s="116"/>
      <c r="K168" s="117"/>
      <c r="L168" s="33" t="str">
        <f t="shared" si="6"/>
        <v/>
      </c>
      <c r="M168" s="13" t="str">
        <f t="shared" si="7"/>
        <v/>
      </c>
    </row>
    <row r="169" spans="2:13" x14ac:dyDescent="0.35">
      <c r="B169" s="10">
        <v>170</v>
      </c>
      <c r="C169" s="10"/>
      <c r="D169" s="38"/>
      <c r="E169" s="38"/>
      <c r="F169" s="39"/>
      <c r="G169" s="232"/>
      <c r="H169" s="12"/>
      <c r="I169" s="119"/>
      <c r="J169" s="116"/>
      <c r="K169" s="117"/>
      <c r="L169" s="33" t="str">
        <f t="shared" si="6"/>
        <v/>
      </c>
      <c r="M169" s="13" t="str">
        <f t="shared" si="7"/>
        <v/>
      </c>
    </row>
    <row r="170" spans="2:13" x14ac:dyDescent="0.35">
      <c r="B170" s="10">
        <v>171</v>
      </c>
      <c r="C170" s="10"/>
      <c r="D170" s="38"/>
      <c r="E170" s="38"/>
      <c r="F170" s="39"/>
      <c r="G170" s="232"/>
      <c r="H170" s="12"/>
      <c r="I170" s="119"/>
      <c r="J170" s="116"/>
      <c r="K170" s="117"/>
      <c r="L170" s="33" t="str">
        <f t="shared" si="6"/>
        <v/>
      </c>
      <c r="M170" s="13" t="str">
        <f t="shared" si="7"/>
        <v/>
      </c>
    </row>
    <row r="171" spans="2:13" x14ac:dyDescent="0.35">
      <c r="B171" s="10">
        <v>172</v>
      </c>
      <c r="C171" s="10"/>
      <c r="D171" s="38"/>
      <c r="E171" s="38"/>
      <c r="F171" s="39"/>
      <c r="G171" s="232"/>
      <c r="H171" s="12"/>
      <c r="I171" s="119"/>
      <c r="J171" s="116"/>
      <c r="K171" s="117"/>
      <c r="L171" s="33" t="str">
        <f t="shared" si="6"/>
        <v/>
      </c>
      <c r="M171" s="13" t="str">
        <f t="shared" si="7"/>
        <v/>
      </c>
    </row>
    <row r="172" spans="2:13" x14ac:dyDescent="0.35">
      <c r="B172" s="10">
        <v>173</v>
      </c>
      <c r="C172" s="10"/>
      <c r="D172" s="38"/>
      <c r="E172" s="38"/>
      <c r="F172" s="39"/>
      <c r="G172" s="232"/>
      <c r="H172" s="12"/>
      <c r="I172" s="119"/>
      <c r="J172" s="116"/>
      <c r="K172" s="117"/>
      <c r="L172" s="33" t="str">
        <f t="shared" si="6"/>
        <v/>
      </c>
      <c r="M172" s="13" t="str">
        <f t="shared" si="7"/>
        <v/>
      </c>
    </row>
    <row r="173" spans="2:13" x14ac:dyDescent="0.35">
      <c r="B173" s="10">
        <v>174</v>
      </c>
      <c r="C173" s="10"/>
      <c r="D173" s="38"/>
      <c r="E173" s="38"/>
      <c r="F173" s="39"/>
      <c r="G173" s="232"/>
      <c r="H173" s="12"/>
      <c r="I173" s="119"/>
      <c r="J173" s="116"/>
      <c r="K173" s="117"/>
      <c r="L173" s="33" t="str">
        <f t="shared" si="6"/>
        <v/>
      </c>
      <c r="M173" s="13" t="str">
        <f t="shared" si="7"/>
        <v/>
      </c>
    </row>
    <row r="174" spans="2:13" x14ac:dyDescent="0.35">
      <c r="B174" s="10">
        <v>175</v>
      </c>
      <c r="C174" s="10"/>
      <c r="D174" s="38"/>
      <c r="E174" s="38"/>
      <c r="F174" s="39"/>
      <c r="G174" s="232"/>
      <c r="H174" s="12"/>
      <c r="I174" s="119"/>
      <c r="J174" s="116"/>
      <c r="K174" s="117"/>
      <c r="L174" s="33" t="str">
        <f t="shared" si="6"/>
        <v/>
      </c>
      <c r="M174" s="13" t="str">
        <f t="shared" si="7"/>
        <v/>
      </c>
    </row>
    <row r="175" spans="2:13" x14ac:dyDescent="0.35">
      <c r="B175" s="10">
        <v>176</v>
      </c>
      <c r="C175" s="10"/>
      <c r="D175" s="38"/>
      <c r="E175" s="38"/>
      <c r="F175" s="39"/>
      <c r="G175" s="232"/>
      <c r="H175" s="12"/>
      <c r="I175" s="119"/>
      <c r="J175" s="116"/>
      <c r="K175" s="117"/>
      <c r="L175" s="33" t="str">
        <f t="shared" si="6"/>
        <v/>
      </c>
      <c r="M175" s="13" t="str">
        <f t="shared" si="7"/>
        <v/>
      </c>
    </row>
    <row r="176" spans="2:13" x14ac:dyDescent="0.35">
      <c r="B176" s="10">
        <v>177</v>
      </c>
      <c r="C176" s="10"/>
      <c r="D176" s="38"/>
      <c r="E176" s="38"/>
      <c r="F176" s="39"/>
      <c r="G176" s="232"/>
      <c r="H176" s="12"/>
      <c r="I176" s="119"/>
      <c r="J176" s="116"/>
      <c r="K176" s="117"/>
      <c r="L176" s="33" t="str">
        <f t="shared" si="6"/>
        <v/>
      </c>
      <c r="M176" s="13" t="str">
        <f t="shared" si="7"/>
        <v/>
      </c>
    </row>
    <row r="177" spans="2:13" x14ac:dyDescent="0.35">
      <c r="B177" s="10">
        <v>178</v>
      </c>
      <c r="C177" s="10"/>
      <c r="D177" s="38"/>
      <c r="E177" s="38"/>
      <c r="F177" s="39"/>
      <c r="G177" s="232"/>
      <c r="H177" s="12"/>
      <c r="I177" s="119"/>
      <c r="J177" s="116"/>
      <c r="K177" s="117"/>
      <c r="L177" s="33" t="str">
        <f t="shared" si="6"/>
        <v/>
      </c>
      <c r="M177" s="13" t="str">
        <f t="shared" si="7"/>
        <v/>
      </c>
    </row>
    <row r="178" spans="2:13" x14ac:dyDescent="0.35">
      <c r="B178" s="10">
        <v>179</v>
      </c>
      <c r="C178" s="10"/>
      <c r="D178" s="38"/>
      <c r="E178" s="38"/>
      <c r="F178" s="39"/>
      <c r="G178" s="232"/>
      <c r="H178" s="12"/>
      <c r="I178" s="119"/>
      <c r="J178" s="116"/>
      <c r="K178" s="117"/>
      <c r="L178" s="33" t="str">
        <f t="shared" si="6"/>
        <v/>
      </c>
      <c r="M178" s="13" t="str">
        <f t="shared" si="7"/>
        <v/>
      </c>
    </row>
    <row r="179" spans="2:13" x14ac:dyDescent="0.35">
      <c r="B179" s="10">
        <v>180</v>
      </c>
      <c r="C179" s="10"/>
      <c r="D179" s="38"/>
      <c r="E179" s="38"/>
      <c r="F179" s="39"/>
      <c r="G179" s="232"/>
      <c r="H179" s="12"/>
      <c r="I179" s="119"/>
      <c r="J179" s="116"/>
      <c r="K179" s="117"/>
      <c r="L179" s="33" t="str">
        <f t="shared" si="6"/>
        <v/>
      </c>
      <c r="M179" s="13" t="str">
        <f t="shared" si="7"/>
        <v/>
      </c>
    </row>
    <row r="180" spans="2:13" x14ac:dyDescent="0.35">
      <c r="B180" s="10">
        <v>181</v>
      </c>
      <c r="C180" s="10"/>
      <c r="D180" s="38"/>
      <c r="E180" s="38"/>
      <c r="F180" s="39"/>
      <c r="G180" s="232"/>
      <c r="H180" s="12"/>
      <c r="I180" s="119"/>
      <c r="J180" s="116"/>
      <c r="K180" s="117"/>
      <c r="L180" s="33" t="str">
        <f t="shared" si="6"/>
        <v/>
      </c>
      <c r="M180" s="13" t="str">
        <f t="shared" si="7"/>
        <v/>
      </c>
    </row>
    <row r="181" spans="2:13" x14ac:dyDescent="0.35">
      <c r="B181" s="10">
        <v>182</v>
      </c>
      <c r="C181" s="10"/>
      <c r="D181" s="38"/>
      <c r="E181" s="38"/>
      <c r="F181" s="39"/>
      <c r="G181" s="232"/>
      <c r="H181" s="12"/>
      <c r="I181" s="119"/>
      <c r="J181" s="116"/>
      <c r="K181" s="117"/>
      <c r="L181" s="33" t="str">
        <f t="shared" si="6"/>
        <v/>
      </c>
      <c r="M181" s="13" t="str">
        <f t="shared" si="7"/>
        <v/>
      </c>
    </row>
    <row r="182" spans="2:13" x14ac:dyDescent="0.35">
      <c r="B182" s="10">
        <v>183</v>
      </c>
      <c r="C182" s="10"/>
      <c r="D182" s="38"/>
      <c r="E182" s="38"/>
      <c r="F182" s="39"/>
      <c r="G182" s="232"/>
      <c r="H182" s="12"/>
      <c r="I182" s="119"/>
      <c r="J182" s="116"/>
      <c r="K182" s="117"/>
      <c r="L182" s="33" t="str">
        <f t="shared" si="6"/>
        <v/>
      </c>
      <c r="M182" s="13" t="str">
        <f t="shared" si="7"/>
        <v/>
      </c>
    </row>
    <row r="183" spans="2:13" x14ac:dyDescent="0.35">
      <c r="B183" s="10">
        <v>184</v>
      </c>
      <c r="C183" s="10"/>
      <c r="D183" s="38"/>
      <c r="E183" s="38"/>
      <c r="F183" s="39"/>
      <c r="G183" s="232"/>
      <c r="H183" s="12"/>
      <c r="I183" s="119"/>
      <c r="J183" s="116"/>
      <c r="K183" s="117"/>
      <c r="L183" s="33" t="str">
        <f t="shared" si="6"/>
        <v/>
      </c>
      <c r="M183" s="13" t="str">
        <f t="shared" si="7"/>
        <v/>
      </c>
    </row>
    <row r="184" spans="2:13" x14ac:dyDescent="0.35">
      <c r="B184" s="10">
        <v>185</v>
      </c>
      <c r="C184" s="10"/>
      <c r="D184" s="38"/>
      <c r="E184" s="38"/>
      <c r="F184" s="39"/>
      <c r="G184" s="232"/>
      <c r="H184" s="12"/>
      <c r="I184" s="119"/>
      <c r="J184" s="116"/>
      <c r="K184" s="117"/>
      <c r="L184" s="33" t="str">
        <f t="shared" si="6"/>
        <v/>
      </c>
      <c r="M184" s="13" t="str">
        <f t="shared" si="7"/>
        <v/>
      </c>
    </row>
    <row r="185" spans="2:13" x14ac:dyDescent="0.35">
      <c r="B185" s="10">
        <v>186</v>
      </c>
      <c r="C185" s="10"/>
      <c r="D185" s="38"/>
      <c r="E185" s="38"/>
      <c r="F185" s="39"/>
      <c r="G185" s="232"/>
      <c r="H185" s="12"/>
      <c r="I185" s="119"/>
      <c r="J185" s="116"/>
      <c r="K185" s="117"/>
      <c r="L185" s="33" t="str">
        <f t="shared" si="6"/>
        <v/>
      </c>
      <c r="M185" s="13" t="str">
        <f t="shared" si="7"/>
        <v/>
      </c>
    </row>
    <row r="186" spans="2:13" x14ac:dyDescent="0.35">
      <c r="B186" s="10">
        <v>187</v>
      </c>
      <c r="C186" s="10"/>
      <c r="D186" s="38"/>
      <c r="E186" s="38"/>
      <c r="F186" s="39"/>
      <c r="G186" s="232"/>
      <c r="H186" s="12"/>
      <c r="I186" s="119"/>
      <c r="J186" s="116"/>
      <c r="K186" s="117"/>
      <c r="L186" s="33" t="str">
        <f t="shared" si="6"/>
        <v/>
      </c>
      <c r="M186" s="13" t="str">
        <f t="shared" si="7"/>
        <v/>
      </c>
    </row>
    <row r="187" spans="2:13" x14ac:dyDescent="0.35">
      <c r="B187" s="10">
        <v>188</v>
      </c>
      <c r="C187" s="10"/>
      <c r="D187" s="38"/>
      <c r="E187" s="38"/>
      <c r="F187" s="39"/>
      <c r="G187" s="232"/>
      <c r="H187" s="12"/>
      <c r="I187" s="119"/>
      <c r="J187" s="116"/>
      <c r="K187" s="117"/>
      <c r="L187" s="33" t="str">
        <f t="shared" si="6"/>
        <v/>
      </c>
      <c r="M187" s="13" t="str">
        <f t="shared" si="7"/>
        <v/>
      </c>
    </row>
    <row r="188" spans="2:13" x14ac:dyDescent="0.35">
      <c r="B188" s="10">
        <v>189</v>
      </c>
      <c r="C188" s="10"/>
      <c r="D188" s="38"/>
      <c r="E188" s="38"/>
      <c r="F188" s="39"/>
      <c r="G188" s="232"/>
      <c r="H188" s="12"/>
      <c r="I188" s="119"/>
      <c r="J188" s="116"/>
      <c r="K188" s="117"/>
      <c r="L188" s="33" t="str">
        <f t="shared" si="6"/>
        <v/>
      </c>
      <c r="M188" s="13" t="str">
        <f t="shared" si="7"/>
        <v/>
      </c>
    </row>
    <row r="189" spans="2:13" x14ac:dyDescent="0.35">
      <c r="B189" s="10">
        <v>190</v>
      </c>
      <c r="C189" s="10"/>
      <c r="D189" s="38"/>
      <c r="E189" s="38"/>
      <c r="F189" s="39"/>
      <c r="G189" s="232"/>
      <c r="H189" s="12"/>
      <c r="I189" s="119"/>
      <c r="J189" s="116"/>
      <c r="K189" s="117"/>
      <c r="L189" s="33" t="str">
        <f t="shared" si="6"/>
        <v/>
      </c>
      <c r="M189" s="13" t="str">
        <f t="shared" si="7"/>
        <v/>
      </c>
    </row>
    <row r="190" spans="2:13" x14ac:dyDescent="0.35">
      <c r="B190" s="10">
        <v>191</v>
      </c>
      <c r="C190" s="10"/>
      <c r="D190" s="38"/>
      <c r="E190" s="38"/>
      <c r="F190" s="39"/>
      <c r="G190" s="232"/>
      <c r="H190" s="12"/>
      <c r="I190" s="119"/>
      <c r="J190" s="116"/>
      <c r="K190" s="117"/>
      <c r="L190" s="33" t="str">
        <f t="shared" si="6"/>
        <v/>
      </c>
      <c r="M190" s="13" t="str">
        <f t="shared" si="7"/>
        <v/>
      </c>
    </row>
    <row r="191" spans="2:13" x14ac:dyDescent="0.35">
      <c r="B191" s="10">
        <v>192</v>
      </c>
      <c r="C191" s="10"/>
      <c r="D191" s="38"/>
      <c r="E191" s="38"/>
      <c r="F191" s="39"/>
      <c r="G191" s="232"/>
      <c r="H191" s="12"/>
      <c r="I191" s="119"/>
      <c r="J191" s="116"/>
      <c r="K191" s="117"/>
      <c r="L191" s="33" t="str">
        <f t="shared" si="6"/>
        <v/>
      </c>
      <c r="M191" s="13" t="str">
        <f t="shared" si="7"/>
        <v/>
      </c>
    </row>
    <row r="192" spans="2:13" x14ac:dyDescent="0.35">
      <c r="B192" s="10">
        <v>193</v>
      </c>
      <c r="C192" s="10"/>
      <c r="D192" s="38"/>
      <c r="E192" s="38"/>
      <c r="F192" s="39"/>
      <c r="G192" s="232"/>
      <c r="H192" s="12"/>
      <c r="I192" s="119"/>
      <c r="J192" s="116"/>
      <c r="K192" s="117"/>
      <c r="L192" s="33" t="str">
        <f t="shared" si="6"/>
        <v/>
      </c>
      <c r="M192" s="13" t="str">
        <f t="shared" si="7"/>
        <v/>
      </c>
    </row>
    <row r="193" spans="2:13" x14ac:dyDescent="0.35">
      <c r="B193" s="10">
        <v>194</v>
      </c>
      <c r="C193" s="10"/>
      <c r="D193" s="38"/>
      <c r="E193" s="38"/>
      <c r="F193" s="39"/>
      <c r="G193" s="232"/>
      <c r="H193" s="12"/>
      <c r="I193" s="119"/>
      <c r="J193" s="116"/>
      <c r="K193" s="117"/>
      <c r="L193" s="33" t="str">
        <f t="shared" si="6"/>
        <v/>
      </c>
      <c r="M193" s="13" t="str">
        <f t="shared" si="7"/>
        <v/>
      </c>
    </row>
    <row r="194" spans="2:13" x14ac:dyDescent="0.35">
      <c r="B194" s="10">
        <v>195</v>
      </c>
      <c r="C194" s="10"/>
      <c r="D194" s="38"/>
      <c r="E194" s="38"/>
      <c r="F194" s="39"/>
      <c r="G194" s="232"/>
      <c r="H194" s="12"/>
      <c r="I194" s="119"/>
      <c r="J194" s="116"/>
      <c r="K194" s="117"/>
      <c r="L194" s="33" t="str">
        <f t="shared" ref="L194:L257" si="8">IF(OR(J194="", K194=""), "", NETWORKDAYS(J194,K194))</f>
        <v/>
      </c>
      <c r="M194" s="13" t="str">
        <f t="shared" ref="M194:M257" si="9">IF(I194="SEA", 10, IF(I194="AIR", 5, ""))</f>
        <v/>
      </c>
    </row>
    <row r="195" spans="2:13" x14ac:dyDescent="0.35">
      <c r="B195" s="10">
        <v>196</v>
      </c>
      <c r="C195" s="10"/>
      <c r="D195" s="38"/>
      <c r="E195" s="38"/>
      <c r="F195" s="39"/>
      <c r="G195" s="232"/>
      <c r="H195" s="12"/>
      <c r="I195" s="119"/>
      <c r="J195" s="116"/>
      <c r="K195" s="117"/>
      <c r="L195" s="33" t="str">
        <f t="shared" si="8"/>
        <v/>
      </c>
      <c r="M195" s="13" t="str">
        <f t="shared" si="9"/>
        <v/>
      </c>
    </row>
    <row r="196" spans="2:13" x14ac:dyDescent="0.35">
      <c r="B196" s="10">
        <v>197</v>
      </c>
      <c r="C196" s="10"/>
      <c r="D196" s="38"/>
      <c r="E196" s="38"/>
      <c r="F196" s="39"/>
      <c r="G196" s="232"/>
      <c r="H196" s="12"/>
      <c r="I196" s="119"/>
      <c r="J196" s="116"/>
      <c r="K196" s="117"/>
      <c r="L196" s="33" t="str">
        <f t="shared" si="8"/>
        <v/>
      </c>
      <c r="M196" s="13" t="str">
        <f t="shared" si="9"/>
        <v/>
      </c>
    </row>
    <row r="197" spans="2:13" x14ac:dyDescent="0.35">
      <c r="B197" s="10">
        <v>198</v>
      </c>
      <c r="C197" s="10"/>
      <c r="D197" s="38"/>
      <c r="E197" s="38"/>
      <c r="F197" s="39"/>
      <c r="G197" s="232"/>
      <c r="H197" s="12"/>
      <c r="I197" s="119"/>
      <c r="J197" s="116"/>
      <c r="K197" s="117"/>
      <c r="L197" s="33" t="str">
        <f t="shared" si="8"/>
        <v/>
      </c>
      <c r="M197" s="13" t="str">
        <f t="shared" si="9"/>
        <v/>
      </c>
    </row>
    <row r="198" spans="2:13" x14ac:dyDescent="0.35">
      <c r="B198" s="10">
        <v>199</v>
      </c>
      <c r="C198" s="10"/>
      <c r="D198" s="38"/>
      <c r="E198" s="38"/>
      <c r="F198" s="39"/>
      <c r="G198" s="232"/>
      <c r="H198" s="12"/>
      <c r="I198" s="119"/>
      <c r="J198" s="116"/>
      <c r="K198" s="117"/>
      <c r="L198" s="33" t="str">
        <f t="shared" si="8"/>
        <v/>
      </c>
      <c r="M198" s="13" t="str">
        <f t="shared" si="9"/>
        <v/>
      </c>
    </row>
    <row r="199" spans="2:13" x14ac:dyDescent="0.35">
      <c r="B199" s="10">
        <v>200</v>
      </c>
      <c r="C199" s="10"/>
      <c r="D199" s="38"/>
      <c r="E199" s="38"/>
      <c r="F199" s="39"/>
      <c r="G199" s="232"/>
      <c r="H199" s="12"/>
      <c r="I199" s="119"/>
      <c r="J199" s="116"/>
      <c r="K199" s="117"/>
      <c r="L199" s="33" t="str">
        <f t="shared" si="8"/>
        <v/>
      </c>
      <c r="M199" s="13" t="str">
        <f t="shared" si="9"/>
        <v/>
      </c>
    </row>
    <row r="200" spans="2:13" x14ac:dyDescent="0.35">
      <c r="B200" s="10">
        <v>201</v>
      </c>
      <c r="C200" s="10"/>
      <c r="D200" s="38"/>
      <c r="E200" s="38"/>
      <c r="F200" s="39"/>
      <c r="G200" s="232"/>
      <c r="H200" s="12"/>
      <c r="I200" s="119"/>
      <c r="J200" s="116"/>
      <c r="K200" s="117"/>
      <c r="L200" s="33" t="str">
        <f t="shared" si="8"/>
        <v/>
      </c>
      <c r="M200" s="13" t="str">
        <f t="shared" si="9"/>
        <v/>
      </c>
    </row>
    <row r="201" spans="2:13" x14ac:dyDescent="0.35">
      <c r="B201" s="10">
        <v>202</v>
      </c>
      <c r="C201" s="10"/>
      <c r="D201" s="38"/>
      <c r="E201" s="38"/>
      <c r="F201" s="39"/>
      <c r="G201" s="232"/>
      <c r="H201" s="12"/>
      <c r="I201" s="119"/>
      <c r="J201" s="116"/>
      <c r="K201" s="117"/>
      <c r="L201" s="33" t="str">
        <f t="shared" si="8"/>
        <v/>
      </c>
      <c r="M201" s="13" t="str">
        <f t="shared" si="9"/>
        <v/>
      </c>
    </row>
    <row r="202" spans="2:13" x14ac:dyDescent="0.35">
      <c r="B202" s="10">
        <v>203</v>
      </c>
      <c r="C202" s="10"/>
      <c r="D202" s="38"/>
      <c r="E202" s="38"/>
      <c r="F202" s="39"/>
      <c r="G202" s="232"/>
      <c r="H202" s="12"/>
      <c r="I202" s="119"/>
      <c r="J202" s="116"/>
      <c r="K202" s="117"/>
      <c r="L202" s="33" t="str">
        <f t="shared" si="8"/>
        <v/>
      </c>
      <c r="M202" s="13" t="str">
        <f t="shared" si="9"/>
        <v/>
      </c>
    </row>
    <row r="203" spans="2:13" x14ac:dyDescent="0.35">
      <c r="B203" s="10">
        <v>204</v>
      </c>
      <c r="C203" s="10"/>
      <c r="D203" s="38"/>
      <c r="E203" s="38"/>
      <c r="F203" s="39"/>
      <c r="G203" s="232"/>
      <c r="H203" s="12"/>
      <c r="I203" s="119"/>
      <c r="J203" s="116"/>
      <c r="K203" s="117"/>
      <c r="L203" s="33" t="str">
        <f t="shared" si="8"/>
        <v/>
      </c>
      <c r="M203" s="13" t="str">
        <f t="shared" si="9"/>
        <v/>
      </c>
    </row>
    <row r="204" spans="2:13" x14ac:dyDescent="0.35">
      <c r="B204" s="10">
        <v>205</v>
      </c>
      <c r="C204" s="10"/>
      <c r="D204" s="38"/>
      <c r="E204" s="38"/>
      <c r="F204" s="39"/>
      <c r="G204" s="232"/>
      <c r="H204" s="12"/>
      <c r="I204" s="119"/>
      <c r="J204" s="116"/>
      <c r="K204" s="117"/>
      <c r="L204" s="33" t="str">
        <f t="shared" si="8"/>
        <v/>
      </c>
      <c r="M204" s="13" t="str">
        <f t="shared" si="9"/>
        <v/>
      </c>
    </row>
    <row r="205" spans="2:13" x14ac:dyDescent="0.35">
      <c r="B205" s="10">
        <v>206</v>
      </c>
      <c r="C205" s="10"/>
      <c r="D205" s="38"/>
      <c r="E205" s="38"/>
      <c r="F205" s="39"/>
      <c r="G205" s="232"/>
      <c r="H205" s="12"/>
      <c r="I205" s="119"/>
      <c r="J205" s="116"/>
      <c r="K205" s="117"/>
      <c r="L205" s="33" t="str">
        <f t="shared" si="8"/>
        <v/>
      </c>
      <c r="M205" s="13" t="str">
        <f t="shared" si="9"/>
        <v/>
      </c>
    </row>
    <row r="206" spans="2:13" x14ac:dyDescent="0.35">
      <c r="B206" s="10">
        <v>207</v>
      </c>
      <c r="C206" s="10"/>
      <c r="D206" s="38"/>
      <c r="E206" s="38"/>
      <c r="F206" s="39"/>
      <c r="G206" s="232"/>
      <c r="H206" s="12"/>
      <c r="I206" s="119"/>
      <c r="J206" s="116"/>
      <c r="K206" s="117"/>
      <c r="L206" s="33" t="str">
        <f t="shared" si="8"/>
        <v/>
      </c>
      <c r="M206" s="13" t="str">
        <f t="shared" si="9"/>
        <v/>
      </c>
    </row>
    <row r="207" spans="2:13" x14ac:dyDescent="0.35">
      <c r="B207" s="10">
        <v>208</v>
      </c>
      <c r="C207" s="10"/>
      <c r="D207" s="38"/>
      <c r="E207" s="38"/>
      <c r="F207" s="39"/>
      <c r="G207" s="232"/>
      <c r="H207" s="12"/>
      <c r="I207" s="119"/>
      <c r="J207" s="116"/>
      <c r="K207" s="117"/>
      <c r="L207" s="33" t="str">
        <f t="shared" si="8"/>
        <v/>
      </c>
      <c r="M207" s="13" t="str">
        <f t="shared" si="9"/>
        <v/>
      </c>
    </row>
    <row r="208" spans="2:13" x14ac:dyDescent="0.35">
      <c r="B208" s="10">
        <v>209</v>
      </c>
      <c r="C208" s="10"/>
      <c r="D208" s="38"/>
      <c r="E208" s="38"/>
      <c r="F208" s="39"/>
      <c r="G208" s="232"/>
      <c r="H208" s="12"/>
      <c r="I208" s="119"/>
      <c r="J208" s="116"/>
      <c r="K208" s="117"/>
      <c r="L208" s="33" t="str">
        <f t="shared" si="8"/>
        <v/>
      </c>
      <c r="M208" s="13" t="str">
        <f t="shared" si="9"/>
        <v/>
      </c>
    </row>
    <row r="209" spans="2:13" x14ac:dyDescent="0.35">
      <c r="B209" s="10">
        <v>210</v>
      </c>
      <c r="C209" s="10"/>
      <c r="D209" s="38"/>
      <c r="E209" s="38"/>
      <c r="F209" s="39"/>
      <c r="G209" s="232"/>
      <c r="H209" s="12"/>
      <c r="I209" s="119"/>
      <c r="J209" s="116"/>
      <c r="K209" s="117"/>
      <c r="L209" s="33" t="str">
        <f t="shared" si="8"/>
        <v/>
      </c>
      <c r="M209" s="13" t="str">
        <f t="shared" si="9"/>
        <v/>
      </c>
    </row>
    <row r="210" spans="2:13" x14ac:dyDescent="0.35">
      <c r="B210" s="10">
        <v>211</v>
      </c>
      <c r="C210" s="10"/>
      <c r="D210" s="38"/>
      <c r="E210" s="38"/>
      <c r="F210" s="39"/>
      <c r="G210" s="232"/>
      <c r="H210" s="12"/>
      <c r="I210" s="119"/>
      <c r="J210" s="116"/>
      <c r="K210" s="117"/>
      <c r="L210" s="33" t="str">
        <f t="shared" si="8"/>
        <v/>
      </c>
      <c r="M210" s="13" t="str">
        <f t="shared" si="9"/>
        <v/>
      </c>
    </row>
    <row r="211" spans="2:13" x14ac:dyDescent="0.35">
      <c r="B211" s="10">
        <v>212</v>
      </c>
      <c r="C211" s="10"/>
      <c r="D211" s="38"/>
      <c r="E211" s="38"/>
      <c r="F211" s="39"/>
      <c r="G211" s="232"/>
      <c r="H211" s="12"/>
      <c r="I211" s="119"/>
      <c r="J211" s="116"/>
      <c r="K211" s="117"/>
      <c r="L211" s="33" t="str">
        <f t="shared" si="8"/>
        <v/>
      </c>
      <c r="M211" s="13" t="str">
        <f t="shared" si="9"/>
        <v/>
      </c>
    </row>
    <row r="212" spans="2:13" x14ac:dyDescent="0.35">
      <c r="B212" s="10">
        <v>213</v>
      </c>
      <c r="C212" s="10"/>
      <c r="D212" s="38"/>
      <c r="E212" s="38"/>
      <c r="F212" s="39"/>
      <c r="G212" s="232"/>
      <c r="H212" s="12"/>
      <c r="I212" s="119"/>
      <c r="J212" s="116"/>
      <c r="K212" s="117"/>
      <c r="L212" s="33" t="str">
        <f t="shared" si="8"/>
        <v/>
      </c>
      <c r="M212" s="13" t="str">
        <f t="shared" si="9"/>
        <v/>
      </c>
    </row>
    <row r="213" spans="2:13" x14ac:dyDescent="0.35">
      <c r="B213" s="10">
        <v>214</v>
      </c>
      <c r="C213" s="10"/>
      <c r="D213" s="38"/>
      <c r="E213" s="38"/>
      <c r="F213" s="39"/>
      <c r="G213" s="232"/>
      <c r="H213" s="12"/>
      <c r="I213" s="119"/>
      <c r="J213" s="116"/>
      <c r="K213" s="117"/>
      <c r="L213" s="33" t="str">
        <f t="shared" si="8"/>
        <v/>
      </c>
      <c r="M213" s="13" t="str">
        <f t="shared" si="9"/>
        <v/>
      </c>
    </row>
    <row r="214" spans="2:13" x14ac:dyDescent="0.35">
      <c r="B214" s="10">
        <v>215</v>
      </c>
      <c r="C214" s="10"/>
      <c r="D214" s="38"/>
      <c r="E214" s="38"/>
      <c r="F214" s="39"/>
      <c r="G214" s="232"/>
      <c r="H214" s="12"/>
      <c r="I214" s="119"/>
      <c r="J214" s="116"/>
      <c r="K214" s="117"/>
      <c r="L214" s="33" t="str">
        <f t="shared" si="8"/>
        <v/>
      </c>
      <c r="M214" s="13" t="str">
        <f t="shared" si="9"/>
        <v/>
      </c>
    </row>
    <row r="215" spans="2:13" x14ac:dyDescent="0.35">
      <c r="B215" s="10">
        <v>216</v>
      </c>
      <c r="C215" s="10"/>
      <c r="D215" s="38"/>
      <c r="E215" s="38"/>
      <c r="F215" s="39"/>
      <c r="G215" s="232"/>
      <c r="H215" s="12"/>
      <c r="I215" s="119"/>
      <c r="J215" s="116"/>
      <c r="K215" s="117"/>
      <c r="L215" s="33" t="str">
        <f t="shared" si="8"/>
        <v/>
      </c>
      <c r="M215" s="13" t="str">
        <f t="shared" si="9"/>
        <v/>
      </c>
    </row>
    <row r="216" spans="2:13" x14ac:dyDescent="0.35">
      <c r="B216" s="10">
        <v>217</v>
      </c>
      <c r="C216" s="10"/>
      <c r="D216" s="38"/>
      <c r="E216" s="38"/>
      <c r="F216" s="39"/>
      <c r="G216" s="232"/>
      <c r="H216" s="12"/>
      <c r="I216" s="119"/>
      <c r="J216" s="116"/>
      <c r="K216" s="117"/>
      <c r="L216" s="33" t="str">
        <f t="shared" si="8"/>
        <v/>
      </c>
      <c r="M216" s="13" t="str">
        <f t="shared" si="9"/>
        <v/>
      </c>
    </row>
    <row r="217" spans="2:13" x14ac:dyDescent="0.35">
      <c r="B217" s="10">
        <v>218</v>
      </c>
      <c r="C217" s="10"/>
      <c r="D217" s="38"/>
      <c r="E217" s="38"/>
      <c r="F217" s="39"/>
      <c r="G217" s="232"/>
      <c r="H217" s="12"/>
      <c r="I217" s="119"/>
      <c r="J217" s="116"/>
      <c r="K217" s="117"/>
      <c r="L217" s="33" t="str">
        <f t="shared" si="8"/>
        <v/>
      </c>
      <c r="M217" s="13" t="str">
        <f t="shared" si="9"/>
        <v/>
      </c>
    </row>
    <row r="218" spans="2:13" x14ac:dyDescent="0.35">
      <c r="B218" s="10">
        <v>219</v>
      </c>
      <c r="C218" s="10"/>
      <c r="D218" s="38"/>
      <c r="E218" s="38"/>
      <c r="F218" s="39"/>
      <c r="G218" s="232"/>
      <c r="H218" s="12"/>
      <c r="I218" s="119"/>
      <c r="J218" s="116"/>
      <c r="K218" s="117"/>
      <c r="L218" s="33" t="str">
        <f t="shared" si="8"/>
        <v/>
      </c>
      <c r="M218" s="13" t="str">
        <f t="shared" si="9"/>
        <v/>
      </c>
    </row>
    <row r="219" spans="2:13" x14ac:dyDescent="0.35">
      <c r="B219" s="10">
        <v>220</v>
      </c>
      <c r="C219" s="10"/>
      <c r="D219" s="38"/>
      <c r="E219" s="38"/>
      <c r="F219" s="39"/>
      <c r="G219" s="232"/>
      <c r="H219" s="12"/>
      <c r="I219" s="119"/>
      <c r="J219" s="116"/>
      <c r="K219" s="117"/>
      <c r="L219" s="33" t="str">
        <f t="shared" si="8"/>
        <v/>
      </c>
      <c r="M219" s="13" t="str">
        <f t="shared" si="9"/>
        <v/>
      </c>
    </row>
    <row r="220" spans="2:13" x14ac:dyDescent="0.35">
      <c r="B220" s="10">
        <v>221</v>
      </c>
      <c r="C220" s="10"/>
      <c r="D220" s="38"/>
      <c r="E220" s="38"/>
      <c r="F220" s="39"/>
      <c r="G220" s="232"/>
      <c r="H220" s="12"/>
      <c r="I220" s="119"/>
      <c r="J220" s="116"/>
      <c r="K220" s="117"/>
      <c r="L220" s="33" t="str">
        <f t="shared" si="8"/>
        <v/>
      </c>
      <c r="M220" s="13" t="str">
        <f t="shared" si="9"/>
        <v/>
      </c>
    </row>
    <row r="221" spans="2:13" x14ac:dyDescent="0.35">
      <c r="B221" s="10">
        <v>222</v>
      </c>
      <c r="C221" s="10"/>
      <c r="D221" s="38"/>
      <c r="E221" s="38"/>
      <c r="F221" s="39"/>
      <c r="G221" s="232"/>
      <c r="H221" s="12"/>
      <c r="I221" s="119"/>
      <c r="J221" s="116"/>
      <c r="K221" s="117"/>
      <c r="L221" s="33" t="str">
        <f t="shared" si="8"/>
        <v/>
      </c>
      <c r="M221" s="13" t="str">
        <f t="shared" si="9"/>
        <v/>
      </c>
    </row>
    <row r="222" spans="2:13" x14ac:dyDescent="0.35">
      <c r="B222" s="10">
        <v>223</v>
      </c>
      <c r="C222" s="10"/>
      <c r="D222" s="38"/>
      <c r="E222" s="38"/>
      <c r="F222" s="39"/>
      <c r="G222" s="232"/>
      <c r="H222" s="12"/>
      <c r="I222" s="119"/>
      <c r="J222" s="116"/>
      <c r="K222" s="117"/>
      <c r="L222" s="33" t="str">
        <f t="shared" si="8"/>
        <v/>
      </c>
      <c r="M222" s="13" t="str">
        <f t="shared" si="9"/>
        <v/>
      </c>
    </row>
    <row r="223" spans="2:13" x14ac:dyDescent="0.35">
      <c r="B223" s="10">
        <v>224</v>
      </c>
      <c r="C223" s="10"/>
      <c r="D223" s="38"/>
      <c r="E223" s="38"/>
      <c r="F223" s="39"/>
      <c r="G223" s="232"/>
      <c r="H223" s="12"/>
      <c r="I223" s="119"/>
      <c r="J223" s="116"/>
      <c r="K223" s="117"/>
      <c r="L223" s="33" t="str">
        <f t="shared" si="8"/>
        <v/>
      </c>
      <c r="M223" s="13" t="str">
        <f t="shared" si="9"/>
        <v/>
      </c>
    </row>
    <row r="224" spans="2:13" x14ac:dyDescent="0.35">
      <c r="B224" s="10">
        <v>225</v>
      </c>
      <c r="C224" s="10"/>
      <c r="D224" s="38"/>
      <c r="E224" s="38"/>
      <c r="F224" s="39"/>
      <c r="G224" s="232"/>
      <c r="H224" s="12"/>
      <c r="I224" s="119"/>
      <c r="J224" s="116"/>
      <c r="K224" s="117"/>
      <c r="L224" s="33" t="str">
        <f t="shared" si="8"/>
        <v/>
      </c>
      <c r="M224" s="13" t="str">
        <f t="shared" si="9"/>
        <v/>
      </c>
    </row>
    <row r="225" spans="2:13" x14ac:dyDescent="0.35">
      <c r="B225" s="10">
        <v>226</v>
      </c>
      <c r="C225" s="10"/>
      <c r="D225" s="38"/>
      <c r="E225" s="38"/>
      <c r="F225" s="39"/>
      <c r="G225" s="232"/>
      <c r="H225" s="12"/>
      <c r="I225" s="119"/>
      <c r="J225" s="116"/>
      <c r="K225" s="117"/>
      <c r="L225" s="33" t="str">
        <f t="shared" si="8"/>
        <v/>
      </c>
      <c r="M225" s="13" t="str">
        <f t="shared" si="9"/>
        <v/>
      </c>
    </row>
    <row r="226" spans="2:13" x14ac:dyDescent="0.35">
      <c r="B226" s="10">
        <v>227</v>
      </c>
      <c r="C226" s="10"/>
      <c r="D226" s="38"/>
      <c r="E226" s="38"/>
      <c r="F226" s="39"/>
      <c r="G226" s="232"/>
      <c r="H226" s="12"/>
      <c r="I226" s="119"/>
      <c r="J226" s="116"/>
      <c r="K226" s="117"/>
      <c r="L226" s="33" t="str">
        <f t="shared" si="8"/>
        <v/>
      </c>
      <c r="M226" s="13" t="str">
        <f t="shared" si="9"/>
        <v/>
      </c>
    </row>
    <row r="227" spans="2:13" x14ac:dyDescent="0.35">
      <c r="B227" s="10">
        <v>228</v>
      </c>
      <c r="C227" s="10"/>
      <c r="D227" s="38"/>
      <c r="E227" s="38"/>
      <c r="F227" s="39"/>
      <c r="G227" s="232"/>
      <c r="H227" s="12"/>
      <c r="I227" s="119"/>
      <c r="J227" s="116"/>
      <c r="K227" s="117"/>
      <c r="L227" s="33" t="str">
        <f t="shared" si="8"/>
        <v/>
      </c>
      <c r="M227" s="13" t="str">
        <f t="shared" si="9"/>
        <v/>
      </c>
    </row>
    <row r="228" spans="2:13" x14ac:dyDescent="0.35">
      <c r="B228" s="10">
        <v>229</v>
      </c>
      <c r="C228" s="10"/>
      <c r="D228" s="38"/>
      <c r="E228" s="38"/>
      <c r="F228" s="39"/>
      <c r="G228" s="232"/>
      <c r="H228" s="12"/>
      <c r="I228" s="119"/>
      <c r="J228" s="116"/>
      <c r="K228" s="117"/>
      <c r="L228" s="33" t="str">
        <f t="shared" si="8"/>
        <v/>
      </c>
      <c r="M228" s="13" t="str">
        <f t="shared" si="9"/>
        <v/>
      </c>
    </row>
    <row r="229" spans="2:13" x14ac:dyDescent="0.35">
      <c r="B229" s="10">
        <v>230</v>
      </c>
      <c r="C229" s="10"/>
      <c r="D229" s="38"/>
      <c r="E229" s="38"/>
      <c r="F229" s="39"/>
      <c r="G229" s="232"/>
      <c r="H229" s="12"/>
      <c r="I229" s="119"/>
      <c r="J229" s="116"/>
      <c r="K229" s="117"/>
      <c r="L229" s="33" t="str">
        <f t="shared" si="8"/>
        <v/>
      </c>
      <c r="M229" s="13" t="str">
        <f t="shared" si="9"/>
        <v/>
      </c>
    </row>
    <row r="230" spans="2:13" x14ac:dyDescent="0.35">
      <c r="B230" s="10">
        <v>231</v>
      </c>
      <c r="C230" s="10"/>
      <c r="D230" s="38"/>
      <c r="E230" s="38"/>
      <c r="F230" s="39"/>
      <c r="G230" s="232"/>
      <c r="H230" s="12"/>
      <c r="I230" s="119"/>
      <c r="J230" s="116"/>
      <c r="K230" s="117"/>
      <c r="L230" s="33" t="str">
        <f t="shared" si="8"/>
        <v/>
      </c>
      <c r="M230" s="13" t="str">
        <f t="shared" si="9"/>
        <v/>
      </c>
    </row>
    <row r="231" spans="2:13" x14ac:dyDescent="0.35">
      <c r="B231" s="10">
        <v>232</v>
      </c>
      <c r="C231" s="10"/>
      <c r="D231" s="38"/>
      <c r="E231" s="38"/>
      <c r="F231" s="39"/>
      <c r="G231" s="232"/>
      <c r="H231" s="12"/>
      <c r="I231" s="119"/>
      <c r="J231" s="116"/>
      <c r="K231" s="117"/>
      <c r="L231" s="33" t="str">
        <f t="shared" si="8"/>
        <v/>
      </c>
      <c r="M231" s="13" t="str">
        <f t="shared" si="9"/>
        <v/>
      </c>
    </row>
    <row r="232" spans="2:13" x14ac:dyDescent="0.35">
      <c r="B232" s="10">
        <v>233</v>
      </c>
      <c r="C232" s="10"/>
      <c r="D232" s="38"/>
      <c r="E232" s="38"/>
      <c r="F232" s="39"/>
      <c r="G232" s="232"/>
      <c r="H232" s="12"/>
      <c r="I232" s="119"/>
      <c r="J232" s="116"/>
      <c r="K232" s="117"/>
      <c r="L232" s="33" t="str">
        <f t="shared" si="8"/>
        <v/>
      </c>
      <c r="M232" s="13" t="str">
        <f t="shared" si="9"/>
        <v/>
      </c>
    </row>
    <row r="233" spans="2:13" x14ac:dyDescent="0.35">
      <c r="B233" s="10">
        <v>234</v>
      </c>
      <c r="C233" s="10"/>
      <c r="D233" s="38"/>
      <c r="E233" s="38"/>
      <c r="F233" s="39"/>
      <c r="G233" s="232"/>
      <c r="H233" s="12"/>
      <c r="I233" s="119"/>
      <c r="J233" s="116"/>
      <c r="K233" s="117"/>
      <c r="L233" s="33" t="str">
        <f t="shared" si="8"/>
        <v/>
      </c>
      <c r="M233" s="13" t="str">
        <f t="shared" si="9"/>
        <v/>
      </c>
    </row>
    <row r="234" spans="2:13" x14ac:dyDescent="0.35">
      <c r="B234" s="10">
        <v>235</v>
      </c>
      <c r="C234" s="10"/>
      <c r="D234" s="38"/>
      <c r="E234" s="38"/>
      <c r="F234" s="39"/>
      <c r="G234" s="232"/>
      <c r="H234" s="12"/>
      <c r="I234" s="119"/>
      <c r="J234" s="116"/>
      <c r="K234" s="117"/>
      <c r="L234" s="33" t="str">
        <f t="shared" si="8"/>
        <v/>
      </c>
      <c r="M234" s="13" t="str">
        <f t="shared" si="9"/>
        <v/>
      </c>
    </row>
    <row r="235" spans="2:13" x14ac:dyDescent="0.35">
      <c r="B235" s="10">
        <v>236</v>
      </c>
      <c r="C235" s="10"/>
      <c r="D235" s="38"/>
      <c r="E235" s="38"/>
      <c r="F235" s="39"/>
      <c r="G235" s="232"/>
      <c r="H235" s="12"/>
      <c r="I235" s="119"/>
      <c r="J235" s="116"/>
      <c r="K235" s="117"/>
      <c r="L235" s="33" t="str">
        <f t="shared" si="8"/>
        <v/>
      </c>
      <c r="M235" s="13" t="str">
        <f t="shared" si="9"/>
        <v/>
      </c>
    </row>
    <row r="236" spans="2:13" x14ac:dyDescent="0.35">
      <c r="B236" s="10">
        <v>237</v>
      </c>
      <c r="C236" s="10"/>
      <c r="D236" s="38"/>
      <c r="E236" s="38"/>
      <c r="F236" s="39"/>
      <c r="G236" s="232"/>
      <c r="H236" s="12"/>
      <c r="I236" s="119"/>
      <c r="J236" s="116"/>
      <c r="K236" s="117"/>
      <c r="L236" s="33" t="str">
        <f t="shared" si="8"/>
        <v/>
      </c>
      <c r="M236" s="13" t="str">
        <f t="shared" si="9"/>
        <v/>
      </c>
    </row>
    <row r="237" spans="2:13" x14ac:dyDescent="0.35">
      <c r="B237" s="10">
        <v>238</v>
      </c>
      <c r="C237" s="10"/>
      <c r="D237" s="38"/>
      <c r="E237" s="38"/>
      <c r="F237" s="39"/>
      <c r="G237" s="232"/>
      <c r="H237" s="12"/>
      <c r="I237" s="119"/>
      <c r="J237" s="116"/>
      <c r="K237" s="117"/>
      <c r="L237" s="33" t="str">
        <f t="shared" si="8"/>
        <v/>
      </c>
      <c r="M237" s="13" t="str">
        <f t="shared" si="9"/>
        <v/>
      </c>
    </row>
    <row r="238" spans="2:13" x14ac:dyDescent="0.35">
      <c r="B238" s="10">
        <v>239</v>
      </c>
      <c r="C238" s="10"/>
      <c r="D238" s="38"/>
      <c r="E238" s="38"/>
      <c r="F238" s="39"/>
      <c r="G238" s="232"/>
      <c r="H238" s="12"/>
      <c r="I238" s="119"/>
      <c r="J238" s="116"/>
      <c r="K238" s="117"/>
      <c r="L238" s="33" t="str">
        <f t="shared" si="8"/>
        <v/>
      </c>
      <c r="M238" s="13" t="str">
        <f t="shared" si="9"/>
        <v/>
      </c>
    </row>
    <row r="239" spans="2:13" x14ac:dyDescent="0.35">
      <c r="B239" s="10">
        <v>240</v>
      </c>
      <c r="C239" s="10"/>
      <c r="D239" s="38"/>
      <c r="E239" s="38"/>
      <c r="F239" s="39"/>
      <c r="G239" s="232"/>
      <c r="H239" s="12"/>
      <c r="I239" s="119"/>
      <c r="J239" s="116"/>
      <c r="K239" s="117"/>
      <c r="L239" s="33" t="str">
        <f t="shared" si="8"/>
        <v/>
      </c>
      <c r="M239" s="13" t="str">
        <f t="shared" si="9"/>
        <v/>
      </c>
    </row>
    <row r="240" spans="2:13" x14ac:dyDescent="0.35">
      <c r="B240" s="10">
        <v>241</v>
      </c>
      <c r="C240" s="10"/>
      <c r="D240" s="38"/>
      <c r="E240" s="38"/>
      <c r="F240" s="39"/>
      <c r="G240" s="232"/>
      <c r="H240" s="12"/>
      <c r="I240" s="119"/>
      <c r="J240" s="116"/>
      <c r="K240" s="117"/>
      <c r="L240" s="33" t="str">
        <f t="shared" si="8"/>
        <v/>
      </c>
      <c r="M240" s="13" t="str">
        <f t="shared" si="9"/>
        <v/>
      </c>
    </row>
    <row r="241" spans="2:13" x14ac:dyDescent="0.35">
      <c r="B241" s="10">
        <v>242</v>
      </c>
      <c r="C241" s="10"/>
      <c r="D241" s="38"/>
      <c r="E241" s="38"/>
      <c r="F241" s="39"/>
      <c r="G241" s="232"/>
      <c r="H241" s="12"/>
      <c r="I241" s="119"/>
      <c r="J241" s="116"/>
      <c r="K241" s="117"/>
      <c r="L241" s="33" t="str">
        <f t="shared" si="8"/>
        <v/>
      </c>
      <c r="M241" s="13" t="str">
        <f t="shared" si="9"/>
        <v/>
      </c>
    </row>
    <row r="242" spans="2:13" x14ac:dyDescent="0.35">
      <c r="B242" s="10">
        <v>243</v>
      </c>
      <c r="C242" s="10"/>
      <c r="D242" s="38"/>
      <c r="E242" s="38"/>
      <c r="F242" s="39"/>
      <c r="G242" s="232"/>
      <c r="H242" s="12"/>
      <c r="I242" s="119"/>
      <c r="J242" s="116"/>
      <c r="K242" s="117"/>
      <c r="L242" s="33" t="str">
        <f t="shared" si="8"/>
        <v/>
      </c>
      <c r="M242" s="13" t="str">
        <f t="shared" si="9"/>
        <v/>
      </c>
    </row>
    <row r="243" spans="2:13" x14ac:dyDescent="0.35">
      <c r="B243" s="10">
        <v>244</v>
      </c>
      <c r="C243" s="10"/>
      <c r="D243" s="38"/>
      <c r="E243" s="38"/>
      <c r="F243" s="39"/>
      <c r="G243" s="232"/>
      <c r="H243" s="12"/>
      <c r="I243" s="119"/>
      <c r="J243" s="116"/>
      <c r="K243" s="117"/>
      <c r="L243" s="33" t="str">
        <f t="shared" si="8"/>
        <v/>
      </c>
      <c r="M243" s="13" t="str">
        <f t="shared" si="9"/>
        <v/>
      </c>
    </row>
    <row r="244" spans="2:13" x14ac:dyDescent="0.35">
      <c r="B244" s="10">
        <v>245</v>
      </c>
      <c r="C244" s="10"/>
      <c r="D244" s="38"/>
      <c r="E244" s="38"/>
      <c r="F244" s="39"/>
      <c r="G244" s="232"/>
      <c r="H244" s="12"/>
      <c r="I244" s="119"/>
      <c r="J244" s="116"/>
      <c r="K244" s="117"/>
      <c r="L244" s="33" t="str">
        <f t="shared" si="8"/>
        <v/>
      </c>
      <c r="M244" s="13" t="str">
        <f t="shared" si="9"/>
        <v/>
      </c>
    </row>
    <row r="245" spans="2:13" x14ac:dyDescent="0.35">
      <c r="B245" s="10">
        <v>246</v>
      </c>
      <c r="C245" s="10"/>
      <c r="D245" s="38"/>
      <c r="E245" s="38"/>
      <c r="F245" s="39"/>
      <c r="G245" s="232"/>
      <c r="H245" s="12"/>
      <c r="I245" s="119"/>
      <c r="J245" s="116"/>
      <c r="K245" s="117"/>
      <c r="L245" s="33" t="str">
        <f t="shared" si="8"/>
        <v/>
      </c>
      <c r="M245" s="13" t="str">
        <f t="shared" si="9"/>
        <v/>
      </c>
    </row>
    <row r="246" spans="2:13" x14ac:dyDescent="0.35">
      <c r="B246" s="10">
        <v>247</v>
      </c>
      <c r="C246" s="10"/>
      <c r="D246" s="38"/>
      <c r="E246" s="38"/>
      <c r="F246" s="39"/>
      <c r="G246" s="232"/>
      <c r="H246" s="12"/>
      <c r="I246" s="119"/>
      <c r="J246" s="116"/>
      <c r="K246" s="117"/>
      <c r="L246" s="33" t="str">
        <f t="shared" si="8"/>
        <v/>
      </c>
      <c r="M246" s="13" t="str">
        <f t="shared" si="9"/>
        <v/>
      </c>
    </row>
    <row r="247" spans="2:13" x14ac:dyDescent="0.35">
      <c r="B247" s="10">
        <v>248</v>
      </c>
      <c r="C247" s="10"/>
      <c r="D247" s="38"/>
      <c r="E247" s="38"/>
      <c r="F247" s="39"/>
      <c r="G247" s="232"/>
      <c r="H247" s="12"/>
      <c r="I247" s="119"/>
      <c r="J247" s="116"/>
      <c r="K247" s="117"/>
      <c r="L247" s="33" t="str">
        <f t="shared" si="8"/>
        <v/>
      </c>
      <c r="M247" s="13" t="str">
        <f t="shared" si="9"/>
        <v/>
      </c>
    </row>
    <row r="248" spans="2:13" x14ac:dyDescent="0.35">
      <c r="B248" s="10">
        <v>249</v>
      </c>
      <c r="C248" s="10"/>
      <c r="D248" s="38"/>
      <c r="E248" s="38"/>
      <c r="F248" s="39"/>
      <c r="G248" s="232"/>
      <c r="H248" s="12"/>
      <c r="I248" s="119"/>
      <c r="J248" s="116"/>
      <c r="K248" s="117"/>
      <c r="L248" s="33" t="str">
        <f t="shared" si="8"/>
        <v/>
      </c>
      <c r="M248" s="13" t="str">
        <f t="shared" si="9"/>
        <v/>
      </c>
    </row>
    <row r="249" spans="2:13" x14ac:dyDescent="0.35">
      <c r="B249" s="10">
        <v>250</v>
      </c>
      <c r="C249" s="10"/>
      <c r="D249" s="38"/>
      <c r="E249" s="38"/>
      <c r="F249" s="39"/>
      <c r="G249" s="232"/>
      <c r="H249" s="12"/>
      <c r="I249" s="119"/>
      <c r="J249" s="116"/>
      <c r="K249" s="117"/>
      <c r="L249" s="33" t="str">
        <f t="shared" si="8"/>
        <v/>
      </c>
      <c r="M249" s="13" t="str">
        <f t="shared" si="9"/>
        <v/>
      </c>
    </row>
    <row r="250" spans="2:13" x14ac:dyDescent="0.35">
      <c r="B250" s="10">
        <v>251</v>
      </c>
      <c r="C250" s="10"/>
      <c r="D250" s="38"/>
      <c r="E250" s="38"/>
      <c r="F250" s="39"/>
      <c r="G250" s="232"/>
      <c r="H250" s="12"/>
      <c r="I250" s="119"/>
      <c r="J250" s="116"/>
      <c r="K250" s="117"/>
      <c r="L250" s="33" t="str">
        <f t="shared" si="8"/>
        <v/>
      </c>
      <c r="M250" s="13" t="str">
        <f t="shared" si="9"/>
        <v/>
      </c>
    </row>
    <row r="251" spans="2:13" x14ac:dyDescent="0.35">
      <c r="B251" s="10">
        <v>252</v>
      </c>
      <c r="C251" s="10"/>
      <c r="D251" s="38"/>
      <c r="E251" s="38"/>
      <c r="F251" s="39"/>
      <c r="G251" s="232"/>
      <c r="H251" s="12"/>
      <c r="I251" s="119"/>
      <c r="J251" s="116"/>
      <c r="K251" s="117"/>
      <c r="L251" s="33" t="str">
        <f t="shared" si="8"/>
        <v/>
      </c>
      <c r="M251" s="13" t="str">
        <f t="shared" si="9"/>
        <v/>
      </c>
    </row>
    <row r="252" spans="2:13" x14ac:dyDescent="0.35">
      <c r="B252" s="10">
        <v>253</v>
      </c>
      <c r="C252" s="10"/>
      <c r="D252" s="38"/>
      <c r="E252" s="38"/>
      <c r="F252" s="39"/>
      <c r="G252" s="232"/>
      <c r="H252" s="12"/>
      <c r="I252" s="119"/>
      <c r="J252" s="116"/>
      <c r="K252" s="117"/>
      <c r="L252" s="33" t="str">
        <f t="shared" si="8"/>
        <v/>
      </c>
      <c r="M252" s="13" t="str">
        <f t="shared" si="9"/>
        <v/>
      </c>
    </row>
    <row r="253" spans="2:13" x14ac:dyDescent="0.35">
      <c r="B253" s="10">
        <v>254</v>
      </c>
      <c r="C253" s="10"/>
      <c r="D253" s="38"/>
      <c r="E253" s="38"/>
      <c r="F253" s="39"/>
      <c r="G253" s="232"/>
      <c r="H253" s="12"/>
      <c r="I253" s="119"/>
      <c r="J253" s="116"/>
      <c r="K253" s="117"/>
      <c r="L253" s="33" t="str">
        <f t="shared" si="8"/>
        <v/>
      </c>
      <c r="M253" s="13" t="str">
        <f t="shared" si="9"/>
        <v/>
      </c>
    </row>
    <row r="254" spans="2:13" x14ac:dyDescent="0.35">
      <c r="B254" s="10">
        <v>255</v>
      </c>
      <c r="C254" s="10"/>
      <c r="D254" s="38"/>
      <c r="E254" s="38"/>
      <c r="F254" s="39"/>
      <c r="G254" s="232"/>
      <c r="H254" s="12"/>
      <c r="I254" s="119"/>
      <c r="J254" s="116"/>
      <c r="K254" s="117"/>
      <c r="L254" s="33" t="str">
        <f t="shared" si="8"/>
        <v/>
      </c>
      <c r="M254" s="13" t="str">
        <f t="shared" si="9"/>
        <v/>
      </c>
    </row>
    <row r="255" spans="2:13" x14ac:dyDescent="0.35">
      <c r="B255" s="10">
        <v>256</v>
      </c>
      <c r="C255" s="10"/>
      <c r="D255" s="38"/>
      <c r="E255" s="38"/>
      <c r="F255" s="39"/>
      <c r="G255" s="232"/>
      <c r="H255" s="12"/>
      <c r="I255" s="119"/>
      <c r="J255" s="116"/>
      <c r="K255" s="117"/>
      <c r="L255" s="33" t="str">
        <f t="shared" si="8"/>
        <v/>
      </c>
      <c r="M255" s="13" t="str">
        <f t="shared" si="9"/>
        <v/>
      </c>
    </row>
    <row r="256" spans="2:13" x14ac:dyDescent="0.35">
      <c r="B256" s="10">
        <v>257</v>
      </c>
      <c r="C256" s="10"/>
      <c r="D256" s="38"/>
      <c r="E256" s="38"/>
      <c r="F256" s="39"/>
      <c r="G256" s="232"/>
      <c r="H256" s="12"/>
      <c r="I256" s="119"/>
      <c r="J256" s="116"/>
      <c r="K256" s="117"/>
      <c r="L256" s="33" t="str">
        <f t="shared" si="8"/>
        <v/>
      </c>
      <c r="M256" s="13" t="str">
        <f t="shared" si="9"/>
        <v/>
      </c>
    </row>
    <row r="257" spans="2:13" x14ac:dyDescent="0.35">
      <c r="B257" s="10">
        <v>258</v>
      </c>
      <c r="C257" s="10"/>
      <c r="D257" s="38"/>
      <c r="E257" s="38"/>
      <c r="F257" s="39"/>
      <c r="G257" s="232"/>
      <c r="H257" s="12"/>
      <c r="I257" s="119"/>
      <c r="J257" s="116"/>
      <c r="K257" s="117"/>
      <c r="L257" s="33" t="str">
        <f t="shared" si="8"/>
        <v/>
      </c>
      <c r="M257" s="13" t="str">
        <f t="shared" si="9"/>
        <v/>
      </c>
    </row>
    <row r="258" spans="2:13" x14ac:dyDescent="0.35">
      <c r="B258" s="10">
        <v>259</v>
      </c>
      <c r="C258" s="10"/>
      <c r="D258" s="38"/>
      <c r="E258" s="38"/>
      <c r="F258" s="39"/>
      <c r="G258" s="232"/>
      <c r="H258" s="12"/>
      <c r="I258" s="119"/>
      <c r="J258" s="116"/>
      <c r="K258" s="117"/>
      <c r="L258" s="33" t="str">
        <f t="shared" ref="L258:L321" si="10">IF(OR(J258="", K258=""), "", NETWORKDAYS(J258,K258))</f>
        <v/>
      </c>
      <c r="M258" s="13" t="str">
        <f t="shared" ref="M258:M321" si="11">IF(I258="SEA", 10, IF(I258="AIR", 5, ""))</f>
        <v/>
      </c>
    </row>
    <row r="259" spans="2:13" x14ac:dyDescent="0.35">
      <c r="B259" s="10">
        <v>260</v>
      </c>
      <c r="C259" s="10"/>
      <c r="D259" s="38"/>
      <c r="E259" s="38"/>
      <c r="F259" s="39"/>
      <c r="G259" s="232"/>
      <c r="H259" s="12"/>
      <c r="I259" s="119"/>
      <c r="J259" s="116"/>
      <c r="K259" s="117"/>
      <c r="L259" s="33" t="str">
        <f t="shared" si="10"/>
        <v/>
      </c>
      <c r="M259" s="13" t="str">
        <f t="shared" si="11"/>
        <v/>
      </c>
    </row>
    <row r="260" spans="2:13" x14ac:dyDescent="0.35">
      <c r="B260" s="10">
        <v>261</v>
      </c>
      <c r="C260" s="10"/>
      <c r="D260" s="38"/>
      <c r="E260" s="38"/>
      <c r="F260" s="39"/>
      <c r="G260" s="232"/>
      <c r="H260" s="12"/>
      <c r="I260" s="119"/>
      <c r="J260" s="116"/>
      <c r="K260" s="117"/>
      <c r="L260" s="33" t="str">
        <f t="shared" si="10"/>
        <v/>
      </c>
      <c r="M260" s="13" t="str">
        <f t="shared" si="11"/>
        <v/>
      </c>
    </row>
    <row r="261" spans="2:13" x14ac:dyDescent="0.35">
      <c r="B261" s="10">
        <v>262</v>
      </c>
      <c r="C261" s="10"/>
      <c r="D261" s="38"/>
      <c r="E261" s="38"/>
      <c r="F261" s="39"/>
      <c r="G261" s="232"/>
      <c r="H261" s="12"/>
      <c r="I261" s="119"/>
      <c r="J261" s="116"/>
      <c r="K261" s="117"/>
      <c r="L261" s="33" t="str">
        <f t="shared" si="10"/>
        <v/>
      </c>
      <c r="M261" s="13" t="str">
        <f t="shared" si="11"/>
        <v/>
      </c>
    </row>
    <row r="262" spans="2:13" x14ac:dyDescent="0.35">
      <c r="B262" s="10">
        <v>263</v>
      </c>
      <c r="C262" s="10"/>
      <c r="D262" s="38"/>
      <c r="E262" s="38"/>
      <c r="F262" s="39"/>
      <c r="G262" s="232"/>
      <c r="H262" s="12"/>
      <c r="I262" s="119"/>
      <c r="J262" s="116"/>
      <c r="K262" s="117"/>
      <c r="L262" s="33" t="str">
        <f t="shared" si="10"/>
        <v/>
      </c>
      <c r="M262" s="13" t="str">
        <f t="shared" si="11"/>
        <v/>
      </c>
    </row>
    <row r="263" spans="2:13" x14ac:dyDescent="0.35">
      <c r="B263" s="10">
        <v>264</v>
      </c>
      <c r="C263" s="10"/>
      <c r="D263" s="38"/>
      <c r="E263" s="38"/>
      <c r="F263" s="39"/>
      <c r="G263" s="232"/>
      <c r="H263" s="12"/>
      <c r="I263" s="119"/>
      <c r="J263" s="116"/>
      <c r="K263" s="117"/>
      <c r="L263" s="33" t="str">
        <f t="shared" si="10"/>
        <v/>
      </c>
      <c r="M263" s="13" t="str">
        <f t="shared" si="11"/>
        <v/>
      </c>
    </row>
    <row r="264" spans="2:13" x14ac:dyDescent="0.35">
      <c r="B264" s="10">
        <v>265</v>
      </c>
      <c r="C264" s="10"/>
      <c r="D264" s="38"/>
      <c r="E264" s="38"/>
      <c r="F264" s="39"/>
      <c r="G264" s="232"/>
      <c r="H264" s="12"/>
      <c r="I264" s="119"/>
      <c r="J264" s="116"/>
      <c r="K264" s="117"/>
      <c r="L264" s="33" t="str">
        <f t="shared" si="10"/>
        <v/>
      </c>
      <c r="M264" s="13" t="str">
        <f t="shared" si="11"/>
        <v/>
      </c>
    </row>
    <row r="265" spans="2:13" x14ac:dyDescent="0.35">
      <c r="B265" s="10">
        <v>266</v>
      </c>
      <c r="C265" s="10"/>
      <c r="D265" s="38"/>
      <c r="E265" s="38"/>
      <c r="F265" s="39"/>
      <c r="G265" s="232"/>
      <c r="H265" s="12"/>
      <c r="I265" s="119"/>
      <c r="J265" s="116"/>
      <c r="K265" s="117"/>
      <c r="L265" s="33" t="str">
        <f t="shared" si="10"/>
        <v/>
      </c>
      <c r="M265" s="13" t="str">
        <f t="shared" si="11"/>
        <v/>
      </c>
    </row>
    <row r="266" spans="2:13" x14ac:dyDescent="0.35">
      <c r="B266" s="10">
        <v>267</v>
      </c>
      <c r="C266" s="10"/>
      <c r="D266" s="38"/>
      <c r="E266" s="38"/>
      <c r="F266" s="39"/>
      <c r="G266" s="232"/>
      <c r="H266" s="12"/>
      <c r="I266" s="119"/>
      <c r="J266" s="116"/>
      <c r="K266" s="117"/>
      <c r="L266" s="33" t="str">
        <f t="shared" si="10"/>
        <v/>
      </c>
      <c r="M266" s="13" t="str">
        <f t="shared" si="11"/>
        <v/>
      </c>
    </row>
    <row r="267" spans="2:13" x14ac:dyDescent="0.35">
      <c r="B267" s="10">
        <v>268</v>
      </c>
      <c r="C267" s="10"/>
      <c r="D267" s="38"/>
      <c r="E267" s="38"/>
      <c r="F267" s="39"/>
      <c r="G267" s="232"/>
      <c r="H267" s="12"/>
      <c r="I267" s="119"/>
      <c r="J267" s="116"/>
      <c r="K267" s="117"/>
      <c r="L267" s="33" t="str">
        <f t="shared" si="10"/>
        <v/>
      </c>
      <c r="M267" s="13" t="str">
        <f t="shared" si="11"/>
        <v/>
      </c>
    </row>
    <row r="268" spans="2:13" x14ac:dyDescent="0.35">
      <c r="B268" s="10">
        <v>269</v>
      </c>
      <c r="C268" s="10"/>
      <c r="D268" s="38"/>
      <c r="E268" s="38"/>
      <c r="F268" s="39"/>
      <c r="G268" s="232"/>
      <c r="H268" s="12"/>
      <c r="I268" s="119"/>
      <c r="J268" s="116"/>
      <c r="K268" s="117"/>
      <c r="L268" s="33" t="str">
        <f t="shared" si="10"/>
        <v/>
      </c>
      <c r="M268" s="13" t="str">
        <f t="shared" si="11"/>
        <v/>
      </c>
    </row>
    <row r="269" spans="2:13" x14ac:dyDescent="0.35">
      <c r="B269" s="10">
        <v>270</v>
      </c>
      <c r="C269" s="10"/>
      <c r="D269" s="38"/>
      <c r="E269" s="38"/>
      <c r="F269" s="39"/>
      <c r="G269" s="232"/>
      <c r="H269" s="12"/>
      <c r="I269" s="119"/>
      <c r="J269" s="116"/>
      <c r="K269" s="117"/>
      <c r="L269" s="33" t="str">
        <f t="shared" si="10"/>
        <v/>
      </c>
      <c r="M269" s="13" t="str">
        <f t="shared" si="11"/>
        <v/>
      </c>
    </row>
    <row r="270" spans="2:13" x14ac:dyDescent="0.35">
      <c r="B270" s="10">
        <v>271</v>
      </c>
      <c r="C270" s="10"/>
      <c r="D270" s="38"/>
      <c r="E270" s="38"/>
      <c r="F270" s="39"/>
      <c r="G270" s="232"/>
      <c r="H270" s="12"/>
      <c r="I270" s="119"/>
      <c r="J270" s="116"/>
      <c r="K270" s="117"/>
      <c r="L270" s="33" t="str">
        <f t="shared" si="10"/>
        <v/>
      </c>
      <c r="M270" s="13" t="str">
        <f t="shared" si="11"/>
        <v/>
      </c>
    </row>
    <row r="271" spans="2:13" x14ac:dyDescent="0.35">
      <c r="B271" s="10">
        <v>272</v>
      </c>
      <c r="C271" s="10"/>
      <c r="D271" s="38"/>
      <c r="E271" s="38"/>
      <c r="F271" s="39"/>
      <c r="G271" s="232"/>
      <c r="H271" s="12"/>
      <c r="I271" s="119"/>
      <c r="J271" s="116"/>
      <c r="K271" s="117"/>
      <c r="L271" s="33" t="str">
        <f t="shared" si="10"/>
        <v/>
      </c>
      <c r="M271" s="13" t="str">
        <f t="shared" si="11"/>
        <v/>
      </c>
    </row>
    <row r="272" spans="2:13" x14ac:dyDescent="0.35">
      <c r="B272" s="10">
        <v>273</v>
      </c>
      <c r="C272" s="10"/>
      <c r="D272" s="38"/>
      <c r="E272" s="38"/>
      <c r="F272" s="39"/>
      <c r="G272" s="232"/>
      <c r="H272" s="12"/>
      <c r="I272" s="119"/>
      <c r="J272" s="116"/>
      <c r="K272" s="117"/>
      <c r="L272" s="33" t="str">
        <f t="shared" si="10"/>
        <v/>
      </c>
      <c r="M272" s="13" t="str">
        <f t="shared" si="11"/>
        <v/>
      </c>
    </row>
    <row r="273" spans="2:13" x14ac:dyDescent="0.35">
      <c r="B273" s="10">
        <v>274</v>
      </c>
      <c r="C273" s="10"/>
      <c r="D273" s="38"/>
      <c r="E273" s="38"/>
      <c r="F273" s="39"/>
      <c r="G273" s="232"/>
      <c r="H273" s="12"/>
      <c r="I273" s="119"/>
      <c r="J273" s="116"/>
      <c r="K273" s="117"/>
      <c r="L273" s="33" t="str">
        <f t="shared" si="10"/>
        <v/>
      </c>
      <c r="M273" s="13" t="str">
        <f t="shared" si="11"/>
        <v/>
      </c>
    </row>
    <row r="274" spans="2:13" x14ac:dyDescent="0.35">
      <c r="B274" s="10">
        <v>275</v>
      </c>
      <c r="C274" s="10"/>
      <c r="D274" s="38"/>
      <c r="E274" s="38"/>
      <c r="F274" s="39"/>
      <c r="G274" s="232"/>
      <c r="H274" s="12"/>
      <c r="I274" s="119"/>
      <c r="J274" s="116"/>
      <c r="K274" s="117"/>
      <c r="L274" s="33" t="str">
        <f t="shared" si="10"/>
        <v/>
      </c>
      <c r="M274" s="13" t="str">
        <f t="shared" si="11"/>
        <v/>
      </c>
    </row>
    <row r="275" spans="2:13" x14ac:dyDescent="0.35">
      <c r="B275" s="10">
        <v>276</v>
      </c>
      <c r="C275" s="10"/>
      <c r="D275" s="38"/>
      <c r="E275" s="38"/>
      <c r="F275" s="39"/>
      <c r="G275" s="232"/>
      <c r="H275" s="12"/>
      <c r="I275" s="119"/>
      <c r="J275" s="116"/>
      <c r="K275" s="117"/>
      <c r="L275" s="33" t="str">
        <f t="shared" si="10"/>
        <v/>
      </c>
      <c r="M275" s="13" t="str">
        <f t="shared" si="11"/>
        <v/>
      </c>
    </row>
    <row r="276" spans="2:13" x14ac:dyDescent="0.35">
      <c r="B276" s="10">
        <v>277</v>
      </c>
      <c r="C276" s="10"/>
      <c r="D276" s="38"/>
      <c r="E276" s="38"/>
      <c r="F276" s="39"/>
      <c r="G276" s="232"/>
      <c r="H276" s="12"/>
      <c r="I276" s="119"/>
      <c r="J276" s="116"/>
      <c r="K276" s="117"/>
      <c r="L276" s="33" t="str">
        <f t="shared" si="10"/>
        <v/>
      </c>
      <c r="M276" s="13" t="str">
        <f t="shared" si="11"/>
        <v/>
      </c>
    </row>
    <row r="277" spans="2:13" x14ac:dyDescent="0.35">
      <c r="B277" s="10">
        <v>278</v>
      </c>
      <c r="C277" s="10"/>
      <c r="D277" s="38"/>
      <c r="E277" s="38"/>
      <c r="F277" s="39"/>
      <c r="G277" s="232"/>
      <c r="H277" s="12"/>
      <c r="I277" s="119"/>
      <c r="J277" s="116"/>
      <c r="K277" s="117"/>
      <c r="L277" s="33" t="str">
        <f t="shared" si="10"/>
        <v/>
      </c>
      <c r="M277" s="13" t="str">
        <f t="shared" si="11"/>
        <v/>
      </c>
    </row>
    <row r="278" spans="2:13" x14ac:dyDescent="0.35">
      <c r="B278" s="10">
        <v>279</v>
      </c>
      <c r="C278" s="10"/>
      <c r="D278" s="38"/>
      <c r="E278" s="38"/>
      <c r="F278" s="39"/>
      <c r="G278" s="232"/>
      <c r="H278" s="12"/>
      <c r="I278" s="119"/>
      <c r="J278" s="116"/>
      <c r="K278" s="117"/>
      <c r="L278" s="33" t="str">
        <f t="shared" si="10"/>
        <v/>
      </c>
      <c r="M278" s="13" t="str">
        <f t="shared" si="11"/>
        <v/>
      </c>
    </row>
    <row r="279" spans="2:13" x14ac:dyDescent="0.35">
      <c r="B279" s="10">
        <v>280</v>
      </c>
      <c r="C279" s="10"/>
      <c r="D279" s="38"/>
      <c r="E279" s="38"/>
      <c r="F279" s="39"/>
      <c r="G279" s="232"/>
      <c r="H279" s="12"/>
      <c r="I279" s="119"/>
      <c r="J279" s="116"/>
      <c r="K279" s="117"/>
      <c r="L279" s="33" t="str">
        <f t="shared" si="10"/>
        <v/>
      </c>
      <c r="M279" s="13" t="str">
        <f t="shared" si="11"/>
        <v/>
      </c>
    </row>
    <row r="280" spans="2:13" x14ac:dyDescent="0.35">
      <c r="B280" s="10">
        <v>281</v>
      </c>
      <c r="C280" s="10"/>
      <c r="D280" s="38"/>
      <c r="E280" s="38"/>
      <c r="F280" s="39"/>
      <c r="G280" s="232"/>
      <c r="H280" s="12"/>
      <c r="I280" s="119"/>
      <c r="J280" s="116"/>
      <c r="K280" s="117"/>
      <c r="L280" s="33" t="str">
        <f t="shared" si="10"/>
        <v/>
      </c>
      <c r="M280" s="13" t="str">
        <f t="shared" si="11"/>
        <v/>
      </c>
    </row>
    <row r="281" spans="2:13" x14ac:dyDescent="0.35">
      <c r="B281" s="10">
        <v>282</v>
      </c>
      <c r="C281" s="10"/>
      <c r="D281" s="38"/>
      <c r="E281" s="38"/>
      <c r="F281" s="39"/>
      <c r="G281" s="232"/>
      <c r="H281" s="12"/>
      <c r="I281" s="119"/>
      <c r="J281" s="116"/>
      <c r="K281" s="117"/>
      <c r="L281" s="33" t="str">
        <f t="shared" si="10"/>
        <v/>
      </c>
      <c r="M281" s="13" t="str">
        <f t="shared" si="11"/>
        <v/>
      </c>
    </row>
    <row r="282" spans="2:13" x14ac:dyDescent="0.35">
      <c r="B282" s="10">
        <v>283</v>
      </c>
      <c r="C282" s="10"/>
      <c r="D282" s="38"/>
      <c r="E282" s="38"/>
      <c r="F282" s="39"/>
      <c r="G282" s="232"/>
      <c r="H282" s="12"/>
      <c r="I282" s="119"/>
      <c r="J282" s="116"/>
      <c r="K282" s="117"/>
      <c r="L282" s="33" t="str">
        <f t="shared" si="10"/>
        <v/>
      </c>
      <c r="M282" s="13" t="str">
        <f t="shared" si="11"/>
        <v/>
      </c>
    </row>
    <row r="283" spans="2:13" x14ac:dyDescent="0.35">
      <c r="B283" s="10">
        <v>284</v>
      </c>
      <c r="C283" s="10"/>
      <c r="D283" s="38"/>
      <c r="E283" s="38"/>
      <c r="F283" s="39"/>
      <c r="G283" s="232"/>
      <c r="H283" s="12"/>
      <c r="I283" s="119"/>
      <c r="J283" s="116"/>
      <c r="K283" s="117"/>
      <c r="L283" s="33" t="str">
        <f t="shared" si="10"/>
        <v/>
      </c>
      <c r="M283" s="13" t="str">
        <f t="shared" si="11"/>
        <v/>
      </c>
    </row>
    <row r="284" spans="2:13" x14ac:dyDescent="0.35">
      <c r="B284" s="10">
        <v>285</v>
      </c>
      <c r="C284" s="10"/>
      <c r="D284" s="38"/>
      <c r="E284" s="38"/>
      <c r="F284" s="39"/>
      <c r="G284" s="232"/>
      <c r="H284" s="12"/>
      <c r="I284" s="119"/>
      <c r="J284" s="116"/>
      <c r="K284" s="117"/>
      <c r="L284" s="33" t="str">
        <f t="shared" si="10"/>
        <v/>
      </c>
      <c r="M284" s="13" t="str">
        <f t="shared" si="11"/>
        <v/>
      </c>
    </row>
    <row r="285" spans="2:13" x14ac:dyDescent="0.35">
      <c r="B285" s="10">
        <v>286</v>
      </c>
      <c r="C285" s="10"/>
      <c r="D285" s="38"/>
      <c r="E285" s="38"/>
      <c r="F285" s="39"/>
      <c r="G285" s="232"/>
      <c r="H285" s="12"/>
      <c r="I285" s="119"/>
      <c r="J285" s="116"/>
      <c r="K285" s="117"/>
      <c r="L285" s="33" t="str">
        <f t="shared" si="10"/>
        <v/>
      </c>
      <c r="M285" s="13" t="str">
        <f t="shared" si="11"/>
        <v/>
      </c>
    </row>
    <row r="286" spans="2:13" x14ac:dyDescent="0.35">
      <c r="B286" s="10">
        <v>287</v>
      </c>
      <c r="C286" s="10"/>
      <c r="D286" s="38"/>
      <c r="E286" s="38"/>
      <c r="F286" s="39"/>
      <c r="G286" s="232"/>
      <c r="H286" s="12"/>
      <c r="I286" s="119"/>
      <c r="J286" s="116"/>
      <c r="K286" s="117"/>
      <c r="L286" s="33" t="str">
        <f t="shared" si="10"/>
        <v/>
      </c>
      <c r="M286" s="13" t="str">
        <f t="shared" si="11"/>
        <v/>
      </c>
    </row>
    <row r="287" spans="2:13" x14ac:dyDescent="0.35">
      <c r="B287" s="10">
        <v>288</v>
      </c>
      <c r="C287" s="10"/>
      <c r="D287" s="38"/>
      <c r="E287" s="38"/>
      <c r="F287" s="39"/>
      <c r="G287" s="232"/>
      <c r="H287" s="12"/>
      <c r="I287" s="119"/>
      <c r="J287" s="116"/>
      <c r="K287" s="117"/>
      <c r="L287" s="33" t="str">
        <f t="shared" si="10"/>
        <v/>
      </c>
      <c r="M287" s="13" t="str">
        <f t="shared" si="11"/>
        <v/>
      </c>
    </row>
    <row r="288" spans="2:13" x14ac:dyDescent="0.35">
      <c r="B288" s="10">
        <v>289</v>
      </c>
      <c r="C288" s="10"/>
      <c r="D288" s="38"/>
      <c r="E288" s="38"/>
      <c r="F288" s="39"/>
      <c r="G288" s="232"/>
      <c r="H288" s="12"/>
      <c r="I288" s="119"/>
      <c r="J288" s="116"/>
      <c r="K288" s="117"/>
      <c r="L288" s="33" t="str">
        <f t="shared" si="10"/>
        <v/>
      </c>
      <c r="M288" s="13" t="str">
        <f t="shared" si="11"/>
        <v/>
      </c>
    </row>
    <row r="289" spans="2:13" x14ac:dyDescent="0.35">
      <c r="B289" s="10">
        <v>290</v>
      </c>
      <c r="C289" s="10"/>
      <c r="D289" s="38"/>
      <c r="E289" s="38"/>
      <c r="F289" s="39"/>
      <c r="G289" s="232"/>
      <c r="H289" s="12"/>
      <c r="I289" s="119"/>
      <c r="J289" s="116"/>
      <c r="K289" s="117"/>
      <c r="L289" s="33" t="str">
        <f t="shared" si="10"/>
        <v/>
      </c>
      <c r="M289" s="13" t="str">
        <f t="shared" si="11"/>
        <v/>
      </c>
    </row>
    <row r="290" spans="2:13" x14ac:dyDescent="0.35">
      <c r="B290" s="10">
        <v>291</v>
      </c>
      <c r="C290" s="10"/>
      <c r="D290" s="38"/>
      <c r="E290" s="38"/>
      <c r="F290" s="39"/>
      <c r="G290" s="232"/>
      <c r="H290" s="12"/>
      <c r="I290" s="119"/>
      <c r="J290" s="116"/>
      <c r="K290" s="117"/>
      <c r="L290" s="33" t="str">
        <f t="shared" si="10"/>
        <v/>
      </c>
      <c r="M290" s="13" t="str">
        <f t="shared" si="11"/>
        <v/>
      </c>
    </row>
    <row r="291" spans="2:13" x14ac:dyDescent="0.35">
      <c r="B291" s="10">
        <v>292</v>
      </c>
      <c r="C291" s="10"/>
      <c r="D291" s="38"/>
      <c r="E291" s="38"/>
      <c r="F291" s="39"/>
      <c r="G291" s="232"/>
      <c r="H291" s="12"/>
      <c r="I291" s="119"/>
      <c r="J291" s="116"/>
      <c r="K291" s="117"/>
      <c r="L291" s="33" t="str">
        <f t="shared" si="10"/>
        <v/>
      </c>
      <c r="M291" s="13" t="str">
        <f t="shared" si="11"/>
        <v/>
      </c>
    </row>
    <row r="292" spans="2:13" x14ac:dyDescent="0.35">
      <c r="B292" s="10">
        <v>293</v>
      </c>
      <c r="C292" s="10"/>
      <c r="D292" s="38"/>
      <c r="E292" s="38"/>
      <c r="F292" s="39"/>
      <c r="G292" s="232"/>
      <c r="H292" s="12"/>
      <c r="I292" s="119"/>
      <c r="J292" s="116"/>
      <c r="K292" s="117"/>
      <c r="L292" s="33" t="str">
        <f t="shared" si="10"/>
        <v/>
      </c>
      <c r="M292" s="13" t="str">
        <f t="shared" si="11"/>
        <v/>
      </c>
    </row>
    <row r="293" spans="2:13" x14ac:dyDescent="0.35">
      <c r="B293" s="10">
        <v>294</v>
      </c>
      <c r="C293" s="10"/>
      <c r="D293" s="38"/>
      <c r="E293" s="38"/>
      <c r="F293" s="39"/>
      <c r="G293" s="232"/>
      <c r="H293" s="12"/>
      <c r="I293" s="119"/>
      <c r="J293" s="116"/>
      <c r="K293" s="117"/>
      <c r="L293" s="33" t="str">
        <f t="shared" si="10"/>
        <v/>
      </c>
      <c r="M293" s="13" t="str">
        <f t="shared" si="11"/>
        <v/>
      </c>
    </row>
    <row r="294" spans="2:13" x14ac:dyDescent="0.35">
      <c r="B294" s="10">
        <v>295</v>
      </c>
      <c r="C294" s="10"/>
      <c r="D294" s="38"/>
      <c r="E294" s="38"/>
      <c r="F294" s="39"/>
      <c r="G294" s="232"/>
      <c r="H294" s="12"/>
      <c r="I294" s="119"/>
      <c r="J294" s="116"/>
      <c r="K294" s="117"/>
      <c r="L294" s="33" t="str">
        <f t="shared" si="10"/>
        <v/>
      </c>
      <c r="M294" s="13" t="str">
        <f t="shared" si="11"/>
        <v/>
      </c>
    </row>
    <row r="295" spans="2:13" x14ac:dyDescent="0.35">
      <c r="B295" s="10">
        <v>296</v>
      </c>
      <c r="C295" s="10"/>
      <c r="D295" s="38"/>
      <c r="E295" s="38"/>
      <c r="F295" s="39"/>
      <c r="G295" s="232"/>
      <c r="H295" s="12"/>
      <c r="I295" s="119"/>
      <c r="J295" s="116"/>
      <c r="K295" s="117"/>
      <c r="L295" s="33" t="str">
        <f t="shared" si="10"/>
        <v/>
      </c>
      <c r="M295" s="13" t="str">
        <f t="shared" si="11"/>
        <v/>
      </c>
    </row>
    <row r="296" spans="2:13" x14ac:dyDescent="0.35">
      <c r="B296" s="10">
        <v>297</v>
      </c>
      <c r="C296" s="10"/>
      <c r="D296" s="38"/>
      <c r="E296" s="38"/>
      <c r="F296" s="39"/>
      <c r="G296" s="232"/>
      <c r="H296" s="12"/>
      <c r="I296" s="119"/>
      <c r="J296" s="116"/>
      <c r="K296" s="117"/>
      <c r="L296" s="33" t="str">
        <f t="shared" si="10"/>
        <v/>
      </c>
      <c r="M296" s="13" t="str">
        <f t="shared" si="11"/>
        <v/>
      </c>
    </row>
    <row r="297" spans="2:13" x14ac:dyDescent="0.35">
      <c r="B297" s="10">
        <v>298</v>
      </c>
      <c r="C297" s="10"/>
      <c r="D297" s="38"/>
      <c r="E297" s="38"/>
      <c r="F297" s="39"/>
      <c r="G297" s="232"/>
      <c r="H297" s="12"/>
      <c r="I297" s="119"/>
      <c r="J297" s="116"/>
      <c r="K297" s="117"/>
      <c r="L297" s="33" t="str">
        <f t="shared" si="10"/>
        <v/>
      </c>
      <c r="M297" s="13" t="str">
        <f t="shared" si="11"/>
        <v/>
      </c>
    </row>
    <row r="298" spans="2:13" x14ac:dyDescent="0.35">
      <c r="B298" s="10">
        <v>299</v>
      </c>
      <c r="C298" s="10"/>
      <c r="D298" s="38"/>
      <c r="E298" s="38"/>
      <c r="F298" s="39"/>
      <c r="G298" s="232"/>
      <c r="H298" s="12"/>
      <c r="I298" s="119"/>
      <c r="J298" s="116"/>
      <c r="K298" s="117"/>
      <c r="L298" s="33" t="str">
        <f t="shared" si="10"/>
        <v/>
      </c>
      <c r="M298" s="13" t="str">
        <f t="shared" si="11"/>
        <v/>
      </c>
    </row>
    <row r="299" spans="2:13" x14ac:dyDescent="0.35">
      <c r="B299" s="10">
        <v>300</v>
      </c>
      <c r="C299" s="10"/>
      <c r="D299" s="38"/>
      <c r="E299" s="38"/>
      <c r="F299" s="39"/>
      <c r="G299" s="232"/>
      <c r="H299" s="12"/>
      <c r="I299" s="119"/>
      <c r="J299" s="116"/>
      <c r="K299" s="117"/>
      <c r="L299" s="33" t="str">
        <f t="shared" si="10"/>
        <v/>
      </c>
      <c r="M299" s="13" t="str">
        <f t="shared" si="11"/>
        <v/>
      </c>
    </row>
    <row r="300" spans="2:13" x14ac:dyDescent="0.35">
      <c r="B300" s="10">
        <v>301</v>
      </c>
      <c r="C300" s="10"/>
      <c r="D300" s="38"/>
      <c r="E300" s="38"/>
      <c r="F300" s="39"/>
      <c r="G300" s="232"/>
      <c r="H300" s="12"/>
      <c r="I300" s="119"/>
      <c r="J300" s="116"/>
      <c r="K300" s="117"/>
      <c r="L300" s="33" t="str">
        <f t="shared" si="10"/>
        <v/>
      </c>
      <c r="M300" s="13" t="str">
        <f t="shared" si="11"/>
        <v/>
      </c>
    </row>
    <row r="301" spans="2:13" x14ac:dyDescent="0.35">
      <c r="B301" s="10">
        <v>302</v>
      </c>
      <c r="C301" s="10"/>
      <c r="D301" s="38"/>
      <c r="E301" s="38"/>
      <c r="F301" s="39"/>
      <c r="G301" s="232"/>
      <c r="H301" s="12"/>
      <c r="I301" s="119"/>
      <c r="J301" s="116"/>
      <c r="K301" s="117"/>
      <c r="L301" s="33" t="str">
        <f t="shared" si="10"/>
        <v/>
      </c>
      <c r="M301" s="13" t="str">
        <f t="shared" si="11"/>
        <v/>
      </c>
    </row>
    <row r="302" spans="2:13" x14ac:dyDescent="0.35">
      <c r="B302" s="10">
        <v>303</v>
      </c>
      <c r="C302" s="10"/>
      <c r="D302" s="38"/>
      <c r="E302" s="38"/>
      <c r="F302" s="39"/>
      <c r="G302" s="232"/>
      <c r="H302" s="12"/>
      <c r="I302" s="119"/>
      <c r="J302" s="116"/>
      <c r="K302" s="117"/>
      <c r="L302" s="33" t="str">
        <f t="shared" si="10"/>
        <v/>
      </c>
      <c r="M302" s="13" t="str">
        <f t="shared" si="11"/>
        <v/>
      </c>
    </row>
    <row r="303" spans="2:13" x14ac:dyDescent="0.35">
      <c r="B303" s="10">
        <v>304</v>
      </c>
      <c r="C303" s="10"/>
      <c r="D303" s="38"/>
      <c r="E303" s="38"/>
      <c r="F303" s="39"/>
      <c r="G303" s="232"/>
      <c r="H303" s="12"/>
      <c r="I303" s="119"/>
      <c r="J303" s="116"/>
      <c r="K303" s="117"/>
      <c r="L303" s="33" t="str">
        <f t="shared" si="10"/>
        <v/>
      </c>
      <c r="M303" s="13" t="str">
        <f t="shared" si="11"/>
        <v/>
      </c>
    </row>
    <row r="304" spans="2:13" x14ac:dyDescent="0.35">
      <c r="B304" s="10">
        <v>305</v>
      </c>
      <c r="C304" s="10"/>
      <c r="D304" s="38"/>
      <c r="E304" s="38"/>
      <c r="F304" s="39"/>
      <c r="G304" s="232"/>
      <c r="H304" s="12"/>
      <c r="I304" s="119"/>
      <c r="J304" s="116"/>
      <c r="K304" s="117"/>
      <c r="L304" s="33" t="str">
        <f t="shared" si="10"/>
        <v/>
      </c>
      <c r="M304" s="13" t="str">
        <f t="shared" si="11"/>
        <v/>
      </c>
    </row>
    <row r="305" spans="2:13" x14ac:dyDescent="0.35">
      <c r="B305" s="10">
        <v>306</v>
      </c>
      <c r="C305" s="10"/>
      <c r="D305" s="38"/>
      <c r="E305" s="38"/>
      <c r="F305" s="39"/>
      <c r="G305" s="232"/>
      <c r="H305" s="12"/>
      <c r="I305" s="119"/>
      <c r="J305" s="116"/>
      <c r="K305" s="117"/>
      <c r="L305" s="33" t="str">
        <f t="shared" si="10"/>
        <v/>
      </c>
      <c r="M305" s="13" t="str">
        <f t="shared" si="11"/>
        <v/>
      </c>
    </row>
    <row r="306" spans="2:13" x14ac:dyDescent="0.35">
      <c r="B306" s="10">
        <v>307</v>
      </c>
      <c r="C306" s="10"/>
      <c r="D306" s="38"/>
      <c r="E306" s="38"/>
      <c r="F306" s="39"/>
      <c r="G306" s="232"/>
      <c r="H306" s="12"/>
      <c r="I306" s="119"/>
      <c r="J306" s="116"/>
      <c r="K306" s="117"/>
      <c r="L306" s="33" t="str">
        <f t="shared" si="10"/>
        <v/>
      </c>
      <c r="M306" s="13" t="str">
        <f t="shared" si="11"/>
        <v/>
      </c>
    </row>
    <row r="307" spans="2:13" x14ac:dyDescent="0.35">
      <c r="B307" s="10">
        <v>308</v>
      </c>
      <c r="C307" s="10"/>
      <c r="D307" s="38"/>
      <c r="E307" s="38"/>
      <c r="F307" s="39"/>
      <c r="G307" s="232"/>
      <c r="H307" s="12"/>
      <c r="I307" s="119"/>
      <c r="J307" s="116"/>
      <c r="K307" s="117"/>
      <c r="L307" s="33" t="str">
        <f t="shared" si="10"/>
        <v/>
      </c>
      <c r="M307" s="13" t="str">
        <f t="shared" si="11"/>
        <v/>
      </c>
    </row>
    <row r="308" spans="2:13" x14ac:dyDescent="0.35">
      <c r="B308" s="10">
        <v>309</v>
      </c>
      <c r="C308" s="10"/>
      <c r="D308" s="38"/>
      <c r="E308" s="38"/>
      <c r="F308" s="39"/>
      <c r="G308" s="232"/>
      <c r="H308" s="12"/>
      <c r="I308" s="119"/>
      <c r="J308" s="116"/>
      <c r="K308" s="117"/>
      <c r="L308" s="33" t="str">
        <f t="shared" si="10"/>
        <v/>
      </c>
      <c r="M308" s="13" t="str">
        <f t="shared" si="11"/>
        <v/>
      </c>
    </row>
    <row r="309" spans="2:13" x14ac:dyDescent="0.35">
      <c r="B309" s="10">
        <v>310</v>
      </c>
      <c r="C309" s="10"/>
      <c r="D309" s="38"/>
      <c r="E309" s="38"/>
      <c r="F309" s="39"/>
      <c r="G309" s="232"/>
      <c r="H309" s="12"/>
      <c r="I309" s="119"/>
      <c r="J309" s="116"/>
      <c r="K309" s="117"/>
      <c r="L309" s="33" t="str">
        <f t="shared" si="10"/>
        <v/>
      </c>
      <c r="M309" s="13" t="str">
        <f t="shared" si="11"/>
        <v/>
      </c>
    </row>
    <row r="310" spans="2:13" x14ac:dyDescent="0.35">
      <c r="B310" s="10">
        <v>311</v>
      </c>
      <c r="C310" s="10"/>
      <c r="D310" s="38"/>
      <c r="E310" s="38"/>
      <c r="F310" s="39"/>
      <c r="G310" s="232"/>
      <c r="H310" s="12"/>
      <c r="I310" s="119"/>
      <c r="J310" s="116"/>
      <c r="K310" s="117"/>
      <c r="L310" s="33" t="str">
        <f t="shared" si="10"/>
        <v/>
      </c>
      <c r="M310" s="13" t="str">
        <f t="shared" si="11"/>
        <v/>
      </c>
    </row>
    <row r="311" spans="2:13" x14ac:dyDescent="0.35">
      <c r="B311" s="10">
        <v>312</v>
      </c>
      <c r="C311" s="10"/>
      <c r="D311" s="38"/>
      <c r="E311" s="38"/>
      <c r="F311" s="39"/>
      <c r="G311" s="232"/>
      <c r="H311" s="12"/>
      <c r="I311" s="119"/>
      <c r="J311" s="116"/>
      <c r="K311" s="117"/>
      <c r="L311" s="33" t="str">
        <f t="shared" si="10"/>
        <v/>
      </c>
      <c r="M311" s="13" t="str">
        <f t="shared" si="11"/>
        <v/>
      </c>
    </row>
    <row r="312" spans="2:13" x14ac:dyDescent="0.35">
      <c r="B312" s="10">
        <v>313</v>
      </c>
      <c r="C312" s="10"/>
      <c r="D312" s="38"/>
      <c r="E312" s="38"/>
      <c r="F312" s="39"/>
      <c r="G312" s="232"/>
      <c r="H312" s="12"/>
      <c r="I312" s="119"/>
      <c r="J312" s="116"/>
      <c r="K312" s="117"/>
      <c r="L312" s="33" t="str">
        <f t="shared" si="10"/>
        <v/>
      </c>
      <c r="M312" s="13" t="str">
        <f t="shared" si="11"/>
        <v/>
      </c>
    </row>
    <row r="313" spans="2:13" x14ac:dyDescent="0.35">
      <c r="B313" s="10">
        <v>314</v>
      </c>
      <c r="C313" s="10"/>
      <c r="D313" s="38"/>
      <c r="E313" s="38"/>
      <c r="F313" s="39"/>
      <c r="G313" s="232"/>
      <c r="H313" s="12"/>
      <c r="I313" s="119"/>
      <c r="J313" s="116"/>
      <c r="K313" s="117"/>
      <c r="L313" s="33" t="str">
        <f t="shared" si="10"/>
        <v/>
      </c>
      <c r="M313" s="13" t="str">
        <f t="shared" si="11"/>
        <v/>
      </c>
    </row>
    <row r="314" spans="2:13" x14ac:dyDescent="0.35">
      <c r="B314" s="10">
        <v>315</v>
      </c>
      <c r="C314" s="10"/>
      <c r="D314" s="38"/>
      <c r="E314" s="38"/>
      <c r="F314" s="39"/>
      <c r="G314" s="232"/>
      <c r="H314" s="12"/>
      <c r="I314" s="119"/>
      <c r="J314" s="116"/>
      <c r="K314" s="117"/>
      <c r="L314" s="33" t="str">
        <f t="shared" si="10"/>
        <v/>
      </c>
      <c r="M314" s="13" t="str">
        <f t="shared" si="11"/>
        <v/>
      </c>
    </row>
    <row r="315" spans="2:13" x14ac:dyDescent="0.35">
      <c r="B315" s="10">
        <v>316</v>
      </c>
      <c r="C315" s="10"/>
      <c r="D315" s="38"/>
      <c r="E315" s="38"/>
      <c r="F315" s="39"/>
      <c r="G315" s="232"/>
      <c r="H315" s="12"/>
      <c r="I315" s="119"/>
      <c r="J315" s="116"/>
      <c r="K315" s="117"/>
      <c r="L315" s="33" t="str">
        <f t="shared" si="10"/>
        <v/>
      </c>
      <c r="M315" s="13" t="str">
        <f t="shared" si="11"/>
        <v/>
      </c>
    </row>
    <row r="316" spans="2:13" x14ac:dyDescent="0.35">
      <c r="B316" s="10">
        <v>317</v>
      </c>
      <c r="C316" s="10"/>
      <c r="D316" s="38"/>
      <c r="E316" s="38"/>
      <c r="F316" s="39"/>
      <c r="G316" s="232"/>
      <c r="H316" s="12"/>
      <c r="I316" s="119"/>
      <c r="J316" s="116"/>
      <c r="K316" s="117"/>
      <c r="L316" s="33" t="str">
        <f t="shared" si="10"/>
        <v/>
      </c>
      <c r="M316" s="13" t="str">
        <f t="shared" si="11"/>
        <v/>
      </c>
    </row>
    <row r="317" spans="2:13" x14ac:dyDescent="0.35">
      <c r="B317" s="10">
        <v>318</v>
      </c>
      <c r="C317" s="10"/>
      <c r="D317" s="38"/>
      <c r="E317" s="38"/>
      <c r="F317" s="39"/>
      <c r="G317" s="232"/>
      <c r="H317" s="12"/>
      <c r="I317" s="119"/>
      <c r="J317" s="116"/>
      <c r="K317" s="117"/>
      <c r="L317" s="33" t="str">
        <f t="shared" si="10"/>
        <v/>
      </c>
      <c r="M317" s="13" t="str">
        <f t="shared" si="11"/>
        <v/>
      </c>
    </row>
    <row r="318" spans="2:13" x14ac:dyDescent="0.35">
      <c r="B318" s="10">
        <v>319</v>
      </c>
      <c r="C318" s="10"/>
      <c r="D318" s="38"/>
      <c r="E318" s="38"/>
      <c r="F318" s="39"/>
      <c r="G318" s="232"/>
      <c r="H318" s="12"/>
      <c r="I318" s="119"/>
      <c r="J318" s="116"/>
      <c r="K318" s="117"/>
      <c r="L318" s="33" t="str">
        <f t="shared" si="10"/>
        <v/>
      </c>
      <c r="M318" s="13" t="str">
        <f t="shared" si="11"/>
        <v/>
      </c>
    </row>
    <row r="319" spans="2:13" x14ac:dyDescent="0.35">
      <c r="B319" s="10">
        <v>320</v>
      </c>
      <c r="C319" s="10"/>
      <c r="D319" s="38"/>
      <c r="E319" s="38"/>
      <c r="F319" s="39"/>
      <c r="G319" s="232"/>
      <c r="H319" s="12"/>
      <c r="I319" s="119"/>
      <c r="J319" s="116"/>
      <c r="K319" s="117"/>
      <c r="L319" s="33" t="str">
        <f t="shared" si="10"/>
        <v/>
      </c>
      <c r="M319" s="13" t="str">
        <f t="shared" si="11"/>
        <v/>
      </c>
    </row>
    <row r="320" spans="2:13" x14ac:dyDescent="0.35">
      <c r="B320" s="10">
        <v>321</v>
      </c>
      <c r="C320" s="10"/>
      <c r="D320" s="38"/>
      <c r="E320" s="38"/>
      <c r="F320" s="39"/>
      <c r="G320" s="232"/>
      <c r="H320" s="12"/>
      <c r="I320" s="119"/>
      <c r="J320" s="116"/>
      <c r="K320" s="117"/>
      <c r="L320" s="33" t="str">
        <f t="shared" si="10"/>
        <v/>
      </c>
      <c r="M320" s="13" t="str">
        <f t="shared" si="11"/>
        <v/>
      </c>
    </row>
    <row r="321" spans="2:13" x14ac:dyDescent="0.35">
      <c r="B321" s="10">
        <v>322</v>
      </c>
      <c r="C321" s="10"/>
      <c r="D321" s="38"/>
      <c r="E321" s="38"/>
      <c r="F321" s="39"/>
      <c r="G321" s="232"/>
      <c r="H321" s="12"/>
      <c r="I321" s="119"/>
      <c r="J321" s="116"/>
      <c r="K321" s="117"/>
      <c r="L321" s="33" t="str">
        <f t="shared" si="10"/>
        <v/>
      </c>
      <c r="M321" s="13" t="str">
        <f t="shared" si="11"/>
        <v/>
      </c>
    </row>
    <row r="322" spans="2:13" x14ac:dyDescent="0.35">
      <c r="B322" s="10">
        <v>323</v>
      </c>
      <c r="C322" s="10"/>
      <c r="D322" s="38"/>
      <c r="E322" s="38"/>
      <c r="F322" s="39"/>
      <c r="G322" s="232"/>
      <c r="H322" s="12"/>
      <c r="I322" s="119"/>
      <c r="J322" s="116"/>
      <c r="K322" s="117"/>
      <c r="L322" s="33" t="str">
        <f t="shared" ref="L322:L385" si="12">IF(OR(J322="", K322=""), "", NETWORKDAYS(J322,K322))</f>
        <v/>
      </c>
      <c r="M322" s="13" t="str">
        <f t="shared" ref="M322:M385" si="13">IF(I322="SEA", 10, IF(I322="AIR", 5, ""))</f>
        <v/>
      </c>
    </row>
    <row r="323" spans="2:13" x14ac:dyDescent="0.35">
      <c r="B323" s="10">
        <v>324</v>
      </c>
      <c r="C323" s="10"/>
      <c r="D323" s="38"/>
      <c r="E323" s="38"/>
      <c r="F323" s="39"/>
      <c r="G323" s="232"/>
      <c r="H323" s="12"/>
      <c r="I323" s="119"/>
      <c r="J323" s="116"/>
      <c r="K323" s="117"/>
      <c r="L323" s="33" t="str">
        <f t="shared" si="12"/>
        <v/>
      </c>
      <c r="M323" s="13" t="str">
        <f t="shared" si="13"/>
        <v/>
      </c>
    </row>
    <row r="324" spans="2:13" x14ac:dyDescent="0.35">
      <c r="B324" s="10">
        <v>325</v>
      </c>
      <c r="C324" s="10"/>
      <c r="D324" s="38"/>
      <c r="E324" s="38"/>
      <c r="F324" s="39"/>
      <c r="G324" s="232"/>
      <c r="H324" s="12"/>
      <c r="I324" s="119"/>
      <c r="J324" s="116"/>
      <c r="K324" s="117"/>
      <c r="L324" s="33" t="str">
        <f t="shared" si="12"/>
        <v/>
      </c>
      <c r="M324" s="13" t="str">
        <f t="shared" si="13"/>
        <v/>
      </c>
    </row>
    <row r="325" spans="2:13" x14ac:dyDescent="0.35">
      <c r="B325" s="10">
        <v>326</v>
      </c>
      <c r="C325" s="10"/>
      <c r="D325" s="38"/>
      <c r="E325" s="38"/>
      <c r="F325" s="39"/>
      <c r="G325" s="232"/>
      <c r="H325" s="12"/>
      <c r="I325" s="119"/>
      <c r="J325" s="116"/>
      <c r="K325" s="117"/>
      <c r="L325" s="33" t="str">
        <f t="shared" si="12"/>
        <v/>
      </c>
      <c r="M325" s="13" t="str">
        <f t="shared" si="13"/>
        <v/>
      </c>
    </row>
    <row r="326" spans="2:13" x14ac:dyDescent="0.35">
      <c r="B326" s="10">
        <v>327</v>
      </c>
      <c r="C326" s="10"/>
      <c r="D326" s="38"/>
      <c r="E326" s="38"/>
      <c r="F326" s="39"/>
      <c r="G326" s="232"/>
      <c r="H326" s="12"/>
      <c r="I326" s="119"/>
      <c r="J326" s="116"/>
      <c r="K326" s="117"/>
      <c r="L326" s="33" t="str">
        <f t="shared" si="12"/>
        <v/>
      </c>
      <c r="M326" s="13" t="str">
        <f t="shared" si="13"/>
        <v/>
      </c>
    </row>
    <row r="327" spans="2:13" x14ac:dyDescent="0.35">
      <c r="B327" s="10">
        <v>328</v>
      </c>
      <c r="C327" s="10"/>
      <c r="D327" s="38"/>
      <c r="E327" s="38"/>
      <c r="F327" s="39"/>
      <c r="G327" s="232"/>
      <c r="H327" s="12"/>
      <c r="I327" s="119"/>
      <c r="J327" s="116"/>
      <c r="K327" s="117"/>
      <c r="L327" s="33" t="str">
        <f t="shared" si="12"/>
        <v/>
      </c>
      <c r="M327" s="13" t="str">
        <f t="shared" si="13"/>
        <v/>
      </c>
    </row>
    <row r="328" spans="2:13" x14ac:dyDescent="0.35">
      <c r="B328" s="10">
        <v>329</v>
      </c>
      <c r="C328" s="10"/>
      <c r="D328" s="38"/>
      <c r="E328" s="38"/>
      <c r="F328" s="39"/>
      <c r="G328" s="232"/>
      <c r="H328" s="12"/>
      <c r="I328" s="119"/>
      <c r="J328" s="116"/>
      <c r="K328" s="117"/>
      <c r="L328" s="33" t="str">
        <f t="shared" si="12"/>
        <v/>
      </c>
      <c r="M328" s="13" t="str">
        <f t="shared" si="13"/>
        <v/>
      </c>
    </row>
    <row r="329" spans="2:13" x14ac:dyDescent="0.35">
      <c r="B329" s="10">
        <v>330</v>
      </c>
      <c r="C329" s="10"/>
      <c r="D329" s="38"/>
      <c r="E329" s="38"/>
      <c r="F329" s="39"/>
      <c r="G329" s="232"/>
      <c r="H329" s="12"/>
      <c r="I329" s="119"/>
      <c r="J329" s="116"/>
      <c r="K329" s="117"/>
      <c r="L329" s="33" t="str">
        <f t="shared" si="12"/>
        <v/>
      </c>
      <c r="M329" s="13" t="str">
        <f t="shared" si="13"/>
        <v/>
      </c>
    </row>
    <row r="330" spans="2:13" x14ac:dyDescent="0.35">
      <c r="B330" s="10">
        <v>331</v>
      </c>
      <c r="C330" s="10"/>
      <c r="D330" s="38"/>
      <c r="E330" s="38"/>
      <c r="F330" s="39"/>
      <c r="G330" s="232"/>
      <c r="H330" s="12"/>
      <c r="I330" s="119"/>
      <c r="J330" s="116"/>
      <c r="K330" s="117"/>
      <c r="L330" s="33" t="str">
        <f t="shared" si="12"/>
        <v/>
      </c>
      <c r="M330" s="13" t="str">
        <f t="shared" si="13"/>
        <v/>
      </c>
    </row>
    <row r="331" spans="2:13" x14ac:dyDescent="0.35">
      <c r="B331" s="10">
        <v>332</v>
      </c>
      <c r="C331" s="10"/>
      <c r="D331" s="38"/>
      <c r="E331" s="38"/>
      <c r="F331" s="39"/>
      <c r="G331" s="232"/>
      <c r="H331" s="12"/>
      <c r="I331" s="119"/>
      <c r="J331" s="116"/>
      <c r="K331" s="117"/>
      <c r="L331" s="33" t="str">
        <f t="shared" si="12"/>
        <v/>
      </c>
      <c r="M331" s="13" t="str">
        <f t="shared" si="13"/>
        <v/>
      </c>
    </row>
    <row r="332" spans="2:13" x14ac:dyDescent="0.35">
      <c r="B332" s="10">
        <v>333</v>
      </c>
      <c r="C332" s="10"/>
      <c r="D332" s="38"/>
      <c r="E332" s="38"/>
      <c r="F332" s="39"/>
      <c r="G332" s="232"/>
      <c r="H332" s="12"/>
      <c r="I332" s="119"/>
      <c r="J332" s="116"/>
      <c r="K332" s="117"/>
      <c r="L332" s="33" t="str">
        <f t="shared" si="12"/>
        <v/>
      </c>
      <c r="M332" s="13" t="str">
        <f t="shared" si="13"/>
        <v/>
      </c>
    </row>
    <row r="333" spans="2:13" x14ac:dyDescent="0.35">
      <c r="B333" s="10">
        <v>334</v>
      </c>
      <c r="C333" s="10"/>
      <c r="D333" s="38"/>
      <c r="E333" s="38"/>
      <c r="F333" s="39"/>
      <c r="G333" s="232"/>
      <c r="H333" s="12"/>
      <c r="I333" s="119"/>
      <c r="J333" s="116"/>
      <c r="K333" s="117"/>
      <c r="L333" s="33" t="str">
        <f t="shared" si="12"/>
        <v/>
      </c>
      <c r="M333" s="13" t="str">
        <f t="shared" si="13"/>
        <v/>
      </c>
    </row>
    <row r="334" spans="2:13" x14ac:dyDescent="0.35">
      <c r="B334" s="10">
        <v>335</v>
      </c>
      <c r="C334" s="10"/>
      <c r="D334" s="38"/>
      <c r="E334" s="38"/>
      <c r="F334" s="39"/>
      <c r="G334" s="232"/>
      <c r="H334" s="12"/>
      <c r="I334" s="119"/>
      <c r="J334" s="116"/>
      <c r="K334" s="117"/>
      <c r="L334" s="33" t="str">
        <f t="shared" si="12"/>
        <v/>
      </c>
      <c r="M334" s="13" t="str">
        <f t="shared" si="13"/>
        <v/>
      </c>
    </row>
    <row r="335" spans="2:13" x14ac:dyDescent="0.35">
      <c r="B335" s="10">
        <v>336</v>
      </c>
      <c r="C335" s="10"/>
      <c r="D335" s="38"/>
      <c r="E335" s="38"/>
      <c r="F335" s="39"/>
      <c r="G335" s="232"/>
      <c r="H335" s="12"/>
      <c r="I335" s="119"/>
      <c r="J335" s="116"/>
      <c r="K335" s="117"/>
      <c r="L335" s="33" t="str">
        <f t="shared" si="12"/>
        <v/>
      </c>
      <c r="M335" s="13" t="str">
        <f t="shared" si="13"/>
        <v/>
      </c>
    </row>
    <row r="336" spans="2:13" x14ac:dyDescent="0.35">
      <c r="B336" s="10">
        <v>337</v>
      </c>
      <c r="C336" s="10"/>
      <c r="D336" s="38"/>
      <c r="E336" s="38"/>
      <c r="F336" s="39"/>
      <c r="G336" s="232"/>
      <c r="H336" s="12"/>
      <c r="I336" s="119"/>
      <c r="J336" s="116"/>
      <c r="K336" s="117"/>
      <c r="L336" s="33" t="str">
        <f t="shared" si="12"/>
        <v/>
      </c>
      <c r="M336" s="13" t="str">
        <f t="shared" si="13"/>
        <v/>
      </c>
    </row>
    <row r="337" spans="2:13" x14ac:dyDescent="0.35">
      <c r="B337" s="10">
        <v>338</v>
      </c>
      <c r="C337" s="10"/>
      <c r="D337" s="38"/>
      <c r="E337" s="38"/>
      <c r="F337" s="39"/>
      <c r="G337" s="232"/>
      <c r="H337" s="12"/>
      <c r="I337" s="119"/>
      <c r="J337" s="116"/>
      <c r="K337" s="117"/>
      <c r="L337" s="33" t="str">
        <f t="shared" si="12"/>
        <v/>
      </c>
      <c r="M337" s="13" t="str">
        <f t="shared" si="13"/>
        <v/>
      </c>
    </row>
    <row r="338" spans="2:13" x14ac:dyDescent="0.35">
      <c r="B338" s="10">
        <v>339</v>
      </c>
      <c r="C338" s="10"/>
      <c r="D338" s="38"/>
      <c r="E338" s="38"/>
      <c r="F338" s="39"/>
      <c r="G338" s="232"/>
      <c r="H338" s="12"/>
      <c r="I338" s="119"/>
      <c r="J338" s="116"/>
      <c r="K338" s="117"/>
      <c r="L338" s="33" t="str">
        <f t="shared" si="12"/>
        <v/>
      </c>
      <c r="M338" s="13" t="str">
        <f t="shared" si="13"/>
        <v/>
      </c>
    </row>
    <row r="339" spans="2:13" x14ac:dyDescent="0.35">
      <c r="B339" s="10">
        <v>340</v>
      </c>
      <c r="C339" s="10"/>
      <c r="D339" s="38"/>
      <c r="E339" s="38"/>
      <c r="F339" s="39"/>
      <c r="G339" s="232"/>
      <c r="H339" s="12"/>
      <c r="I339" s="119"/>
      <c r="J339" s="116"/>
      <c r="K339" s="117"/>
      <c r="L339" s="33" t="str">
        <f t="shared" si="12"/>
        <v/>
      </c>
      <c r="M339" s="13" t="str">
        <f t="shared" si="13"/>
        <v/>
      </c>
    </row>
    <row r="340" spans="2:13" x14ac:dyDescent="0.35">
      <c r="B340" s="10">
        <v>341</v>
      </c>
      <c r="C340" s="10"/>
      <c r="D340" s="38"/>
      <c r="E340" s="38"/>
      <c r="F340" s="39"/>
      <c r="G340" s="232"/>
      <c r="H340" s="12"/>
      <c r="I340" s="119"/>
      <c r="J340" s="116"/>
      <c r="K340" s="117"/>
      <c r="L340" s="33" t="str">
        <f t="shared" si="12"/>
        <v/>
      </c>
      <c r="M340" s="13" t="str">
        <f t="shared" si="13"/>
        <v/>
      </c>
    </row>
    <row r="341" spans="2:13" x14ac:dyDescent="0.35">
      <c r="B341" s="10">
        <v>342</v>
      </c>
      <c r="C341" s="10"/>
      <c r="D341" s="38"/>
      <c r="E341" s="38"/>
      <c r="F341" s="39"/>
      <c r="G341" s="232"/>
      <c r="H341" s="12"/>
      <c r="I341" s="119"/>
      <c r="J341" s="116"/>
      <c r="K341" s="117"/>
      <c r="L341" s="33" t="str">
        <f t="shared" si="12"/>
        <v/>
      </c>
      <c r="M341" s="13" t="str">
        <f t="shared" si="13"/>
        <v/>
      </c>
    </row>
    <row r="342" spans="2:13" x14ac:dyDescent="0.35">
      <c r="B342" s="10">
        <v>343</v>
      </c>
      <c r="C342" s="10"/>
      <c r="D342" s="38"/>
      <c r="E342" s="38"/>
      <c r="F342" s="39"/>
      <c r="G342" s="232"/>
      <c r="H342" s="12"/>
      <c r="I342" s="119"/>
      <c r="J342" s="116"/>
      <c r="K342" s="117"/>
      <c r="L342" s="33" t="str">
        <f t="shared" si="12"/>
        <v/>
      </c>
      <c r="M342" s="13" t="str">
        <f t="shared" si="13"/>
        <v/>
      </c>
    </row>
    <row r="343" spans="2:13" x14ac:dyDescent="0.35">
      <c r="B343" s="10">
        <v>344</v>
      </c>
      <c r="C343" s="10"/>
      <c r="D343" s="38"/>
      <c r="E343" s="38"/>
      <c r="F343" s="39"/>
      <c r="G343" s="232"/>
      <c r="H343" s="12"/>
      <c r="I343" s="119"/>
      <c r="J343" s="116"/>
      <c r="K343" s="117"/>
      <c r="L343" s="33" t="str">
        <f t="shared" si="12"/>
        <v/>
      </c>
      <c r="M343" s="13" t="str">
        <f t="shared" si="13"/>
        <v/>
      </c>
    </row>
    <row r="344" spans="2:13" x14ac:dyDescent="0.35">
      <c r="B344" s="10">
        <v>345</v>
      </c>
      <c r="C344" s="10"/>
      <c r="D344" s="38"/>
      <c r="E344" s="38"/>
      <c r="F344" s="39"/>
      <c r="G344" s="232"/>
      <c r="H344" s="12"/>
      <c r="I344" s="119"/>
      <c r="J344" s="116"/>
      <c r="K344" s="117"/>
      <c r="L344" s="33" t="str">
        <f t="shared" si="12"/>
        <v/>
      </c>
      <c r="M344" s="13" t="str">
        <f t="shared" si="13"/>
        <v/>
      </c>
    </row>
    <row r="345" spans="2:13" x14ac:dyDescent="0.35">
      <c r="B345" s="10">
        <v>346</v>
      </c>
      <c r="C345" s="10"/>
      <c r="D345" s="38"/>
      <c r="E345" s="38"/>
      <c r="F345" s="39"/>
      <c r="G345" s="232"/>
      <c r="H345" s="12"/>
      <c r="I345" s="119"/>
      <c r="J345" s="116"/>
      <c r="K345" s="117"/>
      <c r="L345" s="33" t="str">
        <f t="shared" si="12"/>
        <v/>
      </c>
      <c r="M345" s="13" t="str">
        <f t="shared" si="13"/>
        <v/>
      </c>
    </row>
    <row r="346" spans="2:13" x14ac:dyDescent="0.35">
      <c r="B346" s="10">
        <v>347</v>
      </c>
      <c r="C346" s="10"/>
      <c r="D346" s="38"/>
      <c r="E346" s="38"/>
      <c r="F346" s="39"/>
      <c r="G346" s="232"/>
      <c r="H346" s="12"/>
      <c r="I346" s="119"/>
      <c r="J346" s="116"/>
      <c r="K346" s="117"/>
      <c r="L346" s="33" t="str">
        <f t="shared" si="12"/>
        <v/>
      </c>
      <c r="M346" s="13" t="str">
        <f t="shared" si="13"/>
        <v/>
      </c>
    </row>
    <row r="347" spans="2:13" x14ac:dyDescent="0.35">
      <c r="B347" s="10">
        <v>348</v>
      </c>
      <c r="C347" s="10"/>
      <c r="D347" s="38"/>
      <c r="E347" s="38"/>
      <c r="F347" s="39"/>
      <c r="G347" s="232"/>
      <c r="H347" s="12"/>
      <c r="I347" s="119"/>
      <c r="J347" s="116"/>
      <c r="K347" s="117"/>
      <c r="L347" s="33" t="str">
        <f t="shared" si="12"/>
        <v/>
      </c>
      <c r="M347" s="13" t="str">
        <f t="shared" si="13"/>
        <v/>
      </c>
    </row>
    <row r="348" spans="2:13" x14ac:dyDescent="0.35">
      <c r="B348" s="10">
        <v>349</v>
      </c>
      <c r="C348" s="10"/>
      <c r="D348" s="38"/>
      <c r="E348" s="38"/>
      <c r="F348" s="39"/>
      <c r="G348" s="232"/>
      <c r="H348" s="12"/>
      <c r="I348" s="119"/>
      <c r="J348" s="116"/>
      <c r="K348" s="117"/>
      <c r="L348" s="33" t="str">
        <f t="shared" si="12"/>
        <v/>
      </c>
      <c r="M348" s="13" t="str">
        <f t="shared" si="13"/>
        <v/>
      </c>
    </row>
    <row r="349" spans="2:13" x14ac:dyDescent="0.35">
      <c r="B349" s="10">
        <v>350</v>
      </c>
      <c r="C349" s="10"/>
      <c r="D349" s="38"/>
      <c r="E349" s="38"/>
      <c r="F349" s="39"/>
      <c r="G349" s="232"/>
      <c r="H349" s="12"/>
      <c r="I349" s="119"/>
      <c r="J349" s="116"/>
      <c r="K349" s="117"/>
      <c r="L349" s="33" t="str">
        <f t="shared" si="12"/>
        <v/>
      </c>
      <c r="M349" s="13" t="str">
        <f t="shared" si="13"/>
        <v/>
      </c>
    </row>
    <row r="350" spans="2:13" x14ac:dyDescent="0.35">
      <c r="B350" s="10">
        <v>351</v>
      </c>
      <c r="C350" s="10"/>
      <c r="D350" s="38"/>
      <c r="E350" s="38"/>
      <c r="F350" s="39"/>
      <c r="G350" s="232"/>
      <c r="H350" s="12"/>
      <c r="I350" s="119"/>
      <c r="J350" s="116"/>
      <c r="K350" s="117"/>
      <c r="L350" s="33" t="str">
        <f t="shared" si="12"/>
        <v/>
      </c>
      <c r="M350" s="13" t="str">
        <f t="shared" si="13"/>
        <v/>
      </c>
    </row>
    <row r="351" spans="2:13" x14ac:dyDescent="0.35">
      <c r="B351" s="10">
        <v>352</v>
      </c>
      <c r="C351" s="10"/>
      <c r="D351" s="38"/>
      <c r="E351" s="38"/>
      <c r="F351" s="39"/>
      <c r="G351" s="232"/>
      <c r="H351" s="12"/>
      <c r="I351" s="119"/>
      <c r="J351" s="116"/>
      <c r="K351" s="117"/>
      <c r="L351" s="33" t="str">
        <f t="shared" si="12"/>
        <v/>
      </c>
      <c r="M351" s="13" t="str">
        <f t="shared" si="13"/>
        <v/>
      </c>
    </row>
    <row r="352" spans="2:13" x14ac:dyDescent="0.35">
      <c r="B352" s="10">
        <v>353</v>
      </c>
      <c r="C352" s="10"/>
      <c r="D352" s="38"/>
      <c r="E352" s="38"/>
      <c r="F352" s="39"/>
      <c r="G352" s="232"/>
      <c r="H352" s="12"/>
      <c r="I352" s="119"/>
      <c r="J352" s="116"/>
      <c r="K352" s="117"/>
      <c r="L352" s="33" t="str">
        <f t="shared" si="12"/>
        <v/>
      </c>
      <c r="M352" s="13" t="str">
        <f t="shared" si="13"/>
        <v/>
      </c>
    </row>
    <row r="353" spans="2:13" x14ac:dyDescent="0.35">
      <c r="B353" s="10">
        <v>354</v>
      </c>
      <c r="C353" s="10"/>
      <c r="D353" s="38"/>
      <c r="E353" s="38"/>
      <c r="F353" s="39"/>
      <c r="G353" s="232"/>
      <c r="H353" s="12"/>
      <c r="I353" s="119"/>
      <c r="J353" s="116"/>
      <c r="K353" s="117"/>
      <c r="L353" s="33" t="str">
        <f t="shared" si="12"/>
        <v/>
      </c>
      <c r="M353" s="13" t="str">
        <f t="shared" si="13"/>
        <v/>
      </c>
    </row>
    <row r="354" spans="2:13" x14ac:dyDescent="0.35">
      <c r="B354" s="10">
        <v>355</v>
      </c>
      <c r="C354" s="10"/>
      <c r="D354" s="38"/>
      <c r="E354" s="38"/>
      <c r="F354" s="39"/>
      <c r="G354" s="232"/>
      <c r="H354" s="12"/>
      <c r="I354" s="119"/>
      <c r="J354" s="116"/>
      <c r="K354" s="117"/>
      <c r="L354" s="33" t="str">
        <f t="shared" si="12"/>
        <v/>
      </c>
      <c r="M354" s="13" t="str">
        <f t="shared" si="13"/>
        <v/>
      </c>
    </row>
    <row r="355" spans="2:13" x14ac:dyDescent="0.35">
      <c r="B355" s="10">
        <v>356</v>
      </c>
      <c r="C355" s="10"/>
      <c r="D355" s="38"/>
      <c r="E355" s="38"/>
      <c r="F355" s="39"/>
      <c r="G355" s="232"/>
      <c r="H355" s="12"/>
      <c r="I355" s="119"/>
      <c r="J355" s="116"/>
      <c r="K355" s="117"/>
      <c r="L355" s="33" t="str">
        <f t="shared" si="12"/>
        <v/>
      </c>
      <c r="M355" s="13" t="str">
        <f t="shared" si="13"/>
        <v/>
      </c>
    </row>
    <row r="356" spans="2:13" x14ac:dyDescent="0.35">
      <c r="B356" s="10">
        <v>357</v>
      </c>
      <c r="C356" s="10"/>
      <c r="D356" s="38"/>
      <c r="E356" s="38"/>
      <c r="F356" s="39"/>
      <c r="G356" s="232"/>
      <c r="H356" s="12"/>
      <c r="I356" s="119"/>
      <c r="J356" s="116"/>
      <c r="K356" s="117"/>
      <c r="L356" s="33" t="str">
        <f t="shared" si="12"/>
        <v/>
      </c>
      <c r="M356" s="13" t="str">
        <f t="shared" si="13"/>
        <v/>
      </c>
    </row>
    <row r="357" spans="2:13" x14ac:dyDescent="0.35">
      <c r="B357" s="10">
        <v>358</v>
      </c>
      <c r="C357" s="10"/>
      <c r="D357" s="38"/>
      <c r="E357" s="38"/>
      <c r="F357" s="39"/>
      <c r="G357" s="232"/>
      <c r="H357" s="12"/>
      <c r="I357" s="119"/>
      <c r="J357" s="116"/>
      <c r="K357" s="117"/>
      <c r="L357" s="33" t="str">
        <f t="shared" si="12"/>
        <v/>
      </c>
      <c r="M357" s="13" t="str">
        <f t="shared" si="13"/>
        <v/>
      </c>
    </row>
    <row r="358" spans="2:13" x14ac:dyDescent="0.35">
      <c r="B358" s="10">
        <v>359</v>
      </c>
      <c r="C358" s="10"/>
      <c r="D358" s="38"/>
      <c r="E358" s="38"/>
      <c r="F358" s="39"/>
      <c r="G358" s="232"/>
      <c r="H358" s="12"/>
      <c r="I358" s="119"/>
      <c r="J358" s="116"/>
      <c r="K358" s="117"/>
      <c r="L358" s="33" t="str">
        <f t="shared" si="12"/>
        <v/>
      </c>
      <c r="M358" s="13" t="str">
        <f t="shared" si="13"/>
        <v/>
      </c>
    </row>
    <row r="359" spans="2:13" x14ac:dyDescent="0.35">
      <c r="B359" s="10">
        <v>360</v>
      </c>
      <c r="C359" s="10"/>
      <c r="D359" s="38"/>
      <c r="E359" s="38"/>
      <c r="F359" s="39"/>
      <c r="G359" s="232"/>
      <c r="H359" s="12"/>
      <c r="I359" s="119"/>
      <c r="J359" s="116"/>
      <c r="K359" s="117"/>
      <c r="L359" s="33" t="str">
        <f t="shared" si="12"/>
        <v/>
      </c>
      <c r="M359" s="13" t="str">
        <f t="shared" si="13"/>
        <v/>
      </c>
    </row>
    <row r="360" spans="2:13" x14ac:dyDescent="0.35">
      <c r="B360" s="10">
        <v>361</v>
      </c>
      <c r="C360" s="10"/>
      <c r="D360" s="38"/>
      <c r="E360" s="38"/>
      <c r="F360" s="39"/>
      <c r="G360" s="232"/>
      <c r="H360" s="12"/>
      <c r="I360" s="119"/>
      <c r="J360" s="116"/>
      <c r="K360" s="117"/>
      <c r="L360" s="33" t="str">
        <f t="shared" si="12"/>
        <v/>
      </c>
      <c r="M360" s="13" t="str">
        <f t="shared" si="13"/>
        <v/>
      </c>
    </row>
    <row r="361" spans="2:13" x14ac:dyDescent="0.35">
      <c r="B361" s="10">
        <v>362</v>
      </c>
      <c r="C361" s="10"/>
      <c r="D361" s="38"/>
      <c r="E361" s="38"/>
      <c r="F361" s="39"/>
      <c r="G361" s="232"/>
      <c r="H361" s="12"/>
      <c r="I361" s="119"/>
      <c r="J361" s="116"/>
      <c r="K361" s="117"/>
      <c r="L361" s="33" t="str">
        <f t="shared" si="12"/>
        <v/>
      </c>
      <c r="M361" s="13" t="str">
        <f t="shared" si="13"/>
        <v/>
      </c>
    </row>
    <row r="362" spans="2:13" x14ac:dyDescent="0.35">
      <c r="B362" s="10">
        <v>363</v>
      </c>
      <c r="C362" s="10"/>
      <c r="D362" s="38"/>
      <c r="E362" s="38"/>
      <c r="F362" s="39"/>
      <c r="G362" s="232"/>
      <c r="H362" s="12"/>
      <c r="I362" s="119"/>
      <c r="J362" s="116"/>
      <c r="K362" s="117"/>
      <c r="L362" s="33" t="str">
        <f t="shared" si="12"/>
        <v/>
      </c>
      <c r="M362" s="13" t="str">
        <f t="shared" si="13"/>
        <v/>
      </c>
    </row>
    <row r="363" spans="2:13" x14ac:dyDescent="0.35">
      <c r="B363" s="10">
        <v>364</v>
      </c>
      <c r="C363" s="10"/>
      <c r="D363" s="38"/>
      <c r="E363" s="38"/>
      <c r="F363" s="39"/>
      <c r="G363" s="232"/>
      <c r="H363" s="12"/>
      <c r="I363" s="119"/>
      <c r="J363" s="116"/>
      <c r="K363" s="117"/>
      <c r="L363" s="33" t="str">
        <f t="shared" si="12"/>
        <v/>
      </c>
      <c r="M363" s="13" t="str">
        <f t="shared" si="13"/>
        <v/>
      </c>
    </row>
    <row r="364" spans="2:13" x14ac:dyDescent="0.35">
      <c r="B364" s="10">
        <v>365</v>
      </c>
      <c r="C364" s="10"/>
      <c r="D364" s="38"/>
      <c r="E364" s="38"/>
      <c r="F364" s="39"/>
      <c r="G364" s="232"/>
      <c r="H364" s="12"/>
      <c r="I364" s="119"/>
      <c r="J364" s="116"/>
      <c r="K364" s="117"/>
      <c r="L364" s="33" t="str">
        <f t="shared" si="12"/>
        <v/>
      </c>
      <c r="M364" s="13" t="str">
        <f t="shared" si="13"/>
        <v/>
      </c>
    </row>
    <row r="365" spans="2:13" x14ac:dyDescent="0.35">
      <c r="B365" s="10">
        <v>366</v>
      </c>
      <c r="C365" s="10"/>
      <c r="D365" s="38"/>
      <c r="E365" s="38"/>
      <c r="F365" s="39"/>
      <c r="G365" s="232"/>
      <c r="H365" s="12"/>
      <c r="I365" s="119"/>
      <c r="J365" s="116"/>
      <c r="K365" s="117"/>
      <c r="L365" s="33" t="str">
        <f t="shared" si="12"/>
        <v/>
      </c>
      <c r="M365" s="13" t="str">
        <f t="shared" si="13"/>
        <v/>
      </c>
    </row>
    <row r="366" spans="2:13" x14ac:dyDescent="0.35">
      <c r="B366" s="10">
        <v>367</v>
      </c>
      <c r="C366" s="10"/>
      <c r="D366" s="38"/>
      <c r="E366" s="38"/>
      <c r="F366" s="39"/>
      <c r="G366" s="232"/>
      <c r="H366" s="12"/>
      <c r="I366" s="119"/>
      <c r="J366" s="116"/>
      <c r="K366" s="117"/>
      <c r="L366" s="33" t="str">
        <f t="shared" si="12"/>
        <v/>
      </c>
      <c r="M366" s="13" t="str">
        <f t="shared" si="13"/>
        <v/>
      </c>
    </row>
    <row r="367" spans="2:13" x14ac:dyDescent="0.35">
      <c r="B367" s="10">
        <v>368</v>
      </c>
      <c r="C367" s="10"/>
      <c r="D367" s="38"/>
      <c r="E367" s="38"/>
      <c r="F367" s="39"/>
      <c r="G367" s="232"/>
      <c r="H367" s="12"/>
      <c r="I367" s="119"/>
      <c r="J367" s="116"/>
      <c r="K367" s="117"/>
      <c r="L367" s="33" t="str">
        <f t="shared" si="12"/>
        <v/>
      </c>
      <c r="M367" s="13" t="str">
        <f t="shared" si="13"/>
        <v/>
      </c>
    </row>
    <row r="368" spans="2:13" x14ac:dyDescent="0.35">
      <c r="B368" s="10">
        <v>369</v>
      </c>
      <c r="C368" s="10"/>
      <c r="D368" s="38"/>
      <c r="E368" s="38"/>
      <c r="F368" s="39"/>
      <c r="G368" s="232"/>
      <c r="H368" s="12"/>
      <c r="I368" s="119"/>
      <c r="J368" s="116"/>
      <c r="K368" s="117"/>
      <c r="L368" s="33" t="str">
        <f t="shared" si="12"/>
        <v/>
      </c>
      <c r="M368" s="13" t="str">
        <f t="shared" si="13"/>
        <v/>
      </c>
    </row>
    <row r="369" spans="2:13" x14ac:dyDescent="0.35">
      <c r="B369" s="10">
        <v>370</v>
      </c>
      <c r="C369" s="10"/>
      <c r="D369" s="38"/>
      <c r="E369" s="38"/>
      <c r="F369" s="39"/>
      <c r="G369" s="232"/>
      <c r="H369" s="12"/>
      <c r="I369" s="119"/>
      <c r="J369" s="116"/>
      <c r="K369" s="117"/>
      <c r="L369" s="33" t="str">
        <f t="shared" si="12"/>
        <v/>
      </c>
      <c r="M369" s="13" t="str">
        <f t="shared" si="13"/>
        <v/>
      </c>
    </row>
    <row r="370" spans="2:13" x14ac:dyDescent="0.35">
      <c r="B370" s="10">
        <v>371</v>
      </c>
      <c r="C370" s="10"/>
      <c r="D370" s="38"/>
      <c r="E370" s="38"/>
      <c r="F370" s="39"/>
      <c r="G370" s="232"/>
      <c r="H370" s="12"/>
      <c r="I370" s="119"/>
      <c r="J370" s="116"/>
      <c r="K370" s="117"/>
      <c r="L370" s="33" t="str">
        <f t="shared" si="12"/>
        <v/>
      </c>
      <c r="M370" s="13" t="str">
        <f t="shared" si="13"/>
        <v/>
      </c>
    </row>
    <row r="371" spans="2:13" x14ac:dyDescent="0.35">
      <c r="B371" s="10">
        <v>372</v>
      </c>
      <c r="C371" s="10"/>
      <c r="D371" s="38"/>
      <c r="E371" s="38"/>
      <c r="F371" s="39"/>
      <c r="G371" s="232"/>
      <c r="H371" s="12"/>
      <c r="I371" s="119"/>
      <c r="J371" s="116"/>
      <c r="K371" s="117"/>
      <c r="L371" s="33" t="str">
        <f t="shared" si="12"/>
        <v/>
      </c>
      <c r="M371" s="13" t="str">
        <f t="shared" si="13"/>
        <v/>
      </c>
    </row>
    <row r="372" spans="2:13" x14ac:dyDescent="0.35">
      <c r="B372" s="10">
        <v>373</v>
      </c>
      <c r="C372" s="10"/>
      <c r="D372" s="38"/>
      <c r="E372" s="38"/>
      <c r="F372" s="39"/>
      <c r="G372" s="232"/>
      <c r="H372" s="12"/>
      <c r="I372" s="119"/>
      <c r="J372" s="116"/>
      <c r="K372" s="117"/>
      <c r="L372" s="33" t="str">
        <f t="shared" si="12"/>
        <v/>
      </c>
      <c r="M372" s="13" t="str">
        <f t="shared" si="13"/>
        <v/>
      </c>
    </row>
    <row r="373" spans="2:13" x14ac:dyDescent="0.35">
      <c r="B373" s="10">
        <v>374</v>
      </c>
      <c r="C373" s="10"/>
      <c r="D373" s="38"/>
      <c r="E373" s="38"/>
      <c r="F373" s="39"/>
      <c r="G373" s="232"/>
      <c r="H373" s="12"/>
      <c r="I373" s="119"/>
      <c r="J373" s="116"/>
      <c r="K373" s="117"/>
      <c r="L373" s="33" t="str">
        <f t="shared" si="12"/>
        <v/>
      </c>
      <c r="M373" s="13" t="str">
        <f t="shared" si="13"/>
        <v/>
      </c>
    </row>
    <row r="374" spans="2:13" x14ac:dyDescent="0.35">
      <c r="B374" s="10">
        <v>375</v>
      </c>
      <c r="C374" s="10"/>
      <c r="D374" s="38"/>
      <c r="E374" s="38"/>
      <c r="F374" s="39"/>
      <c r="G374" s="232"/>
      <c r="H374" s="12"/>
      <c r="I374" s="119"/>
      <c r="J374" s="116"/>
      <c r="K374" s="117"/>
      <c r="L374" s="33" t="str">
        <f t="shared" si="12"/>
        <v/>
      </c>
      <c r="M374" s="13" t="str">
        <f t="shared" si="13"/>
        <v/>
      </c>
    </row>
    <row r="375" spans="2:13" x14ac:dyDescent="0.35">
      <c r="B375" s="10">
        <v>376</v>
      </c>
      <c r="C375" s="10"/>
      <c r="D375" s="38"/>
      <c r="E375" s="38"/>
      <c r="F375" s="39"/>
      <c r="G375" s="232"/>
      <c r="H375" s="12"/>
      <c r="I375" s="119"/>
      <c r="J375" s="116"/>
      <c r="K375" s="117"/>
      <c r="L375" s="33" t="str">
        <f t="shared" si="12"/>
        <v/>
      </c>
      <c r="M375" s="13" t="str">
        <f t="shared" si="13"/>
        <v/>
      </c>
    </row>
    <row r="376" spans="2:13" x14ac:dyDescent="0.35">
      <c r="B376" s="10">
        <v>377</v>
      </c>
      <c r="C376" s="10"/>
      <c r="D376" s="38"/>
      <c r="E376" s="38"/>
      <c r="F376" s="39"/>
      <c r="G376" s="232"/>
      <c r="H376" s="12"/>
      <c r="I376" s="119"/>
      <c r="J376" s="116"/>
      <c r="K376" s="117"/>
      <c r="L376" s="33" t="str">
        <f t="shared" si="12"/>
        <v/>
      </c>
      <c r="M376" s="13" t="str">
        <f t="shared" si="13"/>
        <v/>
      </c>
    </row>
    <row r="377" spans="2:13" x14ac:dyDescent="0.35">
      <c r="B377" s="10">
        <v>378</v>
      </c>
      <c r="C377" s="10"/>
      <c r="D377" s="38"/>
      <c r="E377" s="38"/>
      <c r="F377" s="39"/>
      <c r="G377" s="232"/>
      <c r="H377" s="12"/>
      <c r="I377" s="119"/>
      <c r="J377" s="116"/>
      <c r="K377" s="117"/>
      <c r="L377" s="33" t="str">
        <f t="shared" si="12"/>
        <v/>
      </c>
      <c r="M377" s="13" t="str">
        <f t="shared" si="13"/>
        <v/>
      </c>
    </row>
    <row r="378" spans="2:13" x14ac:dyDescent="0.35">
      <c r="B378" s="10">
        <v>379</v>
      </c>
      <c r="C378" s="10"/>
      <c r="D378" s="38"/>
      <c r="E378" s="38"/>
      <c r="F378" s="39"/>
      <c r="G378" s="232"/>
      <c r="H378" s="12"/>
      <c r="I378" s="119"/>
      <c r="J378" s="116"/>
      <c r="K378" s="117"/>
      <c r="L378" s="33" t="str">
        <f t="shared" si="12"/>
        <v/>
      </c>
      <c r="M378" s="13" t="str">
        <f t="shared" si="13"/>
        <v/>
      </c>
    </row>
    <row r="379" spans="2:13" x14ac:dyDescent="0.35">
      <c r="B379" s="10">
        <v>380</v>
      </c>
      <c r="C379" s="10"/>
      <c r="D379" s="38"/>
      <c r="E379" s="38"/>
      <c r="F379" s="39"/>
      <c r="G379" s="232"/>
      <c r="H379" s="12"/>
      <c r="I379" s="119"/>
      <c r="J379" s="116"/>
      <c r="K379" s="117"/>
      <c r="L379" s="33" t="str">
        <f t="shared" si="12"/>
        <v/>
      </c>
      <c r="M379" s="13" t="str">
        <f t="shared" si="13"/>
        <v/>
      </c>
    </row>
    <row r="380" spans="2:13" x14ac:dyDescent="0.35">
      <c r="B380" s="10">
        <v>381</v>
      </c>
      <c r="C380" s="10"/>
      <c r="D380" s="38"/>
      <c r="E380" s="38"/>
      <c r="F380" s="39"/>
      <c r="G380" s="232"/>
      <c r="H380" s="12"/>
      <c r="I380" s="119"/>
      <c r="J380" s="116"/>
      <c r="K380" s="117"/>
      <c r="L380" s="33" t="str">
        <f t="shared" si="12"/>
        <v/>
      </c>
      <c r="M380" s="13" t="str">
        <f t="shared" si="13"/>
        <v/>
      </c>
    </row>
    <row r="381" spans="2:13" x14ac:dyDescent="0.35">
      <c r="B381" s="10">
        <v>382</v>
      </c>
      <c r="C381" s="10"/>
      <c r="D381" s="38"/>
      <c r="E381" s="38"/>
      <c r="F381" s="39"/>
      <c r="G381" s="232"/>
      <c r="H381" s="12"/>
      <c r="I381" s="119"/>
      <c r="J381" s="116"/>
      <c r="K381" s="117"/>
      <c r="L381" s="33" t="str">
        <f t="shared" si="12"/>
        <v/>
      </c>
      <c r="M381" s="13" t="str">
        <f t="shared" si="13"/>
        <v/>
      </c>
    </row>
    <row r="382" spans="2:13" x14ac:dyDescent="0.35">
      <c r="B382" s="10">
        <v>383</v>
      </c>
      <c r="C382" s="10"/>
      <c r="D382" s="38"/>
      <c r="E382" s="38"/>
      <c r="F382" s="39"/>
      <c r="G382" s="232"/>
      <c r="H382" s="12"/>
      <c r="I382" s="119"/>
      <c r="J382" s="116"/>
      <c r="K382" s="117"/>
      <c r="L382" s="33" t="str">
        <f t="shared" si="12"/>
        <v/>
      </c>
      <c r="M382" s="13" t="str">
        <f t="shared" si="13"/>
        <v/>
      </c>
    </row>
    <row r="383" spans="2:13" x14ac:dyDescent="0.35">
      <c r="B383" s="10">
        <v>384</v>
      </c>
      <c r="C383" s="10"/>
      <c r="D383" s="38"/>
      <c r="E383" s="38"/>
      <c r="F383" s="39"/>
      <c r="G383" s="232"/>
      <c r="H383" s="12"/>
      <c r="I383" s="119"/>
      <c r="J383" s="116"/>
      <c r="K383" s="117"/>
      <c r="L383" s="33" t="str">
        <f t="shared" si="12"/>
        <v/>
      </c>
      <c r="M383" s="13" t="str">
        <f t="shared" si="13"/>
        <v/>
      </c>
    </row>
    <row r="384" spans="2:13" x14ac:dyDescent="0.35">
      <c r="B384" s="10">
        <v>385</v>
      </c>
      <c r="C384" s="10"/>
      <c r="D384" s="38"/>
      <c r="E384" s="38"/>
      <c r="F384" s="39"/>
      <c r="G384" s="232"/>
      <c r="H384" s="12"/>
      <c r="I384" s="119"/>
      <c r="J384" s="116"/>
      <c r="K384" s="117"/>
      <c r="L384" s="33" t="str">
        <f t="shared" si="12"/>
        <v/>
      </c>
      <c r="M384" s="13" t="str">
        <f t="shared" si="13"/>
        <v/>
      </c>
    </row>
    <row r="385" spans="2:13" x14ac:dyDescent="0.35">
      <c r="B385" s="10">
        <v>386</v>
      </c>
      <c r="C385" s="10"/>
      <c r="D385" s="38"/>
      <c r="E385" s="38"/>
      <c r="F385" s="39"/>
      <c r="G385" s="232"/>
      <c r="H385" s="12"/>
      <c r="I385" s="119"/>
      <c r="J385" s="116"/>
      <c r="K385" s="117"/>
      <c r="L385" s="33" t="str">
        <f t="shared" si="12"/>
        <v/>
      </c>
      <c r="M385" s="13" t="str">
        <f t="shared" si="13"/>
        <v/>
      </c>
    </row>
    <row r="386" spans="2:13" x14ac:dyDescent="0.35">
      <c r="B386" s="10">
        <v>387</v>
      </c>
      <c r="C386" s="10"/>
      <c r="D386" s="38"/>
      <c r="E386" s="38"/>
      <c r="F386" s="39"/>
      <c r="G386" s="232"/>
      <c r="H386" s="12"/>
      <c r="I386" s="119"/>
      <c r="J386" s="116"/>
      <c r="K386" s="117"/>
      <c r="L386" s="33" t="str">
        <f t="shared" ref="L386:L449" si="14">IF(OR(J386="", K386=""), "", NETWORKDAYS(J386,K386))</f>
        <v/>
      </c>
      <c r="M386" s="13" t="str">
        <f t="shared" ref="M386:M449" si="15">IF(I386="SEA", 10, IF(I386="AIR", 5, ""))</f>
        <v/>
      </c>
    </row>
    <row r="387" spans="2:13" x14ac:dyDescent="0.35">
      <c r="B387" s="10">
        <v>388</v>
      </c>
      <c r="C387" s="10"/>
      <c r="D387" s="38"/>
      <c r="E387" s="38"/>
      <c r="F387" s="39"/>
      <c r="G387" s="232"/>
      <c r="H387" s="12"/>
      <c r="I387" s="119"/>
      <c r="J387" s="116"/>
      <c r="K387" s="117"/>
      <c r="L387" s="33" t="str">
        <f t="shared" si="14"/>
        <v/>
      </c>
      <c r="M387" s="13" t="str">
        <f t="shared" si="15"/>
        <v/>
      </c>
    </row>
    <row r="388" spans="2:13" x14ac:dyDescent="0.35">
      <c r="B388" s="10">
        <v>389</v>
      </c>
      <c r="C388" s="10"/>
      <c r="D388" s="38"/>
      <c r="E388" s="38"/>
      <c r="F388" s="39"/>
      <c r="G388" s="232"/>
      <c r="H388" s="12"/>
      <c r="I388" s="119"/>
      <c r="J388" s="116"/>
      <c r="K388" s="117"/>
      <c r="L388" s="33" t="str">
        <f t="shared" si="14"/>
        <v/>
      </c>
      <c r="M388" s="13" t="str">
        <f t="shared" si="15"/>
        <v/>
      </c>
    </row>
    <row r="389" spans="2:13" x14ac:dyDescent="0.35">
      <c r="B389" s="10">
        <v>390</v>
      </c>
      <c r="C389" s="10"/>
      <c r="D389" s="38"/>
      <c r="E389" s="38"/>
      <c r="F389" s="39"/>
      <c r="G389" s="232"/>
      <c r="H389" s="12"/>
      <c r="I389" s="119"/>
      <c r="J389" s="116"/>
      <c r="K389" s="117"/>
      <c r="L389" s="33" t="str">
        <f t="shared" si="14"/>
        <v/>
      </c>
      <c r="M389" s="13" t="str">
        <f t="shared" si="15"/>
        <v/>
      </c>
    </row>
    <row r="390" spans="2:13" x14ac:dyDescent="0.35">
      <c r="B390" s="10">
        <v>391</v>
      </c>
      <c r="C390" s="10"/>
      <c r="D390" s="38"/>
      <c r="E390" s="38"/>
      <c r="F390" s="39"/>
      <c r="G390" s="232"/>
      <c r="H390" s="12"/>
      <c r="I390" s="119"/>
      <c r="J390" s="116"/>
      <c r="K390" s="117"/>
      <c r="L390" s="33" t="str">
        <f t="shared" si="14"/>
        <v/>
      </c>
      <c r="M390" s="13" t="str">
        <f t="shared" si="15"/>
        <v/>
      </c>
    </row>
    <row r="391" spans="2:13" x14ac:dyDescent="0.35">
      <c r="B391" s="10">
        <v>392</v>
      </c>
      <c r="C391" s="10"/>
      <c r="D391" s="38"/>
      <c r="E391" s="38"/>
      <c r="F391" s="39"/>
      <c r="G391" s="232"/>
      <c r="H391" s="12"/>
      <c r="I391" s="119"/>
      <c r="J391" s="116"/>
      <c r="K391" s="117"/>
      <c r="L391" s="33" t="str">
        <f t="shared" si="14"/>
        <v/>
      </c>
      <c r="M391" s="13" t="str">
        <f t="shared" si="15"/>
        <v/>
      </c>
    </row>
    <row r="392" spans="2:13" x14ac:dyDescent="0.35">
      <c r="B392" s="10">
        <v>393</v>
      </c>
      <c r="C392" s="10"/>
      <c r="D392" s="38"/>
      <c r="E392" s="38"/>
      <c r="F392" s="39"/>
      <c r="G392" s="232"/>
      <c r="H392" s="12"/>
      <c r="I392" s="119"/>
      <c r="J392" s="116"/>
      <c r="K392" s="117"/>
      <c r="L392" s="33" t="str">
        <f t="shared" si="14"/>
        <v/>
      </c>
      <c r="M392" s="13" t="str">
        <f t="shared" si="15"/>
        <v/>
      </c>
    </row>
    <row r="393" spans="2:13" x14ac:dyDescent="0.35">
      <c r="B393" s="10">
        <v>394</v>
      </c>
      <c r="C393" s="10"/>
      <c r="D393" s="38"/>
      <c r="E393" s="38"/>
      <c r="F393" s="39"/>
      <c r="G393" s="232"/>
      <c r="H393" s="12"/>
      <c r="I393" s="119"/>
      <c r="J393" s="116"/>
      <c r="K393" s="117"/>
      <c r="L393" s="33" t="str">
        <f t="shared" si="14"/>
        <v/>
      </c>
      <c r="M393" s="13" t="str">
        <f t="shared" si="15"/>
        <v/>
      </c>
    </row>
    <row r="394" spans="2:13" x14ac:dyDescent="0.35">
      <c r="B394" s="10">
        <v>395</v>
      </c>
      <c r="C394" s="10"/>
      <c r="D394" s="38"/>
      <c r="E394" s="38"/>
      <c r="F394" s="39"/>
      <c r="G394" s="232"/>
      <c r="H394" s="12"/>
      <c r="I394" s="119"/>
      <c r="J394" s="116"/>
      <c r="K394" s="117"/>
      <c r="L394" s="33" t="str">
        <f t="shared" si="14"/>
        <v/>
      </c>
      <c r="M394" s="13" t="str">
        <f t="shared" si="15"/>
        <v/>
      </c>
    </row>
    <row r="395" spans="2:13" x14ac:dyDescent="0.35">
      <c r="B395" s="10">
        <v>396</v>
      </c>
      <c r="C395" s="10"/>
      <c r="D395" s="38"/>
      <c r="E395" s="38"/>
      <c r="F395" s="39"/>
      <c r="G395" s="232"/>
      <c r="H395" s="12"/>
      <c r="I395" s="119"/>
      <c r="J395" s="116"/>
      <c r="K395" s="117"/>
      <c r="L395" s="33" t="str">
        <f t="shared" si="14"/>
        <v/>
      </c>
      <c r="M395" s="13" t="str">
        <f t="shared" si="15"/>
        <v/>
      </c>
    </row>
    <row r="396" spans="2:13" x14ac:dyDescent="0.35">
      <c r="B396" s="10">
        <v>397</v>
      </c>
      <c r="C396" s="10"/>
      <c r="D396" s="38"/>
      <c r="E396" s="38"/>
      <c r="F396" s="39"/>
      <c r="G396" s="232"/>
      <c r="H396" s="12"/>
      <c r="I396" s="119"/>
      <c r="J396" s="116"/>
      <c r="K396" s="117"/>
      <c r="L396" s="33" t="str">
        <f t="shared" si="14"/>
        <v/>
      </c>
      <c r="M396" s="13" t="str">
        <f t="shared" si="15"/>
        <v/>
      </c>
    </row>
    <row r="397" spans="2:13" x14ac:dyDescent="0.35">
      <c r="B397" s="10">
        <v>398</v>
      </c>
      <c r="C397" s="10"/>
      <c r="D397" s="38"/>
      <c r="E397" s="38"/>
      <c r="F397" s="39"/>
      <c r="G397" s="232"/>
      <c r="H397" s="12"/>
      <c r="I397" s="119"/>
      <c r="J397" s="116"/>
      <c r="K397" s="117"/>
      <c r="L397" s="33" t="str">
        <f t="shared" si="14"/>
        <v/>
      </c>
      <c r="M397" s="13" t="str">
        <f t="shared" si="15"/>
        <v/>
      </c>
    </row>
    <row r="398" spans="2:13" x14ac:dyDescent="0.35">
      <c r="B398" s="10">
        <v>399</v>
      </c>
      <c r="C398" s="10"/>
      <c r="D398" s="38"/>
      <c r="E398" s="38"/>
      <c r="F398" s="39"/>
      <c r="G398" s="232"/>
      <c r="H398" s="12"/>
      <c r="I398" s="119"/>
      <c r="J398" s="116"/>
      <c r="K398" s="117"/>
      <c r="L398" s="33" t="str">
        <f t="shared" si="14"/>
        <v/>
      </c>
      <c r="M398" s="13" t="str">
        <f t="shared" si="15"/>
        <v/>
      </c>
    </row>
    <row r="399" spans="2:13" x14ac:dyDescent="0.35">
      <c r="B399" s="10">
        <v>400</v>
      </c>
      <c r="C399" s="10"/>
      <c r="D399" s="38"/>
      <c r="E399" s="38"/>
      <c r="F399" s="39"/>
      <c r="G399" s="232"/>
      <c r="H399" s="12"/>
      <c r="I399" s="119"/>
      <c r="J399" s="116"/>
      <c r="K399" s="117"/>
      <c r="L399" s="33" t="str">
        <f t="shared" si="14"/>
        <v/>
      </c>
      <c r="M399" s="13" t="str">
        <f t="shared" si="15"/>
        <v/>
      </c>
    </row>
    <row r="400" spans="2:13" x14ac:dyDescent="0.35">
      <c r="B400" s="10">
        <v>401</v>
      </c>
      <c r="C400" s="10"/>
      <c r="D400" s="38"/>
      <c r="E400" s="38"/>
      <c r="F400" s="39"/>
      <c r="G400" s="232"/>
      <c r="H400" s="12"/>
      <c r="I400" s="119"/>
      <c r="J400" s="116"/>
      <c r="K400" s="117"/>
      <c r="L400" s="33" t="str">
        <f t="shared" si="14"/>
        <v/>
      </c>
      <c r="M400" s="13" t="str">
        <f t="shared" si="15"/>
        <v/>
      </c>
    </row>
    <row r="401" spans="2:13" x14ac:dyDescent="0.35">
      <c r="B401" s="10">
        <v>402</v>
      </c>
      <c r="C401" s="10"/>
      <c r="D401" s="38"/>
      <c r="E401" s="38"/>
      <c r="F401" s="39"/>
      <c r="G401" s="232"/>
      <c r="H401" s="12"/>
      <c r="I401" s="119"/>
      <c r="J401" s="116"/>
      <c r="K401" s="117"/>
      <c r="L401" s="33" t="str">
        <f t="shared" si="14"/>
        <v/>
      </c>
      <c r="M401" s="13" t="str">
        <f t="shared" si="15"/>
        <v/>
      </c>
    </row>
    <row r="402" spans="2:13" x14ac:dyDescent="0.35">
      <c r="B402" s="10">
        <v>403</v>
      </c>
      <c r="C402" s="10"/>
      <c r="D402" s="38"/>
      <c r="E402" s="38"/>
      <c r="F402" s="39"/>
      <c r="G402" s="232"/>
      <c r="H402" s="12"/>
      <c r="I402" s="119"/>
      <c r="J402" s="116"/>
      <c r="K402" s="117"/>
      <c r="L402" s="33" t="str">
        <f t="shared" si="14"/>
        <v/>
      </c>
      <c r="M402" s="13" t="str">
        <f t="shared" si="15"/>
        <v/>
      </c>
    </row>
    <row r="403" spans="2:13" x14ac:dyDescent="0.35">
      <c r="B403" s="10">
        <v>404</v>
      </c>
      <c r="C403" s="10"/>
      <c r="D403" s="38"/>
      <c r="E403" s="38"/>
      <c r="F403" s="39"/>
      <c r="G403" s="232"/>
      <c r="H403" s="12"/>
      <c r="I403" s="119"/>
      <c r="J403" s="116"/>
      <c r="K403" s="117"/>
      <c r="L403" s="33" t="str">
        <f t="shared" si="14"/>
        <v/>
      </c>
      <c r="M403" s="13" t="str">
        <f t="shared" si="15"/>
        <v/>
      </c>
    </row>
    <row r="404" spans="2:13" x14ac:dyDescent="0.35">
      <c r="B404" s="10">
        <v>405</v>
      </c>
      <c r="C404" s="10"/>
      <c r="D404" s="38"/>
      <c r="E404" s="38"/>
      <c r="F404" s="39"/>
      <c r="G404" s="232"/>
      <c r="H404" s="12"/>
      <c r="I404" s="119"/>
      <c r="J404" s="116"/>
      <c r="K404" s="117"/>
      <c r="L404" s="33" t="str">
        <f t="shared" si="14"/>
        <v/>
      </c>
      <c r="M404" s="13" t="str">
        <f t="shared" si="15"/>
        <v/>
      </c>
    </row>
    <row r="405" spans="2:13" x14ac:dyDescent="0.35">
      <c r="B405" s="10">
        <v>406</v>
      </c>
      <c r="C405" s="10"/>
      <c r="D405" s="38"/>
      <c r="E405" s="38"/>
      <c r="F405" s="39"/>
      <c r="G405" s="232"/>
      <c r="H405" s="12"/>
      <c r="I405" s="119"/>
      <c r="J405" s="116"/>
      <c r="K405" s="117"/>
      <c r="L405" s="33" t="str">
        <f t="shared" si="14"/>
        <v/>
      </c>
      <c r="M405" s="13" t="str">
        <f t="shared" si="15"/>
        <v/>
      </c>
    </row>
    <row r="406" spans="2:13" x14ac:dyDescent="0.35">
      <c r="B406" s="10">
        <v>407</v>
      </c>
      <c r="C406" s="10"/>
      <c r="D406" s="38"/>
      <c r="E406" s="38"/>
      <c r="F406" s="39"/>
      <c r="G406" s="232"/>
      <c r="H406" s="12"/>
      <c r="I406" s="119"/>
      <c r="J406" s="116"/>
      <c r="K406" s="117"/>
      <c r="L406" s="33" t="str">
        <f t="shared" si="14"/>
        <v/>
      </c>
      <c r="M406" s="13" t="str">
        <f t="shared" si="15"/>
        <v/>
      </c>
    </row>
    <row r="407" spans="2:13" x14ac:dyDescent="0.35">
      <c r="B407" s="10">
        <v>408</v>
      </c>
      <c r="C407" s="10"/>
      <c r="D407" s="38"/>
      <c r="E407" s="38"/>
      <c r="F407" s="39"/>
      <c r="G407" s="232"/>
      <c r="H407" s="12"/>
      <c r="I407" s="119"/>
      <c r="J407" s="116"/>
      <c r="K407" s="117"/>
      <c r="L407" s="33" t="str">
        <f t="shared" si="14"/>
        <v/>
      </c>
      <c r="M407" s="13" t="str">
        <f t="shared" si="15"/>
        <v/>
      </c>
    </row>
    <row r="408" spans="2:13" x14ac:dyDescent="0.35">
      <c r="B408" s="10">
        <v>409</v>
      </c>
      <c r="C408" s="10"/>
      <c r="D408" s="38"/>
      <c r="E408" s="38"/>
      <c r="F408" s="39"/>
      <c r="G408" s="232"/>
      <c r="H408" s="12"/>
      <c r="I408" s="119"/>
      <c r="J408" s="116"/>
      <c r="K408" s="117"/>
      <c r="L408" s="33" t="str">
        <f t="shared" si="14"/>
        <v/>
      </c>
      <c r="M408" s="13" t="str">
        <f t="shared" si="15"/>
        <v/>
      </c>
    </row>
    <row r="409" spans="2:13" x14ac:dyDescent="0.35">
      <c r="B409" s="10">
        <v>410</v>
      </c>
      <c r="C409" s="10"/>
      <c r="D409" s="38"/>
      <c r="E409" s="38"/>
      <c r="F409" s="39"/>
      <c r="G409" s="232"/>
      <c r="H409" s="12"/>
      <c r="I409" s="119"/>
      <c r="J409" s="116"/>
      <c r="K409" s="117"/>
      <c r="L409" s="33" t="str">
        <f t="shared" si="14"/>
        <v/>
      </c>
      <c r="M409" s="13" t="str">
        <f t="shared" si="15"/>
        <v/>
      </c>
    </row>
    <row r="410" spans="2:13" x14ac:dyDescent="0.35">
      <c r="B410" s="10">
        <v>411</v>
      </c>
      <c r="C410" s="10"/>
      <c r="D410" s="38"/>
      <c r="E410" s="38"/>
      <c r="F410" s="39"/>
      <c r="G410" s="232"/>
      <c r="H410" s="12"/>
      <c r="I410" s="119"/>
      <c r="J410" s="116"/>
      <c r="K410" s="117"/>
      <c r="L410" s="33" t="str">
        <f t="shared" si="14"/>
        <v/>
      </c>
      <c r="M410" s="13" t="str">
        <f t="shared" si="15"/>
        <v/>
      </c>
    </row>
    <row r="411" spans="2:13" x14ac:dyDescent="0.35">
      <c r="B411" s="10">
        <v>412</v>
      </c>
      <c r="C411" s="10"/>
      <c r="D411" s="38"/>
      <c r="E411" s="38"/>
      <c r="F411" s="39"/>
      <c r="G411" s="232"/>
      <c r="H411" s="12"/>
      <c r="I411" s="119"/>
      <c r="J411" s="116"/>
      <c r="K411" s="117"/>
      <c r="L411" s="33" t="str">
        <f t="shared" si="14"/>
        <v/>
      </c>
      <c r="M411" s="13" t="str">
        <f t="shared" si="15"/>
        <v/>
      </c>
    </row>
    <row r="412" spans="2:13" x14ac:dyDescent="0.35">
      <c r="B412" s="10">
        <v>413</v>
      </c>
      <c r="C412" s="10"/>
      <c r="D412" s="38"/>
      <c r="E412" s="38"/>
      <c r="F412" s="39"/>
      <c r="G412" s="232"/>
      <c r="H412" s="12"/>
      <c r="I412" s="119"/>
      <c r="J412" s="116"/>
      <c r="K412" s="117"/>
      <c r="L412" s="33" t="str">
        <f t="shared" si="14"/>
        <v/>
      </c>
      <c r="M412" s="13" t="str">
        <f t="shared" si="15"/>
        <v/>
      </c>
    </row>
    <row r="413" spans="2:13" x14ac:dyDescent="0.35">
      <c r="B413" s="10">
        <v>414</v>
      </c>
      <c r="C413" s="10"/>
      <c r="D413" s="38"/>
      <c r="E413" s="38"/>
      <c r="F413" s="39"/>
      <c r="G413" s="232"/>
      <c r="H413" s="12"/>
      <c r="I413" s="119"/>
      <c r="J413" s="116"/>
      <c r="K413" s="117"/>
      <c r="L413" s="33" t="str">
        <f t="shared" si="14"/>
        <v/>
      </c>
      <c r="M413" s="13" t="str">
        <f t="shared" si="15"/>
        <v/>
      </c>
    </row>
    <row r="414" spans="2:13" x14ac:dyDescent="0.35">
      <c r="B414" s="10">
        <v>415</v>
      </c>
      <c r="C414" s="10"/>
      <c r="D414" s="38"/>
      <c r="E414" s="38"/>
      <c r="F414" s="39"/>
      <c r="G414" s="232"/>
      <c r="H414" s="12"/>
      <c r="I414" s="119"/>
      <c r="J414" s="116"/>
      <c r="K414" s="117"/>
      <c r="L414" s="33" t="str">
        <f t="shared" si="14"/>
        <v/>
      </c>
      <c r="M414" s="13" t="str">
        <f t="shared" si="15"/>
        <v/>
      </c>
    </row>
    <row r="415" spans="2:13" x14ac:dyDescent="0.35">
      <c r="B415" s="10">
        <v>416</v>
      </c>
      <c r="C415" s="10"/>
      <c r="D415" s="38"/>
      <c r="E415" s="38"/>
      <c r="F415" s="39"/>
      <c r="G415" s="232"/>
      <c r="H415" s="12"/>
      <c r="I415" s="119"/>
      <c r="J415" s="116"/>
      <c r="K415" s="117"/>
      <c r="L415" s="33" t="str">
        <f t="shared" si="14"/>
        <v/>
      </c>
      <c r="M415" s="13" t="str">
        <f t="shared" si="15"/>
        <v/>
      </c>
    </row>
    <row r="416" spans="2:13" x14ac:dyDescent="0.35">
      <c r="B416" s="10">
        <v>417</v>
      </c>
      <c r="C416" s="10"/>
      <c r="D416" s="38"/>
      <c r="E416" s="38"/>
      <c r="F416" s="39"/>
      <c r="G416" s="232"/>
      <c r="H416" s="12"/>
      <c r="I416" s="119"/>
      <c r="J416" s="116"/>
      <c r="K416" s="117"/>
      <c r="L416" s="33" t="str">
        <f t="shared" si="14"/>
        <v/>
      </c>
      <c r="M416" s="13" t="str">
        <f t="shared" si="15"/>
        <v/>
      </c>
    </row>
    <row r="417" spans="2:13" x14ac:dyDescent="0.35">
      <c r="B417" s="10">
        <v>418</v>
      </c>
      <c r="C417" s="10"/>
      <c r="D417" s="38"/>
      <c r="E417" s="38"/>
      <c r="F417" s="39"/>
      <c r="G417" s="232"/>
      <c r="H417" s="12"/>
      <c r="I417" s="119"/>
      <c r="J417" s="116"/>
      <c r="K417" s="117"/>
      <c r="L417" s="33" t="str">
        <f t="shared" si="14"/>
        <v/>
      </c>
      <c r="M417" s="13" t="str">
        <f t="shared" si="15"/>
        <v/>
      </c>
    </row>
    <row r="418" spans="2:13" x14ac:dyDescent="0.35">
      <c r="B418" s="10">
        <v>419</v>
      </c>
      <c r="C418" s="10"/>
      <c r="D418" s="38"/>
      <c r="E418" s="38"/>
      <c r="F418" s="39"/>
      <c r="G418" s="232"/>
      <c r="H418" s="12"/>
      <c r="I418" s="119"/>
      <c r="J418" s="116"/>
      <c r="K418" s="117"/>
      <c r="L418" s="33" t="str">
        <f t="shared" si="14"/>
        <v/>
      </c>
      <c r="M418" s="13" t="str">
        <f t="shared" si="15"/>
        <v/>
      </c>
    </row>
    <row r="419" spans="2:13" x14ac:dyDescent="0.35">
      <c r="B419" s="10">
        <v>420</v>
      </c>
      <c r="C419" s="10"/>
      <c r="D419" s="38"/>
      <c r="E419" s="38"/>
      <c r="F419" s="39"/>
      <c r="G419" s="232"/>
      <c r="H419" s="12"/>
      <c r="I419" s="119"/>
      <c r="J419" s="116"/>
      <c r="K419" s="117"/>
      <c r="L419" s="33" t="str">
        <f t="shared" si="14"/>
        <v/>
      </c>
      <c r="M419" s="13" t="str">
        <f t="shared" si="15"/>
        <v/>
      </c>
    </row>
    <row r="420" spans="2:13" x14ac:dyDescent="0.35">
      <c r="B420" s="10">
        <v>421</v>
      </c>
      <c r="C420" s="10"/>
      <c r="D420" s="38"/>
      <c r="E420" s="38"/>
      <c r="F420" s="39"/>
      <c r="G420" s="232"/>
      <c r="H420" s="12"/>
      <c r="I420" s="119"/>
      <c r="J420" s="116"/>
      <c r="K420" s="117"/>
      <c r="L420" s="33" t="str">
        <f t="shared" si="14"/>
        <v/>
      </c>
      <c r="M420" s="13" t="str">
        <f t="shared" si="15"/>
        <v/>
      </c>
    </row>
    <row r="421" spans="2:13" x14ac:dyDescent="0.35">
      <c r="B421" s="10">
        <v>422</v>
      </c>
      <c r="C421" s="10"/>
      <c r="D421" s="38"/>
      <c r="E421" s="38"/>
      <c r="F421" s="39"/>
      <c r="G421" s="232"/>
      <c r="H421" s="12"/>
      <c r="I421" s="119"/>
      <c r="J421" s="116"/>
      <c r="K421" s="117"/>
      <c r="L421" s="33" t="str">
        <f t="shared" si="14"/>
        <v/>
      </c>
      <c r="M421" s="13" t="str">
        <f t="shared" si="15"/>
        <v/>
      </c>
    </row>
    <row r="422" spans="2:13" x14ac:dyDescent="0.35">
      <c r="B422" s="10">
        <v>423</v>
      </c>
      <c r="C422" s="10"/>
      <c r="D422" s="38"/>
      <c r="E422" s="38"/>
      <c r="F422" s="39"/>
      <c r="G422" s="232"/>
      <c r="H422" s="12"/>
      <c r="I422" s="119"/>
      <c r="J422" s="116"/>
      <c r="K422" s="117"/>
      <c r="L422" s="33" t="str">
        <f t="shared" si="14"/>
        <v/>
      </c>
      <c r="M422" s="13" t="str">
        <f t="shared" si="15"/>
        <v/>
      </c>
    </row>
    <row r="423" spans="2:13" x14ac:dyDescent="0.35">
      <c r="B423" s="10">
        <v>424</v>
      </c>
      <c r="C423" s="10"/>
      <c r="D423" s="38"/>
      <c r="E423" s="38"/>
      <c r="F423" s="39"/>
      <c r="G423" s="232"/>
      <c r="H423" s="12"/>
      <c r="I423" s="119"/>
      <c r="J423" s="116"/>
      <c r="K423" s="117"/>
      <c r="L423" s="33" t="str">
        <f t="shared" si="14"/>
        <v/>
      </c>
      <c r="M423" s="13" t="str">
        <f t="shared" si="15"/>
        <v/>
      </c>
    </row>
    <row r="424" spans="2:13" x14ac:dyDescent="0.35">
      <c r="B424" s="10">
        <v>425</v>
      </c>
      <c r="C424" s="10"/>
      <c r="D424" s="38"/>
      <c r="E424" s="38"/>
      <c r="F424" s="39"/>
      <c r="G424" s="232"/>
      <c r="H424" s="12"/>
      <c r="I424" s="119"/>
      <c r="J424" s="116"/>
      <c r="K424" s="117"/>
      <c r="L424" s="33" t="str">
        <f t="shared" si="14"/>
        <v/>
      </c>
      <c r="M424" s="13" t="str">
        <f t="shared" si="15"/>
        <v/>
      </c>
    </row>
    <row r="425" spans="2:13" x14ac:dyDescent="0.35">
      <c r="B425" s="10">
        <v>426</v>
      </c>
      <c r="C425" s="10"/>
      <c r="D425" s="38"/>
      <c r="E425" s="38"/>
      <c r="F425" s="39"/>
      <c r="G425" s="232"/>
      <c r="H425" s="12"/>
      <c r="I425" s="119"/>
      <c r="J425" s="116"/>
      <c r="K425" s="117"/>
      <c r="L425" s="33" t="str">
        <f t="shared" si="14"/>
        <v/>
      </c>
      <c r="M425" s="13" t="str">
        <f t="shared" si="15"/>
        <v/>
      </c>
    </row>
    <row r="426" spans="2:13" x14ac:dyDescent="0.35">
      <c r="B426" s="10">
        <v>427</v>
      </c>
      <c r="C426" s="10"/>
      <c r="D426" s="38"/>
      <c r="E426" s="38"/>
      <c r="F426" s="39"/>
      <c r="G426" s="232"/>
      <c r="H426" s="12"/>
      <c r="I426" s="119"/>
      <c r="J426" s="116"/>
      <c r="K426" s="117"/>
      <c r="L426" s="33" t="str">
        <f t="shared" si="14"/>
        <v/>
      </c>
      <c r="M426" s="13" t="str">
        <f t="shared" si="15"/>
        <v/>
      </c>
    </row>
    <row r="427" spans="2:13" x14ac:dyDescent="0.35">
      <c r="B427" s="10">
        <v>428</v>
      </c>
      <c r="C427" s="10"/>
      <c r="D427" s="38"/>
      <c r="E427" s="38"/>
      <c r="F427" s="39"/>
      <c r="G427" s="232"/>
      <c r="H427" s="12"/>
      <c r="I427" s="119"/>
      <c r="J427" s="116"/>
      <c r="K427" s="117"/>
      <c r="L427" s="33" t="str">
        <f t="shared" si="14"/>
        <v/>
      </c>
      <c r="M427" s="13" t="str">
        <f t="shared" si="15"/>
        <v/>
      </c>
    </row>
    <row r="428" spans="2:13" x14ac:dyDescent="0.35">
      <c r="B428" s="10">
        <v>429</v>
      </c>
      <c r="C428" s="10"/>
      <c r="D428" s="38"/>
      <c r="E428" s="38"/>
      <c r="F428" s="39"/>
      <c r="G428" s="232"/>
      <c r="H428" s="12"/>
      <c r="I428" s="119"/>
      <c r="J428" s="116"/>
      <c r="K428" s="117"/>
      <c r="L428" s="33" t="str">
        <f t="shared" si="14"/>
        <v/>
      </c>
      <c r="M428" s="13" t="str">
        <f t="shared" si="15"/>
        <v/>
      </c>
    </row>
    <row r="429" spans="2:13" x14ac:dyDescent="0.35">
      <c r="B429" s="10">
        <v>430</v>
      </c>
      <c r="C429" s="10"/>
      <c r="D429" s="38"/>
      <c r="E429" s="38"/>
      <c r="F429" s="39"/>
      <c r="G429" s="232"/>
      <c r="H429" s="12"/>
      <c r="I429" s="119"/>
      <c r="J429" s="116"/>
      <c r="K429" s="117"/>
      <c r="L429" s="33" t="str">
        <f t="shared" si="14"/>
        <v/>
      </c>
      <c r="M429" s="13" t="str">
        <f t="shared" si="15"/>
        <v/>
      </c>
    </row>
    <row r="430" spans="2:13" x14ac:dyDescent="0.35">
      <c r="B430" s="10">
        <v>431</v>
      </c>
      <c r="C430" s="10"/>
      <c r="D430" s="38"/>
      <c r="E430" s="38"/>
      <c r="F430" s="39"/>
      <c r="G430" s="232"/>
      <c r="H430" s="12"/>
      <c r="I430" s="119"/>
      <c r="J430" s="116"/>
      <c r="K430" s="117"/>
      <c r="L430" s="33" t="str">
        <f t="shared" si="14"/>
        <v/>
      </c>
      <c r="M430" s="13" t="str">
        <f t="shared" si="15"/>
        <v/>
      </c>
    </row>
    <row r="431" spans="2:13" x14ac:dyDescent="0.35">
      <c r="B431" s="10">
        <v>432</v>
      </c>
      <c r="C431" s="10"/>
      <c r="D431" s="38"/>
      <c r="E431" s="38"/>
      <c r="F431" s="39"/>
      <c r="G431" s="232"/>
      <c r="H431" s="12"/>
      <c r="I431" s="119"/>
      <c r="J431" s="116"/>
      <c r="K431" s="117"/>
      <c r="L431" s="33" t="str">
        <f t="shared" si="14"/>
        <v/>
      </c>
      <c r="M431" s="13" t="str">
        <f t="shared" si="15"/>
        <v/>
      </c>
    </row>
    <row r="432" spans="2:13" x14ac:dyDescent="0.35">
      <c r="B432" s="10">
        <v>433</v>
      </c>
      <c r="C432" s="10"/>
      <c r="D432" s="38"/>
      <c r="E432" s="38"/>
      <c r="F432" s="39"/>
      <c r="G432" s="232"/>
      <c r="H432" s="12"/>
      <c r="I432" s="119"/>
      <c r="J432" s="116"/>
      <c r="K432" s="117"/>
      <c r="L432" s="33" t="str">
        <f t="shared" si="14"/>
        <v/>
      </c>
      <c r="M432" s="13" t="str">
        <f t="shared" si="15"/>
        <v/>
      </c>
    </row>
    <row r="433" spans="2:13" x14ac:dyDescent="0.35">
      <c r="B433" s="10">
        <v>434</v>
      </c>
      <c r="C433" s="10"/>
      <c r="D433" s="38"/>
      <c r="E433" s="38"/>
      <c r="F433" s="39"/>
      <c r="G433" s="232"/>
      <c r="H433" s="12"/>
      <c r="I433" s="119"/>
      <c r="J433" s="116"/>
      <c r="K433" s="117"/>
      <c r="L433" s="33" t="str">
        <f t="shared" si="14"/>
        <v/>
      </c>
      <c r="M433" s="13" t="str">
        <f t="shared" si="15"/>
        <v/>
      </c>
    </row>
    <row r="434" spans="2:13" x14ac:dyDescent="0.35">
      <c r="B434" s="10">
        <v>435</v>
      </c>
      <c r="C434" s="10"/>
      <c r="D434" s="38"/>
      <c r="E434" s="38"/>
      <c r="F434" s="39"/>
      <c r="G434" s="232"/>
      <c r="H434" s="12"/>
      <c r="I434" s="119"/>
      <c r="J434" s="116"/>
      <c r="K434" s="117"/>
      <c r="L434" s="33" t="str">
        <f t="shared" si="14"/>
        <v/>
      </c>
      <c r="M434" s="13" t="str">
        <f t="shared" si="15"/>
        <v/>
      </c>
    </row>
    <row r="435" spans="2:13" x14ac:dyDescent="0.35">
      <c r="B435" s="10">
        <v>436</v>
      </c>
      <c r="C435" s="10"/>
      <c r="D435" s="38"/>
      <c r="E435" s="38"/>
      <c r="F435" s="39"/>
      <c r="G435" s="232"/>
      <c r="H435" s="12"/>
      <c r="I435" s="119"/>
      <c r="J435" s="116"/>
      <c r="K435" s="117"/>
      <c r="L435" s="33" t="str">
        <f t="shared" si="14"/>
        <v/>
      </c>
      <c r="M435" s="13" t="str">
        <f t="shared" si="15"/>
        <v/>
      </c>
    </row>
    <row r="436" spans="2:13" x14ac:dyDescent="0.35">
      <c r="B436" s="10">
        <v>437</v>
      </c>
      <c r="C436" s="10"/>
      <c r="D436" s="38"/>
      <c r="E436" s="38"/>
      <c r="F436" s="39"/>
      <c r="G436" s="232"/>
      <c r="H436" s="12"/>
      <c r="I436" s="119"/>
      <c r="J436" s="116"/>
      <c r="K436" s="117"/>
      <c r="L436" s="33" t="str">
        <f t="shared" si="14"/>
        <v/>
      </c>
      <c r="M436" s="13" t="str">
        <f t="shared" si="15"/>
        <v/>
      </c>
    </row>
    <row r="437" spans="2:13" x14ac:dyDescent="0.35">
      <c r="B437" s="10">
        <v>438</v>
      </c>
      <c r="C437" s="10"/>
      <c r="D437" s="38"/>
      <c r="E437" s="38"/>
      <c r="F437" s="39"/>
      <c r="G437" s="232"/>
      <c r="H437" s="12"/>
      <c r="I437" s="119"/>
      <c r="J437" s="116"/>
      <c r="K437" s="117"/>
      <c r="L437" s="33" t="str">
        <f t="shared" si="14"/>
        <v/>
      </c>
      <c r="M437" s="13" t="str">
        <f t="shared" si="15"/>
        <v/>
      </c>
    </row>
    <row r="438" spans="2:13" x14ac:dyDescent="0.35">
      <c r="B438" s="10">
        <v>439</v>
      </c>
      <c r="C438" s="10"/>
      <c r="D438" s="38"/>
      <c r="E438" s="38"/>
      <c r="F438" s="39"/>
      <c r="G438" s="232"/>
      <c r="H438" s="12"/>
      <c r="I438" s="119"/>
      <c r="J438" s="116"/>
      <c r="K438" s="117"/>
      <c r="L438" s="33" t="str">
        <f t="shared" si="14"/>
        <v/>
      </c>
      <c r="M438" s="13" t="str">
        <f t="shared" si="15"/>
        <v/>
      </c>
    </row>
    <row r="439" spans="2:13" x14ac:dyDescent="0.35">
      <c r="B439" s="10">
        <v>440</v>
      </c>
      <c r="C439" s="10"/>
      <c r="D439" s="38"/>
      <c r="E439" s="38"/>
      <c r="F439" s="39"/>
      <c r="G439" s="232"/>
      <c r="H439" s="12"/>
      <c r="I439" s="119"/>
      <c r="J439" s="116"/>
      <c r="K439" s="117"/>
      <c r="L439" s="33" t="str">
        <f t="shared" si="14"/>
        <v/>
      </c>
      <c r="M439" s="13" t="str">
        <f t="shared" si="15"/>
        <v/>
      </c>
    </row>
    <row r="440" spans="2:13" x14ac:dyDescent="0.35">
      <c r="B440" s="10">
        <v>441</v>
      </c>
      <c r="C440" s="10"/>
      <c r="D440" s="38"/>
      <c r="E440" s="38"/>
      <c r="F440" s="39"/>
      <c r="G440" s="232"/>
      <c r="H440" s="12"/>
      <c r="I440" s="119"/>
      <c r="J440" s="116"/>
      <c r="K440" s="117"/>
      <c r="L440" s="33" t="str">
        <f t="shared" si="14"/>
        <v/>
      </c>
      <c r="M440" s="13" t="str">
        <f t="shared" si="15"/>
        <v/>
      </c>
    </row>
    <row r="441" spans="2:13" x14ac:dyDescent="0.35">
      <c r="B441" s="10">
        <v>442</v>
      </c>
      <c r="C441" s="10"/>
      <c r="D441" s="38"/>
      <c r="E441" s="38"/>
      <c r="F441" s="39"/>
      <c r="G441" s="232"/>
      <c r="H441" s="12"/>
      <c r="I441" s="119"/>
      <c r="J441" s="116"/>
      <c r="K441" s="117"/>
      <c r="L441" s="33" t="str">
        <f t="shared" si="14"/>
        <v/>
      </c>
      <c r="M441" s="13" t="str">
        <f t="shared" si="15"/>
        <v/>
      </c>
    </row>
    <row r="442" spans="2:13" x14ac:dyDescent="0.35">
      <c r="B442" s="10">
        <v>443</v>
      </c>
      <c r="C442" s="10"/>
      <c r="D442" s="38"/>
      <c r="E442" s="38"/>
      <c r="F442" s="39"/>
      <c r="G442" s="232"/>
      <c r="H442" s="12"/>
      <c r="I442" s="119"/>
      <c r="J442" s="116"/>
      <c r="K442" s="117"/>
      <c r="L442" s="33" t="str">
        <f t="shared" si="14"/>
        <v/>
      </c>
      <c r="M442" s="13" t="str">
        <f t="shared" si="15"/>
        <v/>
      </c>
    </row>
    <row r="443" spans="2:13" x14ac:dyDescent="0.35">
      <c r="B443" s="10">
        <v>444</v>
      </c>
      <c r="C443" s="10"/>
      <c r="D443" s="38"/>
      <c r="E443" s="38"/>
      <c r="F443" s="39"/>
      <c r="G443" s="232"/>
      <c r="H443" s="12"/>
      <c r="I443" s="119"/>
      <c r="J443" s="116"/>
      <c r="K443" s="117"/>
      <c r="L443" s="33" t="str">
        <f t="shared" si="14"/>
        <v/>
      </c>
      <c r="M443" s="13" t="str">
        <f t="shared" si="15"/>
        <v/>
      </c>
    </row>
    <row r="444" spans="2:13" x14ac:dyDescent="0.35">
      <c r="B444" s="10">
        <v>445</v>
      </c>
      <c r="C444" s="10"/>
      <c r="D444" s="38"/>
      <c r="E444" s="38"/>
      <c r="F444" s="39"/>
      <c r="G444" s="232"/>
      <c r="H444" s="12"/>
      <c r="I444" s="119"/>
      <c r="J444" s="116"/>
      <c r="K444" s="117"/>
      <c r="L444" s="33" t="str">
        <f t="shared" si="14"/>
        <v/>
      </c>
      <c r="M444" s="13" t="str">
        <f t="shared" si="15"/>
        <v/>
      </c>
    </row>
    <row r="445" spans="2:13" x14ac:dyDescent="0.35">
      <c r="B445" s="10">
        <v>446</v>
      </c>
      <c r="C445" s="10"/>
      <c r="D445" s="38"/>
      <c r="E445" s="38"/>
      <c r="F445" s="39"/>
      <c r="G445" s="232"/>
      <c r="H445" s="12"/>
      <c r="I445" s="119"/>
      <c r="J445" s="116"/>
      <c r="K445" s="117"/>
      <c r="L445" s="33" t="str">
        <f t="shared" si="14"/>
        <v/>
      </c>
      <c r="M445" s="13" t="str">
        <f t="shared" si="15"/>
        <v/>
      </c>
    </row>
    <row r="446" spans="2:13" x14ac:dyDescent="0.35">
      <c r="B446" s="10">
        <v>447</v>
      </c>
      <c r="C446" s="10"/>
      <c r="D446" s="38"/>
      <c r="E446" s="38"/>
      <c r="F446" s="39"/>
      <c r="G446" s="232"/>
      <c r="H446" s="12"/>
      <c r="I446" s="119"/>
      <c r="J446" s="116"/>
      <c r="K446" s="117"/>
      <c r="L446" s="33" t="str">
        <f t="shared" si="14"/>
        <v/>
      </c>
      <c r="M446" s="13" t="str">
        <f t="shared" si="15"/>
        <v/>
      </c>
    </row>
    <row r="447" spans="2:13" x14ac:dyDescent="0.35">
      <c r="B447" s="10">
        <v>448</v>
      </c>
      <c r="C447" s="10"/>
      <c r="D447" s="38"/>
      <c r="E447" s="38"/>
      <c r="F447" s="39"/>
      <c r="G447" s="232"/>
      <c r="H447" s="12"/>
      <c r="I447" s="119"/>
      <c r="J447" s="116"/>
      <c r="K447" s="117"/>
      <c r="L447" s="33" t="str">
        <f t="shared" si="14"/>
        <v/>
      </c>
      <c r="M447" s="13" t="str">
        <f t="shared" si="15"/>
        <v/>
      </c>
    </row>
    <row r="448" spans="2:13" x14ac:dyDescent="0.35">
      <c r="B448" s="10">
        <v>449</v>
      </c>
      <c r="C448" s="10"/>
      <c r="D448" s="38"/>
      <c r="E448" s="38"/>
      <c r="F448" s="39"/>
      <c r="G448" s="232"/>
      <c r="H448" s="12"/>
      <c r="I448" s="119"/>
      <c r="J448" s="116"/>
      <c r="K448" s="117"/>
      <c r="L448" s="33" t="str">
        <f t="shared" si="14"/>
        <v/>
      </c>
      <c r="M448" s="13" t="str">
        <f t="shared" si="15"/>
        <v/>
      </c>
    </row>
    <row r="449" spans="2:13" x14ac:dyDescent="0.35">
      <c r="B449" s="10">
        <v>450</v>
      </c>
      <c r="C449" s="10"/>
      <c r="D449" s="38"/>
      <c r="E449" s="38"/>
      <c r="F449" s="39"/>
      <c r="G449" s="232"/>
      <c r="H449" s="12"/>
      <c r="I449" s="119"/>
      <c r="J449" s="116"/>
      <c r="K449" s="117"/>
      <c r="L449" s="33" t="str">
        <f t="shared" si="14"/>
        <v/>
      </c>
      <c r="M449" s="13" t="str">
        <f t="shared" si="15"/>
        <v/>
      </c>
    </row>
    <row r="450" spans="2:13" x14ac:dyDescent="0.35">
      <c r="B450" s="10">
        <v>451</v>
      </c>
      <c r="C450" s="10"/>
      <c r="D450" s="38"/>
      <c r="E450" s="38"/>
      <c r="F450" s="39"/>
      <c r="G450" s="232"/>
      <c r="H450" s="12"/>
      <c r="I450" s="119"/>
      <c r="J450" s="116"/>
      <c r="K450" s="117"/>
      <c r="L450" s="33" t="str">
        <f t="shared" ref="L450:L513" si="16">IF(OR(J450="", K450=""), "", NETWORKDAYS(J450,K450))</f>
        <v/>
      </c>
      <c r="M450" s="13" t="str">
        <f t="shared" ref="M450:M513" si="17">IF(I450="SEA", 10, IF(I450="AIR", 5, ""))</f>
        <v/>
      </c>
    </row>
    <row r="451" spans="2:13" x14ac:dyDescent="0.35">
      <c r="B451" s="10">
        <v>452</v>
      </c>
      <c r="C451" s="10"/>
      <c r="D451" s="38"/>
      <c r="E451" s="38"/>
      <c r="F451" s="39"/>
      <c r="G451" s="232"/>
      <c r="H451" s="12"/>
      <c r="I451" s="119"/>
      <c r="J451" s="116"/>
      <c r="K451" s="117"/>
      <c r="L451" s="33" t="str">
        <f t="shared" si="16"/>
        <v/>
      </c>
      <c r="M451" s="13" t="str">
        <f t="shared" si="17"/>
        <v/>
      </c>
    </row>
    <row r="452" spans="2:13" x14ac:dyDescent="0.35">
      <c r="B452" s="10">
        <v>453</v>
      </c>
      <c r="C452" s="10"/>
      <c r="D452" s="38"/>
      <c r="E452" s="38"/>
      <c r="F452" s="39"/>
      <c r="G452" s="232"/>
      <c r="H452" s="12"/>
      <c r="I452" s="119"/>
      <c r="J452" s="116"/>
      <c r="K452" s="117"/>
      <c r="L452" s="33" t="str">
        <f t="shared" si="16"/>
        <v/>
      </c>
      <c r="M452" s="13" t="str">
        <f t="shared" si="17"/>
        <v/>
      </c>
    </row>
    <row r="453" spans="2:13" x14ac:dyDescent="0.35">
      <c r="B453" s="10">
        <v>454</v>
      </c>
      <c r="C453" s="10"/>
      <c r="D453" s="38"/>
      <c r="E453" s="38"/>
      <c r="F453" s="39"/>
      <c r="G453" s="232"/>
      <c r="H453" s="12"/>
      <c r="I453" s="119"/>
      <c r="J453" s="116"/>
      <c r="K453" s="117"/>
      <c r="L453" s="33" t="str">
        <f t="shared" si="16"/>
        <v/>
      </c>
      <c r="M453" s="13" t="str">
        <f t="shared" si="17"/>
        <v/>
      </c>
    </row>
    <row r="454" spans="2:13" x14ac:dyDescent="0.35">
      <c r="B454" s="10">
        <v>455</v>
      </c>
      <c r="C454" s="10"/>
      <c r="D454" s="38"/>
      <c r="E454" s="38"/>
      <c r="F454" s="39"/>
      <c r="G454" s="232"/>
      <c r="H454" s="12"/>
      <c r="I454" s="119"/>
      <c r="J454" s="116"/>
      <c r="K454" s="117"/>
      <c r="L454" s="33" t="str">
        <f t="shared" si="16"/>
        <v/>
      </c>
      <c r="M454" s="13" t="str">
        <f t="shared" si="17"/>
        <v/>
      </c>
    </row>
    <row r="455" spans="2:13" x14ac:dyDescent="0.35">
      <c r="B455" s="10">
        <v>456</v>
      </c>
      <c r="C455" s="10"/>
      <c r="D455" s="38"/>
      <c r="E455" s="38"/>
      <c r="F455" s="39"/>
      <c r="G455" s="232"/>
      <c r="H455" s="12"/>
      <c r="I455" s="119"/>
      <c r="J455" s="116"/>
      <c r="K455" s="117"/>
      <c r="L455" s="33" t="str">
        <f t="shared" si="16"/>
        <v/>
      </c>
      <c r="M455" s="13" t="str">
        <f t="shared" si="17"/>
        <v/>
      </c>
    </row>
    <row r="456" spans="2:13" x14ac:dyDescent="0.35">
      <c r="B456" s="10">
        <v>457</v>
      </c>
      <c r="C456" s="10"/>
      <c r="D456" s="38"/>
      <c r="E456" s="38"/>
      <c r="F456" s="39"/>
      <c r="G456" s="232"/>
      <c r="H456" s="12"/>
      <c r="I456" s="119"/>
      <c r="J456" s="116"/>
      <c r="K456" s="117"/>
      <c r="L456" s="33" t="str">
        <f t="shared" si="16"/>
        <v/>
      </c>
      <c r="M456" s="13" t="str">
        <f t="shared" si="17"/>
        <v/>
      </c>
    </row>
    <row r="457" spans="2:13" x14ac:dyDescent="0.35">
      <c r="B457" s="10">
        <v>458</v>
      </c>
      <c r="C457" s="10"/>
      <c r="D457" s="38"/>
      <c r="E457" s="38"/>
      <c r="F457" s="39"/>
      <c r="G457" s="232"/>
      <c r="H457" s="12"/>
      <c r="I457" s="119"/>
      <c r="J457" s="116"/>
      <c r="K457" s="117"/>
      <c r="L457" s="33" t="str">
        <f t="shared" si="16"/>
        <v/>
      </c>
      <c r="M457" s="13" t="str">
        <f t="shared" si="17"/>
        <v/>
      </c>
    </row>
    <row r="458" spans="2:13" x14ac:dyDescent="0.35">
      <c r="B458" s="10">
        <v>459</v>
      </c>
      <c r="C458" s="10"/>
      <c r="D458" s="38"/>
      <c r="E458" s="38"/>
      <c r="F458" s="39"/>
      <c r="G458" s="232"/>
      <c r="H458" s="12"/>
      <c r="I458" s="119"/>
      <c r="J458" s="116"/>
      <c r="K458" s="117"/>
      <c r="L458" s="33" t="str">
        <f t="shared" si="16"/>
        <v/>
      </c>
      <c r="M458" s="13" t="str">
        <f t="shared" si="17"/>
        <v/>
      </c>
    </row>
    <row r="459" spans="2:13" x14ac:dyDescent="0.35">
      <c r="B459" s="10">
        <v>460</v>
      </c>
      <c r="C459" s="10"/>
      <c r="D459" s="38"/>
      <c r="E459" s="38"/>
      <c r="F459" s="39"/>
      <c r="G459" s="232"/>
      <c r="H459" s="12"/>
      <c r="I459" s="119"/>
      <c r="J459" s="116"/>
      <c r="K459" s="117"/>
      <c r="L459" s="33" t="str">
        <f t="shared" si="16"/>
        <v/>
      </c>
      <c r="M459" s="13" t="str">
        <f t="shared" si="17"/>
        <v/>
      </c>
    </row>
    <row r="460" spans="2:13" x14ac:dyDescent="0.35">
      <c r="B460" s="10">
        <v>461</v>
      </c>
      <c r="C460" s="10"/>
      <c r="D460" s="38"/>
      <c r="E460" s="38"/>
      <c r="F460" s="39"/>
      <c r="G460" s="232"/>
      <c r="H460" s="12"/>
      <c r="I460" s="119"/>
      <c r="J460" s="116"/>
      <c r="K460" s="117"/>
      <c r="L460" s="33" t="str">
        <f t="shared" si="16"/>
        <v/>
      </c>
      <c r="M460" s="13" t="str">
        <f t="shared" si="17"/>
        <v/>
      </c>
    </row>
    <row r="461" spans="2:13" x14ac:dyDescent="0.35">
      <c r="B461" s="10">
        <v>462</v>
      </c>
      <c r="C461" s="10"/>
      <c r="D461" s="38"/>
      <c r="E461" s="38"/>
      <c r="F461" s="39"/>
      <c r="G461" s="232"/>
      <c r="H461" s="12"/>
      <c r="I461" s="119"/>
      <c r="J461" s="116"/>
      <c r="K461" s="117"/>
      <c r="L461" s="33" t="str">
        <f t="shared" si="16"/>
        <v/>
      </c>
      <c r="M461" s="13" t="str">
        <f t="shared" si="17"/>
        <v/>
      </c>
    </row>
    <row r="462" spans="2:13" x14ac:dyDescent="0.35">
      <c r="B462" s="10">
        <v>463</v>
      </c>
      <c r="C462" s="10"/>
      <c r="D462" s="38"/>
      <c r="E462" s="38"/>
      <c r="F462" s="39"/>
      <c r="G462" s="232"/>
      <c r="H462" s="12"/>
      <c r="I462" s="119"/>
      <c r="J462" s="116"/>
      <c r="K462" s="117"/>
      <c r="L462" s="33" t="str">
        <f t="shared" si="16"/>
        <v/>
      </c>
      <c r="M462" s="13" t="str">
        <f t="shared" si="17"/>
        <v/>
      </c>
    </row>
    <row r="463" spans="2:13" x14ac:dyDescent="0.35">
      <c r="B463" s="10">
        <v>464</v>
      </c>
      <c r="C463" s="10"/>
      <c r="D463" s="38"/>
      <c r="E463" s="38"/>
      <c r="F463" s="39"/>
      <c r="G463" s="232"/>
      <c r="H463" s="12"/>
      <c r="I463" s="119"/>
      <c r="J463" s="116"/>
      <c r="K463" s="117"/>
      <c r="L463" s="33" t="str">
        <f t="shared" si="16"/>
        <v/>
      </c>
      <c r="M463" s="13" t="str">
        <f t="shared" si="17"/>
        <v/>
      </c>
    </row>
    <row r="464" spans="2:13" x14ac:dyDescent="0.35">
      <c r="B464" s="10">
        <v>465</v>
      </c>
      <c r="C464" s="10"/>
      <c r="D464" s="38"/>
      <c r="E464" s="38"/>
      <c r="F464" s="39"/>
      <c r="G464" s="232"/>
      <c r="H464" s="12"/>
      <c r="I464" s="119"/>
      <c r="J464" s="116"/>
      <c r="K464" s="117"/>
      <c r="L464" s="33" t="str">
        <f t="shared" si="16"/>
        <v/>
      </c>
      <c r="M464" s="13" t="str">
        <f t="shared" si="17"/>
        <v/>
      </c>
    </row>
    <row r="465" spans="2:13" x14ac:dyDescent="0.35">
      <c r="B465" s="10">
        <v>466</v>
      </c>
      <c r="C465" s="10"/>
      <c r="D465" s="38"/>
      <c r="E465" s="38"/>
      <c r="F465" s="39"/>
      <c r="G465" s="232"/>
      <c r="H465" s="12"/>
      <c r="I465" s="119"/>
      <c r="J465" s="116"/>
      <c r="K465" s="117"/>
      <c r="L465" s="33" t="str">
        <f t="shared" si="16"/>
        <v/>
      </c>
      <c r="M465" s="13" t="str">
        <f t="shared" si="17"/>
        <v/>
      </c>
    </row>
    <row r="466" spans="2:13" x14ac:dyDescent="0.35">
      <c r="B466" s="10">
        <v>467</v>
      </c>
      <c r="C466" s="10"/>
      <c r="D466" s="38"/>
      <c r="E466" s="38"/>
      <c r="F466" s="39"/>
      <c r="G466" s="232"/>
      <c r="H466" s="12"/>
      <c r="I466" s="119"/>
      <c r="J466" s="116"/>
      <c r="K466" s="117"/>
      <c r="L466" s="33" t="str">
        <f t="shared" si="16"/>
        <v/>
      </c>
      <c r="M466" s="13" t="str">
        <f t="shared" si="17"/>
        <v/>
      </c>
    </row>
    <row r="467" spans="2:13" x14ac:dyDescent="0.35">
      <c r="B467" s="10">
        <v>468</v>
      </c>
      <c r="C467" s="10"/>
      <c r="D467" s="38"/>
      <c r="E467" s="38"/>
      <c r="F467" s="39"/>
      <c r="G467" s="232"/>
      <c r="H467" s="12"/>
      <c r="I467" s="119"/>
      <c r="J467" s="116"/>
      <c r="K467" s="117"/>
      <c r="L467" s="33" t="str">
        <f t="shared" si="16"/>
        <v/>
      </c>
      <c r="M467" s="13" t="str">
        <f t="shared" si="17"/>
        <v/>
      </c>
    </row>
    <row r="468" spans="2:13" x14ac:dyDescent="0.35">
      <c r="B468" s="10">
        <v>469</v>
      </c>
      <c r="C468" s="10"/>
      <c r="D468" s="38"/>
      <c r="E468" s="38"/>
      <c r="F468" s="39"/>
      <c r="G468" s="232"/>
      <c r="H468" s="12"/>
      <c r="I468" s="119"/>
      <c r="J468" s="116"/>
      <c r="K468" s="117"/>
      <c r="L468" s="33" t="str">
        <f t="shared" si="16"/>
        <v/>
      </c>
      <c r="M468" s="13" t="str">
        <f t="shared" si="17"/>
        <v/>
      </c>
    </row>
    <row r="469" spans="2:13" x14ac:dyDescent="0.35">
      <c r="B469" s="10">
        <v>470</v>
      </c>
      <c r="C469" s="10"/>
      <c r="D469" s="38"/>
      <c r="E469" s="38"/>
      <c r="F469" s="39"/>
      <c r="G469" s="232"/>
      <c r="H469" s="12"/>
      <c r="I469" s="119"/>
      <c r="J469" s="116"/>
      <c r="K469" s="117"/>
      <c r="L469" s="33" t="str">
        <f t="shared" si="16"/>
        <v/>
      </c>
      <c r="M469" s="13" t="str">
        <f t="shared" si="17"/>
        <v/>
      </c>
    </row>
    <row r="470" spans="2:13" x14ac:dyDescent="0.35">
      <c r="B470" s="10">
        <v>471</v>
      </c>
      <c r="C470" s="10"/>
      <c r="D470" s="38"/>
      <c r="E470" s="38"/>
      <c r="F470" s="39"/>
      <c r="G470" s="232"/>
      <c r="H470" s="12"/>
      <c r="I470" s="119"/>
      <c r="J470" s="116"/>
      <c r="K470" s="117"/>
      <c r="L470" s="33" t="str">
        <f t="shared" si="16"/>
        <v/>
      </c>
      <c r="M470" s="13" t="str">
        <f t="shared" si="17"/>
        <v/>
      </c>
    </row>
    <row r="471" spans="2:13" x14ac:dyDescent="0.35">
      <c r="B471" s="10">
        <v>472</v>
      </c>
      <c r="C471" s="10"/>
      <c r="D471" s="38"/>
      <c r="E471" s="38"/>
      <c r="F471" s="39"/>
      <c r="G471" s="232"/>
      <c r="H471" s="12"/>
      <c r="I471" s="119"/>
      <c r="J471" s="116"/>
      <c r="K471" s="117"/>
      <c r="L471" s="33" t="str">
        <f t="shared" si="16"/>
        <v/>
      </c>
      <c r="M471" s="13" t="str">
        <f t="shared" si="17"/>
        <v/>
      </c>
    </row>
    <row r="472" spans="2:13" x14ac:dyDescent="0.35">
      <c r="B472" s="10">
        <v>473</v>
      </c>
      <c r="C472" s="10"/>
      <c r="D472" s="38"/>
      <c r="E472" s="38"/>
      <c r="F472" s="39"/>
      <c r="G472" s="232"/>
      <c r="H472" s="12"/>
      <c r="I472" s="119"/>
      <c r="J472" s="116"/>
      <c r="K472" s="117"/>
      <c r="L472" s="33" t="str">
        <f t="shared" si="16"/>
        <v/>
      </c>
      <c r="M472" s="13" t="str">
        <f t="shared" si="17"/>
        <v/>
      </c>
    </row>
    <row r="473" spans="2:13" x14ac:dyDescent="0.35">
      <c r="B473" s="10">
        <v>474</v>
      </c>
      <c r="C473" s="10"/>
      <c r="D473" s="38"/>
      <c r="E473" s="38"/>
      <c r="F473" s="39"/>
      <c r="G473" s="232"/>
      <c r="H473" s="12"/>
      <c r="I473" s="119"/>
      <c r="J473" s="116"/>
      <c r="K473" s="117"/>
      <c r="L473" s="33" t="str">
        <f t="shared" si="16"/>
        <v/>
      </c>
      <c r="M473" s="13" t="str">
        <f t="shared" si="17"/>
        <v/>
      </c>
    </row>
    <row r="474" spans="2:13" x14ac:dyDescent="0.35">
      <c r="B474" s="10">
        <v>475</v>
      </c>
      <c r="C474" s="10"/>
      <c r="D474" s="38"/>
      <c r="E474" s="38"/>
      <c r="F474" s="39"/>
      <c r="G474" s="232"/>
      <c r="H474" s="12"/>
      <c r="I474" s="119"/>
      <c r="J474" s="116"/>
      <c r="K474" s="117"/>
      <c r="L474" s="33" t="str">
        <f t="shared" si="16"/>
        <v/>
      </c>
      <c r="M474" s="13" t="str">
        <f t="shared" si="17"/>
        <v/>
      </c>
    </row>
    <row r="475" spans="2:13" x14ac:dyDescent="0.35">
      <c r="B475" s="10">
        <v>476</v>
      </c>
      <c r="C475" s="10"/>
      <c r="D475" s="38"/>
      <c r="E475" s="38"/>
      <c r="F475" s="39"/>
      <c r="G475" s="232"/>
      <c r="H475" s="12"/>
      <c r="I475" s="119"/>
      <c r="J475" s="116"/>
      <c r="K475" s="117"/>
      <c r="L475" s="33" t="str">
        <f t="shared" si="16"/>
        <v/>
      </c>
      <c r="M475" s="13" t="str">
        <f t="shared" si="17"/>
        <v/>
      </c>
    </row>
    <row r="476" spans="2:13" x14ac:dyDescent="0.35">
      <c r="B476" s="10">
        <v>477</v>
      </c>
      <c r="C476" s="10"/>
      <c r="D476" s="38"/>
      <c r="E476" s="38"/>
      <c r="F476" s="39"/>
      <c r="G476" s="232"/>
      <c r="H476" s="12"/>
      <c r="I476" s="119"/>
      <c r="J476" s="116"/>
      <c r="K476" s="117"/>
      <c r="L476" s="33" t="str">
        <f t="shared" si="16"/>
        <v/>
      </c>
      <c r="M476" s="13" t="str">
        <f t="shared" si="17"/>
        <v/>
      </c>
    </row>
    <row r="477" spans="2:13" x14ac:dyDescent="0.35">
      <c r="B477" s="10">
        <v>478</v>
      </c>
      <c r="C477" s="10"/>
      <c r="D477" s="38"/>
      <c r="E477" s="38"/>
      <c r="F477" s="39"/>
      <c r="G477" s="232"/>
      <c r="H477" s="12"/>
      <c r="I477" s="119"/>
      <c r="J477" s="116"/>
      <c r="K477" s="117"/>
      <c r="L477" s="33" t="str">
        <f t="shared" si="16"/>
        <v/>
      </c>
      <c r="M477" s="13" t="str">
        <f t="shared" si="17"/>
        <v/>
      </c>
    </row>
    <row r="478" spans="2:13" x14ac:dyDescent="0.35">
      <c r="B478" s="10">
        <v>479</v>
      </c>
      <c r="C478" s="10"/>
      <c r="D478" s="38"/>
      <c r="E478" s="38"/>
      <c r="F478" s="39"/>
      <c r="G478" s="232"/>
      <c r="H478" s="12"/>
      <c r="I478" s="119"/>
      <c r="J478" s="116"/>
      <c r="K478" s="117"/>
      <c r="L478" s="33" t="str">
        <f t="shared" si="16"/>
        <v/>
      </c>
      <c r="M478" s="13" t="str">
        <f t="shared" si="17"/>
        <v/>
      </c>
    </row>
    <row r="479" spans="2:13" x14ac:dyDescent="0.35">
      <c r="B479" s="10">
        <v>480</v>
      </c>
      <c r="C479" s="10"/>
      <c r="D479" s="38"/>
      <c r="E479" s="38"/>
      <c r="F479" s="39"/>
      <c r="G479" s="232"/>
      <c r="H479" s="12"/>
      <c r="I479" s="119"/>
      <c r="J479" s="116"/>
      <c r="K479" s="117"/>
      <c r="L479" s="33" t="str">
        <f t="shared" si="16"/>
        <v/>
      </c>
      <c r="M479" s="13" t="str">
        <f t="shared" si="17"/>
        <v/>
      </c>
    </row>
    <row r="480" spans="2:13" x14ac:dyDescent="0.35">
      <c r="B480" s="10">
        <v>481</v>
      </c>
      <c r="C480" s="10"/>
      <c r="D480" s="38"/>
      <c r="E480" s="38"/>
      <c r="F480" s="39"/>
      <c r="G480" s="232"/>
      <c r="H480" s="12"/>
      <c r="I480" s="119"/>
      <c r="J480" s="116"/>
      <c r="K480" s="117"/>
      <c r="L480" s="33" t="str">
        <f t="shared" si="16"/>
        <v/>
      </c>
      <c r="M480" s="13" t="str">
        <f t="shared" si="17"/>
        <v/>
      </c>
    </row>
    <row r="481" spans="2:13" x14ac:dyDescent="0.35">
      <c r="B481" s="10">
        <v>482</v>
      </c>
      <c r="C481" s="10"/>
      <c r="D481" s="38"/>
      <c r="E481" s="38"/>
      <c r="F481" s="39"/>
      <c r="G481" s="232"/>
      <c r="H481" s="12"/>
      <c r="I481" s="119"/>
      <c r="J481" s="116"/>
      <c r="K481" s="117"/>
      <c r="L481" s="33" t="str">
        <f t="shared" si="16"/>
        <v/>
      </c>
      <c r="M481" s="13" t="str">
        <f t="shared" si="17"/>
        <v/>
      </c>
    </row>
    <row r="482" spans="2:13" x14ac:dyDescent="0.35">
      <c r="B482" s="10">
        <v>483</v>
      </c>
      <c r="C482" s="10"/>
      <c r="D482" s="38"/>
      <c r="E482" s="38"/>
      <c r="F482" s="39"/>
      <c r="G482" s="232"/>
      <c r="H482" s="12"/>
      <c r="I482" s="119"/>
      <c r="J482" s="116"/>
      <c r="K482" s="117"/>
      <c r="L482" s="33" t="str">
        <f t="shared" si="16"/>
        <v/>
      </c>
      <c r="M482" s="13" t="str">
        <f t="shared" si="17"/>
        <v/>
      </c>
    </row>
    <row r="483" spans="2:13" x14ac:dyDescent="0.35">
      <c r="B483" s="10">
        <v>484</v>
      </c>
      <c r="C483" s="10"/>
      <c r="D483" s="38"/>
      <c r="E483" s="38"/>
      <c r="F483" s="39"/>
      <c r="G483" s="232"/>
      <c r="H483" s="12"/>
      <c r="I483" s="119"/>
      <c r="J483" s="116"/>
      <c r="K483" s="117"/>
      <c r="L483" s="33" t="str">
        <f t="shared" si="16"/>
        <v/>
      </c>
      <c r="M483" s="13" t="str">
        <f t="shared" si="17"/>
        <v/>
      </c>
    </row>
    <row r="484" spans="2:13" x14ac:dyDescent="0.35">
      <c r="B484" s="10">
        <v>485</v>
      </c>
      <c r="C484" s="10"/>
      <c r="D484" s="38"/>
      <c r="E484" s="38"/>
      <c r="F484" s="39"/>
      <c r="G484" s="232"/>
      <c r="H484" s="12"/>
      <c r="I484" s="119"/>
      <c r="J484" s="116"/>
      <c r="K484" s="117"/>
      <c r="L484" s="33" t="str">
        <f t="shared" si="16"/>
        <v/>
      </c>
      <c r="M484" s="13" t="str">
        <f t="shared" si="17"/>
        <v/>
      </c>
    </row>
    <row r="485" spans="2:13" x14ac:dyDescent="0.35">
      <c r="B485" s="10">
        <v>486</v>
      </c>
      <c r="C485" s="10"/>
      <c r="D485" s="38"/>
      <c r="E485" s="38"/>
      <c r="F485" s="39"/>
      <c r="G485" s="232"/>
      <c r="H485" s="12"/>
      <c r="I485" s="119"/>
      <c r="J485" s="116"/>
      <c r="K485" s="117"/>
      <c r="L485" s="33" t="str">
        <f t="shared" si="16"/>
        <v/>
      </c>
      <c r="M485" s="13" t="str">
        <f t="shared" si="17"/>
        <v/>
      </c>
    </row>
    <row r="486" spans="2:13" x14ac:dyDescent="0.35">
      <c r="B486" s="10">
        <v>487</v>
      </c>
      <c r="C486" s="10"/>
      <c r="D486" s="38"/>
      <c r="E486" s="38"/>
      <c r="F486" s="39"/>
      <c r="G486" s="232"/>
      <c r="H486" s="12"/>
      <c r="I486" s="119"/>
      <c r="J486" s="116"/>
      <c r="K486" s="117"/>
      <c r="L486" s="33" t="str">
        <f t="shared" si="16"/>
        <v/>
      </c>
      <c r="M486" s="13" t="str">
        <f t="shared" si="17"/>
        <v/>
      </c>
    </row>
    <row r="487" spans="2:13" x14ac:dyDescent="0.35">
      <c r="B487" s="10">
        <v>488</v>
      </c>
      <c r="C487" s="10"/>
      <c r="D487" s="38"/>
      <c r="E487" s="38"/>
      <c r="F487" s="39"/>
      <c r="G487" s="232"/>
      <c r="H487" s="12"/>
      <c r="I487" s="119"/>
      <c r="J487" s="116"/>
      <c r="K487" s="117"/>
      <c r="L487" s="33" t="str">
        <f t="shared" si="16"/>
        <v/>
      </c>
      <c r="M487" s="13" t="str">
        <f t="shared" si="17"/>
        <v/>
      </c>
    </row>
    <row r="488" spans="2:13" x14ac:dyDescent="0.35">
      <c r="B488" s="10">
        <v>489</v>
      </c>
      <c r="C488" s="10"/>
      <c r="D488" s="38"/>
      <c r="E488" s="38"/>
      <c r="F488" s="39"/>
      <c r="G488" s="232"/>
      <c r="H488" s="12"/>
      <c r="I488" s="119"/>
      <c r="J488" s="116"/>
      <c r="K488" s="117"/>
      <c r="L488" s="33" t="str">
        <f t="shared" si="16"/>
        <v/>
      </c>
      <c r="M488" s="13" t="str">
        <f t="shared" si="17"/>
        <v/>
      </c>
    </row>
    <row r="489" spans="2:13" x14ac:dyDescent="0.35">
      <c r="B489" s="10">
        <v>490</v>
      </c>
      <c r="C489" s="10"/>
      <c r="D489" s="38"/>
      <c r="E489" s="38"/>
      <c r="F489" s="39"/>
      <c r="G489" s="232"/>
      <c r="H489" s="12"/>
      <c r="I489" s="119"/>
      <c r="J489" s="116"/>
      <c r="K489" s="117"/>
      <c r="L489" s="33" t="str">
        <f t="shared" si="16"/>
        <v/>
      </c>
      <c r="M489" s="13" t="str">
        <f t="shared" si="17"/>
        <v/>
      </c>
    </row>
    <row r="490" spans="2:13" x14ac:dyDescent="0.35">
      <c r="B490" s="10">
        <v>491</v>
      </c>
      <c r="C490" s="10"/>
      <c r="D490" s="38"/>
      <c r="E490" s="38"/>
      <c r="F490" s="39"/>
      <c r="G490" s="232"/>
      <c r="H490" s="12"/>
      <c r="I490" s="119"/>
      <c r="J490" s="116"/>
      <c r="K490" s="117"/>
      <c r="L490" s="33" t="str">
        <f t="shared" si="16"/>
        <v/>
      </c>
      <c r="M490" s="13" t="str">
        <f t="shared" si="17"/>
        <v/>
      </c>
    </row>
    <row r="491" spans="2:13" x14ac:dyDescent="0.35">
      <c r="B491" s="10">
        <v>492</v>
      </c>
      <c r="C491" s="10"/>
      <c r="D491" s="38"/>
      <c r="E491" s="38"/>
      <c r="F491" s="39"/>
      <c r="G491" s="232"/>
      <c r="H491" s="12"/>
      <c r="I491" s="119"/>
      <c r="J491" s="116"/>
      <c r="K491" s="117"/>
      <c r="L491" s="33" t="str">
        <f t="shared" si="16"/>
        <v/>
      </c>
      <c r="M491" s="13" t="str">
        <f t="shared" si="17"/>
        <v/>
      </c>
    </row>
    <row r="492" spans="2:13" x14ac:dyDescent="0.35">
      <c r="B492" s="10">
        <v>493</v>
      </c>
      <c r="C492" s="10"/>
      <c r="D492" s="38"/>
      <c r="E492" s="38"/>
      <c r="F492" s="39"/>
      <c r="G492" s="232"/>
      <c r="H492" s="12"/>
      <c r="I492" s="119"/>
      <c r="J492" s="116"/>
      <c r="K492" s="117"/>
      <c r="L492" s="33" t="str">
        <f t="shared" si="16"/>
        <v/>
      </c>
      <c r="M492" s="13" t="str">
        <f t="shared" si="17"/>
        <v/>
      </c>
    </row>
    <row r="493" spans="2:13" x14ac:dyDescent="0.35">
      <c r="B493" s="10">
        <v>494</v>
      </c>
      <c r="C493" s="10"/>
      <c r="D493" s="38"/>
      <c r="E493" s="38"/>
      <c r="F493" s="39"/>
      <c r="G493" s="232"/>
      <c r="H493" s="12"/>
      <c r="I493" s="119"/>
      <c r="J493" s="116"/>
      <c r="K493" s="117"/>
      <c r="L493" s="33" t="str">
        <f t="shared" si="16"/>
        <v/>
      </c>
      <c r="M493" s="13" t="str">
        <f t="shared" si="17"/>
        <v/>
      </c>
    </row>
    <row r="494" spans="2:13" x14ac:dyDescent="0.35">
      <c r="B494" s="10">
        <v>495</v>
      </c>
      <c r="C494" s="10"/>
      <c r="D494" s="38"/>
      <c r="E494" s="38"/>
      <c r="F494" s="39"/>
      <c r="G494" s="232"/>
      <c r="H494" s="12"/>
      <c r="I494" s="119"/>
      <c r="J494" s="116"/>
      <c r="K494" s="117"/>
      <c r="L494" s="33" t="str">
        <f t="shared" si="16"/>
        <v/>
      </c>
      <c r="M494" s="13" t="str">
        <f t="shared" si="17"/>
        <v/>
      </c>
    </row>
    <row r="495" spans="2:13" x14ac:dyDescent="0.35">
      <c r="B495" s="10">
        <v>496</v>
      </c>
      <c r="C495" s="10"/>
      <c r="D495" s="38"/>
      <c r="E495" s="38"/>
      <c r="F495" s="39"/>
      <c r="G495" s="232"/>
      <c r="H495" s="12"/>
      <c r="I495" s="119"/>
      <c r="J495" s="116"/>
      <c r="K495" s="117"/>
      <c r="L495" s="33" t="str">
        <f t="shared" si="16"/>
        <v/>
      </c>
      <c r="M495" s="13" t="str">
        <f t="shared" si="17"/>
        <v/>
      </c>
    </row>
    <row r="496" spans="2:13" x14ac:dyDescent="0.35">
      <c r="B496" s="10">
        <v>497</v>
      </c>
      <c r="C496" s="10"/>
      <c r="D496" s="38"/>
      <c r="E496" s="38"/>
      <c r="F496" s="39"/>
      <c r="G496" s="232"/>
      <c r="H496" s="12"/>
      <c r="I496" s="119"/>
      <c r="J496" s="116"/>
      <c r="K496" s="117"/>
      <c r="L496" s="33" t="str">
        <f t="shared" si="16"/>
        <v/>
      </c>
      <c r="M496" s="13" t="str">
        <f t="shared" si="17"/>
        <v/>
      </c>
    </row>
    <row r="497" spans="2:13" x14ac:dyDescent="0.35">
      <c r="B497" s="10">
        <v>498</v>
      </c>
      <c r="C497" s="10"/>
      <c r="D497" s="38"/>
      <c r="E497" s="38"/>
      <c r="F497" s="39"/>
      <c r="G497" s="232"/>
      <c r="H497" s="12"/>
      <c r="I497" s="119"/>
      <c r="J497" s="116"/>
      <c r="K497" s="117"/>
      <c r="L497" s="33" t="str">
        <f t="shared" si="16"/>
        <v/>
      </c>
      <c r="M497" s="13" t="str">
        <f t="shared" si="17"/>
        <v/>
      </c>
    </row>
    <row r="498" spans="2:13" x14ac:dyDescent="0.35">
      <c r="B498" s="10">
        <v>499</v>
      </c>
      <c r="C498" s="10"/>
      <c r="D498" s="38"/>
      <c r="E498" s="38"/>
      <c r="F498" s="39"/>
      <c r="G498" s="232"/>
      <c r="H498" s="12"/>
      <c r="I498" s="119"/>
      <c r="J498" s="116"/>
      <c r="K498" s="117"/>
      <c r="L498" s="33" t="str">
        <f t="shared" si="16"/>
        <v/>
      </c>
      <c r="M498" s="13" t="str">
        <f t="shared" si="17"/>
        <v/>
      </c>
    </row>
    <row r="499" spans="2:13" x14ac:dyDescent="0.35">
      <c r="B499" s="10">
        <v>500</v>
      </c>
      <c r="C499" s="10"/>
      <c r="D499" s="38"/>
      <c r="E499" s="38"/>
      <c r="F499" s="39"/>
      <c r="G499" s="232"/>
      <c r="H499" s="12"/>
      <c r="I499" s="119"/>
      <c r="J499" s="116"/>
      <c r="K499" s="117"/>
      <c r="L499" s="33" t="str">
        <f t="shared" si="16"/>
        <v/>
      </c>
      <c r="M499" s="13" t="str">
        <f t="shared" si="17"/>
        <v/>
      </c>
    </row>
    <row r="500" spans="2:13" x14ac:dyDescent="0.35">
      <c r="B500" s="10">
        <v>501</v>
      </c>
      <c r="C500" s="10"/>
      <c r="D500" s="38"/>
      <c r="E500" s="38"/>
      <c r="F500" s="39"/>
      <c r="G500" s="232"/>
      <c r="H500" s="12"/>
      <c r="I500" s="119"/>
      <c r="J500" s="116"/>
      <c r="K500" s="117"/>
      <c r="L500" s="33" t="str">
        <f t="shared" si="16"/>
        <v/>
      </c>
      <c r="M500" s="13" t="str">
        <f t="shared" si="17"/>
        <v/>
      </c>
    </row>
    <row r="501" spans="2:13" x14ac:dyDescent="0.35">
      <c r="B501" s="10">
        <v>502</v>
      </c>
      <c r="C501" s="10"/>
      <c r="D501" s="38"/>
      <c r="E501" s="38"/>
      <c r="F501" s="39"/>
      <c r="G501" s="232"/>
      <c r="H501" s="12"/>
      <c r="I501" s="119"/>
      <c r="J501" s="116"/>
      <c r="K501" s="117"/>
      <c r="L501" s="33" t="str">
        <f t="shared" si="16"/>
        <v/>
      </c>
      <c r="M501" s="13" t="str">
        <f t="shared" si="17"/>
        <v/>
      </c>
    </row>
    <row r="502" spans="2:13" x14ac:dyDescent="0.35">
      <c r="B502" s="10">
        <v>503</v>
      </c>
      <c r="C502" s="10"/>
      <c r="D502" s="38"/>
      <c r="E502" s="38"/>
      <c r="F502" s="39"/>
      <c r="G502" s="232"/>
      <c r="H502" s="12"/>
      <c r="I502" s="119"/>
      <c r="J502" s="116"/>
      <c r="K502" s="117"/>
      <c r="L502" s="33" t="str">
        <f t="shared" si="16"/>
        <v/>
      </c>
      <c r="M502" s="13" t="str">
        <f t="shared" si="17"/>
        <v/>
      </c>
    </row>
    <row r="503" spans="2:13" x14ac:dyDescent="0.35">
      <c r="B503" s="10">
        <v>504</v>
      </c>
      <c r="C503" s="10"/>
      <c r="D503" s="38"/>
      <c r="E503" s="38"/>
      <c r="F503" s="39"/>
      <c r="G503" s="232"/>
      <c r="H503" s="12"/>
      <c r="I503" s="119"/>
      <c r="J503" s="116"/>
      <c r="K503" s="117"/>
      <c r="L503" s="33" t="str">
        <f t="shared" si="16"/>
        <v/>
      </c>
      <c r="M503" s="13" t="str">
        <f t="shared" si="17"/>
        <v/>
      </c>
    </row>
    <row r="504" spans="2:13" x14ac:dyDescent="0.35">
      <c r="B504" s="10">
        <v>505</v>
      </c>
      <c r="C504" s="10"/>
      <c r="D504" s="38"/>
      <c r="E504" s="38"/>
      <c r="F504" s="39"/>
      <c r="G504" s="232"/>
      <c r="H504" s="12"/>
      <c r="I504" s="119"/>
      <c r="J504" s="116"/>
      <c r="K504" s="117"/>
      <c r="L504" s="33" t="str">
        <f t="shared" si="16"/>
        <v/>
      </c>
      <c r="M504" s="13" t="str">
        <f t="shared" si="17"/>
        <v/>
      </c>
    </row>
    <row r="505" spans="2:13" x14ac:dyDescent="0.35">
      <c r="B505" s="10">
        <v>506</v>
      </c>
      <c r="C505" s="10"/>
      <c r="D505" s="38"/>
      <c r="E505" s="38"/>
      <c r="F505" s="39"/>
      <c r="G505" s="232"/>
      <c r="H505" s="12"/>
      <c r="I505" s="119"/>
      <c r="J505" s="116"/>
      <c r="K505" s="117"/>
      <c r="L505" s="33" t="str">
        <f t="shared" si="16"/>
        <v/>
      </c>
      <c r="M505" s="13" t="str">
        <f t="shared" si="17"/>
        <v/>
      </c>
    </row>
    <row r="506" spans="2:13" x14ac:dyDescent="0.35">
      <c r="B506" s="10">
        <v>507</v>
      </c>
      <c r="C506" s="10"/>
      <c r="D506" s="38"/>
      <c r="E506" s="38"/>
      <c r="F506" s="39"/>
      <c r="G506" s="232"/>
      <c r="H506" s="12"/>
      <c r="I506" s="119"/>
      <c r="J506" s="116"/>
      <c r="K506" s="117"/>
      <c r="L506" s="33" t="str">
        <f t="shared" si="16"/>
        <v/>
      </c>
      <c r="M506" s="13" t="str">
        <f t="shared" si="17"/>
        <v/>
      </c>
    </row>
    <row r="507" spans="2:13" x14ac:dyDescent="0.35">
      <c r="B507" s="10">
        <v>508</v>
      </c>
      <c r="C507" s="10"/>
      <c r="D507" s="38"/>
      <c r="E507" s="38"/>
      <c r="F507" s="39"/>
      <c r="G507" s="232"/>
      <c r="H507" s="12"/>
      <c r="I507" s="119"/>
      <c r="J507" s="116"/>
      <c r="K507" s="117"/>
      <c r="L507" s="33" t="str">
        <f t="shared" si="16"/>
        <v/>
      </c>
      <c r="M507" s="13" t="str">
        <f t="shared" si="17"/>
        <v/>
      </c>
    </row>
    <row r="508" spans="2:13" x14ac:dyDescent="0.35">
      <c r="B508" s="10">
        <v>509</v>
      </c>
      <c r="C508" s="10"/>
      <c r="D508" s="38"/>
      <c r="E508" s="38"/>
      <c r="F508" s="39"/>
      <c r="G508" s="232"/>
      <c r="H508" s="12"/>
      <c r="I508" s="119"/>
      <c r="J508" s="116"/>
      <c r="K508" s="117"/>
      <c r="L508" s="33" t="str">
        <f t="shared" si="16"/>
        <v/>
      </c>
      <c r="M508" s="13" t="str">
        <f t="shared" si="17"/>
        <v/>
      </c>
    </row>
    <row r="509" spans="2:13" x14ac:dyDescent="0.35">
      <c r="B509" s="10">
        <v>510</v>
      </c>
      <c r="C509" s="10"/>
      <c r="D509" s="38"/>
      <c r="E509" s="38"/>
      <c r="F509" s="39"/>
      <c r="G509" s="232"/>
      <c r="H509" s="12"/>
      <c r="I509" s="119"/>
      <c r="J509" s="116"/>
      <c r="K509" s="117"/>
      <c r="L509" s="33" t="str">
        <f t="shared" si="16"/>
        <v/>
      </c>
      <c r="M509" s="13" t="str">
        <f t="shared" si="17"/>
        <v/>
      </c>
    </row>
    <row r="510" spans="2:13" x14ac:dyDescent="0.35">
      <c r="B510" s="10">
        <v>511</v>
      </c>
      <c r="C510" s="10"/>
      <c r="D510" s="38"/>
      <c r="E510" s="38"/>
      <c r="F510" s="39"/>
      <c r="G510" s="232"/>
      <c r="H510" s="12"/>
      <c r="I510" s="119"/>
      <c r="J510" s="116"/>
      <c r="K510" s="117"/>
      <c r="L510" s="33" t="str">
        <f t="shared" si="16"/>
        <v/>
      </c>
      <c r="M510" s="13" t="str">
        <f t="shared" si="17"/>
        <v/>
      </c>
    </row>
    <row r="511" spans="2:13" x14ac:dyDescent="0.35">
      <c r="B511" s="10">
        <v>512</v>
      </c>
      <c r="C511" s="10"/>
      <c r="D511" s="38"/>
      <c r="E511" s="38"/>
      <c r="F511" s="39"/>
      <c r="G511" s="232"/>
      <c r="H511" s="12"/>
      <c r="I511" s="119"/>
      <c r="J511" s="116"/>
      <c r="K511" s="117"/>
      <c r="L511" s="33" t="str">
        <f t="shared" si="16"/>
        <v/>
      </c>
      <c r="M511" s="13" t="str">
        <f t="shared" si="17"/>
        <v/>
      </c>
    </row>
    <row r="512" spans="2:13" x14ac:dyDescent="0.35">
      <c r="B512" s="10">
        <v>513</v>
      </c>
      <c r="C512" s="10"/>
      <c r="D512" s="38"/>
      <c r="E512" s="38"/>
      <c r="F512" s="39"/>
      <c r="G512" s="232"/>
      <c r="H512" s="12"/>
      <c r="I512" s="119"/>
      <c r="J512" s="116"/>
      <c r="K512" s="117"/>
      <c r="L512" s="33" t="str">
        <f t="shared" si="16"/>
        <v/>
      </c>
      <c r="M512" s="13" t="str">
        <f t="shared" si="17"/>
        <v/>
      </c>
    </row>
    <row r="513" spans="2:13" x14ac:dyDescent="0.35">
      <c r="B513" s="10">
        <v>514</v>
      </c>
      <c r="C513" s="10"/>
      <c r="D513" s="38"/>
      <c r="E513" s="38"/>
      <c r="F513" s="39"/>
      <c r="G513" s="232"/>
      <c r="H513" s="12"/>
      <c r="I513" s="119"/>
      <c r="J513" s="116"/>
      <c r="K513" s="117"/>
      <c r="L513" s="33" t="str">
        <f t="shared" si="16"/>
        <v/>
      </c>
      <c r="M513" s="13" t="str">
        <f t="shared" si="17"/>
        <v/>
      </c>
    </row>
    <row r="514" spans="2:13" x14ac:dyDescent="0.35">
      <c r="B514" s="10">
        <v>515</v>
      </c>
      <c r="C514" s="10"/>
      <c r="D514" s="38"/>
      <c r="E514" s="38"/>
      <c r="F514" s="39"/>
      <c r="G514" s="232"/>
      <c r="H514" s="12"/>
      <c r="I514" s="119"/>
      <c r="J514" s="116"/>
      <c r="K514" s="117"/>
      <c r="L514" s="33" t="str">
        <f t="shared" ref="L514:L577" si="18">IF(OR(J514="", K514=""), "", NETWORKDAYS(J514,K514))</f>
        <v/>
      </c>
      <c r="M514" s="13" t="str">
        <f t="shared" ref="M514:M577" si="19">IF(I514="SEA", 10, IF(I514="AIR", 5, ""))</f>
        <v/>
      </c>
    </row>
    <row r="515" spans="2:13" x14ac:dyDescent="0.35">
      <c r="B515" s="10">
        <v>516</v>
      </c>
      <c r="C515" s="10"/>
      <c r="D515" s="38"/>
      <c r="E515" s="38"/>
      <c r="F515" s="39"/>
      <c r="G515" s="232"/>
      <c r="H515" s="12"/>
      <c r="I515" s="119"/>
      <c r="J515" s="116"/>
      <c r="K515" s="117"/>
      <c r="L515" s="33" t="str">
        <f t="shared" si="18"/>
        <v/>
      </c>
      <c r="M515" s="13" t="str">
        <f t="shared" si="19"/>
        <v/>
      </c>
    </row>
    <row r="516" spans="2:13" x14ac:dyDescent="0.35">
      <c r="B516" s="10">
        <v>517</v>
      </c>
      <c r="C516" s="10"/>
      <c r="D516" s="38"/>
      <c r="E516" s="38"/>
      <c r="F516" s="39"/>
      <c r="G516" s="232"/>
      <c r="H516" s="12"/>
      <c r="I516" s="119"/>
      <c r="J516" s="116"/>
      <c r="K516" s="117"/>
      <c r="L516" s="33" t="str">
        <f t="shared" si="18"/>
        <v/>
      </c>
      <c r="M516" s="13" t="str">
        <f t="shared" si="19"/>
        <v/>
      </c>
    </row>
    <row r="517" spans="2:13" x14ac:dyDescent="0.35">
      <c r="B517" s="10">
        <v>518</v>
      </c>
      <c r="C517" s="10"/>
      <c r="D517" s="38"/>
      <c r="E517" s="38"/>
      <c r="F517" s="39"/>
      <c r="G517" s="232"/>
      <c r="H517" s="12"/>
      <c r="I517" s="119"/>
      <c r="J517" s="116"/>
      <c r="K517" s="117"/>
      <c r="L517" s="33" t="str">
        <f t="shared" si="18"/>
        <v/>
      </c>
      <c r="M517" s="13" t="str">
        <f t="shared" si="19"/>
        <v/>
      </c>
    </row>
    <row r="518" spans="2:13" x14ac:dyDescent="0.35">
      <c r="B518" s="10">
        <v>519</v>
      </c>
      <c r="C518" s="10"/>
      <c r="D518" s="38"/>
      <c r="E518" s="38"/>
      <c r="F518" s="39"/>
      <c r="G518" s="232"/>
      <c r="H518" s="12"/>
      <c r="I518" s="119"/>
      <c r="J518" s="116"/>
      <c r="K518" s="117"/>
      <c r="L518" s="33" t="str">
        <f t="shared" si="18"/>
        <v/>
      </c>
      <c r="M518" s="13" t="str">
        <f t="shared" si="19"/>
        <v/>
      </c>
    </row>
    <row r="519" spans="2:13" x14ac:dyDescent="0.35">
      <c r="B519" s="10">
        <v>520</v>
      </c>
      <c r="C519" s="10"/>
      <c r="D519" s="38"/>
      <c r="E519" s="38"/>
      <c r="F519" s="39"/>
      <c r="G519" s="232"/>
      <c r="H519" s="12"/>
      <c r="I519" s="119"/>
      <c r="J519" s="116"/>
      <c r="K519" s="117"/>
      <c r="L519" s="33" t="str">
        <f t="shared" si="18"/>
        <v/>
      </c>
      <c r="M519" s="13" t="str">
        <f t="shared" si="19"/>
        <v/>
      </c>
    </row>
    <row r="520" spans="2:13" x14ac:dyDescent="0.35">
      <c r="B520" s="10">
        <v>521</v>
      </c>
      <c r="C520" s="10"/>
      <c r="D520" s="38"/>
      <c r="E520" s="38"/>
      <c r="F520" s="39"/>
      <c r="G520" s="232"/>
      <c r="H520" s="12"/>
      <c r="I520" s="119"/>
      <c r="J520" s="116"/>
      <c r="K520" s="117"/>
      <c r="L520" s="33" t="str">
        <f t="shared" si="18"/>
        <v/>
      </c>
      <c r="M520" s="13" t="str">
        <f t="shared" si="19"/>
        <v/>
      </c>
    </row>
    <row r="521" spans="2:13" x14ac:dyDescent="0.35">
      <c r="B521" s="10">
        <v>522</v>
      </c>
      <c r="C521" s="10"/>
      <c r="D521" s="38"/>
      <c r="E521" s="38"/>
      <c r="F521" s="39"/>
      <c r="G521" s="232"/>
      <c r="H521" s="12"/>
      <c r="I521" s="119"/>
      <c r="J521" s="116"/>
      <c r="K521" s="117"/>
      <c r="L521" s="33" t="str">
        <f t="shared" si="18"/>
        <v/>
      </c>
      <c r="M521" s="13" t="str">
        <f t="shared" si="19"/>
        <v/>
      </c>
    </row>
    <row r="522" spans="2:13" x14ac:dyDescent="0.35">
      <c r="B522" s="10">
        <v>523</v>
      </c>
      <c r="C522" s="10"/>
      <c r="D522" s="38"/>
      <c r="E522" s="38"/>
      <c r="F522" s="39"/>
      <c r="G522" s="232"/>
      <c r="H522" s="12"/>
      <c r="I522" s="119"/>
      <c r="J522" s="116"/>
      <c r="K522" s="117"/>
      <c r="L522" s="33" t="str">
        <f t="shared" si="18"/>
        <v/>
      </c>
      <c r="M522" s="13" t="str">
        <f t="shared" si="19"/>
        <v/>
      </c>
    </row>
    <row r="523" spans="2:13" x14ac:dyDescent="0.35">
      <c r="B523" s="10">
        <v>524</v>
      </c>
      <c r="C523" s="10"/>
      <c r="D523" s="38"/>
      <c r="E523" s="38"/>
      <c r="F523" s="39"/>
      <c r="G523" s="232"/>
      <c r="H523" s="12"/>
      <c r="I523" s="119"/>
      <c r="J523" s="116"/>
      <c r="K523" s="117"/>
      <c r="L523" s="33" t="str">
        <f t="shared" si="18"/>
        <v/>
      </c>
      <c r="M523" s="13" t="str">
        <f t="shared" si="19"/>
        <v/>
      </c>
    </row>
    <row r="524" spans="2:13" x14ac:dyDescent="0.35">
      <c r="B524" s="10">
        <v>525</v>
      </c>
      <c r="C524" s="10"/>
      <c r="D524" s="38"/>
      <c r="E524" s="38"/>
      <c r="F524" s="39"/>
      <c r="G524" s="232"/>
      <c r="H524" s="12"/>
      <c r="I524" s="119"/>
      <c r="J524" s="116"/>
      <c r="K524" s="117"/>
      <c r="L524" s="33" t="str">
        <f t="shared" si="18"/>
        <v/>
      </c>
      <c r="M524" s="13" t="str">
        <f t="shared" si="19"/>
        <v/>
      </c>
    </row>
    <row r="525" spans="2:13" x14ac:dyDescent="0.35">
      <c r="B525" s="10">
        <v>526</v>
      </c>
      <c r="C525" s="10"/>
      <c r="D525" s="38"/>
      <c r="E525" s="38"/>
      <c r="F525" s="39"/>
      <c r="G525" s="232"/>
      <c r="H525" s="12"/>
      <c r="I525" s="119"/>
      <c r="J525" s="116"/>
      <c r="K525" s="117"/>
      <c r="L525" s="33" t="str">
        <f t="shared" si="18"/>
        <v/>
      </c>
      <c r="M525" s="13" t="str">
        <f t="shared" si="19"/>
        <v/>
      </c>
    </row>
    <row r="526" spans="2:13" x14ac:dyDescent="0.35">
      <c r="B526" s="10">
        <v>527</v>
      </c>
      <c r="C526" s="10"/>
      <c r="D526" s="38"/>
      <c r="E526" s="38"/>
      <c r="F526" s="39"/>
      <c r="G526" s="232"/>
      <c r="H526" s="12"/>
      <c r="I526" s="119"/>
      <c r="J526" s="116"/>
      <c r="K526" s="117"/>
      <c r="L526" s="33" t="str">
        <f t="shared" si="18"/>
        <v/>
      </c>
      <c r="M526" s="13" t="str">
        <f t="shared" si="19"/>
        <v/>
      </c>
    </row>
    <row r="527" spans="2:13" x14ac:dyDescent="0.35">
      <c r="B527" s="10">
        <v>528</v>
      </c>
      <c r="C527" s="10"/>
      <c r="D527" s="38"/>
      <c r="E527" s="38"/>
      <c r="F527" s="39"/>
      <c r="G527" s="232"/>
      <c r="H527" s="12"/>
      <c r="I527" s="119"/>
      <c r="J527" s="116"/>
      <c r="K527" s="117"/>
      <c r="L527" s="33" t="str">
        <f t="shared" si="18"/>
        <v/>
      </c>
      <c r="M527" s="13" t="str">
        <f t="shared" si="19"/>
        <v/>
      </c>
    </row>
    <row r="528" spans="2:13" x14ac:dyDescent="0.35">
      <c r="B528" s="10">
        <v>529</v>
      </c>
      <c r="C528" s="10"/>
      <c r="D528" s="38"/>
      <c r="E528" s="38"/>
      <c r="F528" s="39"/>
      <c r="G528" s="232"/>
      <c r="H528" s="12"/>
      <c r="I528" s="119"/>
      <c r="J528" s="116"/>
      <c r="K528" s="117"/>
      <c r="L528" s="33" t="str">
        <f t="shared" si="18"/>
        <v/>
      </c>
      <c r="M528" s="13" t="str">
        <f t="shared" si="19"/>
        <v/>
      </c>
    </row>
    <row r="529" spans="2:13" x14ac:dyDescent="0.35">
      <c r="B529" s="10">
        <v>530</v>
      </c>
      <c r="C529" s="10"/>
      <c r="D529" s="38"/>
      <c r="E529" s="38"/>
      <c r="F529" s="39"/>
      <c r="G529" s="232"/>
      <c r="H529" s="12"/>
      <c r="I529" s="119"/>
      <c r="J529" s="116"/>
      <c r="K529" s="117"/>
      <c r="L529" s="33" t="str">
        <f t="shared" si="18"/>
        <v/>
      </c>
      <c r="M529" s="13" t="str">
        <f t="shared" si="19"/>
        <v/>
      </c>
    </row>
    <row r="530" spans="2:13" x14ac:dyDescent="0.35">
      <c r="B530" s="10">
        <v>531</v>
      </c>
      <c r="C530" s="10"/>
      <c r="D530" s="38"/>
      <c r="E530" s="38"/>
      <c r="F530" s="39"/>
      <c r="G530" s="232"/>
      <c r="H530" s="12"/>
      <c r="I530" s="119"/>
      <c r="J530" s="116"/>
      <c r="K530" s="117"/>
      <c r="L530" s="33" t="str">
        <f t="shared" si="18"/>
        <v/>
      </c>
      <c r="M530" s="13" t="str">
        <f t="shared" si="19"/>
        <v/>
      </c>
    </row>
    <row r="531" spans="2:13" x14ac:dyDescent="0.35">
      <c r="B531" s="10">
        <v>532</v>
      </c>
      <c r="C531" s="10"/>
      <c r="D531" s="38"/>
      <c r="E531" s="38"/>
      <c r="F531" s="39"/>
      <c r="G531" s="232"/>
      <c r="H531" s="12"/>
      <c r="I531" s="119"/>
      <c r="J531" s="116"/>
      <c r="K531" s="117"/>
      <c r="L531" s="33" t="str">
        <f t="shared" si="18"/>
        <v/>
      </c>
      <c r="M531" s="13" t="str">
        <f t="shared" si="19"/>
        <v/>
      </c>
    </row>
    <row r="532" spans="2:13" x14ac:dyDescent="0.35">
      <c r="B532" s="10">
        <v>533</v>
      </c>
      <c r="C532" s="10"/>
      <c r="D532" s="38"/>
      <c r="E532" s="38"/>
      <c r="F532" s="39"/>
      <c r="G532" s="232"/>
      <c r="H532" s="12"/>
      <c r="I532" s="119"/>
      <c r="J532" s="116"/>
      <c r="K532" s="117"/>
      <c r="L532" s="33" t="str">
        <f t="shared" si="18"/>
        <v/>
      </c>
      <c r="M532" s="13" t="str">
        <f t="shared" si="19"/>
        <v/>
      </c>
    </row>
    <row r="533" spans="2:13" x14ac:dyDescent="0.35">
      <c r="B533" s="10">
        <v>534</v>
      </c>
      <c r="C533" s="10"/>
      <c r="D533" s="38"/>
      <c r="E533" s="38"/>
      <c r="F533" s="39"/>
      <c r="G533" s="232"/>
      <c r="H533" s="12"/>
      <c r="I533" s="119"/>
      <c r="J533" s="116"/>
      <c r="K533" s="117"/>
      <c r="L533" s="33" t="str">
        <f t="shared" si="18"/>
        <v/>
      </c>
      <c r="M533" s="13" t="str">
        <f t="shared" si="19"/>
        <v/>
      </c>
    </row>
    <row r="534" spans="2:13" x14ac:dyDescent="0.35">
      <c r="B534" s="10">
        <v>535</v>
      </c>
      <c r="C534" s="10"/>
      <c r="D534" s="38"/>
      <c r="E534" s="38"/>
      <c r="F534" s="39"/>
      <c r="G534" s="232"/>
      <c r="H534" s="12"/>
      <c r="I534" s="119"/>
      <c r="J534" s="116"/>
      <c r="K534" s="117"/>
      <c r="L534" s="33" t="str">
        <f t="shared" si="18"/>
        <v/>
      </c>
      <c r="M534" s="13" t="str">
        <f t="shared" si="19"/>
        <v/>
      </c>
    </row>
    <row r="535" spans="2:13" x14ac:dyDescent="0.35">
      <c r="B535" s="10">
        <v>536</v>
      </c>
      <c r="C535" s="10"/>
      <c r="D535" s="38"/>
      <c r="E535" s="38"/>
      <c r="F535" s="39"/>
      <c r="G535" s="232"/>
      <c r="H535" s="12"/>
      <c r="I535" s="119"/>
      <c r="J535" s="116"/>
      <c r="K535" s="117"/>
      <c r="L535" s="33" t="str">
        <f t="shared" si="18"/>
        <v/>
      </c>
      <c r="M535" s="13" t="str">
        <f t="shared" si="19"/>
        <v/>
      </c>
    </row>
    <row r="536" spans="2:13" x14ac:dyDescent="0.35">
      <c r="B536" s="10">
        <v>537</v>
      </c>
      <c r="C536" s="10"/>
      <c r="D536" s="38"/>
      <c r="E536" s="38"/>
      <c r="F536" s="39"/>
      <c r="G536" s="232"/>
      <c r="H536" s="12"/>
      <c r="I536" s="119"/>
      <c r="J536" s="116"/>
      <c r="K536" s="117"/>
      <c r="L536" s="33" t="str">
        <f t="shared" si="18"/>
        <v/>
      </c>
      <c r="M536" s="13" t="str">
        <f t="shared" si="19"/>
        <v/>
      </c>
    </row>
    <row r="537" spans="2:13" x14ac:dyDescent="0.35">
      <c r="B537" s="10">
        <v>538</v>
      </c>
      <c r="C537" s="10"/>
      <c r="D537" s="38"/>
      <c r="E537" s="38"/>
      <c r="F537" s="39"/>
      <c r="G537" s="232"/>
      <c r="H537" s="12"/>
      <c r="I537" s="119"/>
      <c r="J537" s="116"/>
      <c r="K537" s="117"/>
      <c r="L537" s="33" t="str">
        <f t="shared" si="18"/>
        <v/>
      </c>
      <c r="M537" s="13" t="str">
        <f t="shared" si="19"/>
        <v/>
      </c>
    </row>
    <row r="538" spans="2:13" x14ac:dyDescent="0.35">
      <c r="B538" s="10">
        <v>539</v>
      </c>
      <c r="C538" s="10"/>
      <c r="D538" s="38"/>
      <c r="E538" s="38"/>
      <c r="F538" s="39"/>
      <c r="G538" s="232"/>
      <c r="H538" s="12"/>
      <c r="I538" s="119"/>
      <c r="J538" s="116"/>
      <c r="K538" s="117"/>
      <c r="L538" s="33" t="str">
        <f t="shared" si="18"/>
        <v/>
      </c>
      <c r="M538" s="13" t="str">
        <f t="shared" si="19"/>
        <v/>
      </c>
    </row>
    <row r="539" spans="2:13" x14ac:dyDescent="0.35">
      <c r="B539" s="10">
        <v>540</v>
      </c>
      <c r="C539" s="10"/>
      <c r="D539" s="38"/>
      <c r="E539" s="38"/>
      <c r="F539" s="39"/>
      <c r="G539" s="232"/>
      <c r="H539" s="12"/>
      <c r="I539" s="119"/>
      <c r="J539" s="116"/>
      <c r="K539" s="117"/>
      <c r="L539" s="33" t="str">
        <f t="shared" si="18"/>
        <v/>
      </c>
      <c r="M539" s="13" t="str">
        <f t="shared" si="19"/>
        <v/>
      </c>
    </row>
    <row r="540" spans="2:13" x14ac:dyDescent="0.35">
      <c r="B540" s="10">
        <v>541</v>
      </c>
      <c r="C540" s="10"/>
      <c r="D540" s="38"/>
      <c r="E540" s="38"/>
      <c r="F540" s="39"/>
      <c r="G540" s="232"/>
      <c r="H540" s="12"/>
      <c r="I540" s="119"/>
      <c r="J540" s="116"/>
      <c r="K540" s="117"/>
      <c r="L540" s="33" t="str">
        <f t="shared" si="18"/>
        <v/>
      </c>
      <c r="M540" s="13" t="str">
        <f t="shared" si="19"/>
        <v/>
      </c>
    </row>
    <row r="541" spans="2:13" x14ac:dyDescent="0.35">
      <c r="B541" s="10">
        <v>542</v>
      </c>
      <c r="C541" s="10"/>
      <c r="D541" s="38"/>
      <c r="E541" s="38"/>
      <c r="F541" s="39"/>
      <c r="G541" s="232"/>
      <c r="H541" s="12"/>
      <c r="I541" s="119"/>
      <c r="J541" s="116"/>
      <c r="K541" s="117"/>
      <c r="L541" s="33" t="str">
        <f t="shared" si="18"/>
        <v/>
      </c>
      <c r="M541" s="13" t="str">
        <f t="shared" si="19"/>
        <v/>
      </c>
    </row>
    <row r="542" spans="2:13" x14ac:dyDescent="0.35">
      <c r="B542" s="10">
        <v>543</v>
      </c>
      <c r="C542" s="10"/>
      <c r="D542" s="38"/>
      <c r="E542" s="38"/>
      <c r="F542" s="39"/>
      <c r="G542" s="232"/>
      <c r="H542" s="12"/>
      <c r="I542" s="119"/>
      <c r="J542" s="116"/>
      <c r="K542" s="117"/>
      <c r="L542" s="33" t="str">
        <f t="shared" si="18"/>
        <v/>
      </c>
      <c r="M542" s="13" t="str">
        <f t="shared" si="19"/>
        <v/>
      </c>
    </row>
    <row r="543" spans="2:13" x14ac:dyDescent="0.35">
      <c r="B543" s="10">
        <v>544</v>
      </c>
      <c r="C543" s="10"/>
      <c r="D543" s="38"/>
      <c r="E543" s="38"/>
      <c r="F543" s="39"/>
      <c r="G543" s="232"/>
      <c r="H543" s="12"/>
      <c r="I543" s="119"/>
      <c r="J543" s="116"/>
      <c r="K543" s="117"/>
      <c r="L543" s="33" t="str">
        <f t="shared" si="18"/>
        <v/>
      </c>
      <c r="M543" s="13" t="str">
        <f t="shared" si="19"/>
        <v/>
      </c>
    </row>
    <row r="544" spans="2:13" x14ac:dyDescent="0.35">
      <c r="B544" s="10">
        <v>545</v>
      </c>
      <c r="C544" s="10"/>
      <c r="D544" s="38"/>
      <c r="E544" s="38"/>
      <c r="F544" s="39"/>
      <c r="G544" s="232"/>
      <c r="H544" s="12"/>
      <c r="I544" s="119"/>
      <c r="J544" s="116"/>
      <c r="K544" s="117"/>
      <c r="L544" s="33" t="str">
        <f t="shared" si="18"/>
        <v/>
      </c>
      <c r="M544" s="13" t="str">
        <f t="shared" si="19"/>
        <v/>
      </c>
    </row>
    <row r="545" spans="2:13" x14ac:dyDescent="0.35">
      <c r="B545" s="10">
        <v>546</v>
      </c>
      <c r="C545" s="10"/>
      <c r="D545" s="38"/>
      <c r="E545" s="38"/>
      <c r="F545" s="39"/>
      <c r="G545" s="232"/>
      <c r="H545" s="12"/>
      <c r="I545" s="119"/>
      <c r="J545" s="116"/>
      <c r="K545" s="117"/>
      <c r="L545" s="33" t="str">
        <f t="shared" si="18"/>
        <v/>
      </c>
      <c r="M545" s="13" t="str">
        <f t="shared" si="19"/>
        <v/>
      </c>
    </row>
    <row r="546" spans="2:13" x14ac:dyDescent="0.35">
      <c r="B546" s="10">
        <v>547</v>
      </c>
      <c r="C546" s="10"/>
      <c r="D546" s="38"/>
      <c r="E546" s="38"/>
      <c r="F546" s="39"/>
      <c r="G546" s="232"/>
      <c r="H546" s="12"/>
      <c r="I546" s="119"/>
      <c r="J546" s="116"/>
      <c r="K546" s="117"/>
      <c r="L546" s="33" t="str">
        <f t="shared" si="18"/>
        <v/>
      </c>
      <c r="M546" s="13" t="str">
        <f t="shared" si="19"/>
        <v/>
      </c>
    </row>
    <row r="547" spans="2:13" x14ac:dyDescent="0.35">
      <c r="B547" s="10">
        <v>548</v>
      </c>
      <c r="C547" s="10"/>
      <c r="D547" s="38"/>
      <c r="E547" s="38"/>
      <c r="F547" s="39"/>
      <c r="G547" s="232"/>
      <c r="H547" s="12"/>
      <c r="I547" s="119"/>
      <c r="J547" s="116"/>
      <c r="K547" s="117"/>
      <c r="L547" s="33" t="str">
        <f t="shared" si="18"/>
        <v/>
      </c>
      <c r="M547" s="13" t="str">
        <f t="shared" si="19"/>
        <v/>
      </c>
    </row>
    <row r="548" spans="2:13" x14ac:dyDescent="0.35">
      <c r="B548" s="10">
        <v>549</v>
      </c>
      <c r="C548" s="10"/>
      <c r="D548" s="38"/>
      <c r="E548" s="38"/>
      <c r="F548" s="39"/>
      <c r="G548" s="232"/>
      <c r="H548" s="12"/>
      <c r="I548" s="119"/>
      <c r="J548" s="116"/>
      <c r="K548" s="117"/>
      <c r="L548" s="33" t="str">
        <f t="shared" si="18"/>
        <v/>
      </c>
      <c r="M548" s="13" t="str">
        <f t="shared" si="19"/>
        <v/>
      </c>
    </row>
    <row r="549" spans="2:13" x14ac:dyDescent="0.35">
      <c r="B549" s="10">
        <v>550</v>
      </c>
      <c r="C549" s="10"/>
      <c r="D549" s="38"/>
      <c r="E549" s="38"/>
      <c r="F549" s="39"/>
      <c r="G549" s="232"/>
      <c r="H549" s="12"/>
      <c r="I549" s="119"/>
      <c r="J549" s="116"/>
      <c r="K549" s="117"/>
      <c r="L549" s="33" t="str">
        <f t="shared" si="18"/>
        <v/>
      </c>
      <c r="M549" s="13" t="str">
        <f t="shared" si="19"/>
        <v/>
      </c>
    </row>
    <row r="550" spans="2:13" x14ac:dyDescent="0.35">
      <c r="B550" s="10">
        <v>551</v>
      </c>
      <c r="C550" s="10"/>
      <c r="D550" s="38"/>
      <c r="E550" s="38"/>
      <c r="F550" s="39"/>
      <c r="G550" s="232"/>
      <c r="H550" s="12"/>
      <c r="I550" s="119"/>
      <c r="J550" s="116"/>
      <c r="K550" s="117"/>
      <c r="L550" s="33" t="str">
        <f t="shared" si="18"/>
        <v/>
      </c>
      <c r="M550" s="13" t="str">
        <f t="shared" si="19"/>
        <v/>
      </c>
    </row>
    <row r="551" spans="2:13" x14ac:dyDescent="0.35">
      <c r="B551" s="10">
        <v>552</v>
      </c>
      <c r="C551" s="10"/>
      <c r="D551" s="38"/>
      <c r="E551" s="38"/>
      <c r="F551" s="39"/>
      <c r="G551" s="232"/>
      <c r="H551" s="12"/>
      <c r="I551" s="119"/>
      <c r="J551" s="116"/>
      <c r="K551" s="117"/>
      <c r="L551" s="33" t="str">
        <f t="shared" si="18"/>
        <v/>
      </c>
      <c r="M551" s="13" t="str">
        <f t="shared" si="19"/>
        <v/>
      </c>
    </row>
    <row r="552" spans="2:13" x14ac:dyDescent="0.35">
      <c r="B552" s="10">
        <v>553</v>
      </c>
      <c r="C552" s="10"/>
      <c r="D552" s="38"/>
      <c r="E552" s="38"/>
      <c r="F552" s="39"/>
      <c r="G552" s="232"/>
      <c r="H552" s="12"/>
      <c r="I552" s="119"/>
      <c r="J552" s="116"/>
      <c r="K552" s="117"/>
      <c r="L552" s="33" t="str">
        <f t="shared" si="18"/>
        <v/>
      </c>
      <c r="M552" s="13" t="str">
        <f t="shared" si="19"/>
        <v/>
      </c>
    </row>
    <row r="553" spans="2:13" x14ac:dyDescent="0.35">
      <c r="B553" s="10">
        <v>554</v>
      </c>
      <c r="C553" s="10"/>
      <c r="D553" s="38"/>
      <c r="E553" s="38"/>
      <c r="F553" s="39"/>
      <c r="G553" s="232"/>
      <c r="H553" s="12"/>
      <c r="I553" s="119"/>
      <c r="J553" s="116"/>
      <c r="K553" s="117"/>
      <c r="L553" s="33" t="str">
        <f t="shared" si="18"/>
        <v/>
      </c>
      <c r="M553" s="13" t="str">
        <f t="shared" si="19"/>
        <v/>
      </c>
    </row>
    <row r="554" spans="2:13" x14ac:dyDescent="0.35">
      <c r="B554" s="10">
        <v>555</v>
      </c>
      <c r="C554" s="10"/>
      <c r="D554" s="38"/>
      <c r="E554" s="38"/>
      <c r="F554" s="39"/>
      <c r="G554" s="232"/>
      <c r="H554" s="12"/>
      <c r="I554" s="119"/>
      <c r="J554" s="116"/>
      <c r="K554" s="117"/>
      <c r="L554" s="33" t="str">
        <f t="shared" si="18"/>
        <v/>
      </c>
      <c r="M554" s="13" t="str">
        <f t="shared" si="19"/>
        <v/>
      </c>
    </row>
    <row r="555" spans="2:13" x14ac:dyDescent="0.35">
      <c r="B555" s="10">
        <v>556</v>
      </c>
      <c r="C555" s="10"/>
      <c r="D555" s="38"/>
      <c r="E555" s="38"/>
      <c r="F555" s="39"/>
      <c r="G555" s="232"/>
      <c r="H555" s="12"/>
      <c r="I555" s="119"/>
      <c r="J555" s="116"/>
      <c r="K555" s="117"/>
      <c r="L555" s="33" t="str">
        <f t="shared" si="18"/>
        <v/>
      </c>
      <c r="M555" s="13" t="str">
        <f t="shared" si="19"/>
        <v/>
      </c>
    </row>
    <row r="556" spans="2:13" x14ac:dyDescent="0.35">
      <c r="B556" s="10">
        <v>557</v>
      </c>
      <c r="C556" s="10"/>
      <c r="D556" s="38"/>
      <c r="E556" s="38"/>
      <c r="F556" s="39"/>
      <c r="G556" s="232"/>
      <c r="H556" s="12"/>
      <c r="I556" s="119"/>
      <c r="J556" s="116"/>
      <c r="K556" s="117"/>
      <c r="L556" s="33" t="str">
        <f t="shared" si="18"/>
        <v/>
      </c>
      <c r="M556" s="13" t="str">
        <f t="shared" si="19"/>
        <v/>
      </c>
    </row>
    <row r="557" spans="2:13" x14ac:dyDescent="0.35">
      <c r="B557" s="10">
        <v>558</v>
      </c>
      <c r="C557" s="10"/>
      <c r="D557" s="38"/>
      <c r="E557" s="38"/>
      <c r="F557" s="39"/>
      <c r="G557" s="232"/>
      <c r="H557" s="12"/>
      <c r="I557" s="119"/>
      <c r="J557" s="116"/>
      <c r="K557" s="117"/>
      <c r="L557" s="33" t="str">
        <f t="shared" si="18"/>
        <v/>
      </c>
      <c r="M557" s="13" t="str">
        <f t="shared" si="19"/>
        <v/>
      </c>
    </row>
    <row r="558" spans="2:13" x14ac:dyDescent="0.35">
      <c r="B558" s="10">
        <v>559</v>
      </c>
      <c r="C558" s="10"/>
      <c r="D558" s="38"/>
      <c r="E558" s="38"/>
      <c r="F558" s="39"/>
      <c r="G558" s="232"/>
      <c r="H558" s="12"/>
      <c r="I558" s="119"/>
      <c r="J558" s="116"/>
      <c r="K558" s="117"/>
      <c r="L558" s="33" t="str">
        <f t="shared" si="18"/>
        <v/>
      </c>
      <c r="M558" s="13" t="str">
        <f t="shared" si="19"/>
        <v/>
      </c>
    </row>
    <row r="559" spans="2:13" x14ac:dyDescent="0.35">
      <c r="B559" s="10">
        <v>560</v>
      </c>
      <c r="C559" s="10"/>
      <c r="D559" s="38"/>
      <c r="E559" s="38"/>
      <c r="F559" s="39"/>
      <c r="G559" s="232"/>
      <c r="H559" s="12"/>
      <c r="I559" s="119"/>
      <c r="J559" s="116"/>
      <c r="K559" s="117"/>
      <c r="L559" s="33" t="str">
        <f t="shared" si="18"/>
        <v/>
      </c>
      <c r="M559" s="13" t="str">
        <f t="shared" si="19"/>
        <v/>
      </c>
    </row>
    <row r="560" spans="2:13" x14ac:dyDescent="0.35">
      <c r="B560" s="10">
        <v>561</v>
      </c>
      <c r="C560" s="10"/>
      <c r="D560" s="38"/>
      <c r="E560" s="38"/>
      <c r="F560" s="39"/>
      <c r="G560" s="232"/>
      <c r="H560" s="12"/>
      <c r="I560" s="119"/>
      <c r="J560" s="116"/>
      <c r="K560" s="117"/>
      <c r="L560" s="33" t="str">
        <f t="shared" si="18"/>
        <v/>
      </c>
      <c r="M560" s="13" t="str">
        <f t="shared" si="19"/>
        <v/>
      </c>
    </row>
    <row r="561" spans="2:13" x14ac:dyDescent="0.35">
      <c r="B561" s="10">
        <v>562</v>
      </c>
      <c r="C561" s="10"/>
      <c r="D561" s="38"/>
      <c r="E561" s="38"/>
      <c r="F561" s="39"/>
      <c r="G561" s="232"/>
      <c r="H561" s="12"/>
      <c r="I561" s="119"/>
      <c r="J561" s="116"/>
      <c r="K561" s="117"/>
      <c r="L561" s="33" t="str">
        <f t="shared" si="18"/>
        <v/>
      </c>
      <c r="M561" s="13" t="str">
        <f t="shared" si="19"/>
        <v/>
      </c>
    </row>
    <row r="562" spans="2:13" x14ac:dyDescent="0.35">
      <c r="B562" s="10">
        <v>563</v>
      </c>
      <c r="C562" s="10"/>
      <c r="D562" s="38"/>
      <c r="E562" s="38"/>
      <c r="F562" s="39"/>
      <c r="G562" s="232"/>
      <c r="H562" s="12"/>
      <c r="I562" s="119"/>
      <c r="J562" s="116"/>
      <c r="K562" s="117"/>
      <c r="L562" s="33" t="str">
        <f t="shared" si="18"/>
        <v/>
      </c>
      <c r="M562" s="13" t="str">
        <f t="shared" si="19"/>
        <v/>
      </c>
    </row>
    <row r="563" spans="2:13" x14ac:dyDescent="0.35">
      <c r="B563" s="10">
        <v>564</v>
      </c>
      <c r="C563" s="10"/>
      <c r="D563" s="38"/>
      <c r="E563" s="38"/>
      <c r="F563" s="39"/>
      <c r="G563" s="232"/>
      <c r="H563" s="12"/>
      <c r="I563" s="119"/>
      <c r="J563" s="116"/>
      <c r="K563" s="117"/>
      <c r="L563" s="33" t="str">
        <f t="shared" si="18"/>
        <v/>
      </c>
      <c r="M563" s="13" t="str">
        <f t="shared" si="19"/>
        <v/>
      </c>
    </row>
    <row r="564" spans="2:13" x14ac:dyDescent="0.35">
      <c r="B564" s="10">
        <v>565</v>
      </c>
      <c r="C564" s="10"/>
      <c r="D564" s="38"/>
      <c r="E564" s="38"/>
      <c r="F564" s="39"/>
      <c r="G564" s="232"/>
      <c r="H564" s="12"/>
      <c r="I564" s="119"/>
      <c r="J564" s="116"/>
      <c r="K564" s="117"/>
      <c r="L564" s="33" t="str">
        <f t="shared" si="18"/>
        <v/>
      </c>
      <c r="M564" s="13" t="str">
        <f t="shared" si="19"/>
        <v/>
      </c>
    </row>
    <row r="565" spans="2:13" x14ac:dyDescent="0.35">
      <c r="B565" s="10">
        <v>566</v>
      </c>
      <c r="C565" s="10"/>
      <c r="D565" s="38"/>
      <c r="E565" s="38"/>
      <c r="F565" s="39"/>
      <c r="G565" s="232"/>
      <c r="H565" s="12"/>
      <c r="I565" s="119"/>
      <c r="J565" s="116"/>
      <c r="K565" s="117"/>
      <c r="L565" s="33" t="str">
        <f t="shared" si="18"/>
        <v/>
      </c>
      <c r="M565" s="13" t="str">
        <f t="shared" si="19"/>
        <v/>
      </c>
    </row>
    <row r="566" spans="2:13" x14ac:dyDescent="0.35">
      <c r="B566" s="10">
        <v>567</v>
      </c>
      <c r="C566" s="10"/>
      <c r="D566" s="38"/>
      <c r="E566" s="38"/>
      <c r="F566" s="39"/>
      <c r="G566" s="232"/>
      <c r="H566" s="12"/>
      <c r="I566" s="119"/>
      <c r="J566" s="116"/>
      <c r="K566" s="117"/>
      <c r="L566" s="33" t="str">
        <f t="shared" si="18"/>
        <v/>
      </c>
      <c r="M566" s="13" t="str">
        <f t="shared" si="19"/>
        <v/>
      </c>
    </row>
    <row r="567" spans="2:13" x14ac:dyDescent="0.35">
      <c r="B567" s="10">
        <v>568</v>
      </c>
      <c r="C567" s="10"/>
      <c r="D567" s="38"/>
      <c r="E567" s="38"/>
      <c r="F567" s="39"/>
      <c r="G567" s="232"/>
      <c r="H567" s="12"/>
      <c r="I567" s="119"/>
      <c r="J567" s="116"/>
      <c r="K567" s="117"/>
      <c r="L567" s="33" t="str">
        <f t="shared" si="18"/>
        <v/>
      </c>
      <c r="M567" s="13" t="str">
        <f t="shared" si="19"/>
        <v/>
      </c>
    </row>
    <row r="568" spans="2:13" x14ac:dyDescent="0.35">
      <c r="B568" s="10">
        <v>569</v>
      </c>
      <c r="C568" s="10"/>
      <c r="D568" s="38"/>
      <c r="E568" s="38"/>
      <c r="F568" s="39"/>
      <c r="G568" s="232"/>
      <c r="H568" s="12"/>
      <c r="I568" s="119"/>
      <c r="J568" s="116"/>
      <c r="K568" s="117"/>
      <c r="L568" s="33" t="str">
        <f t="shared" si="18"/>
        <v/>
      </c>
      <c r="M568" s="13" t="str">
        <f t="shared" si="19"/>
        <v/>
      </c>
    </row>
    <row r="569" spans="2:13" x14ac:dyDescent="0.35">
      <c r="B569" s="10">
        <v>570</v>
      </c>
      <c r="C569" s="10"/>
      <c r="D569" s="38"/>
      <c r="E569" s="38"/>
      <c r="F569" s="39"/>
      <c r="G569" s="232"/>
      <c r="H569" s="12"/>
      <c r="I569" s="119"/>
      <c r="J569" s="116"/>
      <c r="K569" s="117"/>
      <c r="L569" s="33" t="str">
        <f t="shared" si="18"/>
        <v/>
      </c>
      <c r="M569" s="13" t="str">
        <f t="shared" si="19"/>
        <v/>
      </c>
    </row>
    <row r="570" spans="2:13" x14ac:dyDescent="0.35">
      <c r="B570" s="10">
        <v>571</v>
      </c>
      <c r="C570" s="10"/>
      <c r="D570" s="38"/>
      <c r="E570" s="38"/>
      <c r="F570" s="39"/>
      <c r="G570" s="232"/>
      <c r="H570" s="12"/>
      <c r="I570" s="119"/>
      <c r="J570" s="116"/>
      <c r="K570" s="117"/>
      <c r="L570" s="33" t="str">
        <f t="shared" si="18"/>
        <v/>
      </c>
      <c r="M570" s="13" t="str">
        <f t="shared" si="19"/>
        <v/>
      </c>
    </row>
    <row r="571" spans="2:13" x14ac:dyDescent="0.35">
      <c r="B571" s="10">
        <v>572</v>
      </c>
      <c r="C571" s="10"/>
      <c r="D571" s="38"/>
      <c r="E571" s="38"/>
      <c r="F571" s="39"/>
      <c r="G571" s="232"/>
      <c r="H571" s="12"/>
      <c r="I571" s="119"/>
      <c r="J571" s="116"/>
      <c r="K571" s="117"/>
      <c r="L571" s="33" t="str">
        <f t="shared" si="18"/>
        <v/>
      </c>
      <c r="M571" s="13" t="str">
        <f t="shared" si="19"/>
        <v/>
      </c>
    </row>
    <row r="572" spans="2:13" x14ac:dyDescent="0.35">
      <c r="B572" s="10">
        <v>573</v>
      </c>
      <c r="C572" s="10"/>
      <c r="D572" s="38"/>
      <c r="E572" s="38"/>
      <c r="F572" s="39"/>
      <c r="G572" s="232"/>
      <c r="H572" s="12"/>
      <c r="I572" s="119"/>
      <c r="J572" s="116"/>
      <c r="K572" s="117"/>
      <c r="L572" s="33" t="str">
        <f t="shared" si="18"/>
        <v/>
      </c>
      <c r="M572" s="13" t="str">
        <f t="shared" si="19"/>
        <v/>
      </c>
    </row>
    <row r="573" spans="2:13" x14ac:dyDescent="0.35">
      <c r="B573" s="10">
        <v>574</v>
      </c>
      <c r="C573" s="10"/>
      <c r="D573" s="38"/>
      <c r="E573" s="38"/>
      <c r="F573" s="39"/>
      <c r="G573" s="232"/>
      <c r="H573" s="12"/>
      <c r="I573" s="119"/>
      <c r="J573" s="116"/>
      <c r="K573" s="117"/>
      <c r="L573" s="33" t="str">
        <f t="shared" si="18"/>
        <v/>
      </c>
      <c r="M573" s="13" t="str">
        <f t="shared" si="19"/>
        <v/>
      </c>
    </row>
    <row r="574" spans="2:13" x14ac:dyDescent="0.35">
      <c r="B574" s="10">
        <v>575</v>
      </c>
      <c r="C574" s="10"/>
      <c r="D574" s="38"/>
      <c r="E574" s="38"/>
      <c r="F574" s="39"/>
      <c r="G574" s="232"/>
      <c r="H574" s="12"/>
      <c r="I574" s="119"/>
      <c r="J574" s="116"/>
      <c r="K574" s="117"/>
      <c r="L574" s="33" t="str">
        <f t="shared" si="18"/>
        <v/>
      </c>
      <c r="M574" s="13" t="str">
        <f t="shared" si="19"/>
        <v/>
      </c>
    </row>
    <row r="575" spans="2:13" x14ac:dyDescent="0.35">
      <c r="B575" s="10">
        <v>576</v>
      </c>
      <c r="C575" s="10"/>
      <c r="D575" s="38"/>
      <c r="E575" s="38"/>
      <c r="F575" s="39"/>
      <c r="G575" s="232"/>
      <c r="H575" s="12"/>
      <c r="I575" s="119"/>
      <c r="J575" s="116"/>
      <c r="K575" s="117"/>
      <c r="L575" s="33" t="str">
        <f t="shared" si="18"/>
        <v/>
      </c>
      <c r="M575" s="13" t="str">
        <f t="shared" si="19"/>
        <v/>
      </c>
    </row>
    <row r="576" spans="2:13" x14ac:dyDescent="0.35">
      <c r="B576" s="10">
        <v>577</v>
      </c>
      <c r="C576" s="10"/>
      <c r="D576" s="38"/>
      <c r="E576" s="38"/>
      <c r="F576" s="39"/>
      <c r="G576" s="232"/>
      <c r="H576" s="12"/>
      <c r="I576" s="119"/>
      <c r="J576" s="116"/>
      <c r="K576" s="117"/>
      <c r="L576" s="33" t="str">
        <f t="shared" si="18"/>
        <v/>
      </c>
      <c r="M576" s="13" t="str">
        <f t="shared" si="19"/>
        <v/>
      </c>
    </row>
    <row r="577" spans="2:13" x14ac:dyDescent="0.35">
      <c r="B577" s="10">
        <v>578</v>
      </c>
      <c r="C577" s="10"/>
      <c r="D577" s="38"/>
      <c r="E577" s="38"/>
      <c r="F577" s="39"/>
      <c r="G577" s="232"/>
      <c r="H577" s="12"/>
      <c r="I577" s="119"/>
      <c r="J577" s="116"/>
      <c r="K577" s="117"/>
      <c r="L577" s="33" t="str">
        <f t="shared" si="18"/>
        <v/>
      </c>
      <c r="M577" s="13" t="str">
        <f t="shared" si="19"/>
        <v/>
      </c>
    </row>
    <row r="578" spans="2:13" x14ac:dyDescent="0.35">
      <c r="B578" s="10">
        <v>579</v>
      </c>
      <c r="C578" s="10"/>
      <c r="D578" s="38"/>
      <c r="E578" s="38"/>
      <c r="F578" s="39"/>
      <c r="G578" s="232"/>
      <c r="H578" s="12"/>
      <c r="I578" s="119"/>
      <c r="J578" s="116"/>
      <c r="K578" s="117"/>
      <c r="L578" s="33" t="str">
        <f t="shared" ref="L578:L641" si="20">IF(OR(J578="", K578=""), "", NETWORKDAYS(J578,K578))</f>
        <v/>
      </c>
      <c r="M578" s="13" t="str">
        <f t="shared" ref="M578:M641" si="21">IF(I578="SEA", 10, IF(I578="AIR", 5, ""))</f>
        <v/>
      </c>
    </row>
    <row r="579" spans="2:13" x14ac:dyDescent="0.35">
      <c r="B579" s="10">
        <v>580</v>
      </c>
      <c r="C579" s="10"/>
      <c r="D579" s="38"/>
      <c r="E579" s="38"/>
      <c r="F579" s="39"/>
      <c r="G579" s="232"/>
      <c r="H579" s="12"/>
      <c r="I579" s="119"/>
      <c r="J579" s="116"/>
      <c r="K579" s="117"/>
      <c r="L579" s="33" t="str">
        <f t="shared" si="20"/>
        <v/>
      </c>
      <c r="M579" s="13" t="str">
        <f t="shared" si="21"/>
        <v/>
      </c>
    </row>
    <row r="580" spans="2:13" x14ac:dyDescent="0.35">
      <c r="B580" s="10">
        <v>581</v>
      </c>
      <c r="C580" s="10"/>
      <c r="D580" s="38"/>
      <c r="E580" s="38"/>
      <c r="F580" s="39"/>
      <c r="G580" s="232"/>
      <c r="H580" s="12"/>
      <c r="I580" s="119"/>
      <c r="J580" s="116"/>
      <c r="K580" s="117"/>
      <c r="L580" s="33" t="str">
        <f t="shared" si="20"/>
        <v/>
      </c>
      <c r="M580" s="13" t="str">
        <f t="shared" si="21"/>
        <v/>
      </c>
    </row>
    <row r="581" spans="2:13" x14ac:dyDescent="0.35">
      <c r="B581" s="10">
        <v>582</v>
      </c>
      <c r="C581" s="10"/>
      <c r="D581" s="38"/>
      <c r="E581" s="38"/>
      <c r="F581" s="39"/>
      <c r="G581" s="232"/>
      <c r="H581" s="12"/>
      <c r="I581" s="119"/>
      <c r="J581" s="116"/>
      <c r="K581" s="117"/>
      <c r="L581" s="33" t="str">
        <f t="shared" si="20"/>
        <v/>
      </c>
      <c r="M581" s="13" t="str">
        <f t="shared" si="21"/>
        <v/>
      </c>
    </row>
    <row r="582" spans="2:13" x14ac:dyDescent="0.35">
      <c r="B582" s="10">
        <v>583</v>
      </c>
      <c r="C582" s="10"/>
      <c r="D582" s="38"/>
      <c r="E582" s="38"/>
      <c r="F582" s="39"/>
      <c r="G582" s="232"/>
      <c r="H582" s="12"/>
      <c r="I582" s="119"/>
      <c r="J582" s="116"/>
      <c r="K582" s="117"/>
      <c r="L582" s="33" t="str">
        <f t="shared" si="20"/>
        <v/>
      </c>
      <c r="M582" s="13" t="str">
        <f t="shared" si="21"/>
        <v/>
      </c>
    </row>
    <row r="583" spans="2:13" x14ac:dyDescent="0.35">
      <c r="B583" s="10">
        <v>584</v>
      </c>
      <c r="C583" s="10"/>
      <c r="D583" s="38"/>
      <c r="E583" s="38"/>
      <c r="F583" s="39"/>
      <c r="G583" s="232"/>
      <c r="H583" s="12"/>
      <c r="I583" s="119"/>
      <c r="J583" s="116"/>
      <c r="K583" s="117"/>
      <c r="L583" s="33" t="str">
        <f t="shared" si="20"/>
        <v/>
      </c>
      <c r="M583" s="13" t="str">
        <f t="shared" si="21"/>
        <v/>
      </c>
    </row>
    <row r="584" spans="2:13" x14ac:dyDescent="0.35">
      <c r="B584" s="10">
        <v>585</v>
      </c>
      <c r="C584" s="10"/>
      <c r="D584" s="38"/>
      <c r="E584" s="38"/>
      <c r="F584" s="39"/>
      <c r="G584" s="232"/>
      <c r="H584" s="12"/>
      <c r="I584" s="119"/>
      <c r="J584" s="116"/>
      <c r="K584" s="117"/>
      <c r="L584" s="33" t="str">
        <f t="shared" si="20"/>
        <v/>
      </c>
      <c r="M584" s="13" t="str">
        <f t="shared" si="21"/>
        <v/>
      </c>
    </row>
    <row r="585" spans="2:13" x14ac:dyDescent="0.35">
      <c r="B585" s="10">
        <v>586</v>
      </c>
      <c r="C585" s="10"/>
      <c r="D585" s="38"/>
      <c r="E585" s="38"/>
      <c r="F585" s="39"/>
      <c r="G585" s="232"/>
      <c r="H585" s="12"/>
      <c r="I585" s="119"/>
      <c r="J585" s="116"/>
      <c r="K585" s="117"/>
      <c r="L585" s="33" t="str">
        <f t="shared" si="20"/>
        <v/>
      </c>
      <c r="M585" s="13" t="str">
        <f t="shared" si="21"/>
        <v/>
      </c>
    </row>
    <row r="586" spans="2:13" x14ac:dyDescent="0.35">
      <c r="B586" s="10">
        <v>587</v>
      </c>
      <c r="C586" s="10"/>
      <c r="D586" s="38"/>
      <c r="E586" s="38"/>
      <c r="F586" s="39"/>
      <c r="G586" s="232"/>
      <c r="H586" s="12"/>
      <c r="I586" s="119"/>
      <c r="J586" s="116"/>
      <c r="K586" s="117"/>
      <c r="L586" s="33" t="str">
        <f t="shared" si="20"/>
        <v/>
      </c>
      <c r="M586" s="13" t="str">
        <f t="shared" si="21"/>
        <v/>
      </c>
    </row>
    <row r="587" spans="2:13" x14ac:dyDescent="0.35">
      <c r="B587" s="10">
        <v>588</v>
      </c>
      <c r="C587" s="10"/>
      <c r="D587" s="38"/>
      <c r="E587" s="38"/>
      <c r="F587" s="39"/>
      <c r="G587" s="232"/>
      <c r="H587" s="12"/>
      <c r="I587" s="119"/>
      <c r="J587" s="116"/>
      <c r="K587" s="117"/>
      <c r="L587" s="33" t="str">
        <f t="shared" si="20"/>
        <v/>
      </c>
      <c r="M587" s="13" t="str">
        <f t="shared" si="21"/>
        <v/>
      </c>
    </row>
    <row r="588" spans="2:13" x14ac:dyDescent="0.35">
      <c r="B588" s="10">
        <v>589</v>
      </c>
      <c r="C588" s="10"/>
      <c r="D588" s="38"/>
      <c r="E588" s="38"/>
      <c r="F588" s="39"/>
      <c r="G588" s="232"/>
      <c r="H588" s="12"/>
      <c r="I588" s="119"/>
      <c r="J588" s="116"/>
      <c r="K588" s="117"/>
      <c r="L588" s="33" t="str">
        <f t="shared" si="20"/>
        <v/>
      </c>
      <c r="M588" s="13" t="str">
        <f t="shared" si="21"/>
        <v/>
      </c>
    </row>
    <row r="589" spans="2:13" x14ac:dyDescent="0.35">
      <c r="B589" s="10">
        <v>590</v>
      </c>
      <c r="C589" s="10"/>
      <c r="D589" s="38"/>
      <c r="E589" s="38"/>
      <c r="F589" s="39"/>
      <c r="G589" s="232"/>
      <c r="H589" s="12"/>
      <c r="I589" s="119"/>
      <c r="J589" s="116"/>
      <c r="K589" s="117"/>
      <c r="L589" s="33" t="str">
        <f t="shared" si="20"/>
        <v/>
      </c>
      <c r="M589" s="13" t="str">
        <f t="shared" si="21"/>
        <v/>
      </c>
    </row>
    <row r="590" spans="2:13" x14ac:dyDescent="0.35">
      <c r="B590" s="10">
        <v>591</v>
      </c>
      <c r="C590" s="10"/>
      <c r="D590" s="38"/>
      <c r="E590" s="38"/>
      <c r="F590" s="39"/>
      <c r="G590" s="232"/>
      <c r="H590" s="12"/>
      <c r="I590" s="119"/>
      <c r="J590" s="116"/>
      <c r="K590" s="117"/>
      <c r="L590" s="33" t="str">
        <f t="shared" si="20"/>
        <v/>
      </c>
      <c r="M590" s="13" t="str">
        <f t="shared" si="21"/>
        <v/>
      </c>
    </row>
    <row r="591" spans="2:13" x14ac:dyDescent="0.35">
      <c r="B591" s="10">
        <v>592</v>
      </c>
      <c r="C591" s="10"/>
      <c r="D591" s="38"/>
      <c r="E591" s="38"/>
      <c r="F591" s="39"/>
      <c r="G591" s="232"/>
      <c r="H591" s="12"/>
      <c r="I591" s="119"/>
      <c r="J591" s="116"/>
      <c r="K591" s="117"/>
      <c r="L591" s="33" t="str">
        <f t="shared" si="20"/>
        <v/>
      </c>
      <c r="M591" s="13" t="str">
        <f t="shared" si="21"/>
        <v/>
      </c>
    </row>
    <row r="592" spans="2:13" x14ac:dyDescent="0.35">
      <c r="B592" s="10">
        <v>593</v>
      </c>
      <c r="C592" s="10"/>
      <c r="D592" s="38"/>
      <c r="E592" s="38"/>
      <c r="F592" s="39"/>
      <c r="G592" s="232"/>
      <c r="H592" s="12"/>
      <c r="I592" s="119"/>
      <c r="J592" s="116"/>
      <c r="K592" s="117"/>
      <c r="L592" s="33" t="str">
        <f t="shared" si="20"/>
        <v/>
      </c>
      <c r="M592" s="13" t="str">
        <f t="shared" si="21"/>
        <v/>
      </c>
    </row>
    <row r="593" spans="2:13" x14ac:dyDescent="0.35">
      <c r="B593" s="10">
        <v>594</v>
      </c>
      <c r="C593" s="10"/>
      <c r="D593" s="38"/>
      <c r="E593" s="38"/>
      <c r="F593" s="39"/>
      <c r="G593" s="232"/>
      <c r="H593" s="12"/>
      <c r="I593" s="119"/>
      <c r="J593" s="116"/>
      <c r="K593" s="117"/>
      <c r="L593" s="33" t="str">
        <f t="shared" si="20"/>
        <v/>
      </c>
      <c r="M593" s="13" t="str">
        <f t="shared" si="21"/>
        <v/>
      </c>
    </row>
    <row r="594" spans="2:13" x14ac:dyDescent="0.35">
      <c r="B594" s="10">
        <v>595</v>
      </c>
      <c r="C594" s="10"/>
      <c r="D594" s="38"/>
      <c r="E594" s="38"/>
      <c r="F594" s="39"/>
      <c r="G594" s="232"/>
      <c r="H594" s="12"/>
      <c r="I594" s="119"/>
      <c r="J594" s="116"/>
      <c r="K594" s="117"/>
      <c r="L594" s="33" t="str">
        <f t="shared" si="20"/>
        <v/>
      </c>
      <c r="M594" s="13" t="str">
        <f t="shared" si="21"/>
        <v/>
      </c>
    </row>
    <row r="595" spans="2:13" x14ac:dyDescent="0.35">
      <c r="B595" s="10">
        <v>596</v>
      </c>
      <c r="C595" s="10"/>
      <c r="D595" s="38"/>
      <c r="E595" s="38"/>
      <c r="F595" s="39"/>
      <c r="G595" s="232"/>
      <c r="H595" s="12"/>
      <c r="I595" s="119"/>
      <c r="J595" s="116"/>
      <c r="K595" s="117"/>
      <c r="L595" s="33" t="str">
        <f t="shared" si="20"/>
        <v/>
      </c>
      <c r="M595" s="13" t="str">
        <f t="shared" si="21"/>
        <v/>
      </c>
    </row>
    <row r="596" spans="2:13" x14ac:dyDescent="0.35">
      <c r="B596" s="10">
        <v>597</v>
      </c>
      <c r="C596" s="10"/>
      <c r="D596" s="38"/>
      <c r="E596" s="38"/>
      <c r="F596" s="39"/>
      <c r="G596" s="232"/>
      <c r="H596" s="12"/>
      <c r="I596" s="119"/>
      <c r="J596" s="116"/>
      <c r="K596" s="117"/>
      <c r="L596" s="33" t="str">
        <f t="shared" si="20"/>
        <v/>
      </c>
      <c r="M596" s="13" t="str">
        <f t="shared" si="21"/>
        <v/>
      </c>
    </row>
    <row r="597" spans="2:13" x14ac:dyDescent="0.35">
      <c r="B597" s="10">
        <v>598</v>
      </c>
      <c r="C597" s="10"/>
      <c r="D597" s="38"/>
      <c r="E597" s="38"/>
      <c r="F597" s="39"/>
      <c r="G597" s="232"/>
      <c r="H597" s="12"/>
      <c r="I597" s="119"/>
      <c r="J597" s="116"/>
      <c r="K597" s="117"/>
      <c r="L597" s="33" t="str">
        <f t="shared" si="20"/>
        <v/>
      </c>
      <c r="M597" s="13" t="str">
        <f t="shared" si="21"/>
        <v/>
      </c>
    </row>
    <row r="598" spans="2:13" x14ac:dyDescent="0.35">
      <c r="B598" s="10">
        <v>599</v>
      </c>
      <c r="C598" s="10"/>
      <c r="D598" s="38"/>
      <c r="E598" s="38"/>
      <c r="F598" s="39"/>
      <c r="G598" s="232"/>
      <c r="H598" s="12"/>
      <c r="I598" s="119"/>
      <c r="J598" s="116"/>
      <c r="K598" s="117"/>
      <c r="L598" s="33" t="str">
        <f t="shared" si="20"/>
        <v/>
      </c>
      <c r="M598" s="13" t="str">
        <f t="shared" si="21"/>
        <v/>
      </c>
    </row>
    <row r="599" spans="2:13" x14ac:dyDescent="0.35">
      <c r="B599" s="10">
        <v>600</v>
      </c>
      <c r="C599" s="10"/>
      <c r="D599" s="38"/>
      <c r="E599" s="38"/>
      <c r="F599" s="39"/>
      <c r="G599" s="232"/>
      <c r="H599" s="12"/>
      <c r="I599" s="119"/>
      <c r="J599" s="116"/>
      <c r="K599" s="117"/>
      <c r="L599" s="33" t="str">
        <f t="shared" si="20"/>
        <v/>
      </c>
      <c r="M599" s="13" t="str">
        <f t="shared" si="21"/>
        <v/>
      </c>
    </row>
    <row r="600" spans="2:13" x14ac:dyDescent="0.35">
      <c r="B600" s="10">
        <v>601</v>
      </c>
      <c r="C600" s="10"/>
      <c r="D600" s="38"/>
      <c r="E600" s="38"/>
      <c r="F600" s="39"/>
      <c r="G600" s="232"/>
      <c r="H600" s="12"/>
      <c r="I600" s="119"/>
      <c r="J600" s="116"/>
      <c r="K600" s="117"/>
      <c r="L600" s="33" t="str">
        <f t="shared" si="20"/>
        <v/>
      </c>
      <c r="M600" s="13" t="str">
        <f t="shared" si="21"/>
        <v/>
      </c>
    </row>
    <row r="601" spans="2:13" x14ac:dyDescent="0.35">
      <c r="B601" s="10">
        <v>602</v>
      </c>
      <c r="C601" s="10"/>
      <c r="D601" s="38"/>
      <c r="E601" s="38"/>
      <c r="F601" s="39"/>
      <c r="G601" s="232"/>
      <c r="H601" s="12"/>
      <c r="I601" s="119"/>
      <c r="J601" s="116"/>
      <c r="K601" s="117"/>
      <c r="L601" s="33" t="str">
        <f t="shared" si="20"/>
        <v/>
      </c>
      <c r="M601" s="13" t="str">
        <f t="shared" si="21"/>
        <v/>
      </c>
    </row>
    <row r="602" spans="2:13" x14ac:dyDescent="0.35">
      <c r="B602" s="10">
        <v>603</v>
      </c>
      <c r="C602" s="10"/>
      <c r="D602" s="38"/>
      <c r="E602" s="38"/>
      <c r="F602" s="39"/>
      <c r="G602" s="232"/>
      <c r="H602" s="12"/>
      <c r="I602" s="119"/>
      <c r="J602" s="116"/>
      <c r="K602" s="117"/>
      <c r="L602" s="33" t="str">
        <f t="shared" si="20"/>
        <v/>
      </c>
      <c r="M602" s="13" t="str">
        <f t="shared" si="21"/>
        <v/>
      </c>
    </row>
    <row r="603" spans="2:13" x14ac:dyDescent="0.35">
      <c r="B603" s="10">
        <v>604</v>
      </c>
      <c r="C603" s="10"/>
      <c r="D603" s="38"/>
      <c r="E603" s="38"/>
      <c r="F603" s="39"/>
      <c r="G603" s="232"/>
      <c r="H603" s="12"/>
      <c r="I603" s="119"/>
      <c r="J603" s="116"/>
      <c r="K603" s="117"/>
      <c r="L603" s="33" t="str">
        <f t="shared" si="20"/>
        <v/>
      </c>
      <c r="M603" s="13" t="str">
        <f t="shared" si="21"/>
        <v/>
      </c>
    </row>
    <row r="604" spans="2:13" x14ac:dyDescent="0.35">
      <c r="B604" s="10">
        <v>605</v>
      </c>
      <c r="C604" s="10"/>
      <c r="D604" s="38"/>
      <c r="E604" s="38"/>
      <c r="F604" s="39"/>
      <c r="G604" s="232"/>
      <c r="H604" s="12"/>
      <c r="I604" s="119"/>
      <c r="J604" s="116"/>
      <c r="K604" s="117"/>
      <c r="L604" s="33" t="str">
        <f t="shared" si="20"/>
        <v/>
      </c>
      <c r="M604" s="13" t="str">
        <f t="shared" si="21"/>
        <v/>
      </c>
    </row>
    <row r="605" spans="2:13" x14ac:dyDescent="0.35">
      <c r="B605" s="10">
        <v>606</v>
      </c>
      <c r="C605" s="10"/>
      <c r="D605" s="38"/>
      <c r="E605" s="38"/>
      <c r="F605" s="39"/>
      <c r="G605" s="232"/>
      <c r="H605" s="12"/>
      <c r="I605" s="119"/>
      <c r="J605" s="116"/>
      <c r="K605" s="117"/>
      <c r="L605" s="33" t="str">
        <f t="shared" si="20"/>
        <v/>
      </c>
      <c r="M605" s="13" t="str">
        <f t="shared" si="21"/>
        <v/>
      </c>
    </row>
    <row r="606" spans="2:13" x14ac:dyDescent="0.35">
      <c r="B606" s="10">
        <v>607</v>
      </c>
      <c r="C606" s="10"/>
      <c r="D606" s="38"/>
      <c r="E606" s="38"/>
      <c r="F606" s="39"/>
      <c r="G606" s="232"/>
      <c r="H606" s="12"/>
      <c r="I606" s="119"/>
      <c r="J606" s="116"/>
      <c r="K606" s="117"/>
      <c r="L606" s="33" t="str">
        <f t="shared" si="20"/>
        <v/>
      </c>
      <c r="M606" s="13" t="str">
        <f t="shared" si="21"/>
        <v/>
      </c>
    </row>
    <row r="607" spans="2:13" x14ac:dyDescent="0.35">
      <c r="B607" s="10">
        <v>608</v>
      </c>
      <c r="C607" s="10"/>
      <c r="D607" s="38"/>
      <c r="E607" s="38"/>
      <c r="F607" s="39"/>
      <c r="G607" s="232"/>
      <c r="H607" s="12"/>
      <c r="I607" s="119"/>
      <c r="J607" s="116"/>
      <c r="K607" s="117"/>
      <c r="L607" s="33" t="str">
        <f t="shared" si="20"/>
        <v/>
      </c>
      <c r="M607" s="13" t="str">
        <f t="shared" si="21"/>
        <v/>
      </c>
    </row>
    <row r="608" spans="2:13" x14ac:dyDescent="0.35">
      <c r="B608" s="10">
        <v>609</v>
      </c>
      <c r="C608" s="10"/>
      <c r="D608" s="38"/>
      <c r="E608" s="38"/>
      <c r="F608" s="39"/>
      <c r="G608" s="232"/>
      <c r="H608" s="12"/>
      <c r="I608" s="119"/>
      <c r="J608" s="116"/>
      <c r="K608" s="117"/>
      <c r="L608" s="33" t="str">
        <f t="shared" si="20"/>
        <v/>
      </c>
      <c r="M608" s="13" t="str">
        <f t="shared" si="21"/>
        <v/>
      </c>
    </row>
    <row r="609" spans="2:13" x14ac:dyDescent="0.35">
      <c r="B609" s="10">
        <v>610</v>
      </c>
      <c r="C609" s="10"/>
      <c r="D609" s="38"/>
      <c r="E609" s="38"/>
      <c r="F609" s="39"/>
      <c r="G609" s="232"/>
      <c r="H609" s="12"/>
      <c r="I609" s="119"/>
      <c r="J609" s="116"/>
      <c r="K609" s="117"/>
      <c r="L609" s="33" t="str">
        <f t="shared" si="20"/>
        <v/>
      </c>
      <c r="M609" s="13" t="str">
        <f t="shared" si="21"/>
        <v/>
      </c>
    </row>
    <row r="610" spans="2:13" x14ac:dyDescent="0.35">
      <c r="B610" s="10">
        <v>611</v>
      </c>
      <c r="C610" s="10"/>
      <c r="D610" s="38"/>
      <c r="E610" s="38"/>
      <c r="F610" s="39"/>
      <c r="G610" s="232"/>
      <c r="H610" s="12"/>
      <c r="I610" s="119"/>
      <c r="J610" s="116"/>
      <c r="K610" s="117"/>
      <c r="L610" s="33" t="str">
        <f t="shared" si="20"/>
        <v/>
      </c>
      <c r="M610" s="13" t="str">
        <f t="shared" si="21"/>
        <v/>
      </c>
    </row>
    <row r="611" spans="2:13" x14ac:dyDescent="0.35">
      <c r="B611" s="10">
        <v>612</v>
      </c>
      <c r="C611" s="10"/>
      <c r="D611" s="38"/>
      <c r="E611" s="38"/>
      <c r="F611" s="39"/>
      <c r="G611" s="232"/>
      <c r="H611" s="12"/>
      <c r="I611" s="119"/>
      <c r="J611" s="116"/>
      <c r="K611" s="117"/>
      <c r="L611" s="33" t="str">
        <f t="shared" si="20"/>
        <v/>
      </c>
      <c r="M611" s="13" t="str">
        <f t="shared" si="21"/>
        <v/>
      </c>
    </row>
    <row r="612" spans="2:13" x14ac:dyDescent="0.35">
      <c r="B612" s="10">
        <v>613</v>
      </c>
      <c r="C612" s="10"/>
      <c r="D612" s="38"/>
      <c r="E612" s="38"/>
      <c r="F612" s="39"/>
      <c r="G612" s="232"/>
      <c r="H612" s="12"/>
      <c r="I612" s="119"/>
      <c r="J612" s="116"/>
      <c r="K612" s="117"/>
      <c r="L612" s="33" t="str">
        <f t="shared" si="20"/>
        <v/>
      </c>
      <c r="M612" s="13" t="str">
        <f t="shared" si="21"/>
        <v/>
      </c>
    </row>
    <row r="613" spans="2:13" x14ac:dyDescent="0.35">
      <c r="B613" s="10">
        <v>614</v>
      </c>
      <c r="C613" s="10"/>
      <c r="D613" s="38"/>
      <c r="E613" s="38"/>
      <c r="F613" s="39"/>
      <c r="G613" s="232"/>
      <c r="H613" s="12"/>
      <c r="I613" s="119"/>
      <c r="J613" s="116"/>
      <c r="K613" s="117"/>
      <c r="L613" s="33" t="str">
        <f t="shared" si="20"/>
        <v/>
      </c>
      <c r="M613" s="13" t="str">
        <f t="shared" si="21"/>
        <v/>
      </c>
    </row>
    <row r="614" spans="2:13" x14ac:dyDescent="0.35">
      <c r="B614" s="10">
        <v>615</v>
      </c>
      <c r="C614" s="10"/>
      <c r="D614" s="38"/>
      <c r="E614" s="38"/>
      <c r="F614" s="39"/>
      <c r="G614" s="232"/>
      <c r="H614" s="12"/>
      <c r="I614" s="119"/>
      <c r="J614" s="116"/>
      <c r="K614" s="117"/>
      <c r="L614" s="33" t="str">
        <f t="shared" si="20"/>
        <v/>
      </c>
      <c r="M614" s="13" t="str">
        <f t="shared" si="21"/>
        <v/>
      </c>
    </row>
    <row r="615" spans="2:13" x14ac:dyDescent="0.35">
      <c r="B615" s="10">
        <v>616</v>
      </c>
      <c r="C615" s="10"/>
      <c r="D615" s="38"/>
      <c r="E615" s="38"/>
      <c r="F615" s="39"/>
      <c r="G615" s="232"/>
      <c r="H615" s="12"/>
      <c r="I615" s="119"/>
      <c r="J615" s="116"/>
      <c r="K615" s="117"/>
      <c r="L615" s="33" t="str">
        <f t="shared" si="20"/>
        <v/>
      </c>
      <c r="M615" s="13" t="str">
        <f t="shared" si="21"/>
        <v/>
      </c>
    </row>
    <row r="616" spans="2:13" x14ac:dyDescent="0.35">
      <c r="B616" s="10">
        <v>617</v>
      </c>
      <c r="C616" s="10"/>
      <c r="D616" s="38"/>
      <c r="E616" s="38"/>
      <c r="F616" s="39"/>
      <c r="G616" s="232"/>
      <c r="H616" s="12"/>
      <c r="I616" s="119"/>
      <c r="J616" s="116"/>
      <c r="K616" s="117"/>
      <c r="L616" s="33" t="str">
        <f t="shared" si="20"/>
        <v/>
      </c>
      <c r="M616" s="13" t="str">
        <f t="shared" si="21"/>
        <v/>
      </c>
    </row>
    <row r="617" spans="2:13" x14ac:dyDescent="0.35">
      <c r="B617" s="10">
        <v>618</v>
      </c>
      <c r="C617" s="10"/>
      <c r="D617" s="38"/>
      <c r="E617" s="38"/>
      <c r="F617" s="39"/>
      <c r="G617" s="232"/>
      <c r="H617" s="12"/>
      <c r="I617" s="119"/>
      <c r="J617" s="116"/>
      <c r="K617" s="117"/>
      <c r="L617" s="33" t="str">
        <f t="shared" si="20"/>
        <v/>
      </c>
      <c r="M617" s="13" t="str">
        <f t="shared" si="21"/>
        <v/>
      </c>
    </row>
    <row r="618" spans="2:13" x14ac:dyDescent="0.35">
      <c r="B618" s="10">
        <v>619</v>
      </c>
      <c r="C618" s="10"/>
      <c r="D618" s="38"/>
      <c r="E618" s="38"/>
      <c r="F618" s="39"/>
      <c r="G618" s="232"/>
      <c r="H618" s="12"/>
      <c r="I618" s="119"/>
      <c r="J618" s="116"/>
      <c r="K618" s="117"/>
      <c r="L618" s="33" t="str">
        <f t="shared" si="20"/>
        <v/>
      </c>
      <c r="M618" s="13" t="str">
        <f t="shared" si="21"/>
        <v/>
      </c>
    </row>
    <row r="619" spans="2:13" x14ac:dyDescent="0.35">
      <c r="B619" s="10">
        <v>620</v>
      </c>
      <c r="C619" s="10"/>
      <c r="D619" s="38"/>
      <c r="E619" s="38"/>
      <c r="F619" s="39"/>
      <c r="G619" s="232"/>
      <c r="H619" s="12"/>
      <c r="I619" s="119"/>
      <c r="J619" s="116"/>
      <c r="K619" s="117"/>
      <c r="L619" s="33" t="str">
        <f t="shared" si="20"/>
        <v/>
      </c>
      <c r="M619" s="13" t="str">
        <f t="shared" si="21"/>
        <v/>
      </c>
    </row>
    <row r="620" spans="2:13" x14ac:dyDescent="0.35">
      <c r="B620" s="10">
        <v>621</v>
      </c>
      <c r="C620" s="10"/>
      <c r="D620" s="38"/>
      <c r="E620" s="38"/>
      <c r="F620" s="39"/>
      <c r="G620" s="232"/>
      <c r="H620" s="12"/>
      <c r="I620" s="119"/>
      <c r="J620" s="116"/>
      <c r="K620" s="117"/>
      <c r="L620" s="33" t="str">
        <f t="shared" si="20"/>
        <v/>
      </c>
      <c r="M620" s="13" t="str">
        <f t="shared" si="21"/>
        <v/>
      </c>
    </row>
    <row r="621" spans="2:13" x14ac:dyDescent="0.35">
      <c r="B621" s="10">
        <v>622</v>
      </c>
      <c r="C621" s="10"/>
      <c r="D621" s="38"/>
      <c r="E621" s="38"/>
      <c r="F621" s="39"/>
      <c r="G621" s="232"/>
      <c r="H621" s="12"/>
      <c r="I621" s="119"/>
      <c r="J621" s="116"/>
      <c r="K621" s="117"/>
      <c r="L621" s="33" t="str">
        <f t="shared" si="20"/>
        <v/>
      </c>
      <c r="M621" s="13" t="str">
        <f t="shared" si="21"/>
        <v/>
      </c>
    </row>
    <row r="622" spans="2:13" x14ac:dyDescent="0.35">
      <c r="B622" s="10">
        <v>623</v>
      </c>
      <c r="C622" s="10"/>
      <c r="D622" s="38"/>
      <c r="E622" s="38"/>
      <c r="F622" s="39"/>
      <c r="G622" s="232"/>
      <c r="H622" s="12"/>
      <c r="I622" s="119"/>
      <c r="J622" s="116"/>
      <c r="K622" s="117"/>
      <c r="L622" s="33" t="str">
        <f t="shared" si="20"/>
        <v/>
      </c>
      <c r="M622" s="13" t="str">
        <f t="shared" si="21"/>
        <v/>
      </c>
    </row>
    <row r="623" spans="2:13" x14ac:dyDescent="0.35">
      <c r="B623" s="10">
        <v>624</v>
      </c>
      <c r="C623" s="10"/>
      <c r="D623" s="38"/>
      <c r="E623" s="38"/>
      <c r="F623" s="39"/>
      <c r="G623" s="232"/>
      <c r="H623" s="12"/>
      <c r="I623" s="119"/>
      <c r="J623" s="116"/>
      <c r="K623" s="117"/>
      <c r="L623" s="33" t="str">
        <f t="shared" si="20"/>
        <v/>
      </c>
      <c r="M623" s="13" t="str">
        <f t="shared" si="21"/>
        <v/>
      </c>
    </row>
    <row r="624" spans="2:13" x14ac:dyDescent="0.35">
      <c r="B624" s="10">
        <v>625</v>
      </c>
      <c r="C624" s="10"/>
      <c r="D624" s="38"/>
      <c r="E624" s="38"/>
      <c r="F624" s="39"/>
      <c r="G624" s="232"/>
      <c r="H624" s="12"/>
      <c r="I624" s="119"/>
      <c r="J624" s="116"/>
      <c r="K624" s="117"/>
      <c r="L624" s="33" t="str">
        <f t="shared" si="20"/>
        <v/>
      </c>
      <c r="M624" s="13" t="str">
        <f t="shared" si="21"/>
        <v/>
      </c>
    </row>
    <row r="625" spans="2:13" x14ac:dyDescent="0.35">
      <c r="B625" s="10">
        <v>626</v>
      </c>
      <c r="C625" s="10"/>
      <c r="D625" s="38"/>
      <c r="E625" s="38"/>
      <c r="F625" s="39"/>
      <c r="G625" s="232"/>
      <c r="H625" s="12"/>
      <c r="I625" s="119"/>
      <c r="J625" s="116"/>
      <c r="K625" s="117"/>
      <c r="L625" s="33" t="str">
        <f t="shared" si="20"/>
        <v/>
      </c>
      <c r="M625" s="13" t="str">
        <f t="shared" si="21"/>
        <v/>
      </c>
    </row>
    <row r="626" spans="2:13" x14ac:dyDescent="0.35">
      <c r="B626" s="10">
        <v>627</v>
      </c>
      <c r="C626" s="10"/>
      <c r="D626" s="38"/>
      <c r="E626" s="38"/>
      <c r="F626" s="39"/>
      <c r="G626" s="232"/>
      <c r="H626" s="12"/>
      <c r="I626" s="119"/>
      <c r="J626" s="116"/>
      <c r="K626" s="117"/>
      <c r="L626" s="33" t="str">
        <f t="shared" si="20"/>
        <v/>
      </c>
      <c r="M626" s="13" t="str">
        <f t="shared" si="21"/>
        <v/>
      </c>
    </row>
    <row r="627" spans="2:13" x14ac:dyDescent="0.35">
      <c r="B627" s="10">
        <v>628</v>
      </c>
      <c r="C627" s="10"/>
      <c r="D627" s="38"/>
      <c r="E627" s="38"/>
      <c r="F627" s="39"/>
      <c r="G627" s="232"/>
      <c r="H627" s="12"/>
      <c r="I627" s="119"/>
      <c r="J627" s="116"/>
      <c r="K627" s="117"/>
      <c r="L627" s="33" t="str">
        <f t="shared" si="20"/>
        <v/>
      </c>
      <c r="M627" s="13" t="str">
        <f t="shared" si="21"/>
        <v/>
      </c>
    </row>
    <row r="628" spans="2:13" x14ac:dyDescent="0.35">
      <c r="B628" s="10">
        <v>629</v>
      </c>
      <c r="C628" s="10"/>
      <c r="D628" s="38"/>
      <c r="E628" s="38"/>
      <c r="F628" s="39"/>
      <c r="G628" s="232"/>
      <c r="H628" s="12"/>
      <c r="I628" s="119"/>
      <c r="J628" s="116"/>
      <c r="K628" s="117"/>
      <c r="L628" s="33" t="str">
        <f t="shared" si="20"/>
        <v/>
      </c>
      <c r="M628" s="13" t="str">
        <f t="shared" si="21"/>
        <v/>
      </c>
    </row>
    <row r="629" spans="2:13" x14ac:dyDescent="0.35">
      <c r="B629" s="10">
        <v>630</v>
      </c>
      <c r="C629" s="10"/>
      <c r="D629" s="38"/>
      <c r="E629" s="38"/>
      <c r="F629" s="39"/>
      <c r="G629" s="232"/>
      <c r="H629" s="12"/>
      <c r="I629" s="119"/>
      <c r="J629" s="116"/>
      <c r="K629" s="117"/>
      <c r="L629" s="33" t="str">
        <f t="shared" si="20"/>
        <v/>
      </c>
      <c r="M629" s="13" t="str">
        <f t="shared" si="21"/>
        <v/>
      </c>
    </row>
    <row r="630" spans="2:13" x14ac:dyDescent="0.35">
      <c r="B630" s="10">
        <v>631</v>
      </c>
      <c r="C630" s="10"/>
      <c r="D630" s="38"/>
      <c r="E630" s="38"/>
      <c r="F630" s="39"/>
      <c r="G630" s="232"/>
      <c r="H630" s="12"/>
      <c r="I630" s="119"/>
      <c r="J630" s="116"/>
      <c r="K630" s="117"/>
      <c r="L630" s="33" t="str">
        <f t="shared" si="20"/>
        <v/>
      </c>
      <c r="M630" s="13" t="str">
        <f t="shared" si="21"/>
        <v/>
      </c>
    </row>
    <row r="631" spans="2:13" x14ac:dyDescent="0.35">
      <c r="B631" s="10">
        <v>632</v>
      </c>
      <c r="C631" s="10"/>
      <c r="D631" s="38"/>
      <c r="E631" s="38"/>
      <c r="F631" s="39"/>
      <c r="G631" s="232"/>
      <c r="H631" s="12"/>
      <c r="I631" s="119"/>
      <c r="J631" s="116"/>
      <c r="K631" s="117"/>
      <c r="L631" s="33" t="str">
        <f t="shared" si="20"/>
        <v/>
      </c>
      <c r="M631" s="13" t="str">
        <f t="shared" si="21"/>
        <v/>
      </c>
    </row>
    <row r="632" spans="2:13" x14ac:dyDescent="0.35">
      <c r="B632" s="10">
        <v>633</v>
      </c>
      <c r="C632" s="10"/>
      <c r="D632" s="38"/>
      <c r="E632" s="38"/>
      <c r="F632" s="39"/>
      <c r="G632" s="232"/>
      <c r="H632" s="12"/>
      <c r="I632" s="119"/>
      <c r="J632" s="116"/>
      <c r="K632" s="117"/>
      <c r="L632" s="33" t="str">
        <f t="shared" si="20"/>
        <v/>
      </c>
      <c r="M632" s="13" t="str">
        <f t="shared" si="21"/>
        <v/>
      </c>
    </row>
    <row r="633" spans="2:13" x14ac:dyDescent="0.35">
      <c r="B633" s="10">
        <v>634</v>
      </c>
      <c r="C633" s="10"/>
      <c r="D633" s="38"/>
      <c r="E633" s="38"/>
      <c r="F633" s="39"/>
      <c r="G633" s="232"/>
      <c r="H633" s="12"/>
      <c r="I633" s="119"/>
      <c r="J633" s="116"/>
      <c r="K633" s="117"/>
      <c r="L633" s="33" t="str">
        <f t="shared" si="20"/>
        <v/>
      </c>
      <c r="M633" s="13" t="str">
        <f t="shared" si="21"/>
        <v/>
      </c>
    </row>
    <row r="634" spans="2:13" x14ac:dyDescent="0.35">
      <c r="B634" s="10">
        <v>635</v>
      </c>
      <c r="C634" s="10"/>
      <c r="D634" s="38"/>
      <c r="E634" s="38"/>
      <c r="F634" s="39"/>
      <c r="G634" s="232"/>
      <c r="H634" s="12"/>
      <c r="I634" s="119"/>
      <c r="J634" s="116"/>
      <c r="K634" s="117"/>
      <c r="L634" s="33" t="str">
        <f t="shared" si="20"/>
        <v/>
      </c>
      <c r="M634" s="13" t="str">
        <f t="shared" si="21"/>
        <v/>
      </c>
    </row>
    <row r="635" spans="2:13" x14ac:dyDescent="0.35">
      <c r="B635" s="10">
        <v>636</v>
      </c>
      <c r="C635" s="10"/>
      <c r="D635" s="38"/>
      <c r="E635" s="38"/>
      <c r="F635" s="39"/>
      <c r="G635" s="232"/>
      <c r="H635" s="12"/>
      <c r="I635" s="119"/>
      <c r="J635" s="116"/>
      <c r="K635" s="117"/>
      <c r="L635" s="33" t="str">
        <f t="shared" si="20"/>
        <v/>
      </c>
      <c r="M635" s="13" t="str">
        <f t="shared" si="21"/>
        <v/>
      </c>
    </row>
    <row r="636" spans="2:13" x14ac:dyDescent="0.35">
      <c r="B636" s="10">
        <v>637</v>
      </c>
      <c r="C636" s="10"/>
      <c r="D636" s="38"/>
      <c r="E636" s="38"/>
      <c r="F636" s="39"/>
      <c r="G636" s="232"/>
      <c r="H636" s="12"/>
      <c r="I636" s="119"/>
      <c r="J636" s="116"/>
      <c r="K636" s="117"/>
      <c r="L636" s="33" t="str">
        <f t="shared" si="20"/>
        <v/>
      </c>
      <c r="M636" s="13" t="str">
        <f t="shared" si="21"/>
        <v/>
      </c>
    </row>
    <row r="637" spans="2:13" x14ac:dyDescent="0.35">
      <c r="B637" s="10">
        <v>638</v>
      </c>
      <c r="C637" s="10"/>
      <c r="D637" s="38"/>
      <c r="E637" s="38"/>
      <c r="F637" s="39"/>
      <c r="G637" s="232"/>
      <c r="H637" s="12"/>
      <c r="I637" s="119"/>
      <c r="J637" s="116"/>
      <c r="K637" s="117"/>
      <c r="L637" s="33" t="str">
        <f t="shared" si="20"/>
        <v/>
      </c>
      <c r="M637" s="13" t="str">
        <f t="shared" si="21"/>
        <v/>
      </c>
    </row>
    <row r="638" spans="2:13" x14ac:dyDescent="0.35">
      <c r="B638" s="10">
        <v>639</v>
      </c>
      <c r="C638" s="10"/>
      <c r="D638" s="38"/>
      <c r="E638" s="38"/>
      <c r="F638" s="39"/>
      <c r="G638" s="232"/>
      <c r="H638" s="12"/>
      <c r="I638" s="119"/>
      <c r="J638" s="116"/>
      <c r="K638" s="117"/>
      <c r="L638" s="33" t="str">
        <f t="shared" si="20"/>
        <v/>
      </c>
      <c r="M638" s="13" t="str">
        <f t="shared" si="21"/>
        <v/>
      </c>
    </row>
    <row r="639" spans="2:13" x14ac:dyDescent="0.35">
      <c r="B639" s="10">
        <v>640</v>
      </c>
      <c r="C639" s="10"/>
      <c r="D639" s="38"/>
      <c r="E639" s="38"/>
      <c r="F639" s="39"/>
      <c r="G639" s="232"/>
      <c r="H639" s="12"/>
      <c r="I639" s="119"/>
      <c r="J639" s="116"/>
      <c r="K639" s="117"/>
      <c r="L639" s="33" t="str">
        <f t="shared" si="20"/>
        <v/>
      </c>
      <c r="M639" s="13" t="str">
        <f t="shared" si="21"/>
        <v/>
      </c>
    </row>
    <row r="640" spans="2:13" x14ac:dyDescent="0.35">
      <c r="B640" s="10">
        <v>641</v>
      </c>
      <c r="C640" s="10"/>
      <c r="D640" s="38"/>
      <c r="E640" s="38"/>
      <c r="F640" s="39"/>
      <c r="G640" s="232"/>
      <c r="H640" s="12"/>
      <c r="I640" s="119"/>
      <c r="J640" s="116"/>
      <c r="K640" s="117"/>
      <c r="L640" s="33" t="str">
        <f t="shared" si="20"/>
        <v/>
      </c>
      <c r="M640" s="13" t="str">
        <f t="shared" si="21"/>
        <v/>
      </c>
    </row>
    <row r="641" spans="2:13" x14ac:dyDescent="0.35">
      <c r="B641" s="10">
        <v>642</v>
      </c>
      <c r="C641" s="10"/>
      <c r="D641" s="38"/>
      <c r="E641" s="38"/>
      <c r="F641" s="39"/>
      <c r="G641" s="232"/>
      <c r="H641" s="12"/>
      <c r="I641" s="119"/>
      <c r="J641" s="116"/>
      <c r="K641" s="117"/>
      <c r="L641" s="33" t="str">
        <f t="shared" si="20"/>
        <v/>
      </c>
      <c r="M641" s="13" t="str">
        <f t="shared" si="21"/>
        <v/>
      </c>
    </row>
    <row r="642" spans="2:13" x14ac:dyDescent="0.35">
      <c r="B642" s="10">
        <v>643</v>
      </c>
      <c r="C642" s="10"/>
      <c r="D642" s="38"/>
      <c r="E642" s="38"/>
      <c r="F642" s="39"/>
      <c r="G642" s="232"/>
      <c r="H642" s="12"/>
      <c r="I642" s="119"/>
      <c r="J642" s="116"/>
      <c r="K642" s="117"/>
      <c r="L642" s="33" t="str">
        <f t="shared" ref="L642:L703" si="22">IF(OR(J642="", K642=""), "", NETWORKDAYS(J642,K642))</f>
        <v/>
      </c>
      <c r="M642" s="13" t="str">
        <f t="shared" ref="M642:M703" si="23">IF(I642="SEA", 10, IF(I642="AIR", 5, ""))</f>
        <v/>
      </c>
    </row>
    <row r="643" spans="2:13" x14ac:dyDescent="0.35">
      <c r="B643" s="10">
        <v>644</v>
      </c>
      <c r="C643" s="10"/>
      <c r="D643" s="38"/>
      <c r="E643" s="38"/>
      <c r="F643" s="39"/>
      <c r="G643" s="232"/>
      <c r="H643" s="12"/>
      <c r="I643" s="119"/>
      <c r="J643" s="116"/>
      <c r="K643" s="117"/>
      <c r="L643" s="33" t="str">
        <f t="shared" si="22"/>
        <v/>
      </c>
      <c r="M643" s="13" t="str">
        <f t="shared" si="23"/>
        <v/>
      </c>
    </row>
    <row r="644" spans="2:13" x14ac:dyDescent="0.35">
      <c r="B644" s="10">
        <v>645</v>
      </c>
      <c r="C644" s="10"/>
      <c r="D644" s="38"/>
      <c r="E644" s="38"/>
      <c r="F644" s="39"/>
      <c r="G644" s="232"/>
      <c r="H644" s="12"/>
      <c r="I644" s="119"/>
      <c r="J644" s="116"/>
      <c r="K644" s="117"/>
      <c r="L644" s="33" t="str">
        <f t="shared" si="22"/>
        <v/>
      </c>
      <c r="M644" s="13" t="str">
        <f t="shared" si="23"/>
        <v/>
      </c>
    </row>
    <row r="645" spans="2:13" x14ac:dyDescent="0.35">
      <c r="B645" s="10">
        <v>646</v>
      </c>
      <c r="C645" s="10"/>
      <c r="D645" s="38"/>
      <c r="E645" s="38"/>
      <c r="F645" s="39"/>
      <c r="G645" s="232"/>
      <c r="H645" s="12"/>
      <c r="I645" s="119"/>
      <c r="J645" s="116"/>
      <c r="K645" s="117"/>
      <c r="L645" s="33" t="str">
        <f t="shared" si="22"/>
        <v/>
      </c>
      <c r="M645" s="13" t="str">
        <f t="shared" si="23"/>
        <v/>
      </c>
    </row>
    <row r="646" spans="2:13" x14ac:dyDescent="0.35">
      <c r="B646" s="10">
        <v>647</v>
      </c>
      <c r="C646" s="10"/>
      <c r="D646" s="38"/>
      <c r="E646" s="38"/>
      <c r="F646" s="39"/>
      <c r="G646" s="232"/>
      <c r="H646" s="12"/>
      <c r="I646" s="119"/>
      <c r="J646" s="116"/>
      <c r="K646" s="117"/>
      <c r="L646" s="33" t="str">
        <f t="shared" si="22"/>
        <v/>
      </c>
      <c r="M646" s="13" t="str">
        <f t="shared" si="23"/>
        <v/>
      </c>
    </row>
    <row r="647" spans="2:13" x14ac:dyDescent="0.35">
      <c r="B647" s="10">
        <v>648</v>
      </c>
      <c r="C647" s="10"/>
      <c r="D647" s="38"/>
      <c r="E647" s="38"/>
      <c r="F647" s="39"/>
      <c r="G647" s="232"/>
      <c r="H647" s="12"/>
      <c r="I647" s="119"/>
      <c r="J647" s="116"/>
      <c r="K647" s="117"/>
      <c r="L647" s="33" t="str">
        <f t="shared" si="22"/>
        <v/>
      </c>
      <c r="M647" s="13" t="str">
        <f t="shared" si="23"/>
        <v/>
      </c>
    </row>
    <row r="648" spans="2:13" x14ac:dyDescent="0.35">
      <c r="B648" s="10">
        <v>649</v>
      </c>
      <c r="C648" s="10"/>
      <c r="D648" s="38"/>
      <c r="E648" s="38"/>
      <c r="F648" s="39"/>
      <c r="G648" s="232"/>
      <c r="H648" s="12"/>
      <c r="I648" s="119"/>
      <c r="J648" s="116"/>
      <c r="K648" s="117"/>
      <c r="L648" s="33" t="str">
        <f t="shared" si="22"/>
        <v/>
      </c>
      <c r="M648" s="13" t="str">
        <f t="shared" si="23"/>
        <v/>
      </c>
    </row>
    <row r="649" spans="2:13" x14ac:dyDescent="0.35">
      <c r="B649" s="10">
        <v>650</v>
      </c>
      <c r="C649" s="10"/>
      <c r="D649" s="38"/>
      <c r="E649" s="38"/>
      <c r="F649" s="39"/>
      <c r="G649" s="232"/>
      <c r="H649" s="12"/>
      <c r="I649" s="119"/>
      <c r="J649" s="116"/>
      <c r="K649" s="117"/>
      <c r="L649" s="33" t="str">
        <f t="shared" si="22"/>
        <v/>
      </c>
      <c r="M649" s="13" t="str">
        <f t="shared" si="23"/>
        <v/>
      </c>
    </row>
    <row r="650" spans="2:13" x14ac:dyDescent="0.35">
      <c r="B650" s="10">
        <v>651</v>
      </c>
      <c r="C650" s="10"/>
      <c r="D650" s="38"/>
      <c r="E650" s="38"/>
      <c r="F650" s="39"/>
      <c r="G650" s="232"/>
      <c r="H650" s="12"/>
      <c r="I650" s="119"/>
      <c r="J650" s="116"/>
      <c r="K650" s="117"/>
      <c r="L650" s="33" t="str">
        <f t="shared" si="22"/>
        <v/>
      </c>
      <c r="M650" s="13" t="str">
        <f t="shared" si="23"/>
        <v/>
      </c>
    </row>
    <row r="651" spans="2:13" x14ac:dyDescent="0.35">
      <c r="B651" s="10">
        <v>652</v>
      </c>
      <c r="C651" s="10"/>
      <c r="D651" s="38"/>
      <c r="E651" s="38"/>
      <c r="F651" s="39"/>
      <c r="G651" s="232"/>
      <c r="H651" s="12"/>
      <c r="I651" s="119"/>
      <c r="J651" s="116"/>
      <c r="K651" s="117"/>
      <c r="L651" s="33" t="str">
        <f t="shared" si="22"/>
        <v/>
      </c>
      <c r="M651" s="13" t="str">
        <f t="shared" si="23"/>
        <v/>
      </c>
    </row>
    <row r="652" spans="2:13" x14ac:dyDescent="0.35">
      <c r="B652" s="10">
        <v>653</v>
      </c>
      <c r="C652" s="10"/>
      <c r="D652" s="38"/>
      <c r="E652" s="38"/>
      <c r="F652" s="39"/>
      <c r="G652" s="232"/>
      <c r="H652" s="12"/>
      <c r="I652" s="119"/>
      <c r="J652" s="116"/>
      <c r="K652" s="117"/>
      <c r="L652" s="33" t="str">
        <f t="shared" si="22"/>
        <v/>
      </c>
      <c r="M652" s="13" t="str">
        <f t="shared" si="23"/>
        <v/>
      </c>
    </row>
    <row r="653" spans="2:13" x14ac:dyDescent="0.35">
      <c r="B653" s="10">
        <v>654</v>
      </c>
      <c r="C653" s="10"/>
      <c r="D653" s="38"/>
      <c r="E653" s="38"/>
      <c r="F653" s="39"/>
      <c r="G653" s="232"/>
      <c r="H653" s="12"/>
      <c r="I653" s="119"/>
      <c r="J653" s="116"/>
      <c r="K653" s="117"/>
      <c r="L653" s="33" t="str">
        <f t="shared" si="22"/>
        <v/>
      </c>
      <c r="M653" s="13" t="str">
        <f t="shared" si="23"/>
        <v/>
      </c>
    </row>
    <row r="654" spans="2:13" x14ac:dyDescent="0.35">
      <c r="B654" s="10">
        <v>655</v>
      </c>
      <c r="C654" s="10"/>
      <c r="D654" s="38"/>
      <c r="E654" s="38"/>
      <c r="F654" s="39"/>
      <c r="G654" s="232"/>
      <c r="H654" s="12"/>
      <c r="I654" s="119"/>
      <c r="J654" s="116"/>
      <c r="K654" s="117"/>
      <c r="L654" s="33" t="str">
        <f t="shared" si="22"/>
        <v/>
      </c>
      <c r="M654" s="13" t="str">
        <f t="shared" si="23"/>
        <v/>
      </c>
    </row>
    <row r="655" spans="2:13" x14ac:dyDescent="0.35">
      <c r="B655" s="10">
        <v>656</v>
      </c>
      <c r="C655" s="10"/>
      <c r="D655" s="38"/>
      <c r="E655" s="38"/>
      <c r="F655" s="39"/>
      <c r="G655" s="232"/>
      <c r="H655" s="12"/>
      <c r="I655" s="119"/>
      <c r="J655" s="116"/>
      <c r="K655" s="117"/>
      <c r="L655" s="33" t="str">
        <f t="shared" si="22"/>
        <v/>
      </c>
      <c r="M655" s="13" t="str">
        <f t="shared" si="23"/>
        <v/>
      </c>
    </row>
    <row r="656" spans="2:13" x14ac:dyDescent="0.35">
      <c r="B656" s="10">
        <v>657</v>
      </c>
      <c r="C656" s="10"/>
      <c r="D656" s="38"/>
      <c r="E656" s="38"/>
      <c r="F656" s="39"/>
      <c r="G656" s="232"/>
      <c r="H656" s="12"/>
      <c r="I656" s="119"/>
      <c r="J656" s="116"/>
      <c r="K656" s="117"/>
      <c r="L656" s="33" t="str">
        <f t="shared" si="22"/>
        <v/>
      </c>
      <c r="M656" s="13" t="str">
        <f t="shared" si="23"/>
        <v/>
      </c>
    </row>
    <row r="657" spans="2:13" x14ac:dyDescent="0.35">
      <c r="B657" s="10">
        <v>658</v>
      </c>
      <c r="C657" s="10"/>
      <c r="D657" s="38"/>
      <c r="E657" s="38"/>
      <c r="F657" s="39"/>
      <c r="G657" s="232"/>
      <c r="H657" s="12"/>
      <c r="I657" s="119"/>
      <c r="J657" s="116"/>
      <c r="K657" s="117"/>
      <c r="L657" s="33" t="str">
        <f t="shared" si="22"/>
        <v/>
      </c>
      <c r="M657" s="13" t="str">
        <f t="shared" si="23"/>
        <v/>
      </c>
    </row>
    <row r="658" spans="2:13" x14ac:dyDescent="0.35">
      <c r="B658" s="10">
        <v>659</v>
      </c>
      <c r="C658" s="10"/>
      <c r="D658" s="38"/>
      <c r="E658" s="38"/>
      <c r="F658" s="39"/>
      <c r="G658" s="232"/>
      <c r="H658" s="12"/>
      <c r="I658" s="119"/>
      <c r="J658" s="116"/>
      <c r="K658" s="117"/>
      <c r="L658" s="33" t="str">
        <f t="shared" si="22"/>
        <v/>
      </c>
      <c r="M658" s="13" t="str">
        <f t="shared" si="23"/>
        <v/>
      </c>
    </row>
    <row r="659" spans="2:13" x14ac:dyDescent="0.35">
      <c r="B659" s="10">
        <v>660</v>
      </c>
      <c r="C659" s="10"/>
      <c r="D659" s="38"/>
      <c r="E659" s="38"/>
      <c r="F659" s="39"/>
      <c r="G659" s="232"/>
      <c r="H659" s="12"/>
      <c r="I659" s="119"/>
      <c r="J659" s="116"/>
      <c r="K659" s="117"/>
      <c r="L659" s="33" t="str">
        <f t="shared" si="22"/>
        <v/>
      </c>
      <c r="M659" s="13" t="str">
        <f t="shared" si="23"/>
        <v/>
      </c>
    </row>
    <row r="660" spans="2:13" x14ac:dyDescent="0.35">
      <c r="B660" s="10">
        <v>661</v>
      </c>
      <c r="C660" s="10"/>
      <c r="D660" s="38"/>
      <c r="E660" s="38"/>
      <c r="F660" s="39"/>
      <c r="G660" s="232"/>
      <c r="H660" s="12"/>
      <c r="I660" s="119"/>
      <c r="J660" s="116"/>
      <c r="K660" s="117"/>
      <c r="L660" s="33" t="str">
        <f t="shared" si="22"/>
        <v/>
      </c>
      <c r="M660" s="13" t="str">
        <f t="shared" si="23"/>
        <v/>
      </c>
    </row>
    <row r="661" spans="2:13" x14ac:dyDescent="0.35">
      <c r="B661" s="10">
        <v>662</v>
      </c>
      <c r="C661" s="10"/>
      <c r="D661" s="38"/>
      <c r="E661" s="38"/>
      <c r="F661" s="39"/>
      <c r="G661" s="232"/>
      <c r="H661" s="12"/>
      <c r="I661" s="119"/>
      <c r="J661" s="116"/>
      <c r="K661" s="117"/>
      <c r="L661" s="33" t="str">
        <f t="shared" si="22"/>
        <v/>
      </c>
      <c r="M661" s="13" t="str">
        <f t="shared" si="23"/>
        <v/>
      </c>
    </row>
    <row r="662" spans="2:13" x14ac:dyDescent="0.35">
      <c r="B662" s="10">
        <v>663</v>
      </c>
      <c r="C662" s="10"/>
      <c r="D662" s="38"/>
      <c r="E662" s="38"/>
      <c r="F662" s="39"/>
      <c r="G662" s="232"/>
      <c r="H662" s="12"/>
      <c r="I662" s="119"/>
      <c r="J662" s="116"/>
      <c r="K662" s="117"/>
      <c r="L662" s="33" t="str">
        <f t="shared" si="22"/>
        <v/>
      </c>
      <c r="M662" s="13" t="str">
        <f t="shared" si="23"/>
        <v/>
      </c>
    </row>
    <row r="663" spans="2:13" x14ac:dyDescent="0.35">
      <c r="B663" s="10">
        <v>664</v>
      </c>
      <c r="C663" s="10"/>
      <c r="D663" s="38"/>
      <c r="E663" s="38"/>
      <c r="F663" s="39"/>
      <c r="G663" s="232"/>
      <c r="H663" s="12"/>
      <c r="I663" s="119"/>
      <c r="J663" s="116"/>
      <c r="K663" s="117"/>
      <c r="L663" s="33" t="str">
        <f t="shared" si="22"/>
        <v/>
      </c>
      <c r="M663" s="13" t="str">
        <f t="shared" si="23"/>
        <v/>
      </c>
    </row>
    <row r="664" spans="2:13" x14ac:dyDescent="0.35">
      <c r="B664" s="10">
        <v>665</v>
      </c>
      <c r="C664" s="10"/>
      <c r="D664" s="38"/>
      <c r="E664" s="38"/>
      <c r="F664" s="39"/>
      <c r="G664" s="232"/>
      <c r="H664" s="12"/>
      <c r="I664" s="119"/>
      <c r="J664" s="116"/>
      <c r="K664" s="117"/>
      <c r="L664" s="33" t="str">
        <f t="shared" si="22"/>
        <v/>
      </c>
      <c r="M664" s="13" t="str">
        <f t="shared" si="23"/>
        <v/>
      </c>
    </row>
    <row r="665" spans="2:13" x14ac:dyDescent="0.35">
      <c r="B665" s="10">
        <v>666</v>
      </c>
      <c r="C665" s="10"/>
      <c r="D665" s="38"/>
      <c r="E665" s="38"/>
      <c r="F665" s="39"/>
      <c r="G665" s="232"/>
      <c r="H665" s="12"/>
      <c r="I665" s="119"/>
      <c r="J665" s="116"/>
      <c r="K665" s="117"/>
      <c r="L665" s="33" t="str">
        <f t="shared" si="22"/>
        <v/>
      </c>
      <c r="M665" s="13" t="str">
        <f t="shared" si="23"/>
        <v/>
      </c>
    </row>
    <row r="666" spans="2:13" x14ac:dyDescent="0.35">
      <c r="B666" s="10">
        <v>667</v>
      </c>
      <c r="C666" s="10"/>
      <c r="D666" s="38"/>
      <c r="E666" s="38"/>
      <c r="F666" s="39"/>
      <c r="G666" s="232"/>
      <c r="H666" s="12"/>
      <c r="I666" s="119"/>
      <c r="J666" s="116"/>
      <c r="K666" s="117"/>
      <c r="L666" s="33" t="str">
        <f t="shared" si="22"/>
        <v/>
      </c>
      <c r="M666" s="13" t="str">
        <f t="shared" si="23"/>
        <v/>
      </c>
    </row>
    <row r="667" spans="2:13" x14ac:dyDescent="0.35">
      <c r="B667" s="10">
        <v>668</v>
      </c>
      <c r="C667" s="10"/>
      <c r="D667" s="38"/>
      <c r="E667" s="38"/>
      <c r="F667" s="39"/>
      <c r="G667" s="232"/>
      <c r="H667" s="12"/>
      <c r="I667" s="119"/>
      <c r="J667" s="116"/>
      <c r="K667" s="117"/>
      <c r="L667" s="33" t="str">
        <f t="shared" si="22"/>
        <v/>
      </c>
      <c r="M667" s="13" t="str">
        <f t="shared" si="23"/>
        <v/>
      </c>
    </row>
    <row r="668" spans="2:13" x14ac:dyDescent="0.35">
      <c r="B668" s="10">
        <v>669</v>
      </c>
      <c r="C668" s="10"/>
      <c r="D668" s="38"/>
      <c r="E668" s="38"/>
      <c r="F668" s="39"/>
      <c r="G668" s="232"/>
      <c r="H668" s="12"/>
      <c r="I668" s="119"/>
      <c r="J668" s="116"/>
      <c r="K668" s="117"/>
      <c r="L668" s="33" t="str">
        <f t="shared" si="22"/>
        <v/>
      </c>
      <c r="M668" s="13" t="str">
        <f t="shared" si="23"/>
        <v/>
      </c>
    </row>
    <row r="669" spans="2:13" x14ac:dyDescent="0.35">
      <c r="B669" s="10">
        <v>670</v>
      </c>
      <c r="C669" s="10"/>
      <c r="D669" s="38"/>
      <c r="E669" s="38"/>
      <c r="F669" s="39"/>
      <c r="G669" s="232"/>
      <c r="H669" s="12"/>
      <c r="I669" s="119"/>
      <c r="J669" s="116"/>
      <c r="K669" s="117"/>
      <c r="L669" s="33" t="str">
        <f t="shared" si="22"/>
        <v/>
      </c>
      <c r="M669" s="13" t="str">
        <f t="shared" si="23"/>
        <v/>
      </c>
    </row>
    <row r="670" spans="2:13" x14ac:dyDescent="0.35">
      <c r="B670" s="10">
        <v>671</v>
      </c>
      <c r="C670" s="10"/>
      <c r="D670" s="38"/>
      <c r="E670" s="38"/>
      <c r="F670" s="39"/>
      <c r="G670" s="232"/>
      <c r="H670" s="12"/>
      <c r="I670" s="119"/>
      <c r="J670" s="116"/>
      <c r="K670" s="117"/>
      <c r="L670" s="33" t="str">
        <f t="shared" si="22"/>
        <v/>
      </c>
      <c r="M670" s="13" t="str">
        <f t="shared" si="23"/>
        <v/>
      </c>
    </row>
    <row r="671" spans="2:13" x14ac:dyDescent="0.35">
      <c r="B671" s="10">
        <v>672</v>
      </c>
      <c r="C671" s="10"/>
      <c r="D671" s="38"/>
      <c r="E671" s="38"/>
      <c r="F671" s="39"/>
      <c r="G671" s="232"/>
      <c r="H671" s="12"/>
      <c r="I671" s="119"/>
      <c r="J671" s="116"/>
      <c r="K671" s="117"/>
      <c r="L671" s="33" t="str">
        <f t="shared" si="22"/>
        <v/>
      </c>
      <c r="M671" s="13" t="str">
        <f t="shared" si="23"/>
        <v/>
      </c>
    </row>
    <row r="672" spans="2:13" x14ac:dyDescent="0.35">
      <c r="B672" s="10">
        <v>673</v>
      </c>
      <c r="C672" s="10"/>
      <c r="D672" s="38"/>
      <c r="E672" s="38"/>
      <c r="F672" s="39"/>
      <c r="G672" s="232"/>
      <c r="H672" s="12"/>
      <c r="I672" s="119"/>
      <c r="J672" s="116"/>
      <c r="K672" s="117"/>
      <c r="L672" s="33" t="str">
        <f t="shared" si="22"/>
        <v/>
      </c>
      <c r="M672" s="13" t="str">
        <f t="shared" si="23"/>
        <v/>
      </c>
    </row>
    <row r="673" spans="2:13" x14ac:dyDescent="0.35">
      <c r="B673" s="10">
        <v>674</v>
      </c>
      <c r="C673" s="10"/>
      <c r="D673" s="38"/>
      <c r="E673" s="38"/>
      <c r="F673" s="39"/>
      <c r="G673" s="232"/>
      <c r="H673" s="12"/>
      <c r="I673" s="119"/>
      <c r="J673" s="116"/>
      <c r="K673" s="117"/>
      <c r="L673" s="33" t="str">
        <f t="shared" si="22"/>
        <v/>
      </c>
      <c r="M673" s="13" t="str">
        <f t="shared" si="23"/>
        <v/>
      </c>
    </row>
    <row r="674" spans="2:13" x14ac:dyDescent="0.35">
      <c r="B674" s="10">
        <v>675</v>
      </c>
      <c r="C674" s="10"/>
      <c r="D674" s="38"/>
      <c r="E674" s="38"/>
      <c r="F674" s="39"/>
      <c r="G674" s="232"/>
      <c r="H674" s="12"/>
      <c r="I674" s="119"/>
      <c r="J674" s="116"/>
      <c r="K674" s="117"/>
      <c r="L674" s="33" t="str">
        <f t="shared" si="22"/>
        <v/>
      </c>
      <c r="M674" s="13" t="str">
        <f t="shared" si="23"/>
        <v/>
      </c>
    </row>
    <row r="675" spans="2:13" x14ac:dyDescent="0.35">
      <c r="B675" s="10">
        <v>676</v>
      </c>
      <c r="C675" s="10"/>
      <c r="D675" s="38"/>
      <c r="E675" s="38"/>
      <c r="F675" s="39"/>
      <c r="G675" s="232"/>
      <c r="H675" s="12"/>
      <c r="I675" s="119"/>
      <c r="J675" s="116"/>
      <c r="K675" s="117"/>
      <c r="L675" s="33" t="str">
        <f t="shared" si="22"/>
        <v/>
      </c>
      <c r="M675" s="13" t="str">
        <f t="shared" si="23"/>
        <v/>
      </c>
    </row>
    <row r="676" spans="2:13" x14ac:dyDescent="0.35">
      <c r="B676" s="10">
        <v>677</v>
      </c>
      <c r="C676" s="10"/>
      <c r="D676" s="38"/>
      <c r="E676" s="38"/>
      <c r="F676" s="39"/>
      <c r="G676" s="232"/>
      <c r="H676" s="12"/>
      <c r="I676" s="119"/>
      <c r="J676" s="116"/>
      <c r="K676" s="117"/>
      <c r="L676" s="33" t="str">
        <f t="shared" si="22"/>
        <v/>
      </c>
      <c r="M676" s="13" t="str">
        <f t="shared" si="23"/>
        <v/>
      </c>
    </row>
    <row r="677" spans="2:13" x14ac:dyDescent="0.35">
      <c r="B677" s="10">
        <v>678</v>
      </c>
      <c r="C677" s="10"/>
      <c r="D677" s="38"/>
      <c r="E677" s="38"/>
      <c r="F677" s="39"/>
      <c r="G677" s="232"/>
      <c r="H677" s="12"/>
      <c r="I677" s="119"/>
      <c r="J677" s="116"/>
      <c r="K677" s="117"/>
      <c r="L677" s="33" t="str">
        <f t="shared" si="22"/>
        <v/>
      </c>
      <c r="M677" s="13" t="str">
        <f t="shared" si="23"/>
        <v/>
      </c>
    </row>
    <row r="678" spans="2:13" x14ac:dyDescent="0.35">
      <c r="B678" s="10">
        <v>679</v>
      </c>
      <c r="C678" s="10"/>
      <c r="D678" s="38"/>
      <c r="E678" s="38"/>
      <c r="F678" s="39"/>
      <c r="G678" s="232"/>
      <c r="H678" s="12"/>
      <c r="I678" s="119"/>
      <c r="J678" s="116"/>
      <c r="K678" s="117"/>
      <c r="L678" s="33" t="str">
        <f t="shared" si="22"/>
        <v/>
      </c>
      <c r="M678" s="13" t="str">
        <f t="shared" si="23"/>
        <v/>
      </c>
    </row>
    <row r="679" spans="2:13" x14ac:dyDescent="0.35">
      <c r="B679" s="10">
        <v>680</v>
      </c>
      <c r="C679" s="10"/>
      <c r="D679" s="38"/>
      <c r="E679" s="38"/>
      <c r="F679" s="39"/>
      <c r="G679" s="232"/>
      <c r="H679" s="12"/>
      <c r="I679" s="119"/>
      <c r="J679" s="116"/>
      <c r="K679" s="117"/>
      <c r="L679" s="33" t="str">
        <f t="shared" si="22"/>
        <v/>
      </c>
      <c r="M679" s="13" t="str">
        <f t="shared" si="23"/>
        <v/>
      </c>
    </row>
    <row r="680" spans="2:13" x14ac:dyDescent="0.35">
      <c r="B680" s="10">
        <v>681</v>
      </c>
      <c r="C680" s="10"/>
      <c r="D680" s="38"/>
      <c r="E680" s="38"/>
      <c r="F680" s="39"/>
      <c r="G680" s="232"/>
      <c r="H680" s="12"/>
      <c r="I680" s="119"/>
      <c r="J680" s="116"/>
      <c r="K680" s="117"/>
      <c r="L680" s="33" t="str">
        <f t="shared" si="22"/>
        <v/>
      </c>
      <c r="M680" s="13" t="str">
        <f t="shared" si="23"/>
        <v/>
      </c>
    </row>
    <row r="681" spans="2:13" x14ac:dyDescent="0.35">
      <c r="B681" s="10">
        <v>682</v>
      </c>
      <c r="C681" s="10"/>
      <c r="D681" s="38"/>
      <c r="E681" s="38"/>
      <c r="F681" s="39"/>
      <c r="G681" s="232"/>
      <c r="H681" s="12"/>
      <c r="I681" s="119"/>
      <c r="J681" s="116"/>
      <c r="K681" s="117"/>
      <c r="L681" s="33" t="str">
        <f t="shared" si="22"/>
        <v/>
      </c>
      <c r="M681" s="13" t="str">
        <f t="shared" si="23"/>
        <v/>
      </c>
    </row>
    <row r="682" spans="2:13" x14ac:dyDescent="0.35">
      <c r="B682" s="10">
        <v>683</v>
      </c>
      <c r="C682" s="10"/>
      <c r="D682" s="38"/>
      <c r="E682" s="38"/>
      <c r="F682" s="39"/>
      <c r="G682" s="232"/>
      <c r="H682" s="12"/>
      <c r="I682" s="119"/>
      <c r="J682" s="116"/>
      <c r="K682" s="117"/>
      <c r="L682" s="33" t="str">
        <f t="shared" si="22"/>
        <v/>
      </c>
      <c r="M682" s="13" t="str">
        <f t="shared" si="23"/>
        <v/>
      </c>
    </row>
    <row r="683" spans="2:13" x14ac:dyDescent="0.35">
      <c r="B683" s="10">
        <v>684</v>
      </c>
      <c r="C683" s="10"/>
      <c r="D683" s="38"/>
      <c r="E683" s="38"/>
      <c r="F683" s="39"/>
      <c r="G683" s="232"/>
      <c r="H683" s="12"/>
      <c r="I683" s="119"/>
      <c r="J683" s="116"/>
      <c r="K683" s="117"/>
      <c r="L683" s="33" t="str">
        <f t="shared" si="22"/>
        <v/>
      </c>
      <c r="M683" s="13" t="str">
        <f t="shared" si="23"/>
        <v/>
      </c>
    </row>
    <row r="684" spans="2:13" x14ac:dyDescent="0.35">
      <c r="B684" s="10">
        <v>685</v>
      </c>
      <c r="C684" s="10"/>
      <c r="D684" s="38"/>
      <c r="E684" s="38"/>
      <c r="F684" s="39"/>
      <c r="G684" s="232"/>
      <c r="H684" s="12"/>
      <c r="I684" s="119"/>
      <c r="J684" s="116"/>
      <c r="K684" s="117"/>
      <c r="L684" s="33" t="str">
        <f t="shared" si="22"/>
        <v/>
      </c>
      <c r="M684" s="13" t="str">
        <f t="shared" si="23"/>
        <v/>
      </c>
    </row>
    <row r="685" spans="2:13" x14ac:dyDescent="0.35">
      <c r="B685" s="10">
        <v>686</v>
      </c>
      <c r="C685" s="10"/>
      <c r="D685" s="38"/>
      <c r="E685" s="38"/>
      <c r="F685" s="39"/>
      <c r="G685" s="232"/>
      <c r="H685" s="12"/>
      <c r="I685" s="119"/>
      <c r="J685" s="116"/>
      <c r="K685" s="117"/>
      <c r="L685" s="33" t="str">
        <f t="shared" si="22"/>
        <v/>
      </c>
      <c r="M685" s="13" t="str">
        <f t="shared" si="23"/>
        <v/>
      </c>
    </row>
    <row r="686" spans="2:13" x14ac:dyDescent="0.35">
      <c r="B686" s="10">
        <v>687</v>
      </c>
      <c r="C686" s="10"/>
      <c r="D686" s="38"/>
      <c r="E686" s="38"/>
      <c r="F686" s="39"/>
      <c r="G686" s="232"/>
      <c r="H686" s="12"/>
      <c r="I686" s="119"/>
      <c r="J686" s="116"/>
      <c r="K686" s="117"/>
      <c r="L686" s="33" t="str">
        <f t="shared" si="22"/>
        <v/>
      </c>
      <c r="M686" s="13" t="str">
        <f t="shared" si="23"/>
        <v/>
      </c>
    </row>
    <row r="687" spans="2:13" x14ac:dyDescent="0.35">
      <c r="B687" s="10">
        <v>688</v>
      </c>
      <c r="C687" s="10"/>
      <c r="D687" s="38"/>
      <c r="E687" s="38"/>
      <c r="F687" s="39"/>
      <c r="G687" s="232"/>
      <c r="H687" s="12"/>
      <c r="I687" s="119"/>
      <c r="J687" s="116"/>
      <c r="K687" s="117"/>
      <c r="L687" s="33" t="str">
        <f t="shared" si="22"/>
        <v/>
      </c>
      <c r="M687" s="13" t="str">
        <f t="shared" si="23"/>
        <v/>
      </c>
    </row>
    <row r="688" spans="2:13" x14ac:dyDescent="0.35">
      <c r="B688" s="10">
        <v>689</v>
      </c>
      <c r="C688" s="10"/>
      <c r="D688" s="38"/>
      <c r="E688" s="38"/>
      <c r="F688" s="39"/>
      <c r="G688" s="232"/>
      <c r="H688" s="12"/>
      <c r="I688" s="119"/>
      <c r="J688" s="116"/>
      <c r="K688" s="117"/>
      <c r="L688" s="33" t="str">
        <f t="shared" si="22"/>
        <v/>
      </c>
      <c r="M688" s="13" t="str">
        <f t="shared" si="23"/>
        <v/>
      </c>
    </row>
    <row r="689" spans="2:13" x14ac:dyDescent="0.35">
      <c r="B689" s="10">
        <v>690</v>
      </c>
      <c r="C689" s="10"/>
      <c r="D689" s="38"/>
      <c r="E689" s="38"/>
      <c r="F689" s="39"/>
      <c r="G689" s="232"/>
      <c r="H689" s="12"/>
      <c r="I689" s="119"/>
      <c r="J689" s="116"/>
      <c r="K689" s="117"/>
      <c r="L689" s="33" t="str">
        <f t="shared" si="22"/>
        <v/>
      </c>
      <c r="M689" s="13" t="str">
        <f t="shared" si="23"/>
        <v/>
      </c>
    </row>
    <row r="690" spans="2:13" x14ac:dyDescent="0.35">
      <c r="B690" s="10">
        <v>691</v>
      </c>
      <c r="C690" s="10"/>
      <c r="D690" s="38"/>
      <c r="E690" s="38"/>
      <c r="F690" s="39"/>
      <c r="G690" s="232"/>
      <c r="H690" s="12"/>
      <c r="I690" s="119"/>
      <c r="J690" s="116"/>
      <c r="K690" s="117"/>
      <c r="L690" s="33" t="str">
        <f t="shared" si="22"/>
        <v/>
      </c>
      <c r="M690" s="13" t="str">
        <f t="shared" si="23"/>
        <v/>
      </c>
    </row>
    <row r="691" spans="2:13" x14ac:dyDescent="0.35">
      <c r="B691" s="10">
        <v>692</v>
      </c>
      <c r="C691" s="10"/>
      <c r="D691" s="38"/>
      <c r="E691" s="38"/>
      <c r="F691" s="39"/>
      <c r="G691" s="232"/>
      <c r="H691" s="12"/>
      <c r="I691" s="119"/>
      <c r="J691" s="116"/>
      <c r="K691" s="117"/>
      <c r="L691" s="33" t="str">
        <f t="shared" si="22"/>
        <v/>
      </c>
      <c r="M691" s="13" t="str">
        <f t="shared" si="23"/>
        <v/>
      </c>
    </row>
    <row r="692" spans="2:13" x14ac:dyDescent="0.35">
      <c r="B692" s="10">
        <v>693</v>
      </c>
      <c r="C692" s="10"/>
      <c r="D692" s="38"/>
      <c r="E692" s="38"/>
      <c r="F692" s="39"/>
      <c r="G692" s="232"/>
      <c r="H692" s="12"/>
      <c r="I692" s="119"/>
      <c r="J692" s="116"/>
      <c r="K692" s="117"/>
      <c r="L692" s="33" t="str">
        <f t="shared" si="22"/>
        <v/>
      </c>
      <c r="M692" s="13" t="str">
        <f t="shared" si="23"/>
        <v/>
      </c>
    </row>
    <row r="693" spans="2:13" x14ac:dyDescent="0.35">
      <c r="B693" s="10">
        <v>694</v>
      </c>
      <c r="C693" s="10"/>
      <c r="D693" s="38"/>
      <c r="E693" s="38"/>
      <c r="F693" s="39"/>
      <c r="G693" s="232"/>
      <c r="H693" s="12"/>
      <c r="I693" s="119"/>
      <c r="J693" s="116"/>
      <c r="K693" s="117"/>
      <c r="L693" s="33" t="str">
        <f t="shared" si="22"/>
        <v/>
      </c>
      <c r="M693" s="13" t="str">
        <f t="shared" si="23"/>
        <v/>
      </c>
    </row>
    <row r="694" spans="2:13" x14ac:dyDescent="0.35">
      <c r="B694" s="10">
        <v>695</v>
      </c>
      <c r="C694" s="10"/>
      <c r="D694" s="38"/>
      <c r="E694" s="38"/>
      <c r="F694" s="39"/>
      <c r="G694" s="232"/>
      <c r="H694" s="12"/>
      <c r="I694" s="119"/>
      <c r="J694" s="116"/>
      <c r="K694" s="117"/>
      <c r="L694" s="33" t="str">
        <f t="shared" si="22"/>
        <v/>
      </c>
      <c r="M694" s="13" t="str">
        <f t="shared" si="23"/>
        <v/>
      </c>
    </row>
    <row r="695" spans="2:13" x14ac:dyDescent="0.35">
      <c r="B695" s="10">
        <v>696</v>
      </c>
      <c r="C695" s="10"/>
      <c r="D695" s="38"/>
      <c r="E695" s="38"/>
      <c r="F695" s="39"/>
      <c r="G695" s="232"/>
      <c r="H695" s="12"/>
      <c r="I695" s="119"/>
      <c r="J695" s="116"/>
      <c r="K695" s="117"/>
      <c r="L695" s="33" t="str">
        <f t="shared" si="22"/>
        <v/>
      </c>
      <c r="M695" s="13" t="str">
        <f t="shared" si="23"/>
        <v/>
      </c>
    </row>
    <row r="696" spans="2:13" x14ac:dyDescent="0.35">
      <c r="B696" s="10">
        <v>697</v>
      </c>
      <c r="C696" s="10"/>
      <c r="D696" s="38"/>
      <c r="E696" s="38"/>
      <c r="F696" s="39"/>
      <c r="G696" s="232"/>
      <c r="H696" s="12"/>
      <c r="I696" s="119"/>
      <c r="J696" s="116"/>
      <c r="K696" s="117"/>
      <c r="L696" s="33" t="str">
        <f t="shared" si="22"/>
        <v/>
      </c>
      <c r="M696" s="13" t="str">
        <f t="shared" si="23"/>
        <v/>
      </c>
    </row>
    <row r="697" spans="2:13" x14ac:dyDescent="0.35">
      <c r="B697" s="10">
        <v>698</v>
      </c>
      <c r="C697" s="10"/>
      <c r="D697" s="38"/>
      <c r="E697" s="38"/>
      <c r="F697" s="39"/>
      <c r="G697" s="232"/>
      <c r="H697" s="12"/>
      <c r="I697" s="119"/>
      <c r="J697" s="116"/>
      <c r="K697" s="117"/>
      <c r="L697" s="33" t="str">
        <f t="shared" si="22"/>
        <v/>
      </c>
      <c r="M697" s="13" t="str">
        <f t="shared" si="23"/>
        <v/>
      </c>
    </row>
    <row r="698" spans="2:13" x14ac:dyDescent="0.35">
      <c r="B698" s="10">
        <v>699</v>
      </c>
      <c r="C698" s="10"/>
      <c r="D698" s="38"/>
      <c r="E698" s="38"/>
      <c r="F698" s="39"/>
      <c r="G698" s="232"/>
      <c r="H698" s="12"/>
      <c r="I698" s="119"/>
      <c r="J698" s="116"/>
      <c r="K698" s="117"/>
      <c r="L698" s="33" t="str">
        <f t="shared" si="22"/>
        <v/>
      </c>
      <c r="M698" s="13" t="str">
        <f t="shared" si="23"/>
        <v/>
      </c>
    </row>
    <row r="699" spans="2:13" x14ac:dyDescent="0.35">
      <c r="B699" s="10">
        <v>700</v>
      </c>
      <c r="C699" s="10"/>
      <c r="D699" s="38"/>
      <c r="E699" s="38"/>
      <c r="F699" s="39"/>
      <c r="G699" s="232"/>
      <c r="H699" s="12"/>
      <c r="I699" s="119"/>
      <c r="J699" s="116"/>
      <c r="K699" s="117"/>
      <c r="L699" s="33" t="str">
        <f t="shared" si="22"/>
        <v/>
      </c>
      <c r="M699" s="13" t="str">
        <f t="shared" si="23"/>
        <v/>
      </c>
    </row>
    <row r="700" spans="2:13" x14ac:dyDescent="0.35">
      <c r="B700" s="10">
        <v>701</v>
      </c>
      <c r="C700" s="10"/>
      <c r="D700" s="38"/>
      <c r="E700" s="38"/>
      <c r="F700" s="39"/>
      <c r="G700" s="232"/>
      <c r="H700" s="12"/>
      <c r="I700" s="119"/>
      <c r="J700" s="116"/>
      <c r="K700" s="117"/>
      <c r="L700" s="33" t="str">
        <f t="shared" si="22"/>
        <v/>
      </c>
      <c r="M700" s="13" t="str">
        <f t="shared" si="23"/>
        <v/>
      </c>
    </row>
    <row r="701" spans="2:13" x14ac:dyDescent="0.35">
      <c r="B701" s="10">
        <v>702</v>
      </c>
      <c r="C701" s="10"/>
      <c r="D701" s="38"/>
      <c r="E701" s="38"/>
      <c r="F701" s="39"/>
      <c r="G701" s="232"/>
      <c r="H701" s="12"/>
      <c r="I701" s="119"/>
      <c r="J701" s="116"/>
      <c r="K701" s="117"/>
      <c r="L701" s="33" t="str">
        <f t="shared" si="22"/>
        <v/>
      </c>
      <c r="M701" s="13" t="str">
        <f t="shared" si="23"/>
        <v/>
      </c>
    </row>
    <row r="702" spans="2:13" x14ac:dyDescent="0.35">
      <c r="B702" s="10">
        <v>703</v>
      </c>
      <c r="C702" s="10"/>
      <c r="D702" s="38"/>
      <c r="E702" s="38"/>
      <c r="F702" s="39"/>
      <c r="G702" s="232"/>
      <c r="H702" s="12"/>
      <c r="I702" s="119"/>
      <c r="J702" s="116"/>
      <c r="K702" s="117"/>
      <c r="L702" s="33" t="str">
        <f t="shared" si="22"/>
        <v/>
      </c>
      <c r="M702" s="13" t="str">
        <f t="shared" si="23"/>
        <v/>
      </c>
    </row>
    <row r="703" spans="2:13" x14ac:dyDescent="0.35">
      <c r="B703" s="10">
        <v>704</v>
      </c>
      <c r="C703" s="10"/>
      <c r="D703" s="38"/>
      <c r="E703" s="38"/>
      <c r="F703" s="39"/>
      <c r="G703" s="232"/>
      <c r="H703" s="12"/>
      <c r="I703" s="119"/>
      <c r="J703" s="116"/>
      <c r="K703" s="117"/>
      <c r="L703" s="33" t="str">
        <f t="shared" si="22"/>
        <v/>
      </c>
      <c r="M703" s="13" t="str">
        <f t="shared" si="23"/>
        <v/>
      </c>
    </row>
  </sheetData>
  <autoFilter ref="B4:M703" xr:uid="{00000000-0009-0000-0000-000003000000}"/>
  <mergeCells count="6">
    <mergeCell ref="B1:M1"/>
    <mergeCell ref="J2:J3"/>
    <mergeCell ref="K2:K3"/>
    <mergeCell ref="C2:C3"/>
    <mergeCell ref="I2:I3"/>
    <mergeCell ref="L2:L3"/>
  </mergeCells>
  <conditionalFormatting sqref="L5:L703">
    <cfRule type="cellIs" dxfId="21" priority="1" stopIfTrue="1" operator="greaterThan">
      <formula>$M5</formula>
    </cfRule>
    <cfRule type="cellIs" dxfId="20" priority="2" stopIfTrue="1" operator="lessThanOrEqual">
      <formula>$M5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1F4D8-7F83-4990-8E3A-2179A4CB913C}">
  <dimension ref="A1:AG9"/>
  <sheetViews>
    <sheetView workbookViewId="0">
      <pane ySplit="1" topLeftCell="A2" activePane="bottomLeft" state="frozen"/>
      <selection pane="bottomLeft" activeCell="E2" sqref="E2"/>
    </sheetView>
  </sheetViews>
  <sheetFormatPr baseColWidth="10" defaultColWidth="8.7265625" defaultRowHeight="14.5" outlineLevelCol="1" x14ac:dyDescent="0.35"/>
  <cols>
    <col min="1" max="1" width="12.7265625" bestFit="1" customWidth="1"/>
    <col min="2" max="2" width="10.7265625" bestFit="1" customWidth="1"/>
    <col min="3" max="3" width="12.54296875" customWidth="1"/>
    <col min="4" max="4" width="38.08984375" customWidth="1"/>
    <col min="5" max="5" width="11.81640625" customWidth="1"/>
    <col min="6" max="6" width="42.36328125" customWidth="1"/>
    <col min="7" max="7" width="25.453125" bestFit="1" customWidth="1"/>
    <col min="8" max="8" width="18.1796875" customWidth="1"/>
    <col min="9" max="9" width="20.7265625" bestFit="1" customWidth="1"/>
    <col min="10" max="10" width="20.1796875" customWidth="1"/>
    <col min="11" max="11" width="14.1796875" bestFit="1" customWidth="1"/>
    <col min="12" max="12" width="71.453125" customWidth="1"/>
    <col min="13" max="13" width="21.54296875" bestFit="1" customWidth="1"/>
    <col min="14" max="14" width="21.81640625" customWidth="1"/>
    <col min="15" max="15" width="10.81640625" customWidth="1"/>
    <col min="16" max="16" width="13.81640625" bestFit="1" customWidth="1"/>
    <col min="17" max="17" width="12.7265625" bestFit="1" customWidth="1"/>
    <col min="18" max="18" width="14" customWidth="1"/>
    <col min="19" max="19" width="28.7265625" bestFit="1" customWidth="1"/>
    <col min="20" max="20" width="30.81640625" customWidth="1"/>
    <col min="21" max="21" width="10.453125" bestFit="1" customWidth="1"/>
    <col min="22" max="22" width="19.26953125" bestFit="1" customWidth="1"/>
    <col min="23" max="23" width="21.26953125" bestFit="1" customWidth="1"/>
    <col min="24" max="24" width="18" bestFit="1" customWidth="1" outlineLevel="1"/>
    <col min="25" max="25" width="19.1796875" bestFit="1" customWidth="1" outlineLevel="1"/>
    <col min="26" max="26" width="24.81640625" bestFit="1" customWidth="1" outlineLevel="1"/>
    <col min="27" max="27" width="14.54296875" bestFit="1" customWidth="1" outlineLevel="1"/>
    <col min="28" max="28" width="13.1796875" bestFit="1" customWidth="1" outlineLevel="1"/>
    <col min="29" max="33" width="8.7265625" outlineLevel="1"/>
  </cols>
  <sheetData>
    <row r="1" spans="1:33" ht="43.5" customHeight="1" x14ac:dyDescent="0.35">
      <c r="A1" s="197" t="s">
        <v>78</v>
      </c>
      <c r="B1" s="5" t="s">
        <v>109</v>
      </c>
      <c r="C1" s="5" t="s">
        <v>79</v>
      </c>
      <c r="D1" s="5" t="s">
        <v>134</v>
      </c>
      <c r="E1" s="5" t="s">
        <v>209</v>
      </c>
      <c r="F1" s="5" t="s">
        <v>81</v>
      </c>
      <c r="G1" s="5" t="s">
        <v>82</v>
      </c>
      <c r="H1" s="5" t="s">
        <v>83</v>
      </c>
      <c r="I1" s="5" t="s">
        <v>84</v>
      </c>
      <c r="J1" s="5" t="s">
        <v>85</v>
      </c>
      <c r="K1" s="5" t="s">
        <v>86</v>
      </c>
      <c r="L1" s="5" t="s">
        <v>87</v>
      </c>
      <c r="M1" s="5" t="s">
        <v>88</v>
      </c>
      <c r="N1" s="5" t="s">
        <v>89</v>
      </c>
      <c r="O1" s="5" t="s">
        <v>90</v>
      </c>
      <c r="P1" s="5" t="s">
        <v>91</v>
      </c>
      <c r="Q1" s="5" t="s">
        <v>92</v>
      </c>
      <c r="R1" s="5" t="s">
        <v>93</v>
      </c>
      <c r="S1" s="5" t="s">
        <v>94</v>
      </c>
      <c r="T1" s="5" t="s">
        <v>95</v>
      </c>
      <c r="U1" s="5" t="s">
        <v>96</v>
      </c>
      <c r="V1" s="5" t="s">
        <v>97</v>
      </c>
      <c r="W1" s="5" t="s">
        <v>98</v>
      </c>
      <c r="X1" s="5" t="s">
        <v>99</v>
      </c>
      <c r="Y1" s="5" t="s">
        <v>100</v>
      </c>
      <c r="Z1" s="5" t="s">
        <v>101</v>
      </c>
      <c r="AA1" s="5" t="s">
        <v>102</v>
      </c>
      <c r="AB1" s="5" t="s">
        <v>103</v>
      </c>
      <c r="AC1" s="5" t="s">
        <v>104</v>
      </c>
      <c r="AD1" s="5" t="s">
        <v>105</v>
      </c>
      <c r="AE1" s="5" t="s">
        <v>106</v>
      </c>
      <c r="AF1" s="5" t="s">
        <v>107</v>
      </c>
      <c r="AG1" s="5" t="s">
        <v>108</v>
      </c>
    </row>
    <row r="2" spans="1:33" x14ac:dyDescent="0.35">
      <c r="A2" s="187" t="s">
        <v>145</v>
      </c>
      <c r="B2" s="187" t="s">
        <v>2</v>
      </c>
      <c r="C2" s="187" t="s">
        <v>131</v>
      </c>
      <c r="D2" s="187" t="s">
        <v>195</v>
      </c>
      <c r="E2" s="187" t="s">
        <v>124</v>
      </c>
      <c r="F2" s="187" t="s">
        <v>179</v>
      </c>
      <c r="G2" s="187" t="s">
        <v>146</v>
      </c>
      <c r="H2" s="187">
        <v>6</v>
      </c>
      <c r="I2" s="188">
        <v>45988</v>
      </c>
      <c r="J2" s="188">
        <v>45989</v>
      </c>
      <c r="K2" s="188">
        <v>45994</v>
      </c>
      <c r="L2" s="187" t="s">
        <v>187</v>
      </c>
      <c r="M2" s="187" t="s">
        <v>147</v>
      </c>
      <c r="N2" s="187" t="s">
        <v>148</v>
      </c>
      <c r="O2" s="189">
        <v>119833.84</v>
      </c>
      <c r="P2" s="189">
        <v>103057.1</v>
      </c>
      <c r="Q2" s="189">
        <f>O2-P2</f>
        <v>16776.739999999991</v>
      </c>
      <c r="R2" s="187"/>
      <c r="S2" s="187"/>
      <c r="T2" s="187"/>
      <c r="U2" s="187"/>
      <c r="V2" s="187" t="s">
        <v>149</v>
      </c>
      <c r="W2" s="187" t="s">
        <v>148</v>
      </c>
      <c r="X2" s="190" t="s">
        <v>150</v>
      </c>
      <c r="Y2" s="190" t="s">
        <v>151</v>
      </c>
      <c r="Z2" s="190" t="s">
        <v>152</v>
      </c>
      <c r="AA2" s="190" t="s">
        <v>153</v>
      </c>
      <c r="AB2" s="190" t="s">
        <v>154</v>
      </c>
    </row>
    <row r="3" spans="1:33" x14ac:dyDescent="0.35">
      <c r="A3" s="187" t="s">
        <v>145</v>
      </c>
      <c r="B3" s="187" t="s">
        <v>2</v>
      </c>
      <c r="C3" s="187" t="s">
        <v>131</v>
      </c>
      <c r="D3" s="187" t="s">
        <v>196</v>
      </c>
      <c r="E3" s="187" t="s">
        <v>124</v>
      </c>
      <c r="F3" s="187" t="s">
        <v>180</v>
      </c>
      <c r="G3" s="187" t="s">
        <v>155</v>
      </c>
      <c r="H3" s="187">
        <v>4</v>
      </c>
      <c r="I3" s="188">
        <v>46020</v>
      </c>
      <c r="J3" s="188">
        <v>46021</v>
      </c>
      <c r="K3" s="188">
        <v>46027</v>
      </c>
      <c r="L3" s="187" t="s">
        <v>192</v>
      </c>
      <c r="M3" s="187" t="s">
        <v>155</v>
      </c>
      <c r="N3" s="187" t="s">
        <v>150</v>
      </c>
      <c r="O3" s="189">
        <v>30516.44</v>
      </c>
      <c r="P3" s="189">
        <v>28018.52</v>
      </c>
      <c r="Q3" s="189">
        <f t="shared" ref="Q3:Q9" si="0">O3-P3</f>
        <v>2497.9199999999983</v>
      </c>
      <c r="R3" s="188">
        <v>46049</v>
      </c>
      <c r="S3" s="187" t="s">
        <v>156</v>
      </c>
      <c r="T3" s="187" t="s">
        <v>157</v>
      </c>
      <c r="U3" s="188">
        <v>46027</v>
      </c>
      <c r="V3" s="187" t="s">
        <v>149</v>
      </c>
      <c r="W3" s="187" t="s">
        <v>158</v>
      </c>
      <c r="X3" s="190" t="s">
        <v>148</v>
      </c>
      <c r="Y3" s="190" t="s">
        <v>152</v>
      </c>
      <c r="Z3" s="190" t="s">
        <v>153</v>
      </c>
      <c r="AA3" s="190"/>
      <c r="AB3" s="190"/>
    </row>
    <row r="4" spans="1:33" x14ac:dyDescent="0.35">
      <c r="A4" s="187" t="s">
        <v>145</v>
      </c>
      <c r="B4" s="187" t="s">
        <v>2</v>
      </c>
      <c r="C4" s="187" t="s">
        <v>131</v>
      </c>
      <c r="D4" s="187" t="s">
        <v>197</v>
      </c>
      <c r="E4" s="187" t="s">
        <v>113</v>
      </c>
      <c r="F4" s="187" t="s">
        <v>181</v>
      </c>
      <c r="G4" s="187" t="s">
        <v>159</v>
      </c>
      <c r="H4" s="187">
        <v>2</v>
      </c>
      <c r="I4" s="188">
        <v>46041</v>
      </c>
      <c r="J4" s="188">
        <v>46043</v>
      </c>
      <c r="K4" s="188">
        <v>46046</v>
      </c>
      <c r="L4" s="187" t="s">
        <v>188</v>
      </c>
      <c r="M4" s="187"/>
      <c r="N4" s="187" t="s">
        <v>160</v>
      </c>
      <c r="O4" s="189">
        <v>4749</v>
      </c>
      <c r="P4" s="189">
        <v>4749</v>
      </c>
      <c r="Q4" s="189">
        <f t="shared" si="0"/>
        <v>0</v>
      </c>
      <c r="R4" s="188">
        <v>46058</v>
      </c>
      <c r="S4" s="187" t="s">
        <v>156</v>
      </c>
      <c r="T4" s="187" t="s">
        <v>157</v>
      </c>
      <c r="U4" s="188">
        <v>46046</v>
      </c>
      <c r="V4" s="187" t="s">
        <v>149</v>
      </c>
      <c r="W4" s="187" t="s">
        <v>160</v>
      </c>
      <c r="X4" s="190" t="s">
        <v>161</v>
      </c>
      <c r="Y4" s="190"/>
      <c r="Z4" s="190"/>
      <c r="AA4" s="190"/>
      <c r="AB4" s="190"/>
    </row>
    <row r="5" spans="1:33" ht="70" x14ac:dyDescent="0.35">
      <c r="A5" s="187" t="s">
        <v>145</v>
      </c>
      <c r="B5" s="187" t="s">
        <v>2</v>
      </c>
      <c r="C5" s="187" t="s">
        <v>131</v>
      </c>
      <c r="D5" s="187" t="s">
        <v>198</v>
      </c>
      <c r="E5" s="187" t="s">
        <v>119</v>
      </c>
      <c r="F5" s="192" t="s">
        <v>182</v>
      </c>
      <c r="G5" s="187" t="s">
        <v>162</v>
      </c>
      <c r="H5" s="187">
        <v>4</v>
      </c>
      <c r="I5" s="188">
        <v>46028</v>
      </c>
      <c r="J5" s="188">
        <v>46042</v>
      </c>
      <c r="K5" s="188">
        <v>46050</v>
      </c>
      <c r="L5" s="191" t="s">
        <v>189</v>
      </c>
      <c r="M5" s="187" t="s">
        <v>163</v>
      </c>
      <c r="N5" s="187"/>
      <c r="O5" s="189"/>
      <c r="P5" s="189"/>
      <c r="Q5" s="189">
        <f t="shared" si="0"/>
        <v>0</v>
      </c>
      <c r="R5" s="187"/>
      <c r="S5" s="187"/>
      <c r="T5" s="187"/>
      <c r="U5" s="187"/>
      <c r="V5" s="187" t="s">
        <v>149</v>
      </c>
      <c r="W5" s="187" t="s">
        <v>164</v>
      </c>
      <c r="X5" s="187" t="s">
        <v>165</v>
      </c>
      <c r="Y5" s="187" t="s">
        <v>166</v>
      </c>
      <c r="Z5" s="187" t="s">
        <v>167</v>
      </c>
      <c r="AA5" s="187"/>
      <c r="AB5" s="187"/>
    </row>
    <row r="6" spans="1:33" ht="62" x14ac:dyDescent="0.35">
      <c r="A6" s="187" t="s">
        <v>145</v>
      </c>
      <c r="B6" s="187" t="s">
        <v>2</v>
      </c>
      <c r="C6" s="187" t="s">
        <v>131</v>
      </c>
      <c r="D6" s="187" t="s">
        <v>199</v>
      </c>
      <c r="E6" s="187" t="s">
        <v>126</v>
      </c>
      <c r="F6" s="187" t="s">
        <v>183</v>
      </c>
      <c r="G6" s="187" t="s">
        <v>168</v>
      </c>
      <c r="H6" s="187">
        <v>6</v>
      </c>
      <c r="I6" s="188">
        <v>46035</v>
      </c>
      <c r="J6" s="188">
        <v>46036</v>
      </c>
      <c r="K6" s="188">
        <v>46048</v>
      </c>
      <c r="L6" s="191" t="s">
        <v>190</v>
      </c>
      <c r="M6" s="187" t="s">
        <v>169</v>
      </c>
      <c r="N6" s="187"/>
      <c r="O6" s="189"/>
      <c r="P6" s="189"/>
      <c r="Q6" s="189">
        <f t="shared" si="0"/>
        <v>0</v>
      </c>
      <c r="R6" s="187"/>
      <c r="S6" s="187"/>
      <c r="T6" s="187"/>
      <c r="U6" s="187"/>
      <c r="V6" s="187" t="s">
        <v>149</v>
      </c>
      <c r="W6" s="187" t="s">
        <v>170</v>
      </c>
      <c r="X6" s="187" t="s">
        <v>165</v>
      </c>
      <c r="Y6" s="187" t="s">
        <v>164</v>
      </c>
      <c r="Z6" s="187" t="s">
        <v>171</v>
      </c>
      <c r="AA6" s="187" t="s">
        <v>172</v>
      </c>
      <c r="AB6" s="187" t="s">
        <v>173</v>
      </c>
    </row>
    <row r="7" spans="1:33" ht="14.5" customHeight="1" x14ac:dyDescent="0.35">
      <c r="A7" s="194" t="s">
        <v>145</v>
      </c>
      <c r="B7" s="187" t="s">
        <v>2</v>
      </c>
      <c r="C7" s="194" t="s">
        <v>131</v>
      </c>
      <c r="D7" s="194" t="s">
        <v>200</v>
      </c>
      <c r="E7" s="194" t="s">
        <v>124</v>
      </c>
      <c r="F7" s="194" t="s">
        <v>184</v>
      </c>
      <c r="G7" s="194" t="s">
        <v>168</v>
      </c>
      <c r="H7" s="194">
        <v>4</v>
      </c>
      <c r="I7" s="195">
        <v>46035</v>
      </c>
      <c r="J7" s="195">
        <v>46037</v>
      </c>
      <c r="K7" s="195">
        <v>46042</v>
      </c>
      <c r="L7" s="196" t="s">
        <v>191</v>
      </c>
      <c r="M7" s="194" t="s">
        <v>193</v>
      </c>
      <c r="N7" s="192" t="s">
        <v>203</v>
      </c>
      <c r="O7" s="193">
        <f>26213.93+71213.34+92722.3</f>
        <v>190149.57</v>
      </c>
      <c r="P7" s="189">
        <f>28835.33+64056.74+83058.29</f>
        <v>175950.36</v>
      </c>
      <c r="Q7" s="189">
        <f t="shared" si="0"/>
        <v>14199.210000000021</v>
      </c>
      <c r="R7" s="188">
        <v>46056</v>
      </c>
      <c r="S7" s="187" t="s">
        <v>204</v>
      </c>
      <c r="T7" s="187" t="s">
        <v>204</v>
      </c>
      <c r="U7" s="187"/>
      <c r="V7" s="187" t="s">
        <v>149</v>
      </c>
      <c r="W7" s="194" t="s">
        <v>164</v>
      </c>
      <c r="X7" s="194" t="s">
        <v>165</v>
      </c>
      <c r="Y7" s="194" t="s">
        <v>170</v>
      </c>
      <c r="Z7" s="194" t="s">
        <v>166</v>
      </c>
      <c r="AA7" s="187"/>
      <c r="AB7" s="187"/>
    </row>
    <row r="8" spans="1:33" ht="28" x14ac:dyDescent="0.35">
      <c r="A8" s="187" t="s">
        <v>145</v>
      </c>
      <c r="B8" s="187" t="s">
        <v>2</v>
      </c>
      <c r="C8" s="187" t="s">
        <v>131</v>
      </c>
      <c r="D8" s="192" t="s">
        <v>202</v>
      </c>
      <c r="E8" s="187" t="s">
        <v>124</v>
      </c>
      <c r="F8" s="192" t="s">
        <v>185</v>
      </c>
      <c r="G8" s="187" t="s">
        <v>174</v>
      </c>
      <c r="H8" s="187">
        <v>3</v>
      </c>
      <c r="I8" s="188">
        <v>46037</v>
      </c>
      <c r="J8" s="188">
        <v>46059</v>
      </c>
      <c r="K8" s="188">
        <v>46071</v>
      </c>
      <c r="L8" s="187" t="s">
        <v>194</v>
      </c>
      <c r="M8" s="187" t="s">
        <v>175</v>
      </c>
      <c r="N8" s="187" t="s">
        <v>176</v>
      </c>
      <c r="O8" s="189">
        <v>14246.7</v>
      </c>
      <c r="P8" s="189">
        <v>14246.7</v>
      </c>
      <c r="Q8" s="189">
        <f t="shared" si="0"/>
        <v>0</v>
      </c>
      <c r="R8" s="187"/>
      <c r="S8" s="187"/>
      <c r="T8" s="187"/>
      <c r="U8" s="187"/>
      <c r="V8" s="187" t="s">
        <v>149</v>
      </c>
      <c r="W8" s="187" t="s">
        <v>176</v>
      </c>
      <c r="X8" s="187" t="s">
        <v>144</v>
      </c>
      <c r="Y8" s="190"/>
      <c r="Z8" s="190"/>
      <c r="AA8" s="190"/>
      <c r="AB8" s="190"/>
    </row>
    <row r="9" spans="1:33" ht="42" x14ac:dyDescent="0.35">
      <c r="A9" s="187" t="s">
        <v>145</v>
      </c>
      <c r="B9" s="187" t="s">
        <v>2</v>
      </c>
      <c r="C9" s="187" t="s">
        <v>131</v>
      </c>
      <c r="D9" s="187" t="s">
        <v>201</v>
      </c>
      <c r="E9" s="187" t="s">
        <v>113</v>
      </c>
      <c r="F9" s="192" t="s">
        <v>186</v>
      </c>
      <c r="G9" s="187" t="s">
        <v>147</v>
      </c>
      <c r="H9" s="187">
        <v>1</v>
      </c>
      <c r="I9" s="188">
        <v>46066</v>
      </c>
      <c r="J9" s="188">
        <v>46066</v>
      </c>
      <c r="K9" s="188">
        <v>46068</v>
      </c>
      <c r="L9" s="191" t="s">
        <v>188</v>
      </c>
      <c r="M9" s="187"/>
      <c r="N9" s="187" t="s">
        <v>177</v>
      </c>
      <c r="O9" s="189">
        <v>5876.76</v>
      </c>
      <c r="P9" s="189">
        <v>5283.15</v>
      </c>
      <c r="Q9" s="189">
        <f t="shared" si="0"/>
        <v>593.61000000000058</v>
      </c>
      <c r="R9" s="188">
        <v>46058</v>
      </c>
      <c r="S9" s="187" t="s">
        <v>156</v>
      </c>
      <c r="T9" s="187" t="s">
        <v>157</v>
      </c>
      <c r="U9" s="188">
        <v>46052</v>
      </c>
      <c r="V9" s="187" t="s">
        <v>149</v>
      </c>
      <c r="W9" s="187" t="s">
        <v>178</v>
      </c>
      <c r="X9" s="187"/>
      <c r="Y9" s="187"/>
      <c r="Z9" s="187"/>
      <c r="AA9" s="187"/>
      <c r="AB9" s="187"/>
    </row>
  </sheetData>
  <autoFilter ref="A1:AG1" xr:uid="{9371F4D8-7F83-4990-8E3A-2179A4CB913C}"/>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4629700-5F94-4412-B440-7C53C3A4205B}">
          <x14:formula1>
            <xm:f>List!$C$2:$C$12</xm:f>
          </x14:formula1>
          <xm:sqref>E10:E1048576</xm:sqref>
        </x14:dataValidation>
        <x14:dataValidation type="list" allowBlank="1" showInputMessage="1" showErrorMessage="1" xr:uid="{516F8D83-A3F0-4D09-98EA-BD5027973816}">
          <x14:formula1>
            <xm:f>List!$A$2:$A$13</xm:f>
          </x14:formula1>
          <xm:sqref>C1 C10:C1048576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B6E51-4650-4E91-9D3C-E4BDC7530992}">
  <dimension ref="A1:C23"/>
  <sheetViews>
    <sheetView workbookViewId="0">
      <selection activeCell="D12" sqref="D12"/>
    </sheetView>
  </sheetViews>
  <sheetFormatPr baseColWidth="10" defaultColWidth="8.7265625" defaultRowHeight="14.5" x14ac:dyDescent="0.35"/>
  <cols>
    <col min="1" max="1" width="15.08984375" bestFit="1" customWidth="1"/>
    <col min="2" max="2" width="16.1796875" bestFit="1" customWidth="1"/>
    <col min="3" max="4" width="10.7265625" bestFit="1" customWidth="1"/>
  </cols>
  <sheetData>
    <row r="1" spans="1:3" x14ac:dyDescent="0.35">
      <c r="A1" s="198" t="s">
        <v>209</v>
      </c>
      <c r="B1" t="s">
        <v>211</v>
      </c>
    </row>
    <row r="3" spans="1:3" x14ac:dyDescent="0.35">
      <c r="A3" s="198" t="s">
        <v>210</v>
      </c>
      <c r="B3" s="198" t="s">
        <v>207</v>
      </c>
    </row>
    <row r="4" spans="1:3" x14ac:dyDescent="0.35">
      <c r="A4" s="198" t="s">
        <v>205</v>
      </c>
      <c r="B4" t="s">
        <v>2</v>
      </c>
      <c r="C4" t="s">
        <v>206</v>
      </c>
    </row>
    <row r="5" spans="1:3" x14ac:dyDescent="0.35">
      <c r="A5" s="81" t="s">
        <v>131</v>
      </c>
      <c r="B5">
        <v>6</v>
      </c>
      <c r="C5">
        <v>6</v>
      </c>
    </row>
    <row r="6" spans="1:3" x14ac:dyDescent="0.35">
      <c r="A6" s="81" t="s">
        <v>206</v>
      </c>
      <c r="B6">
        <v>6</v>
      </c>
      <c r="C6">
        <v>6</v>
      </c>
    </row>
    <row r="9" spans="1:3" x14ac:dyDescent="0.35">
      <c r="A9" s="198" t="s">
        <v>79</v>
      </c>
      <c r="B9" t="s">
        <v>208</v>
      </c>
    </row>
    <row r="11" spans="1:3" x14ac:dyDescent="0.35">
      <c r="A11" s="198" t="s">
        <v>210</v>
      </c>
      <c r="B11" s="198" t="s">
        <v>207</v>
      </c>
    </row>
    <row r="12" spans="1:3" x14ac:dyDescent="0.35">
      <c r="A12" s="198" t="s">
        <v>205</v>
      </c>
      <c r="B12" t="s">
        <v>2</v>
      </c>
      <c r="C12" t="s">
        <v>206</v>
      </c>
    </row>
    <row r="13" spans="1:3" x14ac:dyDescent="0.35">
      <c r="A13" s="81" t="s">
        <v>113</v>
      </c>
      <c r="B13">
        <v>2</v>
      </c>
      <c r="C13">
        <v>2</v>
      </c>
    </row>
    <row r="14" spans="1:3" x14ac:dyDescent="0.35">
      <c r="A14" s="81" t="s">
        <v>119</v>
      </c>
      <c r="B14">
        <v>1</v>
      </c>
      <c r="C14">
        <v>1</v>
      </c>
    </row>
    <row r="15" spans="1:3" x14ac:dyDescent="0.35">
      <c r="A15" s="81" t="s">
        <v>124</v>
      </c>
      <c r="B15">
        <v>4</v>
      </c>
      <c r="C15">
        <v>4</v>
      </c>
    </row>
    <row r="16" spans="1:3" x14ac:dyDescent="0.35">
      <c r="A16" s="81" t="s">
        <v>126</v>
      </c>
      <c r="B16">
        <v>1</v>
      </c>
      <c r="C16">
        <v>1</v>
      </c>
    </row>
    <row r="17" spans="1:3" x14ac:dyDescent="0.35">
      <c r="A17" s="81" t="s">
        <v>206</v>
      </c>
      <c r="B17">
        <v>8</v>
      </c>
      <c r="C17">
        <v>8</v>
      </c>
    </row>
    <row r="18" spans="1:3" x14ac:dyDescent="0.35">
      <c r="A18" s="198" t="s">
        <v>209</v>
      </c>
      <c r="B18" t="s">
        <v>211</v>
      </c>
    </row>
    <row r="20" spans="1:3" x14ac:dyDescent="0.35">
      <c r="A20" s="198" t="s">
        <v>212</v>
      </c>
      <c r="B20" s="198" t="s">
        <v>207</v>
      </c>
    </row>
    <row r="21" spans="1:3" x14ac:dyDescent="0.35">
      <c r="A21" s="198" t="s">
        <v>205</v>
      </c>
      <c r="B21" t="s">
        <v>2</v>
      </c>
      <c r="C21" t="s">
        <v>206</v>
      </c>
    </row>
    <row r="22" spans="1:3" x14ac:dyDescent="0.35">
      <c r="A22" s="81" t="s">
        <v>131</v>
      </c>
      <c r="B22">
        <v>33473.87000000001</v>
      </c>
      <c r="C22">
        <v>33473.87000000001</v>
      </c>
    </row>
    <row r="23" spans="1:3" x14ac:dyDescent="0.35">
      <c r="A23" s="81" t="s">
        <v>206</v>
      </c>
      <c r="B23">
        <v>33473.87000000001</v>
      </c>
      <c r="C23">
        <v>33473.87000000001</v>
      </c>
    </row>
  </sheetData>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20832-CF0F-44A2-B423-CE335B4BB1BE}">
  <dimension ref="A1:C13"/>
  <sheetViews>
    <sheetView workbookViewId="0">
      <selection activeCell="A16" sqref="A16"/>
    </sheetView>
  </sheetViews>
  <sheetFormatPr baseColWidth="10" defaultColWidth="8.7265625" defaultRowHeight="14.5" x14ac:dyDescent="0.35"/>
  <cols>
    <col min="1" max="1" width="30.1796875" bestFit="1" customWidth="1"/>
    <col min="3" max="3" width="14.26953125" bestFit="1" customWidth="1"/>
  </cols>
  <sheetData>
    <row r="1" spans="1:3" x14ac:dyDescent="0.35">
      <c r="A1" t="s">
        <v>79</v>
      </c>
      <c r="C1" t="s">
        <v>80</v>
      </c>
    </row>
    <row r="2" spans="1:3" x14ac:dyDescent="0.35">
      <c r="A2" t="s">
        <v>110</v>
      </c>
      <c r="C2" t="s">
        <v>111</v>
      </c>
    </row>
    <row r="3" spans="1:3" x14ac:dyDescent="0.35">
      <c r="A3" t="s">
        <v>112</v>
      </c>
      <c r="C3" t="s">
        <v>113</v>
      </c>
    </row>
    <row r="4" spans="1:3" x14ac:dyDescent="0.35">
      <c r="A4" t="s">
        <v>114</v>
      </c>
      <c r="C4" t="s">
        <v>115</v>
      </c>
    </row>
    <row r="5" spans="1:3" x14ac:dyDescent="0.35">
      <c r="A5" t="s">
        <v>116</v>
      </c>
      <c r="C5" t="s">
        <v>117</v>
      </c>
    </row>
    <row r="6" spans="1:3" x14ac:dyDescent="0.35">
      <c r="A6" t="s">
        <v>118</v>
      </c>
      <c r="C6" t="s">
        <v>119</v>
      </c>
    </row>
    <row r="7" spans="1:3" x14ac:dyDescent="0.35">
      <c r="A7" t="s">
        <v>120</v>
      </c>
      <c r="C7" t="s">
        <v>121</v>
      </c>
    </row>
    <row r="8" spans="1:3" x14ac:dyDescent="0.35">
      <c r="A8" t="s">
        <v>122</v>
      </c>
      <c r="C8" t="s">
        <v>123</v>
      </c>
    </row>
    <row r="9" spans="1:3" x14ac:dyDescent="0.35">
      <c r="A9" t="s">
        <v>125</v>
      </c>
      <c r="C9" t="s">
        <v>124</v>
      </c>
    </row>
    <row r="10" spans="1:3" x14ac:dyDescent="0.35">
      <c r="A10" t="s">
        <v>127</v>
      </c>
      <c r="C10" t="s">
        <v>126</v>
      </c>
    </row>
    <row r="11" spans="1:3" x14ac:dyDescent="0.35">
      <c r="A11" t="s">
        <v>129</v>
      </c>
      <c r="C11" t="s">
        <v>128</v>
      </c>
    </row>
    <row r="12" spans="1:3" x14ac:dyDescent="0.35">
      <c r="A12" t="s">
        <v>131</v>
      </c>
      <c r="C12" t="s">
        <v>130</v>
      </c>
    </row>
    <row r="13" spans="1:3" x14ac:dyDescent="0.35">
      <c r="A13" t="s">
        <v>133</v>
      </c>
      <c r="C13" t="s">
        <v>132</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2105"/>
  <sheetViews>
    <sheetView zoomScale="70" zoomScaleNormal="70" workbookViewId="0">
      <pane xSplit="5" ySplit="4" topLeftCell="F5" activePane="bottomRight" state="frozen"/>
      <selection pane="topRight" activeCell="F1" sqref="F1"/>
      <selection pane="bottomLeft" activeCell="A5" sqref="A5"/>
      <selection pane="bottomRight" activeCell="C5" sqref="C5:M2105"/>
    </sheetView>
  </sheetViews>
  <sheetFormatPr baseColWidth="10" defaultColWidth="11.453125" defaultRowHeight="15" customHeight="1" x14ac:dyDescent="0.35"/>
  <cols>
    <col min="1" max="1" width="5.08984375" customWidth="1"/>
    <col min="2" max="2" width="10.1796875" customWidth="1"/>
    <col min="3" max="3" width="21.36328125" customWidth="1"/>
    <col min="4" max="4" width="29.81640625" style="81" bestFit="1" customWidth="1"/>
    <col min="5" max="5" width="35.6328125" style="81" customWidth="1"/>
    <col min="6" max="6" width="78" bestFit="1" customWidth="1"/>
    <col min="7" max="7" width="44.54296875" bestFit="1" customWidth="1"/>
    <col min="8" max="8" width="8.984375E-2" style="85" customWidth="1"/>
    <col min="9" max="9" width="17.7265625" style="86" bestFit="1" customWidth="1"/>
    <col min="10" max="10" width="10.36328125" bestFit="1" customWidth="1"/>
    <col min="11" max="11" width="15.6328125" style="112" customWidth="1"/>
    <col min="12" max="12" width="15.453125" style="44" customWidth="1"/>
    <col min="13" max="13" width="21" style="62" customWidth="1"/>
    <col min="14" max="14" width="25.1796875" customWidth="1"/>
    <col min="15" max="15" width="16.26953125" customWidth="1"/>
    <col min="16" max="16" width="16.54296875" customWidth="1"/>
  </cols>
  <sheetData>
    <row r="1" spans="2:17" ht="27" customHeight="1" x14ac:dyDescent="0.35">
      <c r="B1" s="233" t="s">
        <v>60</v>
      </c>
      <c r="C1" s="235"/>
      <c r="D1" s="265"/>
      <c r="E1" s="265"/>
      <c r="F1" s="235"/>
      <c r="G1" s="235"/>
      <c r="H1" s="266"/>
      <c r="I1" s="267"/>
      <c r="J1" s="235"/>
      <c r="K1" s="268"/>
      <c r="L1" s="269"/>
      <c r="M1" s="238"/>
      <c r="N1" s="235"/>
      <c r="O1" s="235"/>
    </row>
    <row r="2" spans="2:17" ht="15" customHeight="1" x14ac:dyDescent="0.35">
      <c r="C2" s="241" t="s">
        <v>74</v>
      </c>
      <c r="J2">
        <v>421.75</v>
      </c>
      <c r="K2" s="243" t="s">
        <v>72</v>
      </c>
      <c r="L2" s="270" t="s">
        <v>75</v>
      </c>
      <c r="M2" s="243" t="s">
        <v>72</v>
      </c>
      <c r="N2" s="245" t="s">
        <v>76</v>
      </c>
      <c r="O2" s="245" t="s">
        <v>76</v>
      </c>
    </row>
    <row r="3" spans="2:17" ht="15" customHeight="1" x14ac:dyDescent="0.35">
      <c r="C3" s="242"/>
      <c r="K3" s="244"/>
      <c r="L3" s="271"/>
      <c r="M3" s="244"/>
      <c r="N3" s="246"/>
      <c r="O3" s="246"/>
    </row>
    <row r="4" spans="2:17" ht="43.5" customHeight="1" x14ac:dyDescent="0.35">
      <c r="B4" s="5" t="s">
        <v>33</v>
      </c>
      <c r="C4" s="5" t="s">
        <v>34</v>
      </c>
      <c r="D4" s="82" t="s">
        <v>61</v>
      </c>
      <c r="E4" s="84" t="s">
        <v>62</v>
      </c>
      <c r="F4" s="69" t="s">
        <v>45</v>
      </c>
      <c r="G4" s="5" t="s">
        <v>46</v>
      </c>
      <c r="H4" s="87"/>
      <c r="I4" s="88" t="s">
        <v>63</v>
      </c>
      <c r="J4" s="9" t="s">
        <v>47</v>
      </c>
      <c r="K4" s="114" t="s">
        <v>64</v>
      </c>
      <c r="L4" s="113" t="s">
        <v>65</v>
      </c>
      <c r="M4" s="115" t="s">
        <v>66</v>
      </c>
      <c r="N4" s="69" t="s">
        <v>67</v>
      </c>
      <c r="O4" s="9" t="s">
        <v>68</v>
      </c>
      <c r="Q4" s="37"/>
    </row>
    <row r="5" spans="2:17" ht="15" customHeight="1" x14ac:dyDescent="0.35">
      <c r="B5" s="10">
        <v>329</v>
      </c>
      <c r="C5" s="34"/>
      <c r="D5" s="68"/>
      <c r="E5" s="68"/>
      <c r="F5" s="42"/>
      <c r="G5" s="36"/>
      <c r="H5" s="36"/>
      <c r="I5" s="67"/>
      <c r="J5" s="12"/>
      <c r="K5" s="110"/>
      <c r="L5" s="107"/>
      <c r="M5" s="108"/>
      <c r="N5" s="11" t="str">
        <f t="shared" ref="N5:N60" si="0">IF(OR(M5="", K5=""),"", M5- K5)</f>
        <v/>
      </c>
      <c r="O5" s="32" t="str">
        <f t="shared" ref="O5:O61" si="1">IF(OR(M5="", K5="", L5=""), "", IF((M5 - K5) &gt; L5, "No", "Yes"))</f>
        <v/>
      </c>
    </row>
    <row r="6" spans="2:17" ht="15" customHeight="1" x14ac:dyDescent="0.35">
      <c r="B6" s="10">
        <v>330</v>
      </c>
      <c r="C6" s="34"/>
      <c r="D6" s="68"/>
      <c r="E6" s="68"/>
      <c r="F6" s="42"/>
      <c r="G6" s="36"/>
      <c r="H6" s="36"/>
      <c r="I6" s="67"/>
      <c r="J6" s="12"/>
      <c r="K6" s="110"/>
      <c r="L6" s="107"/>
      <c r="M6" s="108"/>
      <c r="N6" s="11" t="str">
        <f t="shared" si="0"/>
        <v/>
      </c>
      <c r="O6" s="32" t="str">
        <f t="shared" si="1"/>
        <v/>
      </c>
    </row>
    <row r="7" spans="2:17" ht="15" customHeight="1" x14ac:dyDescent="0.35">
      <c r="B7" s="10">
        <v>331</v>
      </c>
      <c r="C7" s="34"/>
      <c r="D7" s="68"/>
      <c r="E7" s="68"/>
      <c r="F7" s="42"/>
      <c r="G7" s="36"/>
      <c r="H7" s="36"/>
      <c r="I7" s="67"/>
      <c r="J7" s="12"/>
      <c r="K7" s="110"/>
      <c r="L7" s="107"/>
      <c r="M7" s="108"/>
      <c r="N7" s="11" t="str">
        <f t="shared" si="0"/>
        <v/>
      </c>
      <c r="O7" s="32" t="str">
        <f t="shared" si="1"/>
        <v/>
      </c>
    </row>
    <row r="8" spans="2:17" ht="15" customHeight="1" x14ac:dyDescent="0.35">
      <c r="B8" s="10">
        <v>332</v>
      </c>
      <c r="C8" s="34"/>
      <c r="D8" s="68"/>
      <c r="E8" s="68"/>
      <c r="F8" s="42"/>
      <c r="G8" s="36"/>
      <c r="H8" s="36"/>
      <c r="I8" s="67"/>
      <c r="J8" s="12"/>
      <c r="K8" s="110"/>
      <c r="L8" s="107"/>
      <c r="M8" s="108"/>
      <c r="N8" s="11" t="str">
        <f t="shared" si="0"/>
        <v/>
      </c>
      <c r="O8" s="32" t="str">
        <f t="shared" si="1"/>
        <v/>
      </c>
    </row>
    <row r="9" spans="2:17" ht="15" customHeight="1" x14ac:dyDescent="0.35">
      <c r="B9" s="10">
        <v>333</v>
      </c>
      <c r="C9" s="34"/>
      <c r="D9" s="68"/>
      <c r="E9" s="68"/>
      <c r="F9" s="42"/>
      <c r="G9" s="36"/>
      <c r="H9" s="36"/>
      <c r="I9" s="67"/>
      <c r="J9" s="12"/>
      <c r="K9" s="110"/>
      <c r="L9" s="107"/>
      <c r="M9" s="108"/>
      <c r="N9" s="11" t="str">
        <f t="shared" si="0"/>
        <v/>
      </c>
      <c r="O9" s="32" t="str">
        <f t="shared" si="1"/>
        <v/>
      </c>
    </row>
    <row r="10" spans="2:17" ht="15" customHeight="1" x14ac:dyDescent="0.35">
      <c r="B10" s="10">
        <v>334</v>
      </c>
      <c r="C10" s="34"/>
      <c r="D10" s="68"/>
      <c r="E10" s="68"/>
      <c r="F10" s="42"/>
      <c r="G10" s="36"/>
      <c r="H10" s="36"/>
      <c r="I10" s="67"/>
      <c r="J10" s="12"/>
      <c r="K10" s="110"/>
      <c r="L10" s="107"/>
      <c r="M10" s="108"/>
      <c r="N10" s="11" t="str">
        <f t="shared" si="0"/>
        <v/>
      </c>
      <c r="O10" s="32" t="str">
        <f t="shared" si="1"/>
        <v/>
      </c>
    </row>
    <row r="11" spans="2:17" ht="15" customHeight="1" x14ac:dyDescent="0.35">
      <c r="B11" s="10">
        <v>335</v>
      </c>
      <c r="C11" s="34"/>
      <c r="D11" s="68"/>
      <c r="E11" s="68"/>
      <c r="F11" s="42"/>
      <c r="G11" s="36"/>
      <c r="H11" s="36"/>
      <c r="I11" s="67"/>
      <c r="J11" s="12"/>
      <c r="K11" s="110"/>
      <c r="L11" s="107"/>
      <c r="M11" s="108"/>
      <c r="N11" s="11" t="str">
        <f t="shared" si="0"/>
        <v/>
      </c>
      <c r="O11" s="32" t="str">
        <f t="shared" si="1"/>
        <v/>
      </c>
    </row>
    <row r="12" spans="2:17" ht="15" customHeight="1" x14ac:dyDescent="0.35">
      <c r="B12" s="10">
        <v>336</v>
      </c>
      <c r="C12" s="34"/>
      <c r="D12" s="68"/>
      <c r="E12" s="68"/>
      <c r="F12" s="42"/>
      <c r="G12" s="36"/>
      <c r="H12" s="36"/>
      <c r="I12" s="67"/>
      <c r="J12" s="12"/>
      <c r="K12" s="110"/>
      <c r="L12" s="107"/>
      <c r="M12" s="108"/>
      <c r="N12" s="11" t="str">
        <f t="shared" si="0"/>
        <v/>
      </c>
      <c r="O12" s="32" t="str">
        <f t="shared" si="1"/>
        <v/>
      </c>
    </row>
    <row r="13" spans="2:17" ht="15" customHeight="1" x14ac:dyDescent="0.35">
      <c r="B13" s="10">
        <v>337</v>
      </c>
      <c r="C13" s="34"/>
      <c r="D13" s="68"/>
      <c r="E13" s="68"/>
      <c r="F13" s="42"/>
      <c r="G13" s="36"/>
      <c r="H13" s="36"/>
      <c r="I13" s="67"/>
      <c r="J13" s="12"/>
      <c r="K13" s="110"/>
      <c r="L13" s="107"/>
      <c r="M13" s="108"/>
      <c r="N13" s="11" t="str">
        <f t="shared" si="0"/>
        <v/>
      </c>
      <c r="O13" s="32" t="str">
        <f t="shared" si="1"/>
        <v/>
      </c>
    </row>
    <row r="14" spans="2:17" ht="15" customHeight="1" x14ac:dyDescent="0.35">
      <c r="B14" s="10">
        <v>338</v>
      </c>
      <c r="C14" s="34"/>
      <c r="D14" s="68"/>
      <c r="E14" s="68"/>
      <c r="F14" s="42"/>
      <c r="G14" s="36"/>
      <c r="H14" s="36"/>
      <c r="I14" s="67"/>
      <c r="J14" s="12"/>
      <c r="K14" s="110"/>
      <c r="L14" s="107"/>
      <c r="M14" s="108"/>
      <c r="N14" s="11" t="str">
        <f t="shared" si="0"/>
        <v/>
      </c>
      <c r="O14" s="32" t="str">
        <f t="shared" si="1"/>
        <v/>
      </c>
    </row>
    <row r="15" spans="2:17" ht="15" customHeight="1" x14ac:dyDescent="0.35">
      <c r="B15" s="10">
        <v>339</v>
      </c>
      <c r="C15" s="34"/>
      <c r="D15" s="68"/>
      <c r="E15" s="68"/>
      <c r="F15" s="42"/>
      <c r="G15" s="36"/>
      <c r="H15" s="36"/>
      <c r="I15" s="67"/>
      <c r="J15" s="12"/>
      <c r="K15" s="110"/>
      <c r="L15" s="107"/>
      <c r="M15" s="108"/>
      <c r="N15" s="11" t="str">
        <f t="shared" si="0"/>
        <v/>
      </c>
      <c r="O15" s="32" t="str">
        <f t="shared" si="1"/>
        <v/>
      </c>
    </row>
    <row r="16" spans="2:17" ht="15" customHeight="1" x14ac:dyDescent="0.35">
      <c r="B16" s="10">
        <v>340</v>
      </c>
      <c r="C16" s="34"/>
      <c r="D16" s="68"/>
      <c r="E16" s="68"/>
      <c r="F16" s="42"/>
      <c r="G16" s="36"/>
      <c r="H16" s="36"/>
      <c r="I16" s="67"/>
      <c r="J16" s="12"/>
      <c r="K16" s="110"/>
      <c r="L16" s="107"/>
      <c r="M16" s="108"/>
      <c r="N16" s="11" t="str">
        <f t="shared" si="0"/>
        <v/>
      </c>
      <c r="O16" s="32" t="str">
        <f t="shared" si="1"/>
        <v/>
      </c>
    </row>
    <row r="17" spans="2:15" ht="15" customHeight="1" x14ac:dyDescent="0.35">
      <c r="B17" s="10">
        <v>341</v>
      </c>
      <c r="C17" s="34"/>
      <c r="D17" s="68"/>
      <c r="E17" s="68"/>
      <c r="F17" s="42"/>
      <c r="G17" s="36"/>
      <c r="H17" s="36"/>
      <c r="I17" s="67"/>
      <c r="J17" s="12"/>
      <c r="K17" s="110"/>
      <c r="L17" s="107"/>
      <c r="M17" s="108"/>
      <c r="N17" s="11" t="str">
        <f t="shared" si="0"/>
        <v/>
      </c>
      <c r="O17" s="32" t="str">
        <f t="shared" si="1"/>
        <v/>
      </c>
    </row>
    <row r="18" spans="2:15" ht="15" customHeight="1" x14ac:dyDescent="0.35">
      <c r="B18" s="10">
        <v>342</v>
      </c>
      <c r="C18" s="34"/>
      <c r="D18" s="68"/>
      <c r="E18" s="68"/>
      <c r="F18" s="42"/>
      <c r="G18" s="36"/>
      <c r="H18" s="36"/>
      <c r="I18" s="67"/>
      <c r="J18" s="12"/>
      <c r="K18" s="110"/>
      <c r="L18" s="107"/>
      <c r="M18" s="108"/>
      <c r="N18" s="11" t="str">
        <f t="shared" si="0"/>
        <v/>
      </c>
      <c r="O18" s="32" t="str">
        <f t="shared" si="1"/>
        <v/>
      </c>
    </row>
    <row r="19" spans="2:15" ht="15" customHeight="1" x14ac:dyDescent="0.35">
      <c r="B19" s="10">
        <v>343</v>
      </c>
      <c r="C19" s="34"/>
      <c r="D19" s="68"/>
      <c r="E19" s="68"/>
      <c r="F19" s="42"/>
      <c r="G19" s="36"/>
      <c r="H19" s="36"/>
      <c r="I19" s="67"/>
      <c r="J19" s="12"/>
      <c r="K19" s="110"/>
      <c r="L19" s="107"/>
      <c r="M19" s="108"/>
      <c r="N19" s="11" t="str">
        <f t="shared" si="0"/>
        <v/>
      </c>
      <c r="O19" s="32" t="str">
        <f t="shared" si="1"/>
        <v/>
      </c>
    </row>
    <row r="20" spans="2:15" ht="15" customHeight="1" x14ac:dyDescent="0.35">
      <c r="B20" s="10">
        <v>344</v>
      </c>
      <c r="C20" s="34"/>
      <c r="D20" s="68"/>
      <c r="E20" s="68"/>
      <c r="F20" s="42"/>
      <c r="G20" s="36"/>
      <c r="H20" s="36"/>
      <c r="I20" s="67"/>
      <c r="J20" s="12"/>
      <c r="K20" s="110"/>
      <c r="L20" s="107"/>
      <c r="M20" s="108"/>
      <c r="N20" s="11" t="str">
        <f t="shared" si="0"/>
        <v/>
      </c>
      <c r="O20" s="32" t="str">
        <f t="shared" si="1"/>
        <v/>
      </c>
    </row>
    <row r="21" spans="2:15" ht="15" customHeight="1" x14ac:dyDescent="0.35">
      <c r="B21" s="10">
        <v>345</v>
      </c>
      <c r="C21" s="34"/>
      <c r="D21" s="68"/>
      <c r="E21" s="68"/>
      <c r="F21" s="42"/>
      <c r="G21" s="36"/>
      <c r="H21" s="36"/>
      <c r="I21" s="67"/>
      <c r="J21" s="12"/>
      <c r="K21" s="110"/>
      <c r="L21" s="107"/>
      <c r="M21" s="108"/>
      <c r="N21" s="11" t="str">
        <f t="shared" si="0"/>
        <v/>
      </c>
      <c r="O21" s="32" t="str">
        <f t="shared" si="1"/>
        <v/>
      </c>
    </row>
    <row r="22" spans="2:15" ht="15" customHeight="1" x14ac:dyDescent="0.35">
      <c r="B22" s="10">
        <v>346</v>
      </c>
      <c r="C22" s="34"/>
      <c r="D22" s="68"/>
      <c r="E22" s="68"/>
      <c r="F22" s="42"/>
      <c r="G22" s="36"/>
      <c r="H22" s="36"/>
      <c r="I22" s="67"/>
      <c r="J22" s="12"/>
      <c r="K22" s="110"/>
      <c r="L22" s="107"/>
      <c r="M22" s="108"/>
      <c r="N22" s="11" t="str">
        <f t="shared" si="0"/>
        <v/>
      </c>
      <c r="O22" s="32" t="str">
        <f t="shared" si="1"/>
        <v/>
      </c>
    </row>
    <row r="23" spans="2:15" ht="15" customHeight="1" x14ac:dyDescent="0.35">
      <c r="B23" s="10">
        <v>347</v>
      </c>
      <c r="C23" s="34"/>
      <c r="D23" s="68"/>
      <c r="E23" s="68"/>
      <c r="F23" s="42"/>
      <c r="G23" s="36"/>
      <c r="H23" s="36"/>
      <c r="I23" s="67"/>
      <c r="J23" s="12"/>
      <c r="K23" s="110"/>
      <c r="L23" s="107"/>
      <c r="M23" s="108"/>
      <c r="N23" s="11" t="str">
        <f t="shared" si="0"/>
        <v/>
      </c>
      <c r="O23" s="32" t="str">
        <f t="shared" si="1"/>
        <v/>
      </c>
    </row>
    <row r="24" spans="2:15" ht="15" customHeight="1" x14ac:dyDescent="0.35">
      <c r="B24" s="10">
        <v>348</v>
      </c>
      <c r="C24" s="34"/>
      <c r="D24" s="68"/>
      <c r="E24" s="68"/>
      <c r="F24" s="42"/>
      <c r="G24" s="36"/>
      <c r="H24" s="36"/>
      <c r="I24" s="67"/>
      <c r="J24" s="12"/>
      <c r="K24" s="110"/>
      <c r="L24" s="107"/>
      <c r="M24" s="108"/>
      <c r="N24" s="11" t="str">
        <f t="shared" si="0"/>
        <v/>
      </c>
      <c r="O24" s="32" t="str">
        <f t="shared" si="1"/>
        <v/>
      </c>
    </row>
    <row r="25" spans="2:15" ht="15" customHeight="1" x14ac:dyDescent="0.35">
      <c r="B25" s="10">
        <v>349</v>
      </c>
      <c r="C25" s="34"/>
      <c r="D25" s="68"/>
      <c r="E25" s="68"/>
      <c r="F25" s="42"/>
      <c r="G25" s="36"/>
      <c r="H25" s="36"/>
      <c r="I25" s="67"/>
      <c r="J25" s="12"/>
      <c r="K25" s="110"/>
      <c r="L25" s="107"/>
      <c r="M25" s="108"/>
      <c r="N25" s="11" t="str">
        <f t="shared" si="0"/>
        <v/>
      </c>
      <c r="O25" s="32" t="str">
        <f t="shared" si="1"/>
        <v/>
      </c>
    </row>
    <row r="26" spans="2:15" ht="15" customHeight="1" x14ac:dyDescent="0.35">
      <c r="B26" s="10">
        <v>350</v>
      </c>
      <c r="C26" s="34"/>
      <c r="D26" s="68"/>
      <c r="E26" s="68"/>
      <c r="F26" s="42"/>
      <c r="G26" s="36"/>
      <c r="H26" s="36"/>
      <c r="I26" s="67"/>
      <c r="J26" s="12"/>
      <c r="K26" s="110"/>
      <c r="L26" s="107"/>
      <c r="M26" s="108"/>
      <c r="N26" s="11" t="str">
        <f t="shared" si="0"/>
        <v/>
      </c>
      <c r="O26" s="32" t="str">
        <f t="shared" si="1"/>
        <v/>
      </c>
    </row>
    <row r="27" spans="2:15" ht="15" customHeight="1" x14ac:dyDescent="0.35">
      <c r="B27" s="10">
        <v>351</v>
      </c>
      <c r="C27" s="34"/>
      <c r="D27" s="68"/>
      <c r="E27" s="68"/>
      <c r="F27" s="42"/>
      <c r="G27" s="36"/>
      <c r="H27" s="36"/>
      <c r="I27" s="67"/>
      <c r="J27" s="12"/>
      <c r="K27" s="110"/>
      <c r="L27" s="107"/>
      <c r="M27" s="108"/>
      <c r="N27" s="11" t="str">
        <f t="shared" si="0"/>
        <v/>
      </c>
      <c r="O27" s="32" t="str">
        <f t="shared" si="1"/>
        <v/>
      </c>
    </row>
    <row r="28" spans="2:15" ht="15" customHeight="1" x14ac:dyDescent="0.35">
      <c r="B28" s="10">
        <v>352</v>
      </c>
      <c r="C28" s="34"/>
      <c r="D28" s="68"/>
      <c r="E28" s="68"/>
      <c r="F28" s="42"/>
      <c r="G28" s="36"/>
      <c r="H28" s="36"/>
      <c r="I28" s="67"/>
      <c r="J28" s="12"/>
      <c r="K28" s="110"/>
      <c r="L28" s="107"/>
      <c r="M28" s="108"/>
      <c r="N28" s="11" t="str">
        <f t="shared" si="0"/>
        <v/>
      </c>
      <c r="O28" s="32" t="str">
        <f t="shared" si="1"/>
        <v/>
      </c>
    </row>
    <row r="29" spans="2:15" ht="15" customHeight="1" x14ac:dyDescent="0.35">
      <c r="B29" s="10">
        <v>353</v>
      </c>
      <c r="C29" s="34"/>
      <c r="D29" s="68"/>
      <c r="E29" s="68"/>
      <c r="F29" s="42"/>
      <c r="G29" s="36"/>
      <c r="H29" s="36"/>
      <c r="I29" s="67"/>
      <c r="J29" s="12"/>
      <c r="K29" s="110"/>
      <c r="L29" s="107"/>
      <c r="M29" s="108"/>
      <c r="N29" s="11" t="str">
        <f t="shared" si="0"/>
        <v/>
      </c>
      <c r="O29" s="32" t="str">
        <f t="shared" si="1"/>
        <v/>
      </c>
    </row>
    <row r="30" spans="2:15" ht="15" customHeight="1" x14ac:dyDescent="0.35">
      <c r="B30" s="10">
        <v>354</v>
      </c>
      <c r="C30" s="34"/>
      <c r="D30" s="68"/>
      <c r="E30" s="68"/>
      <c r="F30" s="42"/>
      <c r="G30" s="36"/>
      <c r="H30" s="36"/>
      <c r="I30" s="67"/>
      <c r="J30" s="12"/>
      <c r="K30" s="110"/>
      <c r="L30" s="107"/>
      <c r="M30" s="108"/>
      <c r="N30" s="11" t="str">
        <f t="shared" si="0"/>
        <v/>
      </c>
      <c r="O30" s="32" t="str">
        <f t="shared" si="1"/>
        <v/>
      </c>
    </row>
    <row r="31" spans="2:15" ht="15" customHeight="1" x14ac:dyDescent="0.35">
      <c r="B31" s="10">
        <v>355</v>
      </c>
      <c r="C31" s="34"/>
      <c r="D31" s="68"/>
      <c r="E31" s="68"/>
      <c r="F31" s="42"/>
      <c r="G31" s="36"/>
      <c r="H31" s="36"/>
      <c r="I31" s="67"/>
      <c r="J31" s="12"/>
      <c r="K31" s="110"/>
      <c r="L31" s="107"/>
      <c r="M31" s="108"/>
      <c r="N31" s="11" t="str">
        <f t="shared" si="0"/>
        <v/>
      </c>
      <c r="O31" s="32" t="str">
        <f t="shared" si="1"/>
        <v/>
      </c>
    </row>
    <row r="32" spans="2:15" ht="15" customHeight="1" x14ac:dyDescent="0.35">
      <c r="B32" s="10">
        <v>356</v>
      </c>
      <c r="C32" s="34"/>
      <c r="D32" s="68"/>
      <c r="E32" s="68"/>
      <c r="F32" s="42"/>
      <c r="G32" s="36"/>
      <c r="H32" s="36"/>
      <c r="I32" s="67"/>
      <c r="J32" s="12"/>
      <c r="K32" s="110"/>
      <c r="L32" s="107"/>
      <c r="M32" s="108"/>
      <c r="N32" s="11" t="str">
        <f t="shared" si="0"/>
        <v/>
      </c>
      <c r="O32" s="32" t="str">
        <f t="shared" si="1"/>
        <v/>
      </c>
    </row>
    <row r="33" spans="2:15" ht="15" customHeight="1" x14ac:dyDescent="0.35">
      <c r="B33" s="10">
        <v>357</v>
      </c>
      <c r="C33" s="34"/>
      <c r="D33" s="68"/>
      <c r="E33" s="68"/>
      <c r="F33" s="42"/>
      <c r="G33" s="36"/>
      <c r="H33" s="36"/>
      <c r="I33" s="67"/>
      <c r="J33" s="12"/>
      <c r="K33" s="110"/>
      <c r="L33" s="107"/>
      <c r="M33" s="108"/>
      <c r="N33" s="11" t="str">
        <f t="shared" si="0"/>
        <v/>
      </c>
      <c r="O33" s="32" t="str">
        <f t="shared" si="1"/>
        <v/>
      </c>
    </row>
    <row r="34" spans="2:15" ht="15" customHeight="1" x14ac:dyDescent="0.35">
      <c r="B34" s="10">
        <v>358</v>
      </c>
      <c r="C34" s="34"/>
      <c r="D34" s="68"/>
      <c r="E34" s="68"/>
      <c r="F34" s="42"/>
      <c r="G34" s="36"/>
      <c r="H34" s="36"/>
      <c r="I34" s="67"/>
      <c r="J34" s="12"/>
      <c r="K34" s="110"/>
      <c r="L34" s="107"/>
      <c r="M34" s="108"/>
      <c r="N34" s="11" t="str">
        <f t="shared" si="0"/>
        <v/>
      </c>
      <c r="O34" s="32" t="str">
        <f t="shared" si="1"/>
        <v/>
      </c>
    </row>
    <row r="35" spans="2:15" ht="15" customHeight="1" x14ac:dyDescent="0.35">
      <c r="B35" s="10">
        <v>359</v>
      </c>
      <c r="C35" s="34"/>
      <c r="D35" s="68"/>
      <c r="E35" s="68"/>
      <c r="F35" s="42"/>
      <c r="G35" s="36"/>
      <c r="H35" s="36"/>
      <c r="I35" s="67"/>
      <c r="J35" s="12"/>
      <c r="K35" s="110"/>
      <c r="L35" s="107"/>
      <c r="M35" s="108"/>
      <c r="N35" s="11" t="str">
        <f t="shared" si="0"/>
        <v/>
      </c>
      <c r="O35" s="32" t="str">
        <f t="shared" si="1"/>
        <v/>
      </c>
    </row>
    <row r="36" spans="2:15" ht="15" customHeight="1" x14ac:dyDescent="0.35">
      <c r="B36" s="10">
        <v>360</v>
      </c>
      <c r="C36" s="34"/>
      <c r="D36" s="68"/>
      <c r="E36" s="68"/>
      <c r="F36" s="42"/>
      <c r="G36" s="36"/>
      <c r="H36" s="36"/>
      <c r="I36" s="67"/>
      <c r="J36" s="12"/>
      <c r="K36" s="110"/>
      <c r="L36" s="107"/>
      <c r="M36" s="108"/>
      <c r="N36" s="11" t="str">
        <f t="shared" si="0"/>
        <v/>
      </c>
      <c r="O36" s="32" t="str">
        <f t="shared" si="1"/>
        <v/>
      </c>
    </row>
    <row r="37" spans="2:15" ht="15" customHeight="1" x14ac:dyDescent="0.35">
      <c r="B37" s="10">
        <v>361</v>
      </c>
      <c r="C37" s="34"/>
      <c r="D37" s="68"/>
      <c r="E37" s="68"/>
      <c r="F37" s="42"/>
      <c r="G37" s="36"/>
      <c r="H37" s="36"/>
      <c r="I37" s="67"/>
      <c r="J37" s="12"/>
      <c r="K37" s="110"/>
      <c r="L37" s="107"/>
      <c r="M37" s="108"/>
      <c r="N37" s="11" t="str">
        <f t="shared" si="0"/>
        <v/>
      </c>
      <c r="O37" s="32" t="str">
        <f t="shared" si="1"/>
        <v/>
      </c>
    </row>
    <row r="38" spans="2:15" ht="15" customHeight="1" x14ac:dyDescent="0.35">
      <c r="B38" s="10">
        <v>362</v>
      </c>
      <c r="C38" s="34"/>
      <c r="D38" s="68"/>
      <c r="E38" s="68"/>
      <c r="F38" s="42"/>
      <c r="G38" s="36"/>
      <c r="H38" s="36"/>
      <c r="I38" s="67"/>
      <c r="J38" s="12"/>
      <c r="K38" s="110"/>
      <c r="L38" s="107"/>
      <c r="M38" s="108"/>
      <c r="N38" s="11" t="str">
        <f t="shared" si="0"/>
        <v/>
      </c>
      <c r="O38" s="32" t="str">
        <f t="shared" si="1"/>
        <v/>
      </c>
    </row>
    <row r="39" spans="2:15" ht="15" customHeight="1" x14ac:dyDescent="0.35">
      <c r="B39" s="10">
        <v>363</v>
      </c>
      <c r="C39" s="34"/>
      <c r="D39" s="68"/>
      <c r="E39" s="68"/>
      <c r="F39" s="42"/>
      <c r="G39" s="36"/>
      <c r="H39" s="36"/>
      <c r="I39" s="67"/>
      <c r="J39" s="12"/>
      <c r="K39" s="110"/>
      <c r="L39" s="107"/>
      <c r="M39" s="108"/>
      <c r="N39" s="11" t="str">
        <f t="shared" si="0"/>
        <v/>
      </c>
      <c r="O39" s="32" t="str">
        <f t="shared" si="1"/>
        <v/>
      </c>
    </row>
    <row r="40" spans="2:15" ht="15" customHeight="1" x14ac:dyDescent="0.35">
      <c r="B40" s="10">
        <v>364</v>
      </c>
      <c r="C40" s="34"/>
      <c r="D40" s="68"/>
      <c r="E40" s="68"/>
      <c r="F40" s="42"/>
      <c r="G40" s="36"/>
      <c r="H40" s="36"/>
      <c r="I40" s="67"/>
      <c r="J40" s="12"/>
      <c r="K40" s="110"/>
      <c r="L40" s="107"/>
      <c r="M40" s="108"/>
      <c r="N40" s="11" t="str">
        <f t="shared" si="0"/>
        <v/>
      </c>
      <c r="O40" s="32" t="str">
        <f t="shared" si="1"/>
        <v/>
      </c>
    </row>
    <row r="41" spans="2:15" ht="15" customHeight="1" x14ac:dyDescent="0.35">
      <c r="B41" s="10">
        <v>365</v>
      </c>
      <c r="C41" s="34"/>
      <c r="D41" s="68"/>
      <c r="E41" s="68"/>
      <c r="F41" s="42"/>
      <c r="G41" s="36"/>
      <c r="H41" s="36"/>
      <c r="I41" s="67"/>
      <c r="J41" s="12"/>
      <c r="K41" s="110"/>
      <c r="L41" s="107"/>
      <c r="M41" s="108"/>
      <c r="N41" s="11" t="str">
        <f t="shared" si="0"/>
        <v/>
      </c>
      <c r="O41" s="32" t="str">
        <f t="shared" si="1"/>
        <v/>
      </c>
    </row>
    <row r="42" spans="2:15" ht="15" customHeight="1" x14ac:dyDescent="0.35">
      <c r="B42" s="10">
        <v>366</v>
      </c>
      <c r="C42" s="34"/>
      <c r="D42" s="68"/>
      <c r="E42" s="68"/>
      <c r="F42" s="42"/>
      <c r="G42" s="36"/>
      <c r="H42" s="36"/>
      <c r="I42" s="67"/>
      <c r="J42" s="12"/>
      <c r="K42" s="110"/>
      <c r="L42" s="107"/>
      <c r="M42" s="108"/>
      <c r="N42" s="11" t="str">
        <f t="shared" si="0"/>
        <v/>
      </c>
      <c r="O42" s="32" t="str">
        <f t="shared" si="1"/>
        <v/>
      </c>
    </row>
    <row r="43" spans="2:15" ht="15" customHeight="1" x14ac:dyDescent="0.35">
      <c r="B43" s="10">
        <v>367</v>
      </c>
      <c r="C43" s="34"/>
      <c r="D43" s="68"/>
      <c r="E43" s="68"/>
      <c r="F43" s="42"/>
      <c r="G43" s="36"/>
      <c r="H43" s="36"/>
      <c r="I43" s="67"/>
      <c r="J43" s="12"/>
      <c r="K43" s="110"/>
      <c r="L43" s="107"/>
      <c r="M43" s="108"/>
      <c r="N43" s="11" t="str">
        <f t="shared" si="0"/>
        <v/>
      </c>
      <c r="O43" s="32" t="str">
        <f t="shared" si="1"/>
        <v/>
      </c>
    </row>
    <row r="44" spans="2:15" ht="15" customHeight="1" x14ac:dyDescent="0.35">
      <c r="B44" s="10">
        <v>368</v>
      </c>
      <c r="C44" s="34"/>
      <c r="D44" s="68"/>
      <c r="E44" s="68"/>
      <c r="F44" s="42"/>
      <c r="G44" s="36"/>
      <c r="H44" s="36"/>
      <c r="I44" s="67"/>
      <c r="J44" s="12"/>
      <c r="K44" s="110"/>
      <c r="L44" s="107"/>
      <c r="M44" s="108"/>
      <c r="N44" s="11" t="str">
        <f t="shared" si="0"/>
        <v/>
      </c>
      <c r="O44" s="32" t="str">
        <f t="shared" si="1"/>
        <v/>
      </c>
    </row>
    <row r="45" spans="2:15" ht="15" customHeight="1" x14ac:dyDescent="0.35">
      <c r="B45" s="10">
        <v>369</v>
      </c>
      <c r="C45" s="34"/>
      <c r="D45" s="68"/>
      <c r="E45" s="68"/>
      <c r="F45" s="42"/>
      <c r="G45" s="36"/>
      <c r="H45" s="36"/>
      <c r="I45" s="67"/>
      <c r="J45" s="12"/>
      <c r="K45" s="110"/>
      <c r="L45" s="107"/>
      <c r="M45" s="108"/>
      <c r="N45" s="11" t="str">
        <f t="shared" si="0"/>
        <v/>
      </c>
      <c r="O45" s="32" t="str">
        <f t="shared" si="1"/>
        <v/>
      </c>
    </row>
    <row r="46" spans="2:15" ht="15" customHeight="1" x14ac:dyDescent="0.35">
      <c r="B46" s="10">
        <v>370</v>
      </c>
      <c r="C46" s="34"/>
      <c r="D46" s="68"/>
      <c r="E46" s="68"/>
      <c r="F46" s="42"/>
      <c r="G46" s="36"/>
      <c r="H46" s="36"/>
      <c r="I46" s="67"/>
      <c r="J46" s="12"/>
      <c r="K46" s="110"/>
      <c r="L46" s="107"/>
      <c r="M46" s="108"/>
      <c r="N46" s="11" t="str">
        <f t="shared" si="0"/>
        <v/>
      </c>
      <c r="O46" s="32" t="str">
        <f t="shared" si="1"/>
        <v/>
      </c>
    </row>
    <row r="47" spans="2:15" ht="15" customHeight="1" x14ac:dyDescent="0.35">
      <c r="B47" s="10">
        <v>371</v>
      </c>
      <c r="C47" s="34"/>
      <c r="D47" s="68"/>
      <c r="E47" s="68"/>
      <c r="F47" s="42"/>
      <c r="G47" s="36"/>
      <c r="H47" s="36"/>
      <c r="I47" s="67"/>
      <c r="J47" s="12"/>
      <c r="K47" s="110"/>
      <c r="L47" s="107"/>
      <c r="M47" s="108"/>
      <c r="N47" s="11" t="str">
        <f t="shared" si="0"/>
        <v/>
      </c>
      <c r="O47" s="32" t="str">
        <f t="shared" si="1"/>
        <v/>
      </c>
    </row>
    <row r="48" spans="2:15" ht="15" customHeight="1" x14ac:dyDescent="0.35">
      <c r="B48" s="10">
        <v>372</v>
      </c>
      <c r="C48" s="34"/>
      <c r="D48" s="68"/>
      <c r="E48" s="68"/>
      <c r="F48" s="42"/>
      <c r="G48" s="36"/>
      <c r="H48" s="36"/>
      <c r="I48" s="67"/>
      <c r="J48" s="12"/>
      <c r="K48" s="110"/>
      <c r="L48" s="107"/>
      <c r="M48" s="108"/>
      <c r="N48" s="11" t="str">
        <f t="shared" si="0"/>
        <v/>
      </c>
      <c r="O48" s="32" t="str">
        <f t="shared" si="1"/>
        <v/>
      </c>
    </row>
    <row r="49" spans="1:15" ht="15" customHeight="1" x14ac:dyDescent="0.35">
      <c r="B49" s="10">
        <v>373</v>
      </c>
      <c r="C49" s="34"/>
      <c r="D49" s="68"/>
      <c r="E49" s="68"/>
      <c r="F49" s="42"/>
      <c r="G49" s="36"/>
      <c r="H49" s="36"/>
      <c r="I49" s="67"/>
      <c r="J49" s="12"/>
      <c r="K49" s="110"/>
      <c r="L49" s="107"/>
      <c r="M49" s="108"/>
      <c r="N49" s="11" t="str">
        <f t="shared" si="0"/>
        <v/>
      </c>
      <c r="O49" s="32" t="str">
        <f t="shared" si="1"/>
        <v/>
      </c>
    </row>
    <row r="50" spans="1:15" ht="15" customHeight="1" x14ac:dyDescent="0.35">
      <c r="B50" s="10">
        <v>374</v>
      </c>
      <c r="C50" s="34"/>
      <c r="D50" s="68"/>
      <c r="E50" s="68"/>
      <c r="F50" s="42"/>
      <c r="G50" s="36"/>
      <c r="H50" s="36"/>
      <c r="I50" s="67"/>
      <c r="J50" s="12"/>
      <c r="K50" s="110"/>
      <c r="L50" s="107"/>
      <c r="M50" s="108"/>
      <c r="N50" s="11" t="str">
        <f t="shared" si="0"/>
        <v/>
      </c>
      <c r="O50" s="32" t="str">
        <f t="shared" si="1"/>
        <v/>
      </c>
    </row>
    <row r="51" spans="1:15" ht="15" customHeight="1" x14ac:dyDescent="0.35">
      <c r="B51" s="10">
        <v>375</v>
      </c>
      <c r="C51" s="34"/>
      <c r="D51" s="68"/>
      <c r="E51" s="68"/>
      <c r="F51" s="42"/>
      <c r="G51" s="36"/>
      <c r="H51" s="36"/>
      <c r="I51" s="67"/>
      <c r="J51" s="12"/>
      <c r="K51" s="110"/>
      <c r="L51" s="107"/>
      <c r="M51" s="108"/>
      <c r="N51" s="11" t="str">
        <f t="shared" si="0"/>
        <v/>
      </c>
      <c r="O51" s="32" t="str">
        <f t="shared" si="1"/>
        <v/>
      </c>
    </row>
    <row r="52" spans="1:15" ht="15" customHeight="1" x14ac:dyDescent="0.35">
      <c r="B52" s="10">
        <v>376</v>
      </c>
      <c r="C52" s="34"/>
      <c r="D52" s="68"/>
      <c r="E52" s="68"/>
      <c r="F52" s="42"/>
      <c r="G52" s="36"/>
      <c r="H52" s="36"/>
      <c r="I52" s="67"/>
      <c r="J52" s="12"/>
      <c r="K52" s="110"/>
      <c r="L52" s="107"/>
      <c r="M52" s="108"/>
      <c r="N52" s="11" t="str">
        <f t="shared" si="0"/>
        <v/>
      </c>
      <c r="O52" s="32" t="str">
        <f t="shared" si="1"/>
        <v/>
      </c>
    </row>
    <row r="53" spans="1:15" ht="14.5" customHeight="1" x14ac:dyDescent="0.35">
      <c r="B53" s="10">
        <v>377</v>
      </c>
      <c r="C53" s="34"/>
      <c r="D53" s="68"/>
      <c r="E53" s="68"/>
      <c r="F53" s="42"/>
      <c r="G53" s="36"/>
      <c r="H53" s="36"/>
      <c r="I53" s="67"/>
      <c r="J53" s="12"/>
      <c r="K53" s="110"/>
      <c r="L53" s="107"/>
      <c r="M53" s="108"/>
      <c r="N53" s="11" t="str">
        <f t="shared" si="0"/>
        <v/>
      </c>
      <c r="O53" s="32" t="str">
        <f t="shared" si="1"/>
        <v/>
      </c>
    </row>
    <row r="54" spans="1:15" ht="14.5" customHeight="1" x14ac:dyDescent="0.35">
      <c r="B54" s="10">
        <v>378</v>
      </c>
      <c r="C54" s="34"/>
      <c r="D54" s="68"/>
      <c r="E54" s="68"/>
      <c r="F54" s="42"/>
      <c r="G54" s="36"/>
      <c r="H54" s="36"/>
      <c r="I54" s="67"/>
      <c r="J54" s="12"/>
      <c r="K54" s="110"/>
      <c r="L54" s="107"/>
      <c r="M54" s="108"/>
      <c r="N54" s="11" t="str">
        <f t="shared" si="0"/>
        <v/>
      </c>
      <c r="O54" s="32" t="str">
        <f t="shared" si="1"/>
        <v/>
      </c>
    </row>
    <row r="55" spans="1:15" ht="14.5" customHeight="1" x14ac:dyDescent="0.35">
      <c r="B55" s="10">
        <v>379</v>
      </c>
      <c r="C55" s="34"/>
      <c r="D55" s="68"/>
      <c r="E55" s="68"/>
      <c r="F55" s="42"/>
      <c r="G55" s="36"/>
      <c r="H55" s="36"/>
      <c r="I55" s="67"/>
      <c r="J55" s="12"/>
      <c r="K55" s="110"/>
      <c r="L55" s="107"/>
      <c r="M55" s="108"/>
      <c r="N55" s="11" t="str">
        <f t="shared" si="0"/>
        <v/>
      </c>
      <c r="O55" s="32" t="str">
        <f t="shared" si="1"/>
        <v/>
      </c>
    </row>
    <row r="56" spans="1:15" ht="14.5" customHeight="1" x14ac:dyDescent="0.35">
      <c r="B56" s="10">
        <v>380</v>
      </c>
      <c r="C56" s="34"/>
      <c r="D56" s="68"/>
      <c r="E56" s="68"/>
      <c r="F56" s="42"/>
      <c r="G56" s="36"/>
      <c r="H56" s="36"/>
      <c r="I56" s="67"/>
      <c r="J56" s="12"/>
      <c r="K56" s="110"/>
      <c r="L56" s="107"/>
      <c r="M56" s="108"/>
      <c r="N56" s="11" t="str">
        <f t="shared" si="0"/>
        <v/>
      </c>
      <c r="O56" s="32" t="str">
        <f t="shared" si="1"/>
        <v/>
      </c>
    </row>
    <row r="57" spans="1:15" ht="14.5" customHeight="1" x14ac:dyDescent="0.35">
      <c r="B57" s="10">
        <v>381</v>
      </c>
      <c r="C57" s="34"/>
      <c r="D57" s="68"/>
      <c r="E57" s="68"/>
      <c r="F57" s="42"/>
      <c r="G57" s="36"/>
      <c r="H57" s="36"/>
      <c r="I57" s="67"/>
      <c r="J57" s="12"/>
      <c r="K57" s="110"/>
      <c r="L57" s="107"/>
      <c r="M57" s="108"/>
      <c r="N57" s="11" t="str">
        <f t="shared" si="0"/>
        <v/>
      </c>
      <c r="O57" s="32" t="str">
        <f t="shared" si="1"/>
        <v/>
      </c>
    </row>
    <row r="58" spans="1:15" ht="14.5" customHeight="1" x14ac:dyDescent="0.35">
      <c r="B58" s="10">
        <v>382</v>
      </c>
      <c r="C58" s="34"/>
      <c r="D58" s="68"/>
      <c r="E58" s="68"/>
      <c r="F58" s="42"/>
      <c r="G58" s="36"/>
      <c r="H58" s="36"/>
      <c r="I58" s="67"/>
      <c r="J58" s="12"/>
      <c r="K58" s="110"/>
      <c r="L58" s="107"/>
      <c r="M58" s="108"/>
      <c r="N58" s="11" t="str">
        <f t="shared" si="0"/>
        <v/>
      </c>
      <c r="O58" s="32" t="str">
        <f t="shared" si="1"/>
        <v/>
      </c>
    </row>
    <row r="59" spans="1:15" ht="14.5" customHeight="1" x14ac:dyDescent="0.35">
      <c r="B59" s="10">
        <v>383</v>
      </c>
      <c r="C59" s="34"/>
      <c r="D59" s="68"/>
      <c r="E59" s="68"/>
      <c r="F59" s="42"/>
      <c r="G59" s="36"/>
      <c r="H59" s="36"/>
      <c r="I59" s="67"/>
      <c r="J59" s="12"/>
      <c r="K59" s="110"/>
      <c r="L59" s="107"/>
      <c r="M59" s="108"/>
      <c r="N59" s="11" t="str">
        <f t="shared" si="0"/>
        <v/>
      </c>
      <c r="O59" s="32" t="str">
        <f t="shared" si="1"/>
        <v/>
      </c>
    </row>
    <row r="60" spans="1:15" ht="14.5" customHeight="1" x14ac:dyDescent="0.35">
      <c r="B60" s="10">
        <v>384</v>
      </c>
      <c r="C60" s="34"/>
      <c r="D60" s="68"/>
      <c r="E60" s="68"/>
      <c r="F60" s="42"/>
      <c r="G60" s="36"/>
      <c r="H60" s="36"/>
      <c r="I60" s="67"/>
      <c r="J60" s="12"/>
      <c r="K60" s="110"/>
      <c r="L60" s="107"/>
      <c r="M60" s="108"/>
      <c r="N60" s="11" t="str">
        <f t="shared" si="0"/>
        <v/>
      </c>
      <c r="O60" s="32" t="str">
        <f t="shared" si="1"/>
        <v/>
      </c>
    </row>
    <row r="61" spans="1:15" ht="14.5" customHeight="1" x14ac:dyDescent="0.35">
      <c r="B61" s="10">
        <v>385</v>
      </c>
      <c r="C61" s="34"/>
      <c r="D61" s="68"/>
      <c r="E61" s="68"/>
      <c r="F61" s="42"/>
      <c r="G61" s="36"/>
      <c r="H61" s="36"/>
      <c r="I61" s="67"/>
      <c r="J61" s="12"/>
      <c r="K61" s="110"/>
      <c r="L61" s="107"/>
      <c r="M61" s="108"/>
      <c r="N61" s="11" t="str">
        <f t="shared" ref="N61:N124" si="2">IF(OR(M61="", K61=""),"", M61- K61)</f>
        <v/>
      </c>
      <c r="O61" s="32" t="str">
        <f t="shared" si="1"/>
        <v/>
      </c>
    </row>
    <row r="62" spans="1:15" ht="14.5" customHeight="1" x14ac:dyDescent="0.35">
      <c r="B62" s="10">
        <v>386</v>
      </c>
      <c r="C62" s="34"/>
      <c r="D62" s="68"/>
      <c r="E62" s="68"/>
      <c r="F62" s="42"/>
      <c r="G62" s="36"/>
      <c r="H62" s="36"/>
      <c r="I62" s="67"/>
      <c r="J62" s="12"/>
      <c r="K62" s="110"/>
      <c r="L62" s="107"/>
      <c r="M62" s="108"/>
      <c r="N62" s="11" t="str">
        <f t="shared" si="2"/>
        <v/>
      </c>
      <c r="O62" s="32" t="str">
        <f t="shared" ref="O62:O125" si="3">IF(OR(M62="", K62="", L62=""), "", IF((M62 - K62) &gt; L62, "No", "Yes"))</f>
        <v/>
      </c>
    </row>
    <row r="63" spans="1:15" ht="14.5" customHeight="1" x14ac:dyDescent="0.35">
      <c r="B63" s="10">
        <v>387</v>
      </c>
      <c r="C63" s="34"/>
      <c r="D63" s="68"/>
      <c r="E63" s="68"/>
      <c r="F63" s="42"/>
      <c r="G63" s="36"/>
      <c r="H63" s="36"/>
      <c r="I63" s="67"/>
      <c r="J63" s="12"/>
      <c r="K63" s="110"/>
      <c r="L63" s="107"/>
      <c r="M63" s="108"/>
      <c r="N63" s="11" t="str">
        <f t="shared" si="2"/>
        <v/>
      </c>
      <c r="O63" s="32" t="str">
        <f t="shared" si="3"/>
        <v/>
      </c>
    </row>
    <row r="64" spans="1:15" ht="14.5" customHeight="1" x14ac:dyDescent="0.35">
      <c r="A64" s="182"/>
      <c r="B64" s="183">
        <v>388</v>
      </c>
      <c r="C64" s="184"/>
      <c r="D64" s="185"/>
      <c r="E64" s="68"/>
      <c r="F64" s="42"/>
      <c r="G64" s="36"/>
      <c r="H64" s="36"/>
      <c r="I64" s="67"/>
      <c r="J64" s="12"/>
      <c r="K64" s="110"/>
      <c r="L64" s="107"/>
      <c r="M64" s="108"/>
      <c r="N64" s="11" t="str">
        <f t="shared" si="2"/>
        <v/>
      </c>
      <c r="O64" s="32" t="str">
        <f t="shared" si="3"/>
        <v/>
      </c>
    </row>
    <row r="65" spans="2:15" ht="14.5" customHeight="1" x14ac:dyDescent="0.35">
      <c r="B65" s="10">
        <v>389</v>
      </c>
      <c r="C65" s="34"/>
      <c r="D65" s="68"/>
      <c r="E65" s="68"/>
      <c r="F65" s="42"/>
      <c r="G65" s="36"/>
      <c r="H65" s="36"/>
      <c r="I65" s="67"/>
      <c r="J65" s="12"/>
      <c r="K65" s="110"/>
      <c r="L65" s="107"/>
      <c r="M65" s="108"/>
      <c r="N65" s="11" t="str">
        <f t="shared" si="2"/>
        <v/>
      </c>
      <c r="O65" s="32" t="str">
        <f t="shared" si="3"/>
        <v/>
      </c>
    </row>
    <row r="66" spans="2:15" ht="14.5" customHeight="1" x14ac:dyDescent="0.35">
      <c r="B66" s="10">
        <v>390</v>
      </c>
      <c r="C66" s="34"/>
      <c r="D66" s="68"/>
      <c r="E66" s="68"/>
      <c r="F66" s="42"/>
      <c r="G66" s="36"/>
      <c r="H66" s="36"/>
      <c r="I66" s="67"/>
      <c r="J66" s="12"/>
      <c r="K66" s="110"/>
      <c r="L66" s="107"/>
      <c r="M66" s="108"/>
      <c r="N66" s="11" t="str">
        <f t="shared" si="2"/>
        <v/>
      </c>
      <c r="O66" s="32" t="str">
        <f t="shared" si="3"/>
        <v/>
      </c>
    </row>
    <row r="67" spans="2:15" ht="14.5" customHeight="1" x14ac:dyDescent="0.35">
      <c r="B67" s="10">
        <v>391</v>
      </c>
      <c r="C67" s="34"/>
      <c r="D67" s="68"/>
      <c r="E67" s="68"/>
      <c r="F67" s="42"/>
      <c r="G67" s="36"/>
      <c r="H67" s="36"/>
      <c r="I67" s="67"/>
      <c r="J67" s="12"/>
      <c r="K67" s="110"/>
      <c r="L67" s="107"/>
      <c r="M67" s="108"/>
      <c r="N67" s="11" t="str">
        <f t="shared" si="2"/>
        <v/>
      </c>
      <c r="O67" s="32" t="str">
        <f t="shared" si="3"/>
        <v/>
      </c>
    </row>
    <row r="68" spans="2:15" ht="14.5" customHeight="1" x14ac:dyDescent="0.35">
      <c r="B68" s="10">
        <v>392</v>
      </c>
      <c r="C68" s="34"/>
      <c r="D68" s="68"/>
      <c r="E68" s="68"/>
      <c r="F68" s="42"/>
      <c r="G68" s="36"/>
      <c r="H68" s="36"/>
      <c r="I68" s="67"/>
      <c r="J68" s="12"/>
      <c r="K68" s="110"/>
      <c r="L68" s="107"/>
      <c r="M68" s="108"/>
      <c r="N68" s="11" t="str">
        <f t="shared" si="2"/>
        <v/>
      </c>
      <c r="O68" s="32" t="str">
        <f t="shared" si="3"/>
        <v/>
      </c>
    </row>
    <row r="69" spans="2:15" ht="14.5" customHeight="1" x14ac:dyDescent="0.35">
      <c r="B69" s="10">
        <v>393</v>
      </c>
      <c r="C69" s="34"/>
      <c r="D69" s="68"/>
      <c r="E69" s="68"/>
      <c r="F69" s="42"/>
      <c r="G69" s="36"/>
      <c r="H69" s="36"/>
      <c r="I69" s="67"/>
      <c r="J69" s="12"/>
      <c r="K69" s="110"/>
      <c r="L69" s="107"/>
      <c r="M69" s="108"/>
      <c r="N69" s="11" t="str">
        <f t="shared" si="2"/>
        <v/>
      </c>
      <c r="O69" s="32" t="str">
        <f t="shared" si="3"/>
        <v/>
      </c>
    </row>
    <row r="70" spans="2:15" ht="14.5" customHeight="1" x14ac:dyDescent="0.35">
      <c r="B70" s="10">
        <v>394</v>
      </c>
      <c r="C70" s="34"/>
      <c r="D70" s="68"/>
      <c r="E70" s="68"/>
      <c r="F70" s="42"/>
      <c r="G70" s="36"/>
      <c r="H70" s="36"/>
      <c r="I70" s="67"/>
      <c r="J70" s="12"/>
      <c r="K70" s="110"/>
      <c r="L70" s="107"/>
      <c r="M70" s="108"/>
      <c r="N70" s="11" t="str">
        <f t="shared" si="2"/>
        <v/>
      </c>
      <c r="O70" s="32" t="str">
        <f t="shared" si="3"/>
        <v/>
      </c>
    </row>
    <row r="71" spans="2:15" ht="14.5" customHeight="1" x14ac:dyDescent="0.35">
      <c r="B71" s="10">
        <v>395</v>
      </c>
      <c r="C71" s="34"/>
      <c r="D71" s="68"/>
      <c r="E71" s="68"/>
      <c r="F71" s="42"/>
      <c r="G71" s="36"/>
      <c r="H71" s="36"/>
      <c r="I71" s="67"/>
      <c r="J71" s="12"/>
      <c r="K71" s="110"/>
      <c r="L71" s="107"/>
      <c r="M71" s="108"/>
      <c r="N71" s="11" t="str">
        <f t="shared" si="2"/>
        <v/>
      </c>
      <c r="O71" s="32" t="str">
        <f t="shared" si="3"/>
        <v/>
      </c>
    </row>
    <row r="72" spans="2:15" ht="14.5" customHeight="1" x14ac:dyDescent="0.35">
      <c r="B72" s="10">
        <v>396</v>
      </c>
      <c r="C72" s="34"/>
      <c r="D72" s="68"/>
      <c r="E72" s="68"/>
      <c r="F72" s="42"/>
      <c r="G72" s="36"/>
      <c r="H72" s="36"/>
      <c r="I72" s="67"/>
      <c r="J72" s="12"/>
      <c r="K72" s="110"/>
      <c r="L72" s="107"/>
      <c r="M72" s="108"/>
      <c r="N72" s="11" t="str">
        <f t="shared" si="2"/>
        <v/>
      </c>
      <c r="O72" s="32" t="str">
        <f t="shared" si="3"/>
        <v/>
      </c>
    </row>
    <row r="73" spans="2:15" ht="14.5" customHeight="1" x14ac:dyDescent="0.35">
      <c r="B73" s="10">
        <v>397</v>
      </c>
      <c r="C73" s="34"/>
      <c r="D73" s="68"/>
      <c r="E73" s="68"/>
      <c r="F73" s="42"/>
      <c r="G73" s="36"/>
      <c r="H73" s="36"/>
      <c r="I73" s="67"/>
      <c r="J73" s="12"/>
      <c r="K73" s="110"/>
      <c r="L73" s="107"/>
      <c r="M73" s="108"/>
      <c r="N73" s="11" t="str">
        <f t="shared" si="2"/>
        <v/>
      </c>
      <c r="O73" s="32" t="str">
        <f t="shared" si="3"/>
        <v/>
      </c>
    </row>
    <row r="74" spans="2:15" ht="14.5" customHeight="1" x14ac:dyDescent="0.35">
      <c r="B74" s="10">
        <v>398</v>
      </c>
      <c r="C74" s="34"/>
      <c r="D74" s="68"/>
      <c r="E74" s="68"/>
      <c r="F74" s="42"/>
      <c r="G74" s="36"/>
      <c r="H74" s="36"/>
      <c r="I74" s="67"/>
      <c r="J74" s="12"/>
      <c r="K74" s="110"/>
      <c r="L74" s="107"/>
      <c r="M74" s="108"/>
      <c r="N74" s="11" t="str">
        <f t="shared" si="2"/>
        <v/>
      </c>
      <c r="O74" s="32" t="str">
        <f t="shared" si="3"/>
        <v/>
      </c>
    </row>
    <row r="75" spans="2:15" ht="14.5" customHeight="1" x14ac:dyDescent="0.35">
      <c r="B75" s="10">
        <v>399</v>
      </c>
      <c r="C75" s="34"/>
      <c r="D75" s="68"/>
      <c r="E75" s="68"/>
      <c r="F75" s="42"/>
      <c r="G75" s="36"/>
      <c r="H75" s="36"/>
      <c r="I75" s="67"/>
      <c r="J75" s="12"/>
      <c r="K75" s="110"/>
      <c r="L75" s="107"/>
      <c r="M75" s="108"/>
      <c r="N75" s="11" t="str">
        <f t="shared" si="2"/>
        <v/>
      </c>
      <c r="O75" s="32" t="str">
        <f t="shared" si="3"/>
        <v/>
      </c>
    </row>
    <row r="76" spans="2:15" ht="14.5" customHeight="1" x14ac:dyDescent="0.35">
      <c r="B76" s="10">
        <v>400</v>
      </c>
      <c r="C76" s="34"/>
      <c r="D76" s="68"/>
      <c r="E76" s="68"/>
      <c r="F76" s="42"/>
      <c r="G76" s="36"/>
      <c r="H76" s="36"/>
      <c r="I76" s="67"/>
      <c r="J76" s="12"/>
      <c r="K76" s="110"/>
      <c r="L76" s="107"/>
      <c r="M76" s="108"/>
      <c r="N76" s="11" t="str">
        <f t="shared" si="2"/>
        <v/>
      </c>
      <c r="O76" s="32" t="str">
        <f t="shared" si="3"/>
        <v/>
      </c>
    </row>
    <row r="77" spans="2:15" ht="14.5" customHeight="1" x14ac:dyDescent="0.35">
      <c r="B77" s="10">
        <v>401</v>
      </c>
      <c r="C77" s="34"/>
      <c r="D77" s="68"/>
      <c r="E77" s="68"/>
      <c r="F77" s="42"/>
      <c r="G77" s="36"/>
      <c r="H77" s="36"/>
      <c r="I77" s="67"/>
      <c r="J77" s="12"/>
      <c r="K77" s="110"/>
      <c r="L77" s="107"/>
      <c r="M77" s="108"/>
      <c r="N77" s="11" t="str">
        <f t="shared" si="2"/>
        <v/>
      </c>
      <c r="O77" s="32" t="str">
        <f t="shared" si="3"/>
        <v/>
      </c>
    </row>
    <row r="78" spans="2:15" ht="14.5" customHeight="1" x14ac:dyDescent="0.35">
      <c r="B78" s="10">
        <v>402</v>
      </c>
      <c r="C78" s="34"/>
      <c r="D78" s="68"/>
      <c r="E78" s="68"/>
      <c r="F78" s="42"/>
      <c r="G78" s="36"/>
      <c r="H78" s="36"/>
      <c r="I78" s="67"/>
      <c r="J78" s="12"/>
      <c r="K78" s="110"/>
      <c r="L78" s="107"/>
      <c r="M78" s="108"/>
      <c r="N78" s="11" t="str">
        <f t="shared" si="2"/>
        <v/>
      </c>
      <c r="O78" s="32" t="str">
        <f t="shared" si="3"/>
        <v/>
      </c>
    </row>
    <row r="79" spans="2:15" ht="14.5" customHeight="1" x14ac:dyDescent="0.35">
      <c r="B79" s="10">
        <v>403</v>
      </c>
      <c r="C79" s="34"/>
      <c r="D79" s="68"/>
      <c r="E79" s="68"/>
      <c r="F79" s="42"/>
      <c r="G79" s="36"/>
      <c r="H79" s="36"/>
      <c r="I79" s="67"/>
      <c r="J79" s="12"/>
      <c r="K79" s="110"/>
      <c r="L79" s="107"/>
      <c r="M79" s="108"/>
      <c r="N79" s="11" t="str">
        <f t="shared" si="2"/>
        <v/>
      </c>
      <c r="O79" s="32" t="str">
        <f t="shared" si="3"/>
        <v/>
      </c>
    </row>
    <row r="80" spans="2:15" ht="14.5" customHeight="1" x14ac:dyDescent="0.35">
      <c r="B80" s="10">
        <v>404</v>
      </c>
      <c r="C80" s="34"/>
      <c r="D80" s="68"/>
      <c r="E80" s="68"/>
      <c r="F80" s="42"/>
      <c r="G80" s="36"/>
      <c r="H80" s="36"/>
      <c r="I80" s="67"/>
      <c r="J80" s="12"/>
      <c r="K80" s="110"/>
      <c r="L80" s="107"/>
      <c r="M80" s="108"/>
      <c r="N80" s="11" t="str">
        <f t="shared" si="2"/>
        <v/>
      </c>
      <c r="O80" s="32" t="str">
        <f t="shared" si="3"/>
        <v/>
      </c>
    </row>
    <row r="81" spans="2:15" ht="14.5" customHeight="1" x14ac:dyDescent="0.35">
      <c r="B81" s="10">
        <v>405</v>
      </c>
      <c r="C81" s="34"/>
      <c r="D81" s="68"/>
      <c r="E81" s="68"/>
      <c r="F81" s="42"/>
      <c r="G81" s="36"/>
      <c r="H81" s="36"/>
      <c r="I81" s="67"/>
      <c r="J81" s="12"/>
      <c r="K81" s="110"/>
      <c r="L81" s="107"/>
      <c r="M81" s="108"/>
      <c r="N81" s="11" t="str">
        <f t="shared" si="2"/>
        <v/>
      </c>
      <c r="O81" s="32" t="str">
        <f t="shared" si="3"/>
        <v/>
      </c>
    </row>
    <row r="82" spans="2:15" ht="14.5" customHeight="1" x14ac:dyDescent="0.35">
      <c r="B82" s="10">
        <v>406</v>
      </c>
      <c r="C82" s="34"/>
      <c r="D82" s="68"/>
      <c r="E82" s="68"/>
      <c r="F82" s="42"/>
      <c r="G82" s="36"/>
      <c r="H82" s="36"/>
      <c r="I82" s="67"/>
      <c r="J82" s="12"/>
      <c r="K82" s="110"/>
      <c r="L82" s="107"/>
      <c r="M82" s="108"/>
      <c r="N82" s="11" t="str">
        <f t="shared" si="2"/>
        <v/>
      </c>
      <c r="O82" s="32" t="str">
        <f t="shared" si="3"/>
        <v/>
      </c>
    </row>
    <row r="83" spans="2:15" ht="14.5" customHeight="1" x14ac:dyDescent="0.35">
      <c r="B83" s="10">
        <v>407</v>
      </c>
      <c r="C83" s="34"/>
      <c r="D83" s="68"/>
      <c r="E83" s="68"/>
      <c r="F83" s="42"/>
      <c r="G83" s="36"/>
      <c r="H83" s="36"/>
      <c r="I83" s="67"/>
      <c r="J83" s="12"/>
      <c r="K83" s="110"/>
      <c r="L83" s="107"/>
      <c r="M83" s="108"/>
      <c r="N83" s="11" t="str">
        <f t="shared" si="2"/>
        <v/>
      </c>
      <c r="O83" s="32" t="str">
        <f t="shared" si="3"/>
        <v/>
      </c>
    </row>
    <row r="84" spans="2:15" ht="14.5" customHeight="1" x14ac:dyDescent="0.35">
      <c r="B84" s="10">
        <v>408</v>
      </c>
      <c r="C84" s="34"/>
      <c r="D84" s="68"/>
      <c r="E84" s="68"/>
      <c r="F84" s="42"/>
      <c r="G84" s="36"/>
      <c r="H84" s="36"/>
      <c r="I84" s="67"/>
      <c r="J84" s="12"/>
      <c r="K84" s="110"/>
      <c r="L84" s="107"/>
      <c r="M84" s="108"/>
      <c r="N84" s="11" t="str">
        <f t="shared" si="2"/>
        <v/>
      </c>
      <c r="O84" s="32" t="str">
        <f t="shared" si="3"/>
        <v/>
      </c>
    </row>
    <row r="85" spans="2:15" ht="14.5" customHeight="1" x14ac:dyDescent="0.35">
      <c r="B85" s="10">
        <v>409</v>
      </c>
      <c r="C85" s="34"/>
      <c r="D85" s="68"/>
      <c r="E85" s="68"/>
      <c r="F85" s="42"/>
      <c r="G85" s="36"/>
      <c r="H85" s="36"/>
      <c r="I85" s="67"/>
      <c r="J85" s="12"/>
      <c r="K85" s="110"/>
      <c r="L85" s="107"/>
      <c r="M85" s="108"/>
      <c r="N85" s="11" t="str">
        <f t="shared" si="2"/>
        <v/>
      </c>
      <c r="O85" s="32" t="str">
        <f t="shared" si="3"/>
        <v/>
      </c>
    </row>
    <row r="86" spans="2:15" ht="14.5" customHeight="1" x14ac:dyDescent="0.35">
      <c r="B86" s="10">
        <v>410</v>
      </c>
      <c r="C86" s="34"/>
      <c r="D86" s="68"/>
      <c r="E86" s="68"/>
      <c r="F86" s="42"/>
      <c r="G86" s="36"/>
      <c r="H86" s="36"/>
      <c r="I86" s="67"/>
      <c r="J86" s="12"/>
      <c r="K86" s="110"/>
      <c r="L86" s="107"/>
      <c r="M86" s="108"/>
      <c r="N86" s="11" t="str">
        <f t="shared" si="2"/>
        <v/>
      </c>
      <c r="O86" s="32" t="str">
        <f t="shared" si="3"/>
        <v/>
      </c>
    </row>
    <row r="87" spans="2:15" ht="14.5" customHeight="1" x14ac:dyDescent="0.35">
      <c r="B87" s="10">
        <v>411</v>
      </c>
      <c r="C87" s="34"/>
      <c r="D87" s="68"/>
      <c r="E87" s="68"/>
      <c r="F87" s="42"/>
      <c r="G87" s="36"/>
      <c r="H87" s="36"/>
      <c r="I87" s="67"/>
      <c r="J87" s="12"/>
      <c r="K87" s="110"/>
      <c r="L87" s="107"/>
      <c r="M87" s="108"/>
      <c r="N87" s="11" t="str">
        <f t="shared" si="2"/>
        <v/>
      </c>
      <c r="O87" s="32" t="str">
        <f t="shared" si="3"/>
        <v/>
      </c>
    </row>
    <row r="88" spans="2:15" ht="14.5" customHeight="1" x14ac:dyDescent="0.35">
      <c r="B88" s="10">
        <v>412</v>
      </c>
      <c r="C88" s="34"/>
      <c r="D88" s="68"/>
      <c r="E88" s="68"/>
      <c r="F88" s="42"/>
      <c r="G88" s="36"/>
      <c r="H88" s="36"/>
      <c r="I88" s="67"/>
      <c r="J88" s="12"/>
      <c r="K88" s="110"/>
      <c r="L88" s="107"/>
      <c r="M88" s="108"/>
      <c r="N88" s="11" t="str">
        <f t="shared" si="2"/>
        <v/>
      </c>
      <c r="O88" s="32" t="str">
        <f t="shared" si="3"/>
        <v/>
      </c>
    </row>
    <row r="89" spans="2:15" ht="14.5" customHeight="1" x14ac:dyDescent="0.35">
      <c r="B89" s="10">
        <v>413</v>
      </c>
      <c r="C89" s="34"/>
      <c r="D89" s="68"/>
      <c r="E89" s="68"/>
      <c r="F89" s="42"/>
      <c r="G89" s="36"/>
      <c r="H89" s="36"/>
      <c r="I89" s="67"/>
      <c r="J89" s="12"/>
      <c r="K89" s="110"/>
      <c r="L89" s="107"/>
      <c r="M89" s="108"/>
      <c r="N89" s="11" t="str">
        <f t="shared" si="2"/>
        <v/>
      </c>
      <c r="O89" s="32" t="str">
        <f t="shared" si="3"/>
        <v/>
      </c>
    </row>
    <row r="90" spans="2:15" ht="14.5" customHeight="1" x14ac:dyDescent="0.35">
      <c r="B90" s="10">
        <v>414</v>
      </c>
      <c r="C90" s="34"/>
      <c r="D90" s="68"/>
      <c r="E90" s="68"/>
      <c r="F90" s="42"/>
      <c r="G90" s="36"/>
      <c r="H90" s="36"/>
      <c r="I90" s="67"/>
      <c r="J90" s="12"/>
      <c r="K90" s="110"/>
      <c r="L90" s="107"/>
      <c r="M90" s="108"/>
      <c r="N90" s="11" t="str">
        <f t="shared" si="2"/>
        <v/>
      </c>
      <c r="O90" s="32" t="str">
        <f t="shared" si="3"/>
        <v/>
      </c>
    </row>
    <row r="91" spans="2:15" ht="14.5" customHeight="1" x14ac:dyDescent="0.35">
      <c r="B91" s="10">
        <v>415</v>
      </c>
      <c r="C91" s="34"/>
      <c r="D91" s="68"/>
      <c r="E91" s="68"/>
      <c r="F91" s="42"/>
      <c r="G91" s="36"/>
      <c r="H91" s="36"/>
      <c r="I91" s="67"/>
      <c r="J91" s="12"/>
      <c r="K91" s="110"/>
      <c r="L91" s="107"/>
      <c r="M91" s="108"/>
      <c r="N91" s="11" t="str">
        <f t="shared" si="2"/>
        <v/>
      </c>
      <c r="O91" s="32" t="str">
        <f t="shared" si="3"/>
        <v/>
      </c>
    </row>
    <row r="92" spans="2:15" ht="14.5" customHeight="1" x14ac:dyDescent="0.35">
      <c r="B92" s="10">
        <v>416</v>
      </c>
      <c r="C92" s="34"/>
      <c r="D92" s="68"/>
      <c r="E92" s="68"/>
      <c r="F92" s="42"/>
      <c r="G92" s="36"/>
      <c r="H92" s="36"/>
      <c r="I92" s="67"/>
      <c r="J92" s="12"/>
      <c r="K92" s="110"/>
      <c r="L92" s="107"/>
      <c r="M92" s="108"/>
      <c r="N92" s="11" t="str">
        <f t="shared" si="2"/>
        <v/>
      </c>
      <c r="O92" s="32" t="str">
        <f t="shared" si="3"/>
        <v/>
      </c>
    </row>
    <row r="93" spans="2:15" ht="14.5" customHeight="1" x14ac:dyDescent="0.35">
      <c r="B93" s="10">
        <v>417</v>
      </c>
      <c r="C93" s="34"/>
      <c r="D93" s="68"/>
      <c r="E93" s="68"/>
      <c r="F93" s="42"/>
      <c r="G93" s="36"/>
      <c r="H93" s="36"/>
      <c r="I93" s="67"/>
      <c r="J93" s="12"/>
      <c r="K93" s="110"/>
      <c r="L93" s="107"/>
      <c r="M93" s="108"/>
      <c r="N93" s="11" t="str">
        <f t="shared" si="2"/>
        <v/>
      </c>
      <c r="O93" s="32" t="str">
        <f t="shared" si="3"/>
        <v/>
      </c>
    </row>
    <row r="94" spans="2:15" ht="14.5" customHeight="1" x14ac:dyDescent="0.35">
      <c r="B94" s="10">
        <v>418</v>
      </c>
      <c r="C94" s="34"/>
      <c r="D94" s="68"/>
      <c r="E94" s="68"/>
      <c r="F94" s="42"/>
      <c r="G94" s="36"/>
      <c r="H94" s="36"/>
      <c r="I94" s="67"/>
      <c r="J94" s="12"/>
      <c r="K94" s="110"/>
      <c r="L94" s="107"/>
      <c r="M94" s="108"/>
      <c r="N94" s="11" t="str">
        <f t="shared" si="2"/>
        <v/>
      </c>
      <c r="O94" s="32" t="str">
        <f t="shared" si="3"/>
        <v/>
      </c>
    </row>
    <row r="95" spans="2:15" ht="14.5" customHeight="1" x14ac:dyDescent="0.35">
      <c r="B95" s="10">
        <v>419</v>
      </c>
      <c r="C95" s="34"/>
      <c r="D95" s="68"/>
      <c r="E95" s="68"/>
      <c r="F95" s="42"/>
      <c r="G95" s="36"/>
      <c r="H95" s="36"/>
      <c r="I95" s="67"/>
      <c r="J95" s="12"/>
      <c r="K95" s="110"/>
      <c r="L95" s="107"/>
      <c r="M95" s="108"/>
      <c r="N95" s="11" t="str">
        <f t="shared" si="2"/>
        <v/>
      </c>
      <c r="O95" s="32" t="str">
        <f t="shared" si="3"/>
        <v/>
      </c>
    </row>
    <row r="96" spans="2:15" ht="14.5" customHeight="1" x14ac:dyDescent="0.35">
      <c r="B96" s="10">
        <v>420</v>
      </c>
      <c r="C96" s="34"/>
      <c r="D96" s="68"/>
      <c r="E96" s="68"/>
      <c r="F96" s="42"/>
      <c r="G96" s="36"/>
      <c r="H96" s="36"/>
      <c r="I96" s="68"/>
      <c r="J96" s="12"/>
      <c r="K96" s="110"/>
      <c r="L96" s="107"/>
      <c r="M96" s="108"/>
      <c r="N96" s="11" t="str">
        <f t="shared" si="2"/>
        <v/>
      </c>
      <c r="O96" s="32" t="str">
        <f t="shared" si="3"/>
        <v/>
      </c>
    </row>
    <row r="97" spans="2:15" ht="14.5" customHeight="1" x14ac:dyDescent="0.35">
      <c r="B97" s="10">
        <v>421</v>
      </c>
      <c r="C97" s="34"/>
      <c r="D97" s="68"/>
      <c r="E97" s="68"/>
      <c r="F97" s="42"/>
      <c r="G97" s="36"/>
      <c r="H97" s="36"/>
      <c r="I97" s="67"/>
      <c r="J97" s="12"/>
      <c r="K97" s="110"/>
      <c r="L97" s="107"/>
      <c r="M97" s="108"/>
      <c r="N97" s="11" t="str">
        <f t="shared" si="2"/>
        <v/>
      </c>
      <c r="O97" s="32" t="str">
        <f t="shared" si="3"/>
        <v/>
      </c>
    </row>
    <row r="98" spans="2:15" ht="14.5" customHeight="1" x14ac:dyDescent="0.35">
      <c r="B98" s="10">
        <v>422</v>
      </c>
      <c r="C98" s="34"/>
      <c r="D98" s="68"/>
      <c r="E98" s="68"/>
      <c r="F98" s="42"/>
      <c r="G98" s="36"/>
      <c r="H98" s="36"/>
      <c r="I98" s="67"/>
      <c r="J98" s="12"/>
      <c r="K98" s="110"/>
      <c r="L98" s="107"/>
      <c r="M98" s="108"/>
      <c r="N98" s="11" t="str">
        <f t="shared" si="2"/>
        <v/>
      </c>
      <c r="O98" s="32" t="str">
        <f t="shared" si="3"/>
        <v/>
      </c>
    </row>
    <row r="99" spans="2:15" ht="14.5" customHeight="1" x14ac:dyDescent="0.35">
      <c r="B99" s="10">
        <v>423</v>
      </c>
      <c r="C99" s="34"/>
      <c r="D99" s="68"/>
      <c r="E99" s="68"/>
      <c r="F99" s="42"/>
      <c r="G99" s="36"/>
      <c r="H99" s="36"/>
      <c r="I99" s="67"/>
      <c r="J99" s="12"/>
      <c r="K99" s="110"/>
      <c r="L99" s="107"/>
      <c r="M99" s="108"/>
      <c r="N99" s="11" t="str">
        <f t="shared" si="2"/>
        <v/>
      </c>
      <c r="O99" s="32" t="str">
        <f t="shared" si="3"/>
        <v/>
      </c>
    </row>
    <row r="100" spans="2:15" ht="14.5" customHeight="1" x14ac:dyDescent="0.35">
      <c r="B100" s="10">
        <v>424</v>
      </c>
      <c r="C100" s="34"/>
      <c r="D100" s="68"/>
      <c r="E100" s="68"/>
      <c r="F100" s="42"/>
      <c r="G100" s="36"/>
      <c r="H100" s="36"/>
      <c r="I100" s="67"/>
      <c r="J100" s="12"/>
      <c r="K100" s="110"/>
      <c r="L100" s="107"/>
      <c r="M100" s="108"/>
      <c r="N100" s="11" t="str">
        <f t="shared" si="2"/>
        <v/>
      </c>
      <c r="O100" s="32" t="str">
        <f t="shared" si="3"/>
        <v/>
      </c>
    </row>
    <row r="101" spans="2:15" ht="14.5" customHeight="1" x14ac:dyDescent="0.35">
      <c r="B101" s="10">
        <v>425</v>
      </c>
      <c r="C101" s="34"/>
      <c r="D101" s="68"/>
      <c r="E101" s="68"/>
      <c r="F101" s="42"/>
      <c r="G101" s="36"/>
      <c r="H101" s="36"/>
      <c r="I101" s="67"/>
      <c r="J101" s="12"/>
      <c r="K101" s="110"/>
      <c r="L101" s="107"/>
      <c r="M101" s="108"/>
      <c r="N101" s="11" t="str">
        <f t="shared" si="2"/>
        <v/>
      </c>
      <c r="O101" s="32" t="str">
        <f t="shared" si="3"/>
        <v/>
      </c>
    </row>
    <row r="102" spans="2:15" ht="14.5" customHeight="1" x14ac:dyDescent="0.35">
      <c r="B102" s="10">
        <v>426</v>
      </c>
      <c r="C102" s="34"/>
      <c r="D102" s="68"/>
      <c r="E102" s="68"/>
      <c r="F102" s="42"/>
      <c r="G102" s="36"/>
      <c r="H102" s="36"/>
      <c r="I102" s="67"/>
      <c r="J102" s="12"/>
      <c r="K102" s="110"/>
      <c r="L102" s="107"/>
      <c r="M102" s="108"/>
      <c r="N102" s="11" t="str">
        <f t="shared" si="2"/>
        <v/>
      </c>
      <c r="O102" s="32" t="str">
        <f t="shared" si="3"/>
        <v/>
      </c>
    </row>
    <row r="103" spans="2:15" ht="14.5" customHeight="1" x14ac:dyDescent="0.35">
      <c r="B103" s="10">
        <v>427</v>
      </c>
      <c r="C103" s="34"/>
      <c r="D103" s="68"/>
      <c r="E103" s="68"/>
      <c r="F103" s="42"/>
      <c r="G103" s="36"/>
      <c r="H103" s="36"/>
      <c r="I103" s="67"/>
      <c r="J103" s="12"/>
      <c r="K103" s="110"/>
      <c r="L103" s="107"/>
      <c r="M103" s="108"/>
      <c r="N103" s="11" t="str">
        <f t="shared" si="2"/>
        <v/>
      </c>
      <c r="O103" s="32" t="str">
        <f t="shared" si="3"/>
        <v/>
      </c>
    </row>
    <row r="104" spans="2:15" ht="14.5" customHeight="1" x14ac:dyDescent="0.35">
      <c r="B104" s="10">
        <v>428</v>
      </c>
      <c r="C104" s="34"/>
      <c r="D104" s="68"/>
      <c r="E104" s="68"/>
      <c r="F104" s="42"/>
      <c r="G104" s="36"/>
      <c r="H104" s="36"/>
      <c r="I104" s="67"/>
      <c r="J104" s="12"/>
      <c r="K104" s="110"/>
      <c r="L104" s="107"/>
      <c r="M104" s="108"/>
      <c r="N104" s="11" t="str">
        <f t="shared" si="2"/>
        <v/>
      </c>
      <c r="O104" s="32" t="str">
        <f t="shared" si="3"/>
        <v/>
      </c>
    </row>
    <row r="105" spans="2:15" ht="14.5" customHeight="1" x14ac:dyDescent="0.35">
      <c r="B105" s="10">
        <v>429</v>
      </c>
      <c r="C105" s="34"/>
      <c r="D105" s="68"/>
      <c r="E105" s="68"/>
      <c r="F105" s="42"/>
      <c r="G105" s="36"/>
      <c r="H105" s="36"/>
      <c r="I105" s="67"/>
      <c r="J105" s="12"/>
      <c r="K105" s="110"/>
      <c r="L105" s="107"/>
      <c r="M105" s="108"/>
      <c r="N105" s="11" t="str">
        <f t="shared" si="2"/>
        <v/>
      </c>
      <c r="O105" s="32" t="str">
        <f t="shared" si="3"/>
        <v/>
      </c>
    </row>
    <row r="106" spans="2:15" ht="14.5" customHeight="1" x14ac:dyDescent="0.35">
      <c r="B106" s="10">
        <v>430</v>
      </c>
      <c r="C106" s="34"/>
      <c r="D106" s="68"/>
      <c r="E106" s="68"/>
      <c r="F106" s="42"/>
      <c r="G106" s="36"/>
      <c r="H106" s="36"/>
      <c r="I106" s="68"/>
      <c r="J106" s="12"/>
      <c r="K106" s="110"/>
      <c r="L106" s="107"/>
      <c r="M106" s="108"/>
      <c r="N106" s="11" t="str">
        <f t="shared" si="2"/>
        <v/>
      </c>
      <c r="O106" s="32" t="str">
        <f t="shared" si="3"/>
        <v/>
      </c>
    </row>
    <row r="107" spans="2:15" ht="14.5" customHeight="1" x14ac:dyDescent="0.35">
      <c r="B107" s="10">
        <v>431</v>
      </c>
      <c r="C107" s="34"/>
      <c r="D107" s="68"/>
      <c r="E107" s="68"/>
      <c r="F107" s="42"/>
      <c r="G107" s="36"/>
      <c r="H107" s="36"/>
      <c r="I107" s="68"/>
      <c r="J107" s="12"/>
      <c r="K107" s="110"/>
      <c r="L107" s="107"/>
      <c r="M107" s="108"/>
      <c r="N107" s="11" t="str">
        <f t="shared" si="2"/>
        <v/>
      </c>
      <c r="O107" s="32" t="str">
        <f t="shared" si="3"/>
        <v/>
      </c>
    </row>
    <row r="108" spans="2:15" ht="14.5" customHeight="1" x14ac:dyDescent="0.35">
      <c r="B108" s="10">
        <v>432</v>
      </c>
      <c r="C108" s="34"/>
      <c r="D108" s="68"/>
      <c r="E108" s="68"/>
      <c r="F108" s="42"/>
      <c r="G108" s="36"/>
      <c r="H108" s="36"/>
      <c r="I108" s="67"/>
      <c r="J108" s="12"/>
      <c r="K108" s="110"/>
      <c r="L108" s="107"/>
      <c r="M108" s="108"/>
      <c r="N108" s="11" t="str">
        <f t="shared" si="2"/>
        <v/>
      </c>
      <c r="O108" s="32" t="str">
        <f t="shared" si="3"/>
        <v/>
      </c>
    </row>
    <row r="109" spans="2:15" ht="14.5" customHeight="1" x14ac:dyDescent="0.35">
      <c r="B109" s="10">
        <v>433</v>
      </c>
      <c r="C109" s="34"/>
      <c r="D109" s="68"/>
      <c r="E109" s="68"/>
      <c r="F109" s="42"/>
      <c r="G109" s="36"/>
      <c r="H109" s="36"/>
      <c r="I109" s="67"/>
      <c r="J109" s="12"/>
      <c r="K109" s="110"/>
      <c r="L109" s="107"/>
      <c r="M109" s="108"/>
      <c r="N109" s="11" t="str">
        <f t="shared" si="2"/>
        <v/>
      </c>
      <c r="O109" s="32" t="str">
        <f t="shared" si="3"/>
        <v/>
      </c>
    </row>
    <row r="110" spans="2:15" ht="14.5" customHeight="1" x14ac:dyDescent="0.35">
      <c r="B110" s="10">
        <v>434</v>
      </c>
      <c r="C110" s="34"/>
      <c r="D110" s="68"/>
      <c r="E110" s="68"/>
      <c r="F110" s="42"/>
      <c r="G110" s="36"/>
      <c r="H110" s="36"/>
      <c r="I110" s="67"/>
      <c r="J110" s="12"/>
      <c r="K110" s="110"/>
      <c r="L110" s="107"/>
      <c r="M110" s="108"/>
      <c r="N110" s="11" t="str">
        <f t="shared" si="2"/>
        <v/>
      </c>
      <c r="O110" s="32" t="str">
        <f t="shared" si="3"/>
        <v/>
      </c>
    </row>
    <row r="111" spans="2:15" ht="14.5" customHeight="1" x14ac:dyDescent="0.35">
      <c r="B111" s="10">
        <v>435</v>
      </c>
      <c r="C111" s="34"/>
      <c r="D111" s="68"/>
      <c r="E111" s="68"/>
      <c r="F111" s="42"/>
      <c r="G111" s="36"/>
      <c r="H111" s="36"/>
      <c r="I111" s="67"/>
      <c r="J111" s="12"/>
      <c r="K111" s="110"/>
      <c r="L111" s="107"/>
      <c r="M111" s="108"/>
      <c r="N111" s="11" t="str">
        <f t="shared" si="2"/>
        <v/>
      </c>
      <c r="O111" s="32" t="str">
        <f t="shared" si="3"/>
        <v/>
      </c>
    </row>
    <row r="112" spans="2:15" ht="14.5" customHeight="1" x14ac:dyDescent="0.35">
      <c r="B112" s="10">
        <v>436</v>
      </c>
      <c r="C112" s="34"/>
      <c r="D112" s="68"/>
      <c r="E112" s="68"/>
      <c r="F112" s="42"/>
      <c r="G112" s="36"/>
      <c r="H112" s="36"/>
      <c r="I112" s="67"/>
      <c r="J112" s="12"/>
      <c r="K112" s="110"/>
      <c r="L112" s="107"/>
      <c r="M112" s="108"/>
      <c r="N112" s="11" t="str">
        <f t="shared" si="2"/>
        <v/>
      </c>
      <c r="O112" s="32" t="str">
        <f t="shared" si="3"/>
        <v/>
      </c>
    </row>
    <row r="113" spans="2:15" ht="14.5" customHeight="1" x14ac:dyDescent="0.35">
      <c r="B113" s="10">
        <v>437</v>
      </c>
      <c r="C113" s="34"/>
      <c r="D113" s="68"/>
      <c r="E113" s="68"/>
      <c r="F113" s="42"/>
      <c r="G113" s="36"/>
      <c r="H113" s="36"/>
      <c r="I113" s="68"/>
      <c r="J113" s="12"/>
      <c r="K113" s="110"/>
      <c r="L113" s="107"/>
      <c r="M113" s="108"/>
      <c r="N113" s="11" t="str">
        <f t="shared" si="2"/>
        <v/>
      </c>
      <c r="O113" s="32" t="str">
        <f t="shared" si="3"/>
        <v/>
      </c>
    </row>
    <row r="114" spans="2:15" ht="14.5" customHeight="1" x14ac:dyDescent="0.35">
      <c r="B114" s="10">
        <v>438</v>
      </c>
      <c r="C114" s="34"/>
      <c r="D114" s="68"/>
      <c r="E114" s="68"/>
      <c r="F114" s="42"/>
      <c r="G114" s="36"/>
      <c r="H114" s="36"/>
      <c r="I114" s="67"/>
      <c r="J114" s="12"/>
      <c r="K114" s="110"/>
      <c r="L114" s="107"/>
      <c r="M114" s="108"/>
      <c r="N114" s="11" t="str">
        <f t="shared" si="2"/>
        <v/>
      </c>
      <c r="O114" s="32" t="str">
        <f t="shared" si="3"/>
        <v/>
      </c>
    </row>
    <row r="115" spans="2:15" ht="14.5" customHeight="1" x14ac:dyDescent="0.35">
      <c r="B115" s="10">
        <v>439</v>
      </c>
      <c r="C115" s="34"/>
      <c r="D115" s="68"/>
      <c r="E115" s="68"/>
      <c r="F115" s="42"/>
      <c r="G115" s="36"/>
      <c r="H115" s="36"/>
      <c r="I115" s="67"/>
      <c r="J115" s="12"/>
      <c r="K115" s="110"/>
      <c r="L115" s="107"/>
      <c r="M115" s="108"/>
      <c r="N115" s="11" t="str">
        <f t="shared" si="2"/>
        <v/>
      </c>
      <c r="O115" s="32" t="str">
        <f t="shared" si="3"/>
        <v/>
      </c>
    </row>
    <row r="116" spans="2:15" ht="14.5" customHeight="1" x14ac:dyDescent="0.35">
      <c r="B116" s="10">
        <v>440</v>
      </c>
      <c r="C116" s="34"/>
      <c r="D116" s="68"/>
      <c r="E116" s="68"/>
      <c r="F116" s="42"/>
      <c r="G116" s="36"/>
      <c r="H116" s="36"/>
      <c r="I116" s="67"/>
      <c r="J116" s="12"/>
      <c r="K116" s="110"/>
      <c r="L116" s="107"/>
      <c r="M116" s="108"/>
      <c r="N116" s="11" t="str">
        <f t="shared" si="2"/>
        <v/>
      </c>
      <c r="O116" s="32" t="str">
        <f t="shared" si="3"/>
        <v/>
      </c>
    </row>
    <row r="117" spans="2:15" ht="14.5" customHeight="1" x14ac:dyDescent="0.35">
      <c r="B117" s="10">
        <v>441</v>
      </c>
      <c r="C117" s="34"/>
      <c r="D117" s="68"/>
      <c r="E117" s="68"/>
      <c r="F117" s="42"/>
      <c r="G117" s="36"/>
      <c r="H117" s="36"/>
      <c r="I117" s="67"/>
      <c r="J117" s="12"/>
      <c r="K117" s="110"/>
      <c r="L117" s="107"/>
      <c r="M117" s="108"/>
      <c r="N117" s="11" t="str">
        <f t="shared" si="2"/>
        <v/>
      </c>
      <c r="O117" s="32" t="str">
        <f t="shared" si="3"/>
        <v/>
      </c>
    </row>
    <row r="118" spans="2:15" ht="14.5" customHeight="1" x14ac:dyDescent="0.35">
      <c r="B118" s="10">
        <v>442</v>
      </c>
      <c r="C118" s="34"/>
      <c r="D118" s="68"/>
      <c r="E118" s="68"/>
      <c r="F118" s="42"/>
      <c r="G118" s="36"/>
      <c r="H118" s="36"/>
      <c r="I118" s="67"/>
      <c r="J118" s="12"/>
      <c r="K118" s="110"/>
      <c r="L118" s="107"/>
      <c r="M118" s="108"/>
      <c r="N118" s="11" t="str">
        <f t="shared" si="2"/>
        <v/>
      </c>
      <c r="O118" s="32" t="str">
        <f t="shared" si="3"/>
        <v/>
      </c>
    </row>
    <row r="119" spans="2:15" ht="14.5" customHeight="1" x14ac:dyDescent="0.35">
      <c r="B119" s="10">
        <v>443</v>
      </c>
      <c r="C119" s="34"/>
      <c r="D119" s="68"/>
      <c r="E119" s="68"/>
      <c r="F119" s="42"/>
      <c r="G119" s="36"/>
      <c r="H119" s="36"/>
      <c r="I119" s="67"/>
      <c r="J119" s="12"/>
      <c r="K119" s="110"/>
      <c r="L119" s="107"/>
      <c r="M119" s="108"/>
      <c r="N119" s="11" t="str">
        <f t="shared" si="2"/>
        <v/>
      </c>
      <c r="O119" s="32" t="str">
        <f t="shared" si="3"/>
        <v/>
      </c>
    </row>
    <row r="120" spans="2:15" ht="14.5" customHeight="1" x14ac:dyDescent="0.35">
      <c r="B120" s="10">
        <v>444</v>
      </c>
      <c r="C120" s="34"/>
      <c r="D120" s="68"/>
      <c r="E120" s="68"/>
      <c r="F120" s="42"/>
      <c r="G120" s="36"/>
      <c r="H120" s="36"/>
      <c r="I120" s="67"/>
      <c r="J120" s="12"/>
      <c r="K120" s="110"/>
      <c r="L120" s="107"/>
      <c r="M120" s="108"/>
      <c r="N120" s="11" t="str">
        <f t="shared" si="2"/>
        <v/>
      </c>
      <c r="O120" s="32" t="str">
        <f t="shared" si="3"/>
        <v/>
      </c>
    </row>
    <row r="121" spans="2:15" ht="14.5" customHeight="1" x14ac:dyDescent="0.35">
      <c r="B121" s="10">
        <v>445</v>
      </c>
      <c r="C121" s="34"/>
      <c r="D121" s="68"/>
      <c r="E121" s="68"/>
      <c r="F121" s="42"/>
      <c r="G121" s="36"/>
      <c r="H121" s="36"/>
      <c r="I121" s="67"/>
      <c r="J121" s="12"/>
      <c r="K121" s="110"/>
      <c r="L121" s="107"/>
      <c r="M121" s="108"/>
      <c r="N121" s="11" t="str">
        <f t="shared" si="2"/>
        <v/>
      </c>
      <c r="O121" s="32" t="str">
        <f t="shared" si="3"/>
        <v/>
      </c>
    </row>
    <row r="122" spans="2:15" ht="14.5" customHeight="1" x14ac:dyDescent="0.35">
      <c r="B122" s="10">
        <v>446</v>
      </c>
      <c r="C122" s="34"/>
      <c r="D122" s="68"/>
      <c r="E122" s="68"/>
      <c r="F122" s="42"/>
      <c r="G122" s="36"/>
      <c r="H122" s="36"/>
      <c r="I122" s="67"/>
      <c r="J122" s="12"/>
      <c r="K122" s="110"/>
      <c r="L122" s="107"/>
      <c r="M122" s="108"/>
      <c r="N122" s="11" t="str">
        <f t="shared" si="2"/>
        <v/>
      </c>
      <c r="O122" s="32" t="str">
        <f t="shared" si="3"/>
        <v/>
      </c>
    </row>
    <row r="123" spans="2:15" ht="14.5" customHeight="1" x14ac:dyDescent="0.35">
      <c r="B123" s="10">
        <v>447</v>
      </c>
      <c r="C123" s="34"/>
      <c r="D123" s="68"/>
      <c r="E123" s="68"/>
      <c r="F123" s="42"/>
      <c r="G123" s="36"/>
      <c r="H123" s="36"/>
      <c r="I123" s="67"/>
      <c r="J123" s="12"/>
      <c r="K123" s="110"/>
      <c r="L123" s="107"/>
      <c r="M123" s="108"/>
      <c r="N123" s="11" t="str">
        <f t="shared" si="2"/>
        <v/>
      </c>
      <c r="O123" s="32" t="str">
        <f t="shared" si="3"/>
        <v/>
      </c>
    </row>
    <row r="124" spans="2:15" ht="14.5" customHeight="1" x14ac:dyDescent="0.35">
      <c r="B124" s="10">
        <v>448</v>
      </c>
      <c r="C124" s="34"/>
      <c r="D124" s="68"/>
      <c r="E124" s="68"/>
      <c r="F124" s="42"/>
      <c r="G124" s="36"/>
      <c r="H124" s="36"/>
      <c r="I124" s="67"/>
      <c r="J124" s="12"/>
      <c r="K124" s="110"/>
      <c r="L124" s="107"/>
      <c r="M124" s="108"/>
      <c r="N124" s="11" t="str">
        <f t="shared" si="2"/>
        <v/>
      </c>
      <c r="O124" s="32" t="str">
        <f t="shared" si="3"/>
        <v/>
      </c>
    </row>
    <row r="125" spans="2:15" ht="14.5" customHeight="1" x14ac:dyDescent="0.35">
      <c r="B125" s="10">
        <v>449</v>
      </c>
      <c r="C125" s="34"/>
      <c r="D125" s="68"/>
      <c r="E125" s="68"/>
      <c r="F125" s="42"/>
      <c r="G125" s="36"/>
      <c r="H125" s="36"/>
      <c r="I125" s="67"/>
      <c r="J125" s="12"/>
      <c r="K125" s="110"/>
      <c r="L125" s="107"/>
      <c r="M125" s="108"/>
      <c r="N125" s="11" t="str">
        <f t="shared" ref="N125:N188" si="4">IF(OR(M125="", K125=""),"", M125- K125)</f>
        <v/>
      </c>
      <c r="O125" s="32" t="str">
        <f t="shared" si="3"/>
        <v/>
      </c>
    </row>
    <row r="126" spans="2:15" ht="14.5" customHeight="1" x14ac:dyDescent="0.35">
      <c r="B126" s="10">
        <v>450</v>
      </c>
      <c r="C126" s="34"/>
      <c r="D126" s="68"/>
      <c r="E126" s="68"/>
      <c r="F126" s="42"/>
      <c r="G126" s="36"/>
      <c r="H126" s="36"/>
      <c r="I126" s="67"/>
      <c r="J126" s="12"/>
      <c r="K126" s="110"/>
      <c r="L126" s="107"/>
      <c r="M126" s="108"/>
      <c r="N126" s="11" t="str">
        <f t="shared" si="4"/>
        <v/>
      </c>
      <c r="O126" s="32" t="str">
        <f t="shared" ref="O126:O189" si="5">IF(OR(M126="", K126="", L126=""), "", IF((M126 - K126) &gt; L126, "No", "Yes"))</f>
        <v/>
      </c>
    </row>
    <row r="127" spans="2:15" ht="14.5" customHeight="1" x14ac:dyDescent="0.35">
      <c r="B127" s="10">
        <v>451</v>
      </c>
      <c r="C127" s="34"/>
      <c r="D127" s="68"/>
      <c r="E127" s="68"/>
      <c r="F127" s="42"/>
      <c r="G127" s="36"/>
      <c r="H127" s="36"/>
      <c r="I127" s="67"/>
      <c r="J127" s="12"/>
      <c r="K127" s="110"/>
      <c r="L127" s="107"/>
      <c r="M127" s="108"/>
      <c r="N127" s="11" t="str">
        <f t="shared" si="4"/>
        <v/>
      </c>
      <c r="O127" s="32" t="str">
        <f t="shared" si="5"/>
        <v/>
      </c>
    </row>
    <row r="128" spans="2:15" ht="14.5" customHeight="1" x14ac:dyDescent="0.35">
      <c r="B128" s="10">
        <v>452</v>
      </c>
      <c r="C128" s="34"/>
      <c r="D128" s="68"/>
      <c r="E128" s="68"/>
      <c r="F128" s="42"/>
      <c r="G128" s="36"/>
      <c r="H128" s="36"/>
      <c r="I128" s="67"/>
      <c r="J128" s="12"/>
      <c r="K128" s="110"/>
      <c r="L128" s="107"/>
      <c r="M128" s="108"/>
      <c r="N128" s="11" t="str">
        <f t="shared" si="4"/>
        <v/>
      </c>
      <c r="O128" s="32" t="str">
        <f t="shared" si="5"/>
        <v/>
      </c>
    </row>
    <row r="129" spans="2:15" ht="14.5" customHeight="1" x14ac:dyDescent="0.35">
      <c r="B129" s="10">
        <v>453</v>
      </c>
      <c r="C129" s="34"/>
      <c r="D129" s="68"/>
      <c r="E129" s="68"/>
      <c r="F129" s="42"/>
      <c r="G129" s="36"/>
      <c r="H129" s="36"/>
      <c r="I129" s="67"/>
      <c r="J129" s="12"/>
      <c r="K129" s="110"/>
      <c r="L129" s="107"/>
      <c r="M129" s="108"/>
      <c r="N129" s="11" t="str">
        <f t="shared" si="4"/>
        <v/>
      </c>
      <c r="O129" s="32" t="str">
        <f t="shared" si="5"/>
        <v/>
      </c>
    </row>
    <row r="130" spans="2:15" ht="14.5" customHeight="1" x14ac:dyDescent="0.35">
      <c r="B130" s="10">
        <v>454</v>
      </c>
      <c r="C130" s="34"/>
      <c r="D130" s="68"/>
      <c r="E130" s="68"/>
      <c r="F130" s="42"/>
      <c r="G130" s="36"/>
      <c r="H130" s="36"/>
      <c r="I130" s="67"/>
      <c r="J130" s="12"/>
      <c r="K130" s="110"/>
      <c r="L130" s="107"/>
      <c r="M130" s="108"/>
      <c r="N130" s="11" t="str">
        <f t="shared" si="4"/>
        <v/>
      </c>
      <c r="O130" s="32" t="str">
        <f t="shared" si="5"/>
        <v/>
      </c>
    </row>
    <row r="131" spans="2:15" ht="14.5" customHeight="1" x14ac:dyDescent="0.35">
      <c r="B131" s="10">
        <v>455</v>
      </c>
      <c r="C131" s="34"/>
      <c r="D131" s="68"/>
      <c r="E131" s="68"/>
      <c r="F131" s="42"/>
      <c r="G131" s="36"/>
      <c r="H131" s="36"/>
      <c r="I131" s="67"/>
      <c r="J131" s="12"/>
      <c r="K131" s="110"/>
      <c r="L131" s="107"/>
      <c r="M131" s="108"/>
      <c r="N131" s="11" t="str">
        <f t="shared" si="4"/>
        <v/>
      </c>
      <c r="O131" s="32" t="str">
        <f t="shared" si="5"/>
        <v/>
      </c>
    </row>
    <row r="132" spans="2:15" ht="14.5" customHeight="1" x14ac:dyDescent="0.35">
      <c r="B132" s="10">
        <v>456</v>
      </c>
      <c r="C132" s="34"/>
      <c r="D132" s="68"/>
      <c r="E132" s="68"/>
      <c r="F132" s="42"/>
      <c r="G132" s="36"/>
      <c r="H132" s="36"/>
      <c r="I132" s="67"/>
      <c r="J132" s="12"/>
      <c r="K132" s="110"/>
      <c r="L132" s="107"/>
      <c r="M132" s="108"/>
      <c r="N132" s="11" t="str">
        <f t="shared" si="4"/>
        <v/>
      </c>
      <c r="O132" s="32" t="str">
        <f t="shared" si="5"/>
        <v/>
      </c>
    </row>
    <row r="133" spans="2:15" ht="14.5" customHeight="1" x14ac:dyDescent="0.35">
      <c r="B133" s="10">
        <v>457</v>
      </c>
      <c r="C133" s="34"/>
      <c r="D133" s="68"/>
      <c r="E133" s="68"/>
      <c r="F133" s="42"/>
      <c r="G133" s="36"/>
      <c r="H133" s="36"/>
      <c r="I133" s="67"/>
      <c r="J133" s="12"/>
      <c r="K133" s="110"/>
      <c r="L133" s="107"/>
      <c r="M133" s="108"/>
      <c r="N133" s="11" t="str">
        <f t="shared" si="4"/>
        <v/>
      </c>
      <c r="O133" s="32" t="str">
        <f t="shared" si="5"/>
        <v/>
      </c>
    </row>
    <row r="134" spans="2:15" ht="14.5" customHeight="1" x14ac:dyDescent="0.35">
      <c r="B134" s="10">
        <v>458</v>
      </c>
      <c r="C134" s="34"/>
      <c r="D134" s="68"/>
      <c r="E134" s="68"/>
      <c r="F134" s="42"/>
      <c r="G134" s="36"/>
      <c r="H134" s="36"/>
      <c r="I134" s="67"/>
      <c r="J134" s="12"/>
      <c r="K134" s="110"/>
      <c r="L134" s="107"/>
      <c r="M134" s="108"/>
      <c r="N134" s="11" t="str">
        <f t="shared" si="4"/>
        <v/>
      </c>
      <c r="O134" s="32" t="str">
        <f t="shared" si="5"/>
        <v/>
      </c>
    </row>
    <row r="135" spans="2:15" ht="14.5" customHeight="1" x14ac:dyDescent="0.35">
      <c r="B135" s="10">
        <v>459</v>
      </c>
      <c r="C135" s="34"/>
      <c r="D135" s="68"/>
      <c r="E135" s="68"/>
      <c r="F135" s="42"/>
      <c r="G135" s="36"/>
      <c r="H135" s="36"/>
      <c r="I135" s="67"/>
      <c r="J135" s="12"/>
      <c r="K135" s="110"/>
      <c r="L135" s="107"/>
      <c r="M135" s="108"/>
      <c r="N135" s="11" t="str">
        <f t="shared" si="4"/>
        <v/>
      </c>
      <c r="O135" s="32" t="str">
        <f t="shared" si="5"/>
        <v/>
      </c>
    </row>
    <row r="136" spans="2:15" ht="14.5" customHeight="1" x14ac:dyDescent="0.35">
      <c r="B136" s="10">
        <v>460</v>
      </c>
      <c r="C136" s="34"/>
      <c r="D136" s="68"/>
      <c r="E136" s="68"/>
      <c r="F136" s="42"/>
      <c r="G136" s="36"/>
      <c r="H136" s="36"/>
      <c r="I136" s="67"/>
      <c r="J136" s="12"/>
      <c r="K136" s="110"/>
      <c r="L136" s="107"/>
      <c r="M136" s="108"/>
      <c r="N136" s="11" t="str">
        <f t="shared" si="4"/>
        <v/>
      </c>
      <c r="O136" s="32" t="str">
        <f t="shared" si="5"/>
        <v/>
      </c>
    </row>
    <row r="137" spans="2:15" ht="14.5" customHeight="1" x14ac:dyDescent="0.35">
      <c r="B137" s="10">
        <v>461</v>
      </c>
      <c r="C137" s="34"/>
      <c r="D137" s="68"/>
      <c r="E137" s="68"/>
      <c r="F137" s="42"/>
      <c r="G137" s="36"/>
      <c r="H137" s="36"/>
      <c r="I137" s="67"/>
      <c r="J137" s="12"/>
      <c r="K137" s="110"/>
      <c r="L137" s="107"/>
      <c r="M137" s="108"/>
      <c r="N137" s="11" t="str">
        <f t="shared" si="4"/>
        <v/>
      </c>
      <c r="O137" s="32" t="str">
        <f t="shared" si="5"/>
        <v/>
      </c>
    </row>
    <row r="138" spans="2:15" ht="26.5" customHeight="1" x14ac:dyDescent="0.35">
      <c r="B138" s="10">
        <v>462</v>
      </c>
      <c r="C138" s="34"/>
      <c r="D138" s="68"/>
      <c r="E138" s="68"/>
      <c r="F138" s="42"/>
      <c r="G138" s="36"/>
      <c r="H138" s="36"/>
      <c r="I138" s="67"/>
      <c r="J138" s="12"/>
      <c r="K138" s="110"/>
      <c r="L138" s="107"/>
      <c r="M138" s="108"/>
      <c r="N138" s="11" t="str">
        <f t="shared" si="4"/>
        <v/>
      </c>
      <c r="O138" s="32" t="str">
        <f t="shared" si="5"/>
        <v/>
      </c>
    </row>
    <row r="139" spans="2:15" ht="14.5" customHeight="1" x14ac:dyDescent="0.35">
      <c r="B139" s="10">
        <v>463</v>
      </c>
      <c r="C139" s="34"/>
      <c r="D139" s="68"/>
      <c r="E139" s="68"/>
      <c r="F139" s="42"/>
      <c r="G139" s="36"/>
      <c r="H139" s="36"/>
      <c r="I139" s="67"/>
      <c r="J139" s="12"/>
      <c r="K139" s="110"/>
      <c r="L139" s="107"/>
      <c r="M139" s="108"/>
      <c r="N139" s="11" t="str">
        <f t="shared" si="4"/>
        <v/>
      </c>
      <c r="O139" s="32" t="str">
        <f t="shared" si="5"/>
        <v/>
      </c>
    </row>
    <row r="140" spans="2:15" ht="14.5" customHeight="1" x14ac:dyDescent="0.35">
      <c r="B140" s="10">
        <v>464</v>
      </c>
      <c r="C140" s="34"/>
      <c r="D140" s="68"/>
      <c r="E140" s="68"/>
      <c r="F140" s="42"/>
      <c r="G140" s="36"/>
      <c r="H140" s="36"/>
      <c r="I140" s="67"/>
      <c r="J140" s="12"/>
      <c r="K140" s="110"/>
      <c r="L140" s="107"/>
      <c r="M140" s="108"/>
      <c r="N140" s="11" t="str">
        <f t="shared" si="4"/>
        <v/>
      </c>
      <c r="O140" s="32" t="str">
        <f t="shared" si="5"/>
        <v/>
      </c>
    </row>
    <row r="141" spans="2:15" ht="14.5" customHeight="1" x14ac:dyDescent="0.35">
      <c r="B141" s="10">
        <v>465</v>
      </c>
      <c r="C141" s="34"/>
      <c r="D141" s="68"/>
      <c r="E141" s="68"/>
      <c r="F141" s="42"/>
      <c r="G141" s="36"/>
      <c r="H141" s="36"/>
      <c r="I141" s="67"/>
      <c r="J141" s="12"/>
      <c r="K141" s="110"/>
      <c r="L141" s="107"/>
      <c r="M141" s="108"/>
      <c r="N141" s="11" t="str">
        <f t="shared" si="4"/>
        <v/>
      </c>
      <c r="O141" s="32" t="str">
        <f t="shared" si="5"/>
        <v/>
      </c>
    </row>
    <row r="142" spans="2:15" ht="14.5" customHeight="1" x14ac:dyDescent="0.35">
      <c r="B142" s="10">
        <v>466</v>
      </c>
      <c r="C142" s="34"/>
      <c r="D142" s="68"/>
      <c r="E142" s="68"/>
      <c r="F142" s="42"/>
      <c r="G142" s="36"/>
      <c r="H142" s="36"/>
      <c r="I142" s="67"/>
      <c r="J142" s="12"/>
      <c r="K142" s="110"/>
      <c r="L142" s="107"/>
      <c r="M142" s="108"/>
      <c r="N142" s="11" t="str">
        <f t="shared" si="4"/>
        <v/>
      </c>
      <c r="O142" s="32" t="str">
        <f t="shared" si="5"/>
        <v/>
      </c>
    </row>
    <row r="143" spans="2:15" ht="14.5" customHeight="1" x14ac:dyDescent="0.35">
      <c r="B143" s="10">
        <v>467</v>
      </c>
      <c r="C143" s="34"/>
      <c r="D143" s="68"/>
      <c r="E143" s="68"/>
      <c r="F143" s="42"/>
      <c r="G143" s="36"/>
      <c r="H143" s="36"/>
      <c r="I143" s="67"/>
      <c r="J143" s="12"/>
      <c r="K143" s="110"/>
      <c r="L143" s="107"/>
      <c r="M143" s="108"/>
      <c r="N143" s="11" t="str">
        <f t="shared" si="4"/>
        <v/>
      </c>
      <c r="O143" s="32" t="str">
        <f t="shared" si="5"/>
        <v/>
      </c>
    </row>
    <row r="144" spans="2:15" ht="14.5" customHeight="1" x14ac:dyDescent="0.35">
      <c r="B144" s="10">
        <v>468</v>
      </c>
      <c r="C144" s="34"/>
      <c r="D144" s="68"/>
      <c r="E144" s="68"/>
      <c r="F144" s="42"/>
      <c r="G144" s="36"/>
      <c r="H144" s="36"/>
      <c r="I144" s="67"/>
      <c r="J144" s="12"/>
      <c r="K144" s="110"/>
      <c r="L144" s="107"/>
      <c r="M144" s="108"/>
      <c r="N144" s="11" t="str">
        <f t="shared" si="4"/>
        <v/>
      </c>
      <c r="O144" s="32" t="str">
        <f t="shared" si="5"/>
        <v/>
      </c>
    </row>
    <row r="145" spans="2:15" ht="14.5" customHeight="1" x14ac:dyDescent="0.35">
      <c r="B145" s="10">
        <v>469</v>
      </c>
      <c r="C145" s="34"/>
      <c r="D145" s="68"/>
      <c r="E145" s="68"/>
      <c r="F145" s="42"/>
      <c r="G145" s="36"/>
      <c r="H145" s="36"/>
      <c r="I145" s="67"/>
      <c r="J145" s="12"/>
      <c r="K145" s="110"/>
      <c r="L145" s="107"/>
      <c r="M145" s="108"/>
      <c r="N145" s="11" t="str">
        <f t="shared" si="4"/>
        <v/>
      </c>
      <c r="O145" s="32" t="str">
        <f t="shared" si="5"/>
        <v/>
      </c>
    </row>
    <row r="146" spans="2:15" ht="14.5" customHeight="1" x14ac:dyDescent="0.35">
      <c r="B146" s="10">
        <v>470</v>
      </c>
      <c r="C146" s="34"/>
      <c r="D146" s="68"/>
      <c r="E146" s="68"/>
      <c r="F146" s="42"/>
      <c r="G146" s="36"/>
      <c r="H146" s="36"/>
      <c r="I146" s="67"/>
      <c r="J146" s="12"/>
      <c r="K146" s="110"/>
      <c r="L146" s="107"/>
      <c r="M146" s="108"/>
      <c r="N146" s="11" t="str">
        <f t="shared" si="4"/>
        <v/>
      </c>
      <c r="O146" s="32" t="str">
        <f t="shared" si="5"/>
        <v/>
      </c>
    </row>
    <row r="147" spans="2:15" ht="14.5" customHeight="1" x14ac:dyDescent="0.35">
      <c r="B147" s="10">
        <v>471</v>
      </c>
      <c r="C147" s="34"/>
      <c r="D147" s="68"/>
      <c r="E147" s="68"/>
      <c r="F147" s="42"/>
      <c r="G147" s="36"/>
      <c r="H147" s="36"/>
      <c r="I147" s="67"/>
      <c r="J147" s="12"/>
      <c r="K147" s="110"/>
      <c r="L147" s="107"/>
      <c r="M147" s="108"/>
      <c r="N147" s="11" t="str">
        <f t="shared" si="4"/>
        <v/>
      </c>
      <c r="O147" s="32" t="str">
        <f t="shared" si="5"/>
        <v/>
      </c>
    </row>
    <row r="148" spans="2:15" ht="14.5" customHeight="1" x14ac:dyDescent="0.35">
      <c r="B148" s="10">
        <v>472</v>
      </c>
      <c r="C148" s="34"/>
      <c r="D148" s="68"/>
      <c r="E148" s="68"/>
      <c r="F148" s="42"/>
      <c r="G148" s="36"/>
      <c r="H148" s="36"/>
      <c r="I148" s="67"/>
      <c r="J148" s="12"/>
      <c r="K148" s="110"/>
      <c r="L148" s="107"/>
      <c r="M148" s="108"/>
      <c r="N148" s="11" t="str">
        <f t="shared" si="4"/>
        <v/>
      </c>
      <c r="O148" s="32" t="str">
        <f t="shared" si="5"/>
        <v/>
      </c>
    </row>
    <row r="149" spans="2:15" ht="14.5" customHeight="1" x14ac:dyDescent="0.35">
      <c r="B149" s="10">
        <v>473</v>
      </c>
      <c r="C149" s="34"/>
      <c r="D149" s="68"/>
      <c r="E149" s="68"/>
      <c r="F149" s="42"/>
      <c r="G149" s="36"/>
      <c r="H149" s="36"/>
      <c r="I149" s="67"/>
      <c r="J149" s="12"/>
      <c r="K149" s="110"/>
      <c r="L149" s="107"/>
      <c r="M149" s="108"/>
      <c r="N149" s="11" t="str">
        <f t="shared" si="4"/>
        <v/>
      </c>
      <c r="O149" s="32" t="str">
        <f t="shared" si="5"/>
        <v/>
      </c>
    </row>
    <row r="150" spans="2:15" ht="14.5" customHeight="1" x14ac:dyDescent="0.35">
      <c r="B150" s="10">
        <v>474</v>
      </c>
      <c r="C150" s="34"/>
      <c r="D150" s="68"/>
      <c r="E150" s="68"/>
      <c r="F150" s="42"/>
      <c r="G150" s="36"/>
      <c r="H150" s="36"/>
      <c r="I150" s="67"/>
      <c r="J150" s="12"/>
      <c r="K150" s="110"/>
      <c r="L150" s="107"/>
      <c r="M150" s="108"/>
      <c r="N150" s="11" t="str">
        <f t="shared" si="4"/>
        <v/>
      </c>
      <c r="O150" s="32" t="str">
        <f t="shared" si="5"/>
        <v/>
      </c>
    </row>
    <row r="151" spans="2:15" ht="14.5" customHeight="1" x14ac:dyDescent="0.35">
      <c r="B151" s="10">
        <v>475</v>
      </c>
      <c r="C151" s="34"/>
      <c r="D151" s="68"/>
      <c r="E151" s="68"/>
      <c r="F151" s="42"/>
      <c r="G151" s="36"/>
      <c r="H151" s="36"/>
      <c r="I151" s="67"/>
      <c r="J151" s="12"/>
      <c r="K151" s="110"/>
      <c r="L151" s="107"/>
      <c r="M151" s="108"/>
      <c r="N151" s="11" t="str">
        <f t="shared" si="4"/>
        <v/>
      </c>
      <c r="O151" s="32" t="str">
        <f t="shared" si="5"/>
        <v/>
      </c>
    </row>
    <row r="152" spans="2:15" ht="14.5" customHeight="1" x14ac:dyDescent="0.35">
      <c r="B152" s="10">
        <v>476</v>
      </c>
      <c r="C152" s="34"/>
      <c r="D152" s="68"/>
      <c r="E152" s="68"/>
      <c r="F152" s="42"/>
      <c r="G152" s="36"/>
      <c r="H152" s="36"/>
      <c r="I152" s="67"/>
      <c r="J152" s="12"/>
      <c r="K152" s="110"/>
      <c r="L152" s="107"/>
      <c r="M152" s="108"/>
      <c r="N152" s="11" t="str">
        <f t="shared" si="4"/>
        <v/>
      </c>
      <c r="O152" s="32" t="str">
        <f t="shared" si="5"/>
        <v/>
      </c>
    </row>
    <row r="153" spans="2:15" ht="14.5" customHeight="1" x14ac:dyDescent="0.35">
      <c r="B153" s="10">
        <v>477</v>
      </c>
      <c r="C153" s="34"/>
      <c r="D153" s="68"/>
      <c r="E153" s="68"/>
      <c r="F153" s="42"/>
      <c r="G153" s="36"/>
      <c r="H153" s="36"/>
      <c r="I153" s="67"/>
      <c r="J153" s="12"/>
      <c r="K153" s="110"/>
      <c r="L153" s="107"/>
      <c r="M153" s="108"/>
      <c r="N153" s="11" t="str">
        <f t="shared" si="4"/>
        <v/>
      </c>
      <c r="O153" s="32" t="str">
        <f t="shared" si="5"/>
        <v/>
      </c>
    </row>
    <row r="154" spans="2:15" ht="14.5" customHeight="1" x14ac:dyDescent="0.35">
      <c r="B154" s="10">
        <v>478</v>
      </c>
      <c r="C154" s="34"/>
      <c r="D154" s="68"/>
      <c r="E154" s="68"/>
      <c r="F154" s="42"/>
      <c r="G154" s="36"/>
      <c r="H154" s="36"/>
      <c r="I154" s="67"/>
      <c r="J154" s="12"/>
      <c r="K154" s="110"/>
      <c r="L154" s="107"/>
      <c r="M154" s="108"/>
      <c r="N154" s="11" t="str">
        <f t="shared" si="4"/>
        <v/>
      </c>
      <c r="O154" s="32" t="str">
        <f t="shared" si="5"/>
        <v/>
      </c>
    </row>
    <row r="155" spans="2:15" ht="14.5" customHeight="1" x14ac:dyDescent="0.35">
      <c r="B155" s="10">
        <v>479</v>
      </c>
      <c r="C155" s="34"/>
      <c r="D155" s="68"/>
      <c r="E155" s="68"/>
      <c r="F155" s="42"/>
      <c r="G155" s="36"/>
      <c r="H155" s="36"/>
      <c r="I155" s="67"/>
      <c r="J155" s="12"/>
      <c r="K155" s="110"/>
      <c r="L155" s="107"/>
      <c r="M155" s="108"/>
      <c r="N155" s="11" t="str">
        <f t="shared" si="4"/>
        <v/>
      </c>
      <c r="O155" s="32" t="str">
        <f t="shared" si="5"/>
        <v/>
      </c>
    </row>
    <row r="156" spans="2:15" ht="14.5" customHeight="1" x14ac:dyDescent="0.35">
      <c r="B156" s="10">
        <v>480</v>
      </c>
      <c r="C156" s="34"/>
      <c r="D156" s="68"/>
      <c r="E156" s="68"/>
      <c r="F156" s="42"/>
      <c r="G156" s="36"/>
      <c r="H156" s="36"/>
      <c r="I156" s="67"/>
      <c r="J156" s="12"/>
      <c r="K156" s="110"/>
      <c r="L156" s="107"/>
      <c r="M156" s="108"/>
      <c r="N156" s="11" t="str">
        <f t="shared" si="4"/>
        <v/>
      </c>
      <c r="O156" s="32" t="str">
        <f t="shared" si="5"/>
        <v/>
      </c>
    </row>
    <row r="157" spans="2:15" ht="14.5" customHeight="1" x14ac:dyDescent="0.35">
      <c r="B157" s="10">
        <v>481</v>
      </c>
      <c r="C157" s="34"/>
      <c r="D157" s="68"/>
      <c r="E157" s="68"/>
      <c r="F157" s="42"/>
      <c r="G157" s="36"/>
      <c r="H157" s="36"/>
      <c r="I157" s="67"/>
      <c r="J157" s="12"/>
      <c r="K157" s="110"/>
      <c r="L157" s="107"/>
      <c r="M157" s="108"/>
      <c r="N157" s="11" t="str">
        <f t="shared" si="4"/>
        <v/>
      </c>
      <c r="O157" s="32" t="str">
        <f t="shared" si="5"/>
        <v/>
      </c>
    </row>
    <row r="158" spans="2:15" ht="14.5" customHeight="1" x14ac:dyDescent="0.35">
      <c r="B158" s="10">
        <v>482</v>
      </c>
      <c r="C158" s="34"/>
      <c r="D158" s="68"/>
      <c r="E158" s="68"/>
      <c r="F158" s="42"/>
      <c r="G158" s="36"/>
      <c r="H158" s="36"/>
      <c r="I158" s="67"/>
      <c r="J158" s="12"/>
      <c r="K158" s="110"/>
      <c r="L158" s="107"/>
      <c r="M158" s="108"/>
      <c r="N158" s="11" t="str">
        <f t="shared" si="4"/>
        <v/>
      </c>
      <c r="O158" s="32" t="str">
        <f t="shared" si="5"/>
        <v/>
      </c>
    </row>
    <row r="159" spans="2:15" ht="14.5" customHeight="1" x14ac:dyDescent="0.35">
      <c r="B159" s="10">
        <v>483</v>
      </c>
      <c r="C159" s="34"/>
      <c r="D159" s="68"/>
      <c r="E159" s="68"/>
      <c r="F159" s="42"/>
      <c r="G159" s="36"/>
      <c r="H159" s="36"/>
      <c r="I159" s="67"/>
      <c r="J159" s="12"/>
      <c r="K159" s="110"/>
      <c r="L159" s="107"/>
      <c r="M159" s="108"/>
      <c r="N159" s="11" t="str">
        <f t="shared" si="4"/>
        <v/>
      </c>
      <c r="O159" s="32" t="str">
        <f t="shared" si="5"/>
        <v/>
      </c>
    </row>
    <row r="160" spans="2:15" ht="14.5" customHeight="1" x14ac:dyDescent="0.35">
      <c r="B160" s="10">
        <v>484</v>
      </c>
      <c r="C160" s="34"/>
      <c r="D160" s="68"/>
      <c r="E160" s="68"/>
      <c r="F160" s="42"/>
      <c r="G160" s="36"/>
      <c r="H160" s="36"/>
      <c r="I160" s="67"/>
      <c r="J160" s="12"/>
      <c r="K160" s="110"/>
      <c r="L160" s="107"/>
      <c r="M160" s="108"/>
      <c r="N160" s="11" t="str">
        <f t="shared" si="4"/>
        <v/>
      </c>
      <c r="O160" s="32" t="str">
        <f t="shared" si="5"/>
        <v/>
      </c>
    </row>
    <row r="161" spans="2:15" ht="14.5" customHeight="1" x14ac:dyDescent="0.35">
      <c r="B161" s="10">
        <v>485</v>
      </c>
      <c r="C161" s="34"/>
      <c r="D161" s="68"/>
      <c r="E161" s="68"/>
      <c r="F161" s="42"/>
      <c r="G161" s="36"/>
      <c r="H161" s="36"/>
      <c r="I161" s="67"/>
      <c r="J161" s="12"/>
      <c r="K161" s="110"/>
      <c r="L161" s="107"/>
      <c r="M161" s="108"/>
      <c r="N161" s="11" t="str">
        <f t="shared" si="4"/>
        <v/>
      </c>
      <c r="O161" s="32" t="str">
        <f t="shared" si="5"/>
        <v/>
      </c>
    </row>
    <row r="162" spans="2:15" ht="14.5" customHeight="1" x14ac:dyDescent="0.35">
      <c r="B162" s="10">
        <v>486</v>
      </c>
      <c r="C162" s="34"/>
      <c r="D162" s="68"/>
      <c r="E162" s="68"/>
      <c r="F162" s="42"/>
      <c r="G162" s="36"/>
      <c r="H162" s="36"/>
      <c r="I162" s="67"/>
      <c r="J162" s="12"/>
      <c r="K162" s="110"/>
      <c r="L162" s="107"/>
      <c r="M162" s="108"/>
      <c r="N162" s="11" t="str">
        <f t="shared" si="4"/>
        <v/>
      </c>
      <c r="O162" s="32" t="str">
        <f t="shared" si="5"/>
        <v/>
      </c>
    </row>
    <row r="163" spans="2:15" ht="14.5" customHeight="1" x14ac:dyDescent="0.35">
      <c r="B163" s="10">
        <v>487</v>
      </c>
      <c r="C163" s="34"/>
      <c r="D163" s="68"/>
      <c r="E163" s="68"/>
      <c r="F163" s="42"/>
      <c r="G163" s="36"/>
      <c r="H163" s="36"/>
      <c r="I163" s="67"/>
      <c r="J163" s="12"/>
      <c r="K163" s="110"/>
      <c r="L163" s="107"/>
      <c r="M163" s="108"/>
      <c r="N163" s="11" t="str">
        <f t="shared" si="4"/>
        <v/>
      </c>
      <c r="O163" s="32" t="str">
        <f t="shared" si="5"/>
        <v/>
      </c>
    </row>
    <row r="164" spans="2:15" ht="14.5" customHeight="1" x14ac:dyDescent="0.35">
      <c r="B164" s="10">
        <v>488</v>
      </c>
      <c r="C164" s="34"/>
      <c r="D164" s="68"/>
      <c r="E164" s="68"/>
      <c r="F164" s="42"/>
      <c r="G164" s="36"/>
      <c r="H164" s="36"/>
      <c r="I164" s="67"/>
      <c r="J164" s="12"/>
      <c r="K164" s="110"/>
      <c r="L164" s="107"/>
      <c r="M164" s="108"/>
      <c r="N164" s="11" t="str">
        <f t="shared" si="4"/>
        <v/>
      </c>
      <c r="O164" s="32" t="str">
        <f t="shared" si="5"/>
        <v/>
      </c>
    </row>
    <row r="165" spans="2:15" ht="14.5" customHeight="1" x14ac:dyDescent="0.35">
      <c r="B165" s="10">
        <v>489</v>
      </c>
      <c r="C165" s="34"/>
      <c r="D165" s="68"/>
      <c r="E165" s="68"/>
      <c r="F165" s="42"/>
      <c r="G165" s="36"/>
      <c r="H165" s="36"/>
      <c r="I165" s="67"/>
      <c r="J165" s="12"/>
      <c r="K165" s="110"/>
      <c r="L165" s="107"/>
      <c r="M165" s="108"/>
      <c r="N165" s="11" t="str">
        <f t="shared" si="4"/>
        <v/>
      </c>
      <c r="O165" s="32" t="str">
        <f t="shared" si="5"/>
        <v/>
      </c>
    </row>
    <row r="166" spans="2:15" ht="14.5" customHeight="1" x14ac:dyDescent="0.35">
      <c r="B166" s="10">
        <v>490</v>
      </c>
      <c r="C166" s="34"/>
      <c r="D166" s="68"/>
      <c r="E166" s="68"/>
      <c r="F166" s="42"/>
      <c r="G166" s="36"/>
      <c r="H166" s="36"/>
      <c r="I166" s="67"/>
      <c r="J166" s="12"/>
      <c r="K166" s="110"/>
      <c r="L166" s="107"/>
      <c r="M166" s="108"/>
      <c r="N166" s="11" t="str">
        <f t="shared" si="4"/>
        <v/>
      </c>
      <c r="O166" s="32" t="str">
        <f t="shared" si="5"/>
        <v/>
      </c>
    </row>
    <row r="167" spans="2:15" ht="14.5" customHeight="1" x14ac:dyDescent="0.35">
      <c r="B167" s="10">
        <v>491</v>
      </c>
      <c r="C167" s="34"/>
      <c r="D167" s="68"/>
      <c r="E167" s="68"/>
      <c r="F167" s="42"/>
      <c r="G167" s="36"/>
      <c r="H167" s="36"/>
      <c r="I167" s="68"/>
      <c r="J167" s="12"/>
      <c r="K167" s="110"/>
      <c r="L167" s="107"/>
      <c r="M167" s="108"/>
      <c r="N167" s="11" t="str">
        <f t="shared" si="4"/>
        <v/>
      </c>
      <c r="O167" s="32" t="str">
        <f t="shared" si="5"/>
        <v/>
      </c>
    </row>
    <row r="168" spans="2:15" ht="14.5" customHeight="1" x14ac:dyDescent="0.35">
      <c r="B168" s="10">
        <v>492</v>
      </c>
      <c r="C168" s="34"/>
      <c r="D168" s="68"/>
      <c r="E168" s="68"/>
      <c r="F168" s="42"/>
      <c r="G168" s="36"/>
      <c r="H168" s="36"/>
      <c r="I168" s="67"/>
      <c r="J168" s="12"/>
      <c r="K168" s="110"/>
      <c r="L168" s="107"/>
      <c r="M168" s="108"/>
      <c r="N168" s="11" t="str">
        <f t="shared" si="4"/>
        <v/>
      </c>
      <c r="O168" s="32" t="str">
        <f t="shared" si="5"/>
        <v/>
      </c>
    </row>
    <row r="169" spans="2:15" ht="14.5" customHeight="1" x14ac:dyDescent="0.35">
      <c r="B169" s="10">
        <v>493</v>
      </c>
      <c r="C169" s="34"/>
      <c r="D169" s="68"/>
      <c r="E169" s="68"/>
      <c r="F169" s="42"/>
      <c r="G169" s="36"/>
      <c r="H169" s="36"/>
      <c r="I169" s="67"/>
      <c r="J169" s="12"/>
      <c r="K169" s="110"/>
      <c r="L169" s="107"/>
      <c r="M169" s="108"/>
      <c r="N169" s="11" t="str">
        <f t="shared" si="4"/>
        <v/>
      </c>
      <c r="O169" s="32" t="str">
        <f t="shared" si="5"/>
        <v/>
      </c>
    </row>
    <row r="170" spans="2:15" ht="14.5" customHeight="1" x14ac:dyDescent="0.35">
      <c r="B170" s="10">
        <v>494</v>
      </c>
      <c r="C170" s="34"/>
      <c r="D170" s="68"/>
      <c r="E170" s="68"/>
      <c r="F170" s="42"/>
      <c r="G170" s="36"/>
      <c r="H170" s="36"/>
      <c r="I170" s="67"/>
      <c r="J170" s="12"/>
      <c r="K170" s="110"/>
      <c r="L170" s="107"/>
      <c r="M170" s="108"/>
      <c r="N170" s="11" t="str">
        <f t="shared" si="4"/>
        <v/>
      </c>
      <c r="O170" s="32" t="str">
        <f t="shared" si="5"/>
        <v/>
      </c>
    </row>
    <row r="171" spans="2:15" ht="14.5" customHeight="1" x14ac:dyDescent="0.35">
      <c r="B171" s="10">
        <v>495</v>
      </c>
      <c r="C171" s="34"/>
      <c r="D171" s="68"/>
      <c r="E171" s="68"/>
      <c r="F171" s="42"/>
      <c r="G171" s="36"/>
      <c r="H171" s="36"/>
      <c r="I171" s="67"/>
      <c r="J171" s="12"/>
      <c r="K171" s="110"/>
      <c r="L171" s="107"/>
      <c r="M171" s="108"/>
      <c r="N171" s="11" t="str">
        <f t="shared" si="4"/>
        <v/>
      </c>
      <c r="O171" s="32" t="str">
        <f t="shared" si="5"/>
        <v/>
      </c>
    </row>
    <row r="172" spans="2:15" ht="14.5" customHeight="1" x14ac:dyDescent="0.35">
      <c r="B172" s="10">
        <v>496</v>
      </c>
      <c r="C172" s="34"/>
      <c r="D172" s="68"/>
      <c r="E172" s="68"/>
      <c r="F172" s="42"/>
      <c r="G172" s="36"/>
      <c r="H172" s="36"/>
      <c r="I172" s="67"/>
      <c r="J172" s="12"/>
      <c r="K172" s="110"/>
      <c r="L172" s="107"/>
      <c r="M172" s="108"/>
      <c r="N172" s="11" t="str">
        <f t="shared" si="4"/>
        <v/>
      </c>
      <c r="O172" s="32" t="str">
        <f t="shared" si="5"/>
        <v/>
      </c>
    </row>
    <row r="173" spans="2:15" ht="14.5" customHeight="1" x14ac:dyDescent="0.35">
      <c r="B173" s="10">
        <v>497</v>
      </c>
      <c r="C173" s="34"/>
      <c r="D173" s="68"/>
      <c r="E173" s="68"/>
      <c r="F173" s="42"/>
      <c r="G173" s="36"/>
      <c r="H173" s="36"/>
      <c r="I173" s="67"/>
      <c r="J173" s="12"/>
      <c r="K173" s="110"/>
      <c r="L173" s="107"/>
      <c r="M173" s="108"/>
      <c r="N173" s="11" t="str">
        <f t="shared" si="4"/>
        <v/>
      </c>
      <c r="O173" s="32" t="str">
        <f t="shared" si="5"/>
        <v/>
      </c>
    </row>
    <row r="174" spans="2:15" ht="14.5" customHeight="1" x14ac:dyDescent="0.35">
      <c r="B174" s="10">
        <v>498</v>
      </c>
      <c r="C174" s="34"/>
      <c r="D174" s="68"/>
      <c r="E174" s="68"/>
      <c r="F174" s="42"/>
      <c r="G174" s="36"/>
      <c r="H174" s="36"/>
      <c r="I174" s="67"/>
      <c r="J174" s="12"/>
      <c r="K174" s="110"/>
      <c r="L174" s="107"/>
      <c r="M174" s="108"/>
      <c r="N174" s="11" t="str">
        <f t="shared" si="4"/>
        <v/>
      </c>
      <c r="O174" s="32" t="str">
        <f t="shared" si="5"/>
        <v/>
      </c>
    </row>
    <row r="175" spans="2:15" ht="14.5" customHeight="1" x14ac:dyDescent="0.35">
      <c r="B175" s="10">
        <v>499</v>
      </c>
      <c r="C175" s="34"/>
      <c r="D175" s="68"/>
      <c r="E175" s="68"/>
      <c r="F175" s="42"/>
      <c r="G175" s="36"/>
      <c r="H175" s="36"/>
      <c r="I175" s="67"/>
      <c r="J175" s="12"/>
      <c r="K175" s="110"/>
      <c r="L175" s="107"/>
      <c r="M175" s="108"/>
      <c r="N175" s="11" t="str">
        <f t="shared" si="4"/>
        <v/>
      </c>
      <c r="O175" s="32" t="str">
        <f t="shared" si="5"/>
        <v/>
      </c>
    </row>
    <row r="176" spans="2:15" ht="14.5" customHeight="1" x14ac:dyDescent="0.35">
      <c r="B176" s="10">
        <v>500</v>
      </c>
      <c r="C176" s="34"/>
      <c r="D176" s="68"/>
      <c r="E176" s="68"/>
      <c r="F176" s="42"/>
      <c r="G176" s="36"/>
      <c r="H176" s="36"/>
      <c r="I176" s="67"/>
      <c r="J176" s="12"/>
      <c r="K176" s="110"/>
      <c r="L176" s="107"/>
      <c r="M176" s="108"/>
      <c r="N176" s="11" t="str">
        <f t="shared" si="4"/>
        <v/>
      </c>
      <c r="O176" s="32" t="str">
        <f t="shared" si="5"/>
        <v/>
      </c>
    </row>
    <row r="177" spans="2:15" ht="14.5" customHeight="1" x14ac:dyDescent="0.35">
      <c r="B177" s="10">
        <v>501</v>
      </c>
      <c r="C177" s="34"/>
      <c r="D177" s="68"/>
      <c r="E177" s="68"/>
      <c r="F177" s="42"/>
      <c r="G177" s="36"/>
      <c r="H177" s="36"/>
      <c r="I177" s="67"/>
      <c r="J177" s="12"/>
      <c r="K177" s="110"/>
      <c r="L177" s="107"/>
      <c r="M177" s="108"/>
      <c r="N177" s="11" t="str">
        <f t="shared" si="4"/>
        <v/>
      </c>
      <c r="O177" s="32" t="str">
        <f t="shared" si="5"/>
        <v/>
      </c>
    </row>
    <row r="178" spans="2:15" ht="14.5" customHeight="1" x14ac:dyDescent="0.35">
      <c r="B178" s="10">
        <v>502</v>
      </c>
      <c r="C178" s="34"/>
      <c r="D178" s="68"/>
      <c r="E178" s="68"/>
      <c r="F178" s="42"/>
      <c r="G178" s="36"/>
      <c r="H178" s="36"/>
      <c r="I178" s="67"/>
      <c r="J178" s="12"/>
      <c r="K178" s="110"/>
      <c r="L178" s="107"/>
      <c r="M178" s="108"/>
      <c r="N178" s="11" t="str">
        <f t="shared" si="4"/>
        <v/>
      </c>
      <c r="O178" s="32" t="str">
        <f t="shared" si="5"/>
        <v/>
      </c>
    </row>
    <row r="179" spans="2:15" ht="14.5" customHeight="1" x14ac:dyDescent="0.35">
      <c r="B179" s="10">
        <v>503</v>
      </c>
      <c r="C179" s="34"/>
      <c r="D179" s="68"/>
      <c r="E179" s="68"/>
      <c r="F179" s="42"/>
      <c r="G179" s="36"/>
      <c r="H179" s="36"/>
      <c r="I179" s="67"/>
      <c r="J179" s="12"/>
      <c r="K179" s="110"/>
      <c r="L179" s="107"/>
      <c r="M179" s="108"/>
      <c r="N179" s="11" t="str">
        <f t="shared" si="4"/>
        <v/>
      </c>
      <c r="O179" s="32" t="str">
        <f t="shared" si="5"/>
        <v/>
      </c>
    </row>
    <row r="180" spans="2:15" ht="14.5" customHeight="1" x14ac:dyDescent="0.35">
      <c r="B180" s="10">
        <v>504</v>
      </c>
      <c r="C180" s="34"/>
      <c r="D180" s="68"/>
      <c r="E180" s="68"/>
      <c r="F180" s="42"/>
      <c r="G180" s="36"/>
      <c r="H180" s="36"/>
      <c r="I180" s="67"/>
      <c r="J180" s="12"/>
      <c r="K180" s="110"/>
      <c r="L180" s="107"/>
      <c r="M180" s="108"/>
      <c r="N180" s="11" t="str">
        <f t="shared" si="4"/>
        <v/>
      </c>
      <c r="O180" s="32" t="str">
        <f t="shared" si="5"/>
        <v/>
      </c>
    </row>
    <row r="181" spans="2:15" ht="14.5" customHeight="1" x14ac:dyDescent="0.35">
      <c r="B181" s="10">
        <v>505</v>
      </c>
      <c r="C181" s="34"/>
      <c r="D181" s="68"/>
      <c r="E181" s="68"/>
      <c r="F181" s="42"/>
      <c r="G181" s="36"/>
      <c r="H181" s="36"/>
      <c r="I181" s="67"/>
      <c r="J181" s="12"/>
      <c r="K181" s="110"/>
      <c r="L181" s="107"/>
      <c r="M181" s="108"/>
      <c r="N181" s="11" t="str">
        <f t="shared" si="4"/>
        <v/>
      </c>
      <c r="O181" s="32" t="str">
        <f t="shared" si="5"/>
        <v/>
      </c>
    </row>
    <row r="182" spans="2:15" ht="14.5" customHeight="1" x14ac:dyDescent="0.35">
      <c r="B182" s="10">
        <v>506</v>
      </c>
      <c r="C182" s="34"/>
      <c r="D182" s="68"/>
      <c r="E182" s="68"/>
      <c r="F182" s="42"/>
      <c r="G182" s="36"/>
      <c r="H182" s="36"/>
      <c r="I182" s="67"/>
      <c r="J182" s="12"/>
      <c r="K182" s="110"/>
      <c r="L182" s="107"/>
      <c r="M182" s="108"/>
      <c r="N182" s="11" t="str">
        <f t="shared" si="4"/>
        <v/>
      </c>
      <c r="O182" s="32" t="str">
        <f t="shared" si="5"/>
        <v/>
      </c>
    </row>
    <row r="183" spans="2:15" ht="14.5" customHeight="1" x14ac:dyDescent="0.35">
      <c r="B183" s="10">
        <v>507</v>
      </c>
      <c r="C183" s="34"/>
      <c r="D183" s="68"/>
      <c r="E183" s="68"/>
      <c r="F183" s="42"/>
      <c r="G183" s="36"/>
      <c r="H183" s="36"/>
      <c r="I183" s="67"/>
      <c r="J183" s="12"/>
      <c r="K183" s="110"/>
      <c r="L183" s="107"/>
      <c r="M183" s="108"/>
      <c r="N183" s="11" t="str">
        <f t="shared" si="4"/>
        <v/>
      </c>
      <c r="O183" s="32" t="str">
        <f t="shared" si="5"/>
        <v/>
      </c>
    </row>
    <row r="184" spans="2:15" ht="14.5" customHeight="1" x14ac:dyDescent="0.35">
      <c r="B184" s="10">
        <v>508</v>
      </c>
      <c r="C184" s="34"/>
      <c r="D184" s="68"/>
      <c r="E184" s="68"/>
      <c r="F184" s="42"/>
      <c r="G184" s="36"/>
      <c r="H184" s="36"/>
      <c r="I184" s="67"/>
      <c r="J184" s="12"/>
      <c r="K184" s="110"/>
      <c r="L184" s="107"/>
      <c r="M184" s="108"/>
      <c r="N184" s="11" t="str">
        <f t="shared" si="4"/>
        <v/>
      </c>
      <c r="O184" s="32" t="str">
        <f t="shared" si="5"/>
        <v/>
      </c>
    </row>
    <row r="185" spans="2:15" ht="14.5" customHeight="1" x14ac:dyDescent="0.35">
      <c r="B185" s="10">
        <v>509</v>
      </c>
      <c r="C185" s="34"/>
      <c r="D185" s="68"/>
      <c r="E185" s="68"/>
      <c r="F185" s="42"/>
      <c r="G185" s="36"/>
      <c r="H185" s="36"/>
      <c r="I185" s="67"/>
      <c r="J185" s="12"/>
      <c r="K185" s="110"/>
      <c r="L185" s="107"/>
      <c r="M185" s="108"/>
      <c r="N185" s="11" t="str">
        <f t="shared" si="4"/>
        <v/>
      </c>
      <c r="O185" s="32" t="str">
        <f t="shared" si="5"/>
        <v/>
      </c>
    </row>
    <row r="186" spans="2:15" ht="14.5" customHeight="1" x14ac:dyDescent="0.35">
      <c r="B186" s="10">
        <v>510</v>
      </c>
      <c r="C186" s="34"/>
      <c r="D186" s="68"/>
      <c r="E186" s="68"/>
      <c r="F186" s="42"/>
      <c r="G186" s="36"/>
      <c r="H186" s="36"/>
      <c r="I186" s="67"/>
      <c r="J186" s="12"/>
      <c r="K186" s="110"/>
      <c r="L186" s="107"/>
      <c r="M186" s="108"/>
      <c r="N186" s="11" t="str">
        <f t="shared" si="4"/>
        <v/>
      </c>
      <c r="O186" s="32" t="str">
        <f t="shared" si="5"/>
        <v/>
      </c>
    </row>
    <row r="187" spans="2:15" ht="14.5" customHeight="1" x14ac:dyDescent="0.35">
      <c r="B187" s="10">
        <v>511</v>
      </c>
      <c r="C187" s="34"/>
      <c r="D187" s="68"/>
      <c r="E187" s="68"/>
      <c r="F187" s="42"/>
      <c r="G187" s="36"/>
      <c r="H187" s="36"/>
      <c r="I187" s="67"/>
      <c r="J187" s="12"/>
      <c r="K187" s="110"/>
      <c r="L187" s="107"/>
      <c r="M187" s="108"/>
      <c r="N187" s="11" t="str">
        <f t="shared" si="4"/>
        <v/>
      </c>
      <c r="O187" s="32" t="str">
        <f t="shared" si="5"/>
        <v/>
      </c>
    </row>
    <row r="188" spans="2:15" ht="14.5" customHeight="1" x14ac:dyDescent="0.35">
      <c r="B188" s="10">
        <v>512</v>
      </c>
      <c r="C188" s="34"/>
      <c r="D188" s="68"/>
      <c r="E188" s="68"/>
      <c r="F188" s="42"/>
      <c r="G188" s="36"/>
      <c r="H188" s="36"/>
      <c r="I188" s="67"/>
      <c r="J188" s="12"/>
      <c r="K188" s="110"/>
      <c r="L188" s="107"/>
      <c r="M188" s="108"/>
      <c r="N188" s="11" t="str">
        <f t="shared" si="4"/>
        <v/>
      </c>
      <c r="O188" s="32" t="str">
        <f t="shared" si="5"/>
        <v/>
      </c>
    </row>
    <row r="189" spans="2:15" ht="14.5" customHeight="1" x14ac:dyDescent="0.35">
      <c r="B189" s="10">
        <v>513</v>
      </c>
      <c r="C189" s="34"/>
      <c r="D189" s="68"/>
      <c r="E189" s="68"/>
      <c r="F189" s="42"/>
      <c r="G189" s="36"/>
      <c r="H189" s="36"/>
      <c r="I189" s="67"/>
      <c r="J189" s="12"/>
      <c r="K189" s="110"/>
      <c r="L189" s="107"/>
      <c r="M189" s="108"/>
      <c r="N189" s="11" t="str">
        <f t="shared" ref="N189:N252" si="6">IF(OR(M189="", K189=""),"", M189- K189)</f>
        <v/>
      </c>
      <c r="O189" s="32" t="str">
        <f t="shared" si="5"/>
        <v/>
      </c>
    </row>
    <row r="190" spans="2:15" ht="14.5" customHeight="1" x14ac:dyDescent="0.35">
      <c r="B190" s="10">
        <v>514</v>
      </c>
      <c r="C190" s="34"/>
      <c r="D190" s="68"/>
      <c r="E190" s="68"/>
      <c r="F190" s="42"/>
      <c r="G190" s="36"/>
      <c r="H190" s="36"/>
      <c r="I190" s="67"/>
      <c r="J190" s="12"/>
      <c r="K190" s="110"/>
      <c r="L190" s="107"/>
      <c r="M190" s="108"/>
      <c r="N190" s="11" t="str">
        <f t="shared" si="6"/>
        <v/>
      </c>
      <c r="O190" s="32" t="str">
        <f t="shared" ref="O190:O253" si="7">IF(OR(M190="", K190="", L190=""), "", IF((M190 - K190) &gt; L190, "No", "Yes"))</f>
        <v/>
      </c>
    </row>
    <row r="191" spans="2:15" ht="14.5" customHeight="1" x14ac:dyDescent="0.35">
      <c r="B191" s="10">
        <v>515</v>
      </c>
      <c r="C191" s="34"/>
      <c r="D191" s="68"/>
      <c r="E191" s="68"/>
      <c r="F191" s="42"/>
      <c r="G191" s="36"/>
      <c r="H191" s="36"/>
      <c r="I191" s="67"/>
      <c r="J191" s="12"/>
      <c r="K191" s="110"/>
      <c r="L191" s="107"/>
      <c r="M191" s="108"/>
      <c r="N191" s="11" t="str">
        <f t="shared" si="6"/>
        <v/>
      </c>
      <c r="O191" s="32" t="str">
        <f t="shared" si="7"/>
        <v/>
      </c>
    </row>
    <row r="192" spans="2:15" ht="14.5" customHeight="1" x14ac:dyDescent="0.35">
      <c r="B192" s="10">
        <v>516</v>
      </c>
      <c r="C192" s="34"/>
      <c r="D192" s="68"/>
      <c r="E192" s="68"/>
      <c r="F192" s="42"/>
      <c r="G192" s="36"/>
      <c r="H192" s="36"/>
      <c r="I192" s="67"/>
      <c r="J192" s="12"/>
      <c r="K192" s="110"/>
      <c r="L192" s="107"/>
      <c r="M192" s="108"/>
      <c r="N192" s="11" t="str">
        <f t="shared" si="6"/>
        <v/>
      </c>
      <c r="O192" s="32" t="str">
        <f t="shared" si="7"/>
        <v/>
      </c>
    </row>
    <row r="193" spans="2:15" ht="14.5" customHeight="1" x14ac:dyDescent="0.35">
      <c r="B193" s="10">
        <v>517</v>
      </c>
      <c r="C193" s="34"/>
      <c r="D193" s="68"/>
      <c r="E193" s="68"/>
      <c r="F193" s="42"/>
      <c r="G193" s="36"/>
      <c r="H193" s="36"/>
      <c r="I193" s="67"/>
      <c r="J193" s="12"/>
      <c r="K193" s="110"/>
      <c r="L193" s="107"/>
      <c r="M193" s="108"/>
      <c r="N193" s="11" t="str">
        <f t="shared" si="6"/>
        <v/>
      </c>
      <c r="O193" s="32" t="str">
        <f t="shared" si="7"/>
        <v/>
      </c>
    </row>
    <row r="194" spans="2:15" ht="14.5" customHeight="1" x14ac:dyDescent="0.35">
      <c r="B194" s="10">
        <v>518</v>
      </c>
      <c r="C194" s="34"/>
      <c r="D194" s="68"/>
      <c r="E194" s="68"/>
      <c r="F194" s="42"/>
      <c r="G194" s="36"/>
      <c r="H194" s="36"/>
      <c r="I194" s="67"/>
      <c r="J194" s="12"/>
      <c r="K194" s="110"/>
      <c r="L194" s="107"/>
      <c r="M194" s="108"/>
      <c r="N194" s="11" t="str">
        <f t="shared" si="6"/>
        <v/>
      </c>
      <c r="O194" s="32" t="str">
        <f t="shared" si="7"/>
        <v/>
      </c>
    </row>
    <row r="195" spans="2:15" ht="14.5" customHeight="1" x14ac:dyDescent="0.35">
      <c r="B195" s="10">
        <v>519</v>
      </c>
      <c r="C195" s="34"/>
      <c r="D195" s="68"/>
      <c r="E195" s="68"/>
      <c r="F195" s="42"/>
      <c r="G195" s="36"/>
      <c r="H195" s="36"/>
      <c r="I195" s="67"/>
      <c r="J195" s="12"/>
      <c r="K195" s="110"/>
      <c r="L195" s="107"/>
      <c r="M195" s="108"/>
      <c r="N195" s="11" t="str">
        <f t="shared" si="6"/>
        <v/>
      </c>
      <c r="O195" s="32" t="str">
        <f t="shared" si="7"/>
        <v/>
      </c>
    </row>
    <row r="196" spans="2:15" ht="14.5" customHeight="1" x14ac:dyDescent="0.35">
      <c r="B196" s="10">
        <v>520</v>
      </c>
      <c r="C196" s="34"/>
      <c r="D196" s="68"/>
      <c r="E196" s="68"/>
      <c r="F196" s="42"/>
      <c r="G196" s="36"/>
      <c r="H196" s="36"/>
      <c r="I196" s="67"/>
      <c r="J196" s="12"/>
      <c r="K196" s="110"/>
      <c r="L196" s="107"/>
      <c r="M196" s="108"/>
      <c r="N196" s="11" t="str">
        <f t="shared" si="6"/>
        <v/>
      </c>
      <c r="O196" s="32" t="str">
        <f t="shared" si="7"/>
        <v/>
      </c>
    </row>
    <row r="197" spans="2:15" ht="14.5" customHeight="1" x14ac:dyDescent="0.35">
      <c r="B197" s="10">
        <v>521</v>
      </c>
      <c r="C197" s="34"/>
      <c r="D197" s="68"/>
      <c r="E197" s="68"/>
      <c r="F197" s="42"/>
      <c r="G197" s="36"/>
      <c r="H197" s="36"/>
      <c r="I197" s="67"/>
      <c r="J197" s="12"/>
      <c r="K197" s="110"/>
      <c r="L197" s="107"/>
      <c r="M197" s="108"/>
      <c r="N197" s="11" t="str">
        <f t="shared" si="6"/>
        <v/>
      </c>
      <c r="O197" s="32" t="str">
        <f t="shared" si="7"/>
        <v/>
      </c>
    </row>
    <row r="198" spans="2:15" ht="14.5" customHeight="1" x14ac:dyDescent="0.35">
      <c r="B198" s="10">
        <v>522</v>
      </c>
      <c r="C198" s="34"/>
      <c r="D198" s="68"/>
      <c r="E198" s="68"/>
      <c r="F198" s="42"/>
      <c r="G198" s="36"/>
      <c r="H198" s="36"/>
      <c r="I198" s="67"/>
      <c r="J198" s="12"/>
      <c r="K198" s="110"/>
      <c r="L198" s="107"/>
      <c r="M198" s="108"/>
      <c r="N198" s="11" t="str">
        <f t="shared" si="6"/>
        <v/>
      </c>
      <c r="O198" s="32" t="str">
        <f t="shared" si="7"/>
        <v/>
      </c>
    </row>
    <row r="199" spans="2:15" ht="14.5" customHeight="1" x14ac:dyDescent="0.35">
      <c r="B199" s="10">
        <v>523</v>
      </c>
      <c r="C199" s="34"/>
      <c r="D199" s="68"/>
      <c r="E199" s="68"/>
      <c r="F199" s="42"/>
      <c r="G199" s="36"/>
      <c r="H199" s="36"/>
      <c r="I199" s="67"/>
      <c r="J199" s="12"/>
      <c r="K199" s="110"/>
      <c r="L199" s="107"/>
      <c r="M199" s="108"/>
      <c r="N199" s="11" t="str">
        <f t="shared" si="6"/>
        <v/>
      </c>
      <c r="O199" s="32" t="str">
        <f t="shared" si="7"/>
        <v/>
      </c>
    </row>
    <row r="200" spans="2:15" ht="14.5" customHeight="1" x14ac:dyDescent="0.35">
      <c r="B200" s="10">
        <v>524</v>
      </c>
      <c r="C200" s="34"/>
      <c r="D200" s="68"/>
      <c r="E200" s="68"/>
      <c r="F200" s="42"/>
      <c r="G200" s="36"/>
      <c r="H200" s="36"/>
      <c r="I200" s="67"/>
      <c r="J200" s="12"/>
      <c r="K200" s="110"/>
      <c r="L200" s="107"/>
      <c r="M200" s="108"/>
      <c r="N200" s="11" t="str">
        <f t="shared" si="6"/>
        <v/>
      </c>
      <c r="O200" s="32" t="str">
        <f t="shared" si="7"/>
        <v/>
      </c>
    </row>
    <row r="201" spans="2:15" ht="14.5" customHeight="1" x14ac:dyDescent="0.35">
      <c r="B201" s="10">
        <v>525</v>
      </c>
      <c r="C201" s="34"/>
      <c r="D201" s="68"/>
      <c r="E201" s="68"/>
      <c r="F201" s="42"/>
      <c r="G201" s="36"/>
      <c r="H201" s="36"/>
      <c r="I201" s="67"/>
      <c r="J201" s="12"/>
      <c r="K201" s="110"/>
      <c r="L201" s="107"/>
      <c r="M201" s="108"/>
      <c r="N201" s="11" t="str">
        <f t="shared" si="6"/>
        <v/>
      </c>
      <c r="O201" s="32" t="str">
        <f t="shared" si="7"/>
        <v/>
      </c>
    </row>
    <row r="202" spans="2:15" ht="14.5" customHeight="1" x14ac:dyDescent="0.35">
      <c r="B202" s="10">
        <v>526</v>
      </c>
      <c r="C202" s="34"/>
      <c r="D202" s="68"/>
      <c r="E202" s="68"/>
      <c r="F202" s="42"/>
      <c r="G202" s="36"/>
      <c r="H202" s="36"/>
      <c r="I202" s="67"/>
      <c r="J202" s="12"/>
      <c r="K202" s="110"/>
      <c r="L202" s="107"/>
      <c r="M202" s="108"/>
      <c r="N202" s="11" t="str">
        <f t="shared" si="6"/>
        <v/>
      </c>
      <c r="O202" s="32" t="str">
        <f t="shared" si="7"/>
        <v/>
      </c>
    </row>
    <row r="203" spans="2:15" ht="14.5" customHeight="1" x14ac:dyDescent="0.35">
      <c r="B203" s="10">
        <v>527</v>
      </c>
      <c r="C203" s="34"/>
      <c r="D203" s="68"/>
      <c r="E203" s="68"/>
      <c r="F203" s="42"/>
      <c r="G203" s="36"/>
      <c r="H203" s="36"/>
      <c r="I203" s="67"/>
      <c r="J203" s="12"/>
      <c r="K203" s="110"/>
      <c r="L203" s="107"/>
      <c r="M203" s="108"/>
      <c r="N203" s="11" t="str">
        <f t="shared" si="6"/>
        <v/>
      </c>
      <c r="O203" s="32" t="str">
        <f t="shared" si="7"/>
        <v/>
      </c>
    </row>
    <row r="204" spans="2:15" ht="14.5" customHeight="1" x14ac:dyDescent="0.35">
      <c r="B204" s="10">
        <v>528</v>
      </c>
      <c r="C204" s="34"/>
      <c r="D204" s="68"/>
      <c r="E204" s="68"/>
      <c r="F204" s="42"/>
      <c r="G204" s="36"/>
      <c r="H204" s="36"/>
      <c r="I204" s="67"/>
      <c r="J204" s="12"/>
      <c r="K204" s="110"/>
      <c r="L204" s="107"/>
      <c r="M204" s="108"/>
      <c r="N204" s="11" t="str">
        <f t="shared" si="6"/>
        <v/>
      </c>
      <c r="O204" s="32" t="str">
        <f t="shared" si="7"/>
        <v/>
      </c>
    </row>
    <row r="205" spans="2:15" ht="14.5" customHeight="1" x14ac:dyDescent="0.35">
      <c r="B205" s="10">
        <v>529</v>
      </c>
      <c r="C205" s="34"/>
      <c r="D205" s="68"/>
      <c r="E205" s="68"/>
      <c r="F205" s="42"/>
      <c r="G205" s="36"/>
      <c r="H205" s="36"/>
      <c r="I205" s="67"/>
      <c r="J205" s="12"/>
      <c r="K205" s="110"/>
      <c r="L205" s="107"/>
      <c r="M205" s="108"/>
      <c r="N205" s="11" t="str">
        <f t="shared" si="6"/>
        <v/>
      </c>
      <c r="O205" s="32" t="str">
        <f t="shared" si="7"/>
        <v/>
      </c>
    </row>
    <row r="206" spans="2:15" ht="14.5" customHeight="1" x14ac:dyDescent="0.35">
      <c r="B206" s="10">
        <v>530</v>
      </c>
      <c r="C206" s="34"/>
      <c r="D206" s="68"/>
      <c r="E206" s="68"/>
      <c r="F206" s="42"/>
      <c r="G206" s="36"/>
      <c r="H206" s="36"/>
      <c r="I206" s="67"/>
      <c r="J206" s="12"/>
      <c r="K206" s="110"/>
      <c r="L206" s="107"/>
      <c r="M206" s="108"/>
      <c r="N206" s="11" t="str">
        <f t="shared" si="6"/>
        <v/>
      </c>
      <c r="O206" s="32" t="str">
        <f t="shared" si="7"/>
        <v/>
      </c>
    </row>
    <row r="207" spans="2:15" ht="14.5" customHeight="1" x14ac:dyDescent="0.35">
      <c r="B207" s="10">
        <v>531</v>
      </c>
      <c r="C207" s="34"/>
      <c r="D207" s="68"/>
      <c r="E207" s="68"/>
      <c r="F207" s="42"/>
      <c r="G207" s="36"/>
      <c r="H207" s="36"/>
      <c r="I207" s="67"/>
      <c r="J207" s="12"/>
      <c r="K207" s="110"/>
      <c r="L207" s="107"/>
      <c r="M207" s="108"/>
      <c r="N207" s="11" t="str">
        <f t="shared" si="6"/>
        <v/>
      </c>
      <c r="O207" s="32" t="str">
        <f t="shared" si="7"/>
        <v/>
      </c>
    </row>
    <row r="208" spans="2:15" ht="14.5" customHeight="1" x14ac:dyDescent="0.35">
      <c r="B208" s="10">
        <v>532</v>
      </c>
      <c r="C208" s="34"/>
      <c r="D208" s="68"/>
      <c r="E208" s="68"/>
      <c r="F208" s="42"/>
      <c r="G208" s="36"/>
      <c r="H208" s="36"/>
      <c r="I208" s="67"/>
      <c r="J208" s="12"/>
      <c r="K208" s="110"/>
      <c r="L208" s="107"/>
      <c r="M208" s="108"/>
      <c r="N208" s="11" t="str">
        <f t="shared" si="6"/>
        <v/>
      </c>
      <c r="O208" s="32" t="str">
        <f t="shared" si="7"/>
        <v/>
      </c>
    </row>
    <row r="209" spans="2:15" ht="14.5" customHeight="1" x14ac:dyDescent="0.35">
      <c r="B209" s="10">
        <v>533</v>
      </c>
      <c r="C209" s="34"/>
      <c r="D209" s="68"/>
      <c r="E209" s="68"/>
      <c r="F209" s="42"/>
      <c r="G209" s="36"/>
      <c r="H209" s="36"/>
      <c r="I209" s="67"/>
      <c r="J209" s="12"/>
      <c r="K209" s="110"/>
      <c r="L209" s="107"/>
      <c r="M209" s="108"/>
      <c r="N209" s="11" t="str">
        <f t="shared" si="6"/>
        <v/>
      </c>
      <c r="O209" s="32" t="str">
        <f t="shared" si="7"/>
        <v/>
      </c>
    </row>
    <row r="210" spans="2:15" ht="14.5" customHeight="1" x14ac:dyDescent="0.35">
      <c r="B210" s="10">
        <v>534</v>
      </c>
      <c r="C210" s="34"/>
      <c r="D210" s="68"/>
      <c r="E210" s="68"/>
      <c r="F210" s="42"/>
      <c r="G210" s="36"/>
      <c r="H210" s="36"/>
      <c r="I210" s="67"/>
      <c r="J210" s="12"/>
      <c r="K210" s="110"/>
      <c r="L210" s="107"/>
      <c r="M210" s="108"/>
      <c r="N210" s="11" t="str">
        <f t="shared" si="6"/>
        <v/>
      </c>
      <c r="O210" s="32" t="str">
        <f t="shared" si="7"/>
        <v/>
      </c>
    </row>
    <row r="211" spans="2:15" ht="14.5" customHeight="1" x14ac:dyDescent="0.35">
      <c r="B211" s="10">
        <v>535</v>
      </c>
      <c r="C211" s="34"/>
      <c r="D211" s="68"/>
      <c r="E211" s="68"/>
      <c r="F211" s="42"/>
      <c r="G211" s="36"/>
      <c r="H211" s="36"/>
      <c r="I211" s="67"/>
      <c r="J211" s="12"/>
      <c r="K211" s="110"/>
      <c r="L211" s="107"/>
      <c r="M211" s="108"/>
      <c r="N211" s="11" t="str">
        <f t="shared" si="6"/>
        <v/>
      </c>
      <c r="O211" s="32" t="str">
        <f t="shared" si="7"/>
        <v/>
      </c>
    </row>
    <row r="212" spans="2:15" ht="14.5" customHeight="1" x14ac:dyDescent="0.35">
      <c r="B212" s="10">
        <v>536</v>
      </c>
      <c r="C212" s="34"/>
      <c r="D212" s="68"/>
      <c r="E212" s="68"/>
      <c r="F212" s="42"/>
      <c r="G212" s="36"/>
      <c r="H212" s="36"/>
      <c r="I212" s="67"/>
      <c r="J212" s="12"/>
      <c r="K212" s="110"/>
      <c r="L212" s="107"/>
      <c r="M212" s="108"/>
      <c r="N212" s="11" t="str">
        <f t="shared" si="6"/>
        <v/>
      </c>
      <c r="O212" s="32" t="str">
        <f t="shared" si="7"/>
        <v/>
      </c>
    </row>
    <row r="213" spans="2:15" ht="14.5" customHeight="1" x14ac:dyDescent="0.35">
      <c r="B213" s="10">
        <v>537</v>
      </c>
      <c r="C213" s="34"/>
      <c r="D213" s="68"/>
      <c r="E213" s="68"/>
      <c r="F213" s="42"/>
      <c r="G213" s="36"/>
      <c r="H213" s="36"/>
      <c r="I213" s="67"/>
      <c r="J213" s="12"/>
      <c r="K213" s="110"/>
      <c r="L213" s="107"/>
      <c r="M213" s="108"/>
      <c r="N213" s="11" t="str">
        <f t="shared" si="6"/>
        <v/>
      </c>
      <c r="O213" s="32" t="str">
        <f t="shared" si="7"/>
        <v/>
      </c>
    </row>
    <row r="214" spans="2:15" ht="14.5" customHeight="1" x14ac:dyDescent="0.35">
      <c r="B214" s="10">
        <v>538</v>
      </c>
      <c r="C214" s="34"/>
      <c r="D214" s="68"/>
      <c r="E214" s="68"/>
      <c r="F214" s="42"/>
      <c r="G214" s="36"/>
      <c r="H214" s="36"/>
      <c r="I214" s="67"/>
      <c r="J214" s="12"/>
      <c r="K214" s="110"/>
      <c r="L214" s="107"/>
      <c r="M214" s="108"/>
      <c r="N214" s="11" t="str">
        <f t="shared" si="6"/>
        <v/>
      </c>
      <c r="O214" s="32" t="str">
        <f t="shared" si="7"/>
        <v/>
      </c>
    </row>
    <row r="215" spans="2:15" ht="14.5" customHeight="1" x14ac:dyDescent="0.35">
      <c r="B215" s="10">
        <v>539</v>
      </c>
      <c r="C215" s="34"/>
      <c r="D215" s="68"/>
      <c r="E215" s="68"/>
      <c r="F215" s="42"/>
      <c r="G215" s="36"/>
      <c r="H215" s="36"/>
      <c r="I215" s="67"/>
      <c r="J215" s="12"/>
      <c r="K215" s="110"/>
      <c r="L215" s="107"/>
      <c r="M215" s="108"/>
      <c r="N215" s="11" t="str">
        <f t="shared" si="6"/>
        <v/>
      </c>
      <c r="O215" s="32" t="str">
        <f t="shared" si="7"/>
        <v/>
      </c>
    </row>
    <row r="216" spans="2:15" ht="14.5" customHeight="1" x14ac:dyDescent="0.35">
      <c r="B216" s="10">
        <v>540</v>
      </c>
      <c r="C216" s="34"/>
      <c r="D216" s="68"/>
      <c r="E216" s="68"/>
      <c r="F216" s="42"/>
      <c r="G216" s="36"/>
      <c r="H216" s="36"/>
      <c r="I216" s="67"/>
      <c r="J216" s="12"/>
      <c r="K216" s="110"/>
      <c r="L216" s="107"/>
      <c r="M216" s="108"/>
      <c r="N216" s="11" t="str">
        <f t="shared" si="6"/>
        <v/>
      </c>
      <c r="O216" s="32" t="str">
        <f t="shared" si="7"/>
        <v/>
      </c>
    </row>
    <row r="217" spans="2:15" ht="14.5" customHeight="1" x14ac:dyDescent="0.35">
      <c r="B217" s="10">
        <v>541</v>
      </c>
      <c r="C217" s="34"/>
      <c r="D217" s="68"/>
      <c r="E217" s="68"/>
      <c r="F217" s="42"/>
      <c r="G217" s="36"/>
      <c r="H217" s="36"/>
      <c r="I217" s="67"/>
      <c r="J217" s="12"/>
      <c r="K217" s="110"/>
      <c r="L217" s="107"/>
      <c r="M217" s="108"/>
      <c r="N217" s="11" t="str">
        <f t="shared" si="6"/>
        <v/>
      </c>
      <c r="O217" s="32" t="str">
        <f t="shared" si="7"/>
        <v/>
      </c>
    </row>
    <row r="218" spans="2:15" ht="14.5" customHeight="1" x14ac:dyDescent="0.35">
      <c r="B218" s="10">
        <v>542</v>
      </c>
      <c r="C218" s="34"/>
      <c r="D218" s="68"/>
      <c r="E218" s="68"/>
      <c r="F218" s="42"/>
      <c r="G218" s="36"/>
      <c r="H218" s="36"/>
      <c r="I218" s="67"/>
      <c r="J218" s="12"/>
      <c r="K218" s="110"/>
      <c r="L218" s="107"/>
      <c r="M218" s="108"/>
      <c r="N218" s="11" t="str">
        <f t="shared" si="6"/>
        <v/>
      </c>
      <c r="O218" s="32" t="str">
        <f t="shared" si="7"/>
        <v/>
      </c>
    </row>
    <row r="219" spans="2:15" ht="14.5" customHeight="1" x14ac:dyDescent="0.35">
      <c r="B219" s="10">
        <v>543</v>
      </c>
      <c r="C219" s="34"/>
      <c r="D219" s="68"/>
      <c r="E219" s="68"/>
      <c r="F219" s="42"/>
      <c r="G219" s="36"/>
      <c r="H219" s="36"/>
      <c r="I219" s="67"/>
      <c r="J219" s="12"/>
      <c r="K219" s="110"/>
      <c r="L219" s="107"/>
      <c r="M219" s="108"/>
      <c r="N219" s="11" t="str">
        <f t="shared" si="6"/>
        <v/>
      </c>
      <c r="O219" s="32" t="str">
        <f t="shared" si="7"/>
        <v/>
      </c>
    </row>
    <row r="220" spans="2:15" ht="14.5" customHeight="1" x14ac:dyDescent="0.35">
      <c r="B220" s="10">
        <v>544</v>
      </c>
      <c r="C220" s="34"/>
      <c r="D220" s="68"/>
      <c r="E220" s="68"/>
      <c r="F220" s="42"/>
      <c r="G220" s="36"/>
      <c r="H220" s="36"/>
      <c r="I220" s="67"/>
      <c r="J220" s="12"/>
      <c r="K220" s="110"/>
      <c r="L220" s="107"/>
      <c r="M220" s="108"/>
      <c r="N220" s="11" t="str">
        <f t="shared" si="6"/>
        <v/>
      </c>
      <c r="O220" s="32" t="str">
        <f t="shared" si="7"/>
        <v/>
      </c>
    </row>
    <row r="221" spans="2:15" ht="14.5" customHeight="1" x14ac:dyDescent="0.35">
      <c r="B221" s="10">
        <v>545</v>
      </c>
      <c r="C221" s="34"/>
      <c r="D221" s="68"/>
      <c r="E221" s="68"/>
      <c r="F221" s="42"/>
      <c r="G221" s="36"/>
      <c r="H221" s="36"/>
      <c r="I221" s="67"/>
      <c r="J221" s="12"/>
      <c r="K221" s="110"/>
      <c r="L221" s="107"/>
      <c r="M221" s="108"/>
      <c r="N221" s="11" t="str">
        <f t="shared" si="6"/>
        <v/>
      </c>
      <c r="O221" s="32" t="str">
        <f t="shared" si="7"/>
        <v/>
      </c>
    </row>
    <row r="222" spans="2:15" ht="14.5" customHeight="1" x14ac:dyDescent="0.35">
      <c r="B222" s="10">
        <v>546</v>
      </c>
      <c r="C222" s="34"/>
      <c r="D222" s="68"/>
      <c r="E222" s="68"/>
      <c r="F222" s="42"/>
      <c r="G222" s="36"/>
      <c r="H222" s="36"/>
      <c r="I222" s="67"/>
      <c r="J222" s="12"/>
      <c r="K222" s="110"/>
      <c r="L222" s="107"/>
      <c r="M222" s="108"/>
      <c r="N222" s="11" t="str">
        <f t="shared" si="6"/>
        <v/>
      </c>
      <c r="O222" s="32" t="str">
        <f t="shared" si="7"/>
        <v/>
      </c>
    </row>
    <row r="223" spans="2:15" ht="14.5" customHeight="1" x14ac:dyDescent="0.35">
      <c r="B223" s="10">
        <v>547</v>
      </c>
      <c r="C223" s="34"/>
      <c r="D223" s="68"/>
      <c r="E223" s="68"/>
      <c r="F223" s="42"/>
      <c r="G223" s="36"/>
      <c r="H223" s="36"/>
      <c r="I223" s="67"/>
      <c r="J223" s="12"/>
      <c r="K223" s="110"/>
      <c r="L223" s="107"/>
      <c r="M223" s="108"/>
      <c r="N223" s="11" t="str">
        <f t="shared" si="6"/>
        <v/>
      </c>
      <c r="O223" s="32" t="str">
        <f t="shared" si="7"/>
        <v/>
      </c>
    </row>
    <row r="224" spans="2:15" ht="14.5" customHeight="1" x14ac:dyDescent="0.35">
      <c r="B224" s="10">
        <v>548</v>
      </c>
      <c r="C224" s="34"/>
      <c r="D224" s="68"/>
      <c r="E224" s="68"/>
      <c r="F224" s="42"/>
      <c r="G224" s="36"/>
      <c r="H224" s="36"/>
      <c r="I224" s="67"/>
      <c r="J224" s="12"/>
      <c r="K224" s="110"/>
      <c r="L224" s="107"/>
      <c r="M224" s="108"/>
      <c r="N224" s="11" t="str">
        <f t="shared" si="6"/>
        <v/>
      </c>
      <c r="O224" s="32" t="str">
        <f t="shared" si="7"/>
        <v/>
      </c>
    </row>
    <row r="225" spans="2:15" ht="14.5" customHeight="1" x14ac:dyDescent="0.35">
      <c r="B225" s="10">
        <v>549</v>
      </c>
      <c r="C225" s="34"/>
      <c r="D225" s="68"/>
      <c r="E225" s="68"/>
      <c r="F225" s="42"/>
      <c r="G225" s="36"/>
      <c r="H225" s="36"/>
      <c r="I225" s="67"/>
      <c r="J225" s="12"/>
      <c r="K225" s="110"/>
      <c r="L225" s="107"/>
      <c r="M225" s="108"/>
      <c r="N225" s="11" t="str">
        <f t="shared" si="6"/>
        <v/>
      </c>
      <c r="O225" s="32" t="str">
        <f t="shared" si="7"/>
        <v/>
      </c>
    </row>
    <row r="226" spans="2:15" ht="14.5" customHeight="1" x14ac:dyDescent="0.35">
      <c r="B226" s="10">
        <v>550</v>
      </c>
      <c r="C226" s="34"/>
      <c r="D226" s="68"/>
      <c r="E226" s="68"/>
      <c r="F226" s="42"/>
      <c r="G226" s="36"/>
      <c r="H226" s="36"/>
      <c r="I226" s="67"/>
      <c r="J226" s="12"/>
      <c r="K226" s="110"/>
      <c r="L226" s="107"/>
      <c r="M226" s="108"/>
      <c r="N226" s="11" t="str">
        <f t="shared" si="6"/>
        <v/>
      </c>
      <c r="O226" s="32" t="str">
        <f t="shared" si="7"/>
        <v/>
      </c>
    </row>
    <row r="227" spans="2:15" ht="14.5" customHeight="1" x14ac:dyDescent="0.35">
      <c r="B227" s="10">
        <v>551</v>
      </c>
      <c r="C227" s="34"/>
      <c r="D227" s="68"/>
      <c r="E227" s="68"/>
      <c r="F227" s="42"/>
      <c r="G227" s="36"/>
      <c r="H227" s="36"/>
      <c r="I227" s="67"/>
      <c r="J227" s="12"/>
      <c r="K227" s="110"/>
      <c r="L227" s="107"/>
      <c r="M227" s="108"/>
      <c r="N227" s="11" t="str">
        <f t="shared" si="6"/>
        <v/>
      </c>
      <c r="O227" s="32" t="str">
        <f t="shared" si="7"/>
        <v/>
      </c>
    </row>
    <row r="228" spans="2:15" ht="14.5" customHeight="1" x14ac:dyDescent="0.35">
      <c r="B228" s="10">
        <v>552</v>
      </c>
      <c r="C228" s="34"/>
      <c r="D228" s="68"/>
      <c r="E228" s="68"/>
      <c r="F228" s="42"/>
      <c r="G228" s="36"/>
      <c r="H228" s="36"/>
      <c r="I228" s="67"/>
      <c r="J228" s="12"/>
      <c r="K228" s="110"/>
      <c r="L228" s="107"/>
      <c r="M228" s="108"/>
      <c r="N228" s="11" t="str">
        <f t="shared" si="6"/>
        <v/>
      </c>
      <c r="O228" s="32" t="str">
        <f t="shared" si="7"/>
        <v/>
      </c>
    </row>
    <row r="229" spans="2:15" ht="14.5" customHeight="1" x14ac:dyDescent="0.35">
      <c r="B229" s="10">
        <v>553</v>
      </c>
      <c r="C229" s="34"/>
      <c r="D229" s="68"/>
      <c r="E229" s="68"/>
      <c r="F229" s="42"/>
      <c r="G229" s="36"/>
      <c r="H229" s="36"/>
      <c r="I229" s="68"/>
      <c r="J229" s="12"/>
      <c r="K229" s="110"/>
      <c r="L229" s="107"/>
      <c r="M229" s="108"/>
      <c r="N229" s="11" t="str">
        <f t="shared" si="6"/>
        <v/>
      </c>
      <c r="O229" s="32" t="str">
        <f t="shared" si="7"/>
        <v/>
      </c>
    </row>
    <row r="230" spans="2:15" ht="14.5" customHeight="1" x14ac:dyDescent="0.35">
      <c r="B230" s="10">
        <v>554</v>
      </c>
      <c r="C230" s="34"/>
      <c r="D230" s="68"/>
      <c r="E230" s="68"/>
      <c r="F230" s="42"/>
      <c r="G230" s="36"/>
      <c r="H230" s="36"/>
      <c r="I230" s="68"/>
      <c r="J230" s="12"/>
      <c r="K230" s="110"/>
      <c r="L230" s="107"/>
      <c r="M230" s="108"/>
      <c r="N230" s="11" t="str">
        <f t="shared" si="6"/>
        <v/>
      </c>
      <c r="O230" s="32" t="str">
        <f t="shared" si="7"/>
        <v/>
      </c>
    </row>
    <row r="231" spans="2:15" ht="14.5" customHeight="1" x14ac:dyDescent="0.35">
      <c r="B231" s="10">
        <v>555</v>
      </c>
      <c r="C231" s="34"/>
      <c r="D231" s="68"/>
      <c r="E231" s="68"/>
      <c r="F231" s="42"/>
      <c r="G231" s="36"/>
      <c r="H231" s="36"/>
      <c r="I231" s="68"/>
      <c r="J231" s="12"/>
      <c r="K231" s="110"/>
      <c r="L231" s="107"/>
      <c r="M231" s="108"/>
      <c r="N231" s="11" t="str">
        <f t="shared" si="6"/>
        <v/>
      </c>
      <c r="O231" s="32" t="str">
        <f t="shared" si="7"/>
        <v/>
      </c>
    </row>
    <row r="232" spans="2:15" ht="14.5" customHeight="1" x14ac:dyDescent="0.35">
      <c r="B232" s="10">
        <v>556</v>
      </c>
      <c r="C232" s="34"/>
      <c r="D232" s="68"/>
      <c r="E232" s="68"/>
      <c r="F232" s="42"/>
      <c r="G232" s="36"/>
      <c r="H232" s="36"/>
      <c r="I232" s="68"/>
      <c r="J232" s="12"/>
      <c r="K232" s="110"/>
      <c r="L232" s="107"/>
      <c r="M232" s="108"/>
      <c r="N232" s="11" t="str">
        <f t="shared" si="6"/>
        <v/>
      </c>
      <c r="O232" s="32" t="str">
        <f t="shared" si="7"/>
        <v/>
      </c>
    </row>
    <row r="233" spans="2:15" ht="14.5" customHeight="1" x14ac:dyDescent="0.35">
      <c r="B233" s="10">
        <v>557</v>
      </c>
      <c r="C233" s="34"/>
      <c r="D233" s="68"/>
      <c r="E233" s="68"/>
      <c r="F233" s="42"/>
      <c r="G233" s="36"/>
      <c r="H233" s="36"/>
      <c r="I233" s="68"/>
      <c r="J233" s="12"/>
      <c r="K233" s="110"/>
      <c r="L233" s="107"/>
      <c r="M233" s="108"/>
      <c r="N233" s="11" t="str">
        <f t="shared" si="6"/>
        <v/>
      </c>
      <c r="O233" s="32" t="str">
        <f t="shared" si="7"/>
        <v/>
      </c>
    </row>
    <row r="234" spans="2:15" ht="14.5" customHeight="1" x14ac:dyDescent="0.35">
      <c r="B234" s="10">
        <v>558</v>
      </c>
      <c r="C234" s="34"/>
      <c r="D234" s="68"/>
      <c r="E234" s="68"/>
      <c r="F234" s="42"/>
      <c r="G234" s="36"/>
      <c r="H234" s="36"/>
      <c r="I234" s="68"/>
      <c r="J234" s="12"/>
      <c r="K234" s="110"/>
      <c r="L234" s="107"/>
      <c r="M234" s="108"/>
      <c r="N234" s="11" t="str">
        <f t="shared" si="6"/>
        <v/>
      </c>
      <c r="O234" s="32" t="str">
        <f t="shared" si="7"/>
        <v/>
      </c>
    </row>
    <row r="235" spans="2:15" ht="14.5" customHeight="1" x14ac:dyDescent="0.35">
      <c r="B235" s="10">
        <v>559</v>
      </c>
      <c r="C235" s="34"/>
      <c r="D235" s="68"/>
      <c r="E235" s="68"/>
      <c r="F235" s="42"/>
      <c r="G235" s="36"/>
      <c r="H235" s="36"/>
      <c r="I235" s="68"/>
      <c r="J235" s="12"/>
      <c r="K235" s="110"/>
      <c r="L235" s="107"/>
      <c r="M235" s="108"/>
      <c r="N235" s="11" t="str">
        <f t="shared" si="6"/>
        <v/>
      </c>
      <c r="O235" s="32" t="str">
        <f t="shared" si="7"/>
        <v/>
      </c>
    </row>
    <row r="236" spans="2:15" ht="14.5" customHeight="1" x14ac:dyDescent="0.35">
      <c r="B236" s="10">
        <v>560</v>
      </c>
      <c r="C236" s="34"/>
      <c r="D236" s="68"/>
      <c r="E236" s="68"/>
      <c r="F236" s="42"/>
      <c r="G236" s="36"/>
      <c r="H236" s="36"/>
      <c r="I236" s="68"/>
      <c r="J236" s="12"/>
      <c r="K236" s="110"/>
      <c r="L236" s="107"/>
      <c r="M236" s="108"/>
      <c r="N236" s="11" t="str">
        <f t="shared" si="6"/>
        <v/>
      </c>
      <c r="O236" s="32" t="str">
        <f t="shared" si="7"/>
        <v/>
      </c>
    </row>
    <row r="237" spans="2:15" ht="14.5" customHeight="1" x14ac:dyDescent="0.35">
      <c r="B237" s="10">
        <v>561</v>
      </c>
      <c r="C237" s="34"/>
      <c r="D237" s="68"/>
      <c r="E237" s="68"/>
      <c r="F237" s="42"/>
      <c r="G237" s="36"/>
      <c r="H237" s="36"/>
      <c r="I237" s="67"/>
      <c r="J237" s="12"/>
      <c r="K237" s="110"/>
      <c r="L237" s="107"/>
      <c r="M237" s="108"/>
      <c r="N237" s="11" t="str">
        <f t="shared" si="6"/>
        <v/>
      </c>
      <c r="O237" s="32" t="str">
        <f t="shared" si="7"/>
        <v/>
      </c>
    </row>
    <row r="238" spans="2:15" ht="14.5" customHeight="1" x14ac:dyDescent="0.35">
      <c r="B238" s="10">
        <v>562</v>
      </c>
      <c r="C238" s="34"/>
      <c r="D238" s="68"/>
      <c r="E238" s="68"/>
      <c r="F238" s="42"/>
      <c r="G238" s="36"/>
      <c r="H238" s="36"/>
      <c r="I238" s="67"/>
      <c r="J238" s="12"/>
      <c r="K238" s="110"/>
      <c r="L238" s="107"/>
      <c r="M238" s="108"/>
      <c r="N238" s="11" t="str">
        <f t="shared" si="6"/>
        <v/>
      </c>
      <c r="O238" s="32" t="str">
        <f t="shared" si="7"/>
        <v/>
      </c>
    </row>
    <row r="239" spans="2:15" ht="14.5" customHeight="1" x14ac:dyDescent="0.35">
      <c r="B239" s="10">
        <v>563</v>
      </c>
      <c r="C239" s="34"/>
      <c r="D239" s="68"/>
      <c r="E239" s="68"/>
      <c r="F239" s="42"/>
      <c r="G239" s="36"/>
      <c r="H239" s="36"/>
      <c r="I239" s="67"/>
      <c r="J239" s="12"/>
      <c r="K239" s="110"/>
      <c r="L239" s="107"/>
      <c r="M239" s="108"/>
      <c r="N239" s="11" t="str">
        <f t="shared" si="6"/>
        <v/>
      </c>
      <c r="O239" s="32" t="str">
        <f t="shared" si="7"/>
        <v/>
      </c>
    </row>
    <row r="240" spans="2:15" ht="14.5" customHeight="1" x14ac:dyDescent="0.35">
      <c r="B240" s="10">
        <v>564</v>
      </c>
      <c r="C240" s="34"/>
      <c r="D240" s="68"/>
      <c r="E240" s="68"/>
      <c r="F240" s="42"/>
      <c r="G240" s="36"/>
      <c r="H240" s="36"/>
      <c r="I240" s="67"/>
      <c r="J240" s="12"/>
      <c r="K240" s="110"/>
      <c r="L240" s="107"/>
      <c r="M240" s="108"/>
      <c r="N240" s="11" t="str">
        <f t="shared" si="6"/>
        <v/>
      </c>
      <c r="O240" s="32" t="str">
        <f t="shared" si="7"/>
        <v/>
      </c>
    </row>
    <row r="241" spans="2:15" ht="14.5" customHeight="1" x14ac:dyDescent="0.35">
      <c r="B241" s="10">
        <v>565</v>
      </c>
      <c r="C241" s="34"/>
      <c r="D241" s="68"/>
      <c r="E241" s="68"/>
      <c r="F241" s="42"/>
      <c r="G241" s="36"/>
      <c r="H241" s="36"/>
      <c r="I241" s="67"/>
      <c r="J241" s="12"/>
      <c r="K241" s="110"/>
      <c r="L241" s="107"/>
      <c r="M241" s="108"/>
      <c r="N241" s="11" t="str">
        <f t="shared" si="6"/>
        <v/>
      </c>
      <c r="O241" s="32" t="str">
        <f t="shared" si="7"/>
        <v/>
      </c>
    </row>
    <row r="242" spans="2:15" ht="14.5" customHeight="1" x14ac:dyDescent="0.35">
      <c r="B242" s="10">
        <v>566</v>
      </c>
      <c r="C242" s="34"/>
      <c r="D242" s="68"/>
      <c r="E242" s="68"/>
      <c r="F242" s="42"/>
      <c r="G242" s="36"/>
      <c r="H242" s="36"/>
      <c r="I242" s="67"/>
      <c r="J242" s="12"/>
      <c r="K242" s="110"/>
      <c r="L242" s="107"/>
      <c r="M242" s="108"/>
      <c r="N242" s="11" t="str">
        <f t="shared" si="6"/>
        <v/>
      </c>
      <c r="O242" s="32" t="str">
        <f t="shared" si="7"/>
        <v/>
      </c>
    </row>
    <row r="243" spans="2:15" ht="14.5" customHeight="1" x14ac:dyDescent="0.35">
      <c r="B243" s="10">
        <v>567</v>
      </c>
      <c r="C243" s="34"/>
      <c r="D243" s="68"/>
      <c r="E243" s="68"/>
      <c r="F243" s="42"/>
      <c r="G243" s="36"/>
      <c r="H243" s="36"/>
      <c r="I243" s="67"/>
      <c r="J243" s="12"/>
      <c r="K243" s="110"/>
      <c r="L243" s="107"/>
      <c r="M243" s="108"/>
      <c r="N243" s="11" t="str">
        <f t="shared" si="6"/>
        <v/>
      </c>
      <c r="O243" s="32" t="str">
        <f t="shared" si="7"/>
        <v/>
      </c>
    </row>
    <row r="244" spans="2:15" ht="14.5" customHeight="1" x14ac:dyDescent="0.35">
      <c r="B244" s="10">
        <v>568</v>
      </c>
      <c r="C244" s="34"/>
      <c r="D244" s="68"/>
      <c r="E244" s="68"/>
      <c r="F244" s="42"/>
      <c r="G244" s="36"/>
      <c r="H244" s="36"/>
      <c r="I244" s="67"/>
      <c r="J244" s="12"/>
      <c r="K244" s="110"/>
      <c r="L244" s="107"/>
      <c r="M244" s="108"/>
      <c r="N244" s="11" t="str">
        <f t="shared" si="6"/>
        <v/>
      </c>
      <c r="O244" s="32" t="str">
        <f t="shared" si="7"/>
        <v/>
      </c>
    </row>
    <row r="245" spans="2:15" ht="14.5" customHeight="1" x14ac:dyDescent="0.35">
      <c r="B245" s="10">
        <v>569</v>
      </c>
      <c r="C245" s="34"/>
      <c r="D245" s="68"/>
      <c r="E245" s="68"/>
      <c r="F245" s="42"/>
      <c r="G245" s="36"/>
      <c r="H245" s="36"/>
      <c r="I245" s="67"/>
      <c r="J245" s="12"/>
      <c r="K245" s="110"/>
      <c r="L245" s="107"/>
      <c r="M245" s="108"/>
      <c r="N245" s="11" t="str">
        <f t="shared" si="6"/>
        <v/>
      </c>
      <c r="O245" s="32" t="str">
        <f t="shared" si="7"/>
        <v/>
      </c>
    </row>
    <row r="246" spans="2:15" ht="14.5" customHeight="1" x14ac:dyDescent="0.35">
      <c r="B246" s="10">
        <v>570</v>
      </c>
      <c r="C246" s="34"/>
      <c r="D246" s="68"/>
      <c r="E246" s="68"/>
      <c r="F246" s="42"/>
      <c r="G246" s="36"/>
      <c r="H246" s="36"/>
      <c r="I246" s="67"/>
      <c r="J246" s="12"/>
      <c r="K246" s="110"/>
      <c r="L246" s="107"/>
      <c r="M246" s="108"/>
      <c r="N246" s="11" t="str">
        <f t="shared" si="6"/>
        <v/>
      </c>
      <c r="O246" s="32" t="str">
        <f t="shared" si="7"/>
        <v/>
      </c>
    </row>
    <row r="247" spans="2:15" ht="14.5" customHeight="1" x14ac:dyDescent="0.35">
      <c r="B247" s="10">
        <v>571</v>
      </c>
      <c r="C247" s="34"/>
      <c r="D247" s="68"/>
      <c r="E247" s="68"/>
      <c r="F247" s="42"/>
      <c r="G247" s="36"/>
      <c r="H247" s="36"/>
      <c r="I247" s="67"/>
      <c r="J247" s="12"/>
      <c r="K247" s="110"/>
      <c r="L247" s="107"/>
      <c r="M247" s="108"/>
      <c r="N247" s="11" t="str">
        <f t="shared" si="6"/>
        <v/>
      </c>
      <c r="O247" s="32" t="str">
        <f t="shared" si="7"/>
        <v/>
      </c>
    </row>
    <row r="248" spans="2:15" ht="14.5" customHeight="1" x14ac:dyDescent="0.35">
      <c r="B248" s="10">
        <v>572</v>
      </c>
      <c r="C248" s="34"/>
      <c r="D248" s="68"/>
      <c r="E248" s="68"/>
      <c r="F248" s="42"/>
      <c r="G248" s="36"/>
      <c r="H248" s="36"/>
      <c r="I248" s="67"/>
      <c r="J248" s="12"/>
      <c r="K248" s="110"/>
      <c r="L248" s="107"/>
      <c r="M248" s="108"/>
      <c r="N248" s="11" t="str">
        <f t="shared" si="6"/>
        <v/>
      </c>
      <c r="O248" s="32" t="str">
        <f t="shared" si="7"/>
        <v/>
      </c>
    </row>
    <row r="249" spans="2:15" ht="14.5" customHeight="1" x14ac:dyDescent="0.35">
      <c r="B249" s="10">
        <v>573</v>
      </c>
      <c r="C249" s="34"/>
      <c r="D249" s="68"/>
      <c r="E249" s="68"/>
      <c r="F249" s="42"/>
      <c r="G249" s="36"/>
      <c r="H249" s="36"/>
      <c r="I249" s="67"/>
      <c r="J249" s="12"/>
      <c r="K249" s="110"/>
      <c r="L249" s="107"/>
      <c r="M249" s="108"/>
      <c r="N249" s="11" t="str">
        <f t="shared" si="6"/>
        <v/>
      </c>
      <c r="O249" s="32" t="str">
        <f t="shared" si="7"/>
        <v/>
      </c>
    </row>
    <row r="250" spans="2:15" ht="14.5" customHeight="1" x14ac:dyDescent="0.35">
      <c r="B250" s="10">
        <v>574</v>
      </c>
      <c r="C250" s="34"/>
      <c r="D250" s="68"/>
      <c r="E250" s="68"/>
      <c r="F250" s="42"/>
      <c r="G250" s="36"/>
      <c r="H250" s="36"/>
      <c r="I250" s="67"/>
      <c r="J250" s="12"/>
      <c r="K250" s="110"/>
      <c r="L250" s="107"/>
      <c r="M250" s="108"/>
      <c r="N250" s="11" t="str">
        <f t="shared" si="6"/>
        <v/>
      </c>
      <c r="O250" s="32" t="str">
        <f t="shared" si="7"/>
        <v/>
      </c>
    </row>
    <row r="251" spans="2:15" ht="14.5" customHeight="1" x14ac:dyDescent="0.35">
      <c r="B251" s="10">
        <v>575</v>
      </c>
      <c r="C251" s="34"/>
      <c r="D251" s="68"/>
      <c r="E251" s="68"/>
      <c r="F251" s="42"/>
      <c r="G251" s="36"/>
      <c r="H251" s="36"/>
      <c r="I251" s="67"/>
      <c r="J251" s="12"/>
      <c r="K251" s="110"/>
      <c r="L251" s="107"/>
      <c r="M251" s="108"/>
      <c r="N251" s="11" t="str">
        <f t="shared" si="6"/>
        <v/>
      </c>
      <c r="O251" s="32" t="str">
        <f t="shared" si="7"/>
        <v/>
      </c>
    </row>
    <row r="252" spans="2:15" ht="14.5" customHeight="1" x14ac:dyDescent="0.35">
      <c r="B252" s="10">
        <v>576</v>
      </c>
      <c r="C252" s="34"/>
      <c r="D252" s="68"/>
      <c r="E252" s="68"/>
      <c r="F252" s="42"/>
      <c r="G252" s="36"/>
      <c r="H252" s="36"/>
      <c r="I252" s="67"/>
      <c r="J252" s="12"/>
      <c r="K252" s="110"/>
      <c r="L252" s="107"/>
      <c r="M252" s="108"/>
      <c r="N252" s="11" t="str">
        <f t="shared" si="6"/>
        <v/>
      </c>
      <c r="O252" s="32" t="str">
        <f t="shared" si="7"/>
        <v/>
      </c>
    </row>
    <row r="253" spans="2:15" ht="14.5" customHeight="1" x14ac:dyDescent="0.35">
      <c r="B253" s="10">
        <v>577</v>
      </c>
      <c r="C253" s="34"/>
      <c r="D253" s="68"/>
      <c r="E253" s="68"/>
      <c r="F253" s="42"/>
      <c r="G253" s="36"/>
      <c r="H253" s="36"/>
      <c r="I253" s="67"/>
      <c r="J253" s="12"/>
      <c r="K253" s="110"/>
      <c r="L253" s="107"/>
      <c r="M253" s="108"/>
      <c r="N253" s="11" t="str">
        <f t="shared" ref="N253:N316" si="8">IF(OR(M253="", K253=""),"", M253- K253)</f>
        <v/>
      </c>
      <c r="O253" s="32" t="str">
        <f t="shared" si="7"/>
        <v/>
      </c>
    </row>
    <row r="254" spans="2:15" ht="14.5" customHeight="1" x14ac:dyDescent="0.35">
      <c r="B254" s="10">
        <v>578</v>
      </c>
      <c r="C254" s="34"/>
      <c r="D254" s="68"/>
      <c r="E254" s="68"/>
      <c r="F254" s="42"/>
      <c r="G254" s="36"/>
      <c r="H254" s="36"/>
      <c r="I254" s="67"/>
      <c r="J254" s="12"/>
      <c r="K254" s="110"/>
      <c r="L254" s="107"/>
      <c r="M254" s="108"/>
      <c r="N254" s="11" t="str">
        <f t="shared" si="8"/>
        <v/>
      </c>
      <c r="O254" s="32" t="str">
        <f t="shared" ref="O254:O317" si="9">IF(OR(M254="", K254="", L254=""), "", IF((M254 - K254) &gt; L254, "No", "Yes"))</f>
        <v/>
      </c>
    </row>
    <row r="255" spans="2:15" ht="14.5" customHeight="1" x14ac:dyDescent="0.35">
      <c r="B255" s="10">
        <v>579</v>
      </c>
      <c r="C255" s="34"/>
      <c r="D255" s="68"/>
      <c r="E255" s="68"/>
      <c r="F255" s="42"/>
      <c r="G255" s="36"/>
      <c r="H255" s="36"/>
      <c r="I255" s="67"/>
      <c r="J255" s="12"/>
      <c r="K255" s="110"/>
      <c r="L255" s="107"/>
      <c r="M255" s="108"/>
      <c r="N255" s="11" t="str">
        <f t="shared" si="8"/>
        <v/>
      </c>
      <c r="O255" s="32" t="str">
        <f t="shared" si="9"/>
        <v/>
      </c>
    </row>
    <row r="256" spans="2:15" ht="14.5" customHeight="1" x14ac:dyDescent="0.35">
      <c r="B256" s="10">
        <v>580</v>
      </c>
      <c r="C256" s="34"/>
      <c r="D256" s="68"/>
      <c r="E256" s="68"/>
      <c r="F256" s="42"/>
      <c r="G256" s="36"/>
      <c r="H256" s="36"/>
      <c r="I256" s="67"/>
      <c r="J256" s="12"/>
      <c r="K256" s="110"/>
      <c r="L256" s="107"/>
      <c r="M256" s="108"/>
      <c r="N256" s="11" t="str">
        <f t="shared" si="8"/>
        <v/>
      </c>
      <c r="O256" s="32" t="str">
        <f t="shared" si="9"/>
        <v/>
      </c>
    </row>
    <row r="257" spans="2:15" ht="14.5" customHeight="1" x14ac:dyDescent="0.35">
      <c r="B257" s="10">
        <v>581</v>
      </c>
      <c r="C257" s="34"/>
      <c r="D257" s="68"/>
      <c r="E257" s="68"/>
      <c r="F257" s="42"/>
      <c r="G257" s="36"/>
      <c r="H257" s="36"/>
      <c r="I257" s="67"/>
      <c r="J257" s="12"/>
      <c r="K257" s="110"/>
      <c r="L257" s="107"/>
      <c r="M257" s="108"/>
      <c r="N257" s="11" t="str">
        <f t="shared" si="8"/>
        <v/>
      </c>
      <c r="O257" s="32" t="str">
        <f t="shared" si="9"/>
        <v/>
      </c>
    </row>
    <row r="258" spans="2:15" ht="14.5" customHeight="1" x14ac:dyDescent="0.35">
      <c r="B258" s="10">
        <v>582</v>
      </c>
      <c r="C258" s="34"/>
      <c r="D258" s="68"/>
      <c r="E258" s="68"/>
      <c r="F258" s="42"/>
      <c r="G258" s="36"/>
      <c r="H258" s="36"/>
      <c r="I258" s="67"/>
      <c r="J258" s="12"/>
      <c r="K258" s="110"/>
      <c r="L258" s="107"/>
      <c r="M258" s="108"/>
      <c r="N258" s="11" t="str">
        <f t="shared" si="8"/>
        <v/>
      </c>
      <c r="O258" s="32" t="str">
        <f t="shared" si="9"/>
        <v/>
      </c>
    </row>
    <row r="259" spans="2:15" ht="14.5" customHeight="1" x14ac:dyDescent="0.35">
      <c r="B259" s="10">
        <v>583</v>
      </c>
      <c r="C259" s="34"/>
      <c r="D259" s="68"/>
      <c r="E259" s="68"/>
      <c r="F259" s="42"/>
      <c r="G259" s="36"/>
      <c r="H259" s="36"/>
      <c r="I259" s="67"/>
      <c r="J259" s="12"/>
      <c r="K259" s="110"/>
      <c r="L259" s="107"/>
      <c r="M259" s="108"/>
      <c r="N259" s="11" t="str">
        <f t="shared" si="8"/>
        <v/>
      </c>
      <c r="O259" s="32" t="str">
        <f t="shared" si="9"/>
        <v/>
      </c>
    </row>
    <row r="260" spans="2:15" ht="14.5" customHeight="1" x14ac:dyDescent="0.35">
      <c r="B260" s="10">
        <v>584</v>
      </c>
      <c r="C260" s="34"/>
      <c r="D260" s="68"/>
      <c r="E260" s="68"/>
      <c r="F260" s="42"/>
      <c r="G260" s="36"/>
      <c r="H260" s="36"/>
      <c r="I260" s="67"/>
      <c r="J260" s="12"/>
      <c r="K260" s="110"/>
      <c r="L260" s="107"/>
      <c r="M260" s="108"/>
      <c r="N260" s="11" t="str">
        <f t="shared" si="8"/>
        <v/>
      </c>
      <c r="O260" s="32" t="str">
        <f t="shared" si="9"/>
        <v/>
      </c>
    </row>
    <row r="261" spans="2:15" ht="14.5" customHeight="1" x14ac:dyDescent="0.35">
      <c r="B261" s="10">
        <v>585</v>
      </c>
      <c r="C261" s="34"/>
      <c r="D261" s="68"/>
      <c r="E261" s="68"/>
      <c r="F261" s="42"/>
      <c r="G261" s="36"/>
      <c r="H261" s="36"/>
      <c r="I261" s="67"/>
      <c r="J261" s="12"/>
      <c r="K261" s="110"/>
      <c r="L261" s="107"/>
      <c r="M261" s="108"/>
      <c r="N261" s="11" t="str">
        <f t="shared" si="8"/>
        <v/>
      </c>
      <c r="O261" s="32" t="str">
        <f t="shared" si="9"/>
        <v/>
      </c>
    </row>
    <row r="262" spans="2:15" ht="14.5" customHeight="1" x14ac:dyDescent="0.35">
      <c r="B262" s="10">
        <v>586</v>
      </c>
      <c r="C262" s="34"/>
      <c r="D262" s="68"/>
      <c r="E262" s="68"/>
      <c r="F262" s="42"/>
      <c r="G262" s="36"/>
      <c r="H262" s="36"/>
      <c r="I262" s="67"/>
      <c r="J262" s="12"/>
      <c r="K262" s="110"/>
      <c r="L262" s="107"/>
      <c r="M262" s="108"/>
      <c r="N262" s="11" t="str">
        <f t="shared" si="8"/>
        <v/>
      </c>
      <c r="O262" s="32" t="str">
        <f t="shared" si="9"/>
        <v/>
      </c>
    </row>
    <row r="263" spans="2:15" ht="14.5" customHeight="1" x14ac:dyDescent="0.35">
      <c r="B263" s="10">
        <v>587</v>
      </c>
      <c r="C263" s="34"/>
      <c r="D263" s="68"/>
      <c r="E263" s="68"/>
      <c r="F263" s="42"/>
      <c r="G263" s="36"/>
      <c r="H263" s="36"/>
      <c r="I263" s="67"/>
      <c r="J263" s="12"/>
      <c r="K263" s="110"/>
      <c r="L263" s="107"/>
      <c r="M263" s="108"/>
      <c r="N263" s="11" t="str">
        <f t="shared" si="8"/>
        <v/>
      </c>
      <c r="O263" s="32" t="str">
        <f t="shared" si="9"/>
        <v/>
      </c>
    </row>
    <row r="264" spans="2:15" ht="14.5" customHeight="1" x14ac:dyDescent="0.35">
      <c r="B264" s="10">
        <v>588</v>
      </c>
      <c r="C264" s="34"/>
      <c r="D264" s="68"/>
      <c r="E264" s="68"/>
      <c r="F264" s="42"/>
      <c r="G264" s="36"/>
      <c r="H264" s="36"/>
      <c r="I264" s="67"/>
      <c r="J264" s="12"/>
      <c r="K264" s="110"/>
      <c r="L264" s="107"/>
      <c r="M264" s="108"/>
      <c r="N264" s="11" t="str">
        <f t="shared" si="8"/>
        <v/>
      </c>
      <c r="O264" s="32" t="str">
        <f t="shared" si="9"/>
        <v/>
      </c>
    </row>
    <row r="265" spans="2:15" ht="14.5" customHeight="1" x14ac:dyDescent="0.35">
      <c r="B265" s="10">
        <v>589</v>
      </c>
      <c r="C265" s="34"/>
      <c r="D265" s="68"/>
      <c r="E265" s="68"/>
      <c r="F265" s="42"/>
      <c r="G265" s="36"/>
      <c r="H265" s="36"/>
      <c r="I265" s="68"/>
      <c r="J265" s="12"/>
      <c r="K265" s="110"/>
      <c r="L265" s="107"/>
      <c r="M265" s="108"/>
      <c r="N265" s="11" t="str">
        <f t="shared" si="8"/>
        <v/>
      </c>
      <c r="O265" s="32" t="str">
        <f t="shared" si="9"/>
        <v/>
      </c>
    </row>
    <row r="266" spans="2:15" ht="14.5" customHeight="1" x14ac:dyDescent="0.35">
      <c r="B266" s="10">
        <v>590</v>
      </c>
      <c r="C266" s="34"/>
      <c r="D266" s="68"/>
      <c r="E266" s="68"/>
      <c r="F266" s="42"/>
      <c r="G266" s="36"/>
      <c r="H266" s="36"/>
      <c r="I266" s="68"/>
      <c r="J266" s="12"/>
      <c r="K266" s="110"/>
      <c r="L266" s="107"/>
      <c r="M266" s="108"/>
      <c r="N266" s="11" t="str">
        <f t="shared" si="8"/>
        <v/>
      </c>
      <c r="O266" s="32" t="str">
        <f t="shared" si="9"/>
        <v/>
      </c>
    </row>
    <row r="267" spans="2:15" ht="14.5" customHeight="1" x14ac:dyDescent="0.35">
      <c r="B267" s="10">
        <v>591</v>
      </c>
      <c r="C267" s="34"/>
      <c r="D267" s="68"/>
      <c r="E267" s="68"/>
      <c r="F267" s="42"/>
      <c r="G267" s="36"/>
      <c r="H267" s="36"/>
      <c r="I267" s="68"/>
      <c r="J267" s="12"/>
      <c r="K267" s="110"/>
      <c r="L267" s="107"/>
      <c r="M267" s="108"/>
      <c r="N267" s="11" t="str">
        <f t="shared" si="8"/>
        <v/>
      </c>
      <c r="O267" s="32" t="str">
        <f t="shared" si="9"/>
        <v/>
      </c>
    </row>
    <row r="268" spans="2:15" ht="14.5" customHeight="1" x14ac:dyDescent="0.35">
      <c r="B268" s="10">
        <v>592</v>
      </c>
      <c r="C268" s="34"/>
      <c r="D268" s="68"/>
      <c r="E268" s="68"/>
      <c r="F268" s="42"/>
      <c r="G268" s="36"/>
      <c r="H268" s="36"/>
      <c r="I268" s="68"/>
      <c r="J268" s="12"/>
      <c r="K268" s="110"/>
      <c r="L268" s="107"/>
      <c r="M268" s="108"/>
      <c r="N268" s="11" t="str">
        <f t="shared" si="8"/>
        <v/>
      </c>
      <c r="O268" s="32" t="str">
        <f t="shared" si="9"/>
        <v/>
      </c>
    </row>
    <row r="269" spans="2:15" ht="14.5" customHeight="1" x14ac:dyDescent="0.35">
      <c r="B269" s="10">
        <v>593</v>
      </c>
      <c r="C269" s="34"/>
      <c r="D269" s="68"/>
      <c r="E269" s="68"/>
      <c r="F269" s="42"/>
      <c r="G269" s="36"/>
      <c r="H269" s="36"/>
      <c r="I269" s="68"/>
      <c r="J269" s="12"/>
      <c r="K269" s="110"/>
      <c r="L269" s="107"/>
      <c r="M269" s="108"/>
      <c r="N269" s="11" t="str">
        <f t="shared" si="8"/>
        <v/>
      </c>
      <c r="O269" s="32" t="str">
        <f t="shared" si="9"/>
        <v/>
      </c>
    </row>
    <row r="270" spans="2:15" ht="14.5" customHeight="1" x14ac:dyDescent="0.35">
      <c r="B270" s="10">
        <v>594</v>
      </c>
      <c r="C270" s="34"/>
      <c r="D270" s="68"/>
      <c r="E270" s="68"/>
      <c r="F270" s="42"/>
      <c r="G270" s="36"/>
      <c r="H270" s="36"/>
      <c r="I270" s="68"/>
      <c r="J270" s="12"/>
      <c r="K270" s="110"/>
      <c r="L270" s="107"/>
      <c r="M270" s="108"/>
      <c r="N270" s="11" t="str">
        <f t="shared" si="8"/>
        <v/>
      </c>
      <c r="O270" s="32" t="str">
        <f t="shared" si="9"/>
        <v/>
      </c>
    </row>
    <row r="271" spans="2:15" ht="14.5" customHeight="1" x14ac:dyDescent="0.35">
      <c r="B271" s="10">
        <v>595</v>
      </c>
      <c r="C271" s="34"/>
      <c r="D271" s="68"/>
      <c r="E271" s="68"/>
      <c r="F271" s="42"/>
      <c r="G271" s="36"/>
      <c r="H271" s="36"/>
      <c r="I271" s="68"/>
      <c r="J271" s="12"/>
      <c r="K271" s="110"/>
      <c r="L271" s="107"/>
      <c r="M271" s="108"/>
      <c r="N271" s="11" t="str">
        <f t="shared" si="8"/>
        <v/>
      </c>
      <c r="O271" s="32" t="str">
        <f t="shared" si="9"/>
        <v/>
      </c>
    </row>
    <row r="272" spans="2:15" ht="14.5" customHeight="1" x14ac:dyDescent="0.35">
      <c r="B272" s="10">
        <v>596</v>
      </c>
      <c r="C272" s="34"/>
      <c r="D272" s="68"/>
      <c r="E272" s="68"/>
      <c r="F272" s="42"/>
      <c r="G272" s="36"/>
      <c r="H272" s="36"/>
      <c r="I272" s="68"/>
      <c r="J272" s="12"/>
      <c r="K272" s="110"/>
      <c r="L272" s="107"/>
      <c r="M272" s="108"/>
      <c r="N272" s="11" t="str">
        <f t="shared" si="8"/>
        <v/>
      </c>
      <c r="O272" s="32" t="str">
        <f t="shared" si="9"/>
        <v/>
      </c>
    </row>
    <row r="273" spans="2:15" ht="14.5" customHeight="1" x14ac:dyDescent="0.35">
      <c r="B273" s="10">
        <v>597</v>
      </c>
      <c r="C273" s="34"/>
      <c r="D273" s="68"/>
      <c r="E273" s="68"/>
      <c r="F273" s="42"/>
      <c r="G273" s="36"/>
      <c r="H273" s="36"/>
      <c r="I273" s="68"/>
      <c r="J273" s="12"/>
      <c r="K273" s="110"/>
      <c r="L273" s="107"/>
      <c r="M273" s="108"/>
      <c r="N273" s="11" t="str">
        <f t="shared" si="8"/>
        <v/>
      </c>
      <c r="O273" s="32" t="str">
        <f t="shared" si="9"/>
        <v/>
      </c>
    </row>
    <row r="274" spans="2:15" ht="14.5" customHeight="1" x14ac:dyDescent="0.35">
      <c r="B274" s="10">
        <v>598</v>
      </c>
      <c r="C274" s="34"/>
      <c r="D274" s="68"/>
      <c r="E274" s="68"/>
      <c r="F274" s="42"/>
      <c r="G274" s="36"/>
      <c r="H274" s="36"/>
      <c r="I274" s="68"/>
      <c r="J274" s="12"/>
      <c r="K274" s="110"/>
      <c r="L274" s="107"/>
      <c r="M274" s="108"/>
      <c r="N274" s="11" t="str">
        <f t="shared" si="8"/>
        <v/>
      </c>
      <c r="O274" s="32" t="str">
        <f t="shared" si="9"/>
        <v/>
      </c>
    </row>
    <row r="275" spans="2:15" ht="14.5" customHeight="1" x14ac:dyDescent="0.35">
      <c r="B275" s="10">
        <v>599</v>
      </c>
      <c r="C275" s="34"/>
      <c r="D275" s="68"/>
      <c r="E275" s="68"/>
      <c r="F275" s="42"/>
      <c r="G275" s="36"/>
      <c r="H275" s="36"/>
      <c r="I275" s="68"/>
      <c r="J275" s="12"/>
      <c r="K275" s="110"/>
      <c r="L275" s="107"/>
      <c r="M275" s="108"/>
      <c r="N275" s="11" t="str">
        <f t="shared" si="8"/>
        <v/>
      </c>
      <c r="O275" s="32" t="str">
        <f t="shared" si="9"/>
        <v/>
      </c>
    </row>
    <row r="276" spans="2:15" ht="14.5" customHeight="1" x14ac:dyDescent="0.35">
      <c r="B276" s="10">
        <v>600</v>
      </c>
      <c r="C276" s="34"/>
      <c r="D276" s="68"/>
      <c r="E276" s="68"/>
      <c r="F276" s="42"/>
      <c r="G276" s="36"/>
      <c r="H276" s="36"/>
      <c r="I276" s="68"/>
      <c r="J276" s="12"/>
      <c r="K276" s="110"/>
      <c r="L276" s="107"/>
      <c r="M276" s="108"/>
      <c r="N276" s="11" t="str">
        <f t="shared" si="8"/>
        <v/>
      </c>
      <c r="O276" s="32" t="str">
        <f t="shared" si="9"/>
        <v/>
      </c>
    </row>
    <row r="277" spans="2:15" ht="14.5" customHeight="1" x14ac:dyDescent="0.35">
      <c r="B277" s="10">
        <v>601</v>
      </c>
      <c r="C277" s="34"/>
      <c r="D277" s="68"/>
      <c r="E277" s="68"/>
      <c r="F277" s="42"/>
      <c r="G277" s="36"/>
      <c r="H277" s="36"/>
      <c r="I277" s="68"/>
      <c r="J277" s="12"/>
      <c r="K277" s="110"/>
      <c r="L277" s="107"/>
      <c r="M277" s="108"/>
      <c r="N277" s="11" t="str">
        <f t="shared" si="8"/>
        <v/>
      </c>
      <c r="O277" s="32" t="str">
        <f t="shared" si="9"/>
        <v/>
      </c>
    </row>
    <row r="278" spans="2:15" ht="14.5" customHeight="1" x14ac:dyDescent="0.35">
      <c r="B278" s="10">
        <v>602</v>
      </c>
      <c r="C278" s="34"/>
      <c r="D278" s="68"/>
      <c r="E278" s="68"/>
      <c r="F278" s="42"/>
      <c r="G278" s="36"/>
      <c r="H278" s="36"/>
      <c r="I278" s="68"/>
      <c r="J278" s="12"/>
      <c r="K278" s="110"/>
      <c r="L278" s="107"/>
      <c r="M278" s="108"/>
      <c r="N278" s="11" t="str">
        <f t="shared" si="8"/>
        <v/>
      </c>
      <c r="O278" s="32" t="str">
        <f t="shared" si="9"/>
        <v/>
      </c>
    </row>
    <row r="279" spans="2:15" ht="14.5" customHeight="1" x14ac:dyDescent="0.35">
      <c r="B279" s="10">
        <v>603</v>
      </c>
      <c r="C279" s="34"/>
      <c r="D279" s="68"/>
      <c r="E279" s="68"/>
      <c r="F279" s="42"/>
      <c r="G279" s="36"/>
      <c r="H279" s="36"/>
      <c r="I279" s="67"/>
      <c r="J279" s="12"/>
      <c r="K279" s="110"/>
      <c r="L279" s="107"/>
      <c r="M279" s="108"/>
      <c r="N279" s="11" t="str">
        <f t="shared" si="8"/>
        <v/>
      </c>
      <c r="O279" s="32" t="str">
        <f t="shared" si="9"/>
        <v/>
      </c>
    </row>
    <row r="280" spans="2:15" ht="14.5" customHeight="1" x14ac:dyDescent="0.35">
      <c r="B280" s="10">
        <v>604</v>
      </c>
      <c r="C280" s="34"/>
      <c r="D280" s="68"/>
      <c r="E280" s="68"/>
      <c r="F280" s="42"/>
      <c r="G280" s="36"/>
      <c r="H280" s="36"/>
      <c r="I280" s="67"/>
      <c r="J280" s="12"/>
      <c r="K280" s="110"/>
      <c r="L280" s="107"/>
      <c r="M280" s="108"/>
      <c r="N280" s="11" t="str">
        <f t="shared" si="8"/>
        <v/>
      </c>
      <c r="O280" s="32" t="str">
        <f t="shared" si="9"/>
        <v/>
      </c>
    </row>
    <row r="281" spans="2:15" ht="14.5" customHeight="1" x14ac:dyDescent="0.35">
      <c r="B281" s="10">
        <v>605</v>
      </c>
      <c r="C281" s="34"/>
      <c r="D281" s="68"/>
      <c r="E281" s="68"/>
      <c r="F281" s="42"/>
      <c r="G281" s="36"/>
      <c r="H281" s="36"/>
      <c r="I281" s="67"/>
      <c r="J281" s="12"/>
      <c r="K281" s="110"/>
      <c r="L281" s="107"/>
      <c r="M281" s="108"/>
      <c r="N281" s="11" t="str">
        <f t="shared" si="8"/>
        <v/>
      </c>
      <c r="O281" s="32" t="str">
        <f t="shared" si="9"/>
        <v/>
      </c>
    </row>
    <row r="282" spans="2:15" ht="14.5" customHeight="1" x14ac:dyDescent="0.35">
      <c r="B282" s="10">
        <v>606</v>
      </c>
      <c r="C282" s="34"/>
      <c r="D282" s="68"/>
      <c r="E282" s="68"/>
      <c r="F282" s="42"/>
      <c r="G282" s="36"/>
      <c r="H282" s="36"/>
      <c r="I282" s="67"/>
      <c r="J282" s="12"/>
      <c r="K282" s="110"/>
      <c r="L282" s="107"/>
      <c r="M282" s="108"/>
      <c r="N282" s="11" t="str">
        <f t="shared" si="8"/>
        <v/>
      </c>
      <c r="O282" s="32" t="str">
        <f t="shared" si="9"/>
        <v/>
      </c>
    </row>
    <row r="283" spans="2:15" ht="14.5" customHeight="1" x14ac:dyDescent="0.35">
      <c r="B283" s="10">
        <v>607</v>
      </c>
      <c r="C283" s="34"/>
      <c r="D283" s="68"/>
      <c r="E283" s="68"/>
      <c r="F283" s="42"/>
      <c r="G283" s="36"/>
      <c r="H283" s="36"/>
      <c r="I283" s="67"/>
      <c r="J283" s="12"/>
      <c r="K283" s="110"/>
      <c r="L283" s="107"/>
      <c r="M283" s="108"/>
      <c r="N283" s="11" t="str">
        <f t="shared" si="8"/>
        <v/>
      </c>
      <c r="O283" s="32" t="str">
        <f t="shared" si="9"/>
        <v/>
      </c>
    </row>
    <row r="284" spans="2:15" ht="14.5" customHeight="1" x14ac:dyDescent="0.35">
      <c r="B284" s="10">
        <v>608</v>
      </c>
      <c r="C284" s="34"/>
      <c r="D284" s="68"/>
      <c r="E284" s="68"/>
      <c r="F284" s="42"/>
      <c r="G284" s="36"/>
      <c r="H284" s="36"/>
      <c r="I284" s="67"/>
      <c r="J284" s="12"/>
      <c r="K284" s="110"/>
      <c r="L284" s="107"/>
      <c r="M284" s="108"/>
      <c r="N284" s="11" t="str">
        <f t="shared" si="8"/>
        <v/>
      </c>
      <c r="O284" s="32" t="str">
        <f t="shared" si="9"/>
        <v/>
      </c>
    </row>
    <row r="285" spans="2:15" ht="14.5" customHeight="1" x14ac:dyDescent="0.35">
      <c r="B285" s="10">
        <v>609</v>
      </c>
      <c r="C285" s="34"/>
      <c r="D285" s="68"/>
      <c r="E285" s="68"/>
      <c r="F285" s="42"/>
      <c r="G285" s="36"/>
      <c r="H285" s="36"/>
      <c r="I285" s="67"/>
      <c r="J285" s="12"/>
      <c r="K285" s="110"/>
      <c r="L285" s="107"/>
      <c r="M285" s="108"/>
      <c r="N285" s="11" t="str">
        <f t="shared" si="8"/>
        <v/>
      </c>
      <c r="O285" s="32" t="str">
        <f t="shared" si="9"/>
        <v/>
      </c>
    </row>
    <row r="286" spans="2:15" ht="14.5" customHeight="1" x14ac:dyDescent="0.35">
      <c r="B286" s="10">
        <v>610</v>
      </c>
      <c r="C286" s="34"/>
      <c r="D286" s="68"/>
      <c r="E286" s="68"/>
      <c r="F286" s="42"/>
      <c r="G286" s="36"/>
      <c r="H286" s="36"/>
      <c r="I286" s="67"/>
      <c r="J286" s="12"/>
      <c r="K286" s="110"/>
      <c r="L286" s="107"/>
      <c r="M286" s="108"/>
      <c r="N286" s="11" t="str">
        <f t="shared" si="8"/>
        <v/>
      </c>
      <c r="O286" s="32" t="str">
        <f t="shared" si="9"/>
        <v/>
      </c>
    </row>
    <row r="287" spans="2:15" ht="14.5" customHeight="1" x14ac:dyDescent="0.35">
      <c r="B287" s="10">
        <v>611</v>
      </c>
      <c r="C287" s="34"/>
      <c r="D287" s="68"/>
      <c r="E287" s="68"/>
      <c r="F287" s="42"/>
      <c r="G287" s="36"/>
      <c r="H287" s="36"/>
      <c r="I287" s="67"/>
      <c r="J287" s="12"/>
      <c r="K287" s="110"/>
      <c r="L287" s="107"/>
      <c r="M287" s="108"/>
      <c r="N287" s="11" t="str">
        <f t="shared" si="8"/>
        <v/>
      </c>
      <c r="O287" s="32" t="str">
        <f t="shared" si="9"/>
        <v/>
      </c>
    </row>
    <row r="288" spans="2:15" ht="14.5" customHeight="1" x14ac:dyDescent="0.35">
      <c r="B288" s="10">
        <v>612</v>
      </c>
      <c r="C288" s="34"/>
      <c r="D288" s="68"/>
      <c r="E288" s="68"/>
      <c r="F288" s="42"/>
      <c r="G288" s="36"/>
      <c r="H288" s="36"/>
      <c r="I288" s="67"/>
      <c r="J288" s="12"/>
      <c r="K288" s="110"/>
      <c r="L288" s="107"/>
      <c r="M288" s="108"/>
      <c r="N288" s="11" t="str">
        <f t="shared" si="8"/>
        <v/>
      </c>
      <c r="O288" s="32" t="str">
        <f t="shared" si="9"/>
        <v/>
      </c>
    </row>
    <row r="289" spans="2:15" ht="14.5" customHeight="1" x14ac:dyDescent="0.35">
      <c r="B289" s="10">
        <v>613</v>
      </c>
      <c r="C289" s="34"/>
      <c r="D289" s="68"/>
      <c r="E289" s="68"/>
      <c r="F289" s="42"/>
      <c r="G289" s="36"/>
      <c r="H289" s="36"/>
      <c r="I289" s="67"/>
      <c r="J289" s="12"/>
      <c r="K289" s="110"/>
      <c r="L289" s="107"/>
      <c r="M289" s="108"/>
      <c r="N289" s="11" t="str">
        <f t="shared" si="8"/>
        <v/>
      </c>
      <c r="O289" s="32" t="str">
        <f t="shared" si="9"/>
        <v/>
      </c>
    </row>
    <row r="290" spans="2:15" ht="14.5" customHeight="1" x14ac:dyDescent="0.35">
      <c r="B290" s="10">
        <v>614</v>
      </c>
      <c r="C290" s="34"/>
      <c r="D290" s="68"/>
      <c r="E290" s="68"/>
      <c r="F290" s="42"/>
      <c r="G290" s="36"/>
      <c r="H290" s="36"/>
      <c r="I290" s="67"/>
      <c r="J290" s="12"/>
      <c r="K290" s="110"/>
      <c r="L290" s="107"/>
      <c r="M290" s="108"/>
      <c r="N290" s="11" t="str">
        <f t="shared" si="8"/>
        <v/>
      </c>
      <c r="O290" s="32" t="str">
        <f t="shared" si="9"/>
        <v/>
      </c>
    </row>
    <row r="291" spans="2:15" ht="14.5" customHeight="1" x14ac:dyDescent="0.35">
      <c r="B291" s="10">
        <v>615</v>
      </c>
      <c r="C291" s="34"/>
      <c r="D291" s="68"/>
      <c r="E291" s="68"/>
      <c r="F291" s="42"/>
      <c r="G291" s="36"/>
      <c r="H291" s="36"/>
      <c r="I291" s="67"/>
      <c r="J291" s="12"/>
      <c r="K291" s="110"/>
      <c r="L291" s="107"/>
      <c r="M291" s="108"/>
      <c r="N291" s="11" t="str">
        <f t="shared" si="8"/>
        <v/>
      </c>
      <c r="O291" s="32" t="str">
        <f t="shared" si="9"/>
        <v/>
      </c>
    </row>
    <row r="292" spans="2:15" ht="14.5" customHeight="1" x14ac:dyDescent="0.35">
      <c r="B292" s="10">
        <v>616</v>
      </c>
      <c r="C292" s="34"/>
      <c r="D292" s="68"/>
      <c r="E292" s="68"/>
      <c r="F292" s="42"/>
      <c r="G292" s="36"/>
      <c r="H292" s="36"/>
      <c r="I292" s="67"/>
      <c r="J292" s="12"/>
      <c r="K292" s="110"/>
      <c r="L292" s="107"/>
      <c r="M292" s="108"/>
      <c r="N292" s="11" t="str">
        <f t="shared" si="8"/>
        <v/>
      </c>
      <c r="O292" s="32" t="str">
        <f t="shared" si="9"/>
        <v/>
      </c>
    </row>
    <row r="293" spans="2:15" ht="14.5" customHeight="1" x14ac:dyDescent="0.35">
      <c r="B293" s="10">
        <v>617</v>
      </c>
      <c r="C293" s="34"/>
      <c r="D293" s="68"/>
      <c r="E293" s="68"/>
      <c r="F293" s="42"/>
      <c r="G293" s="36"/>
      <c r="H293" s="36"/>
      <c r="I293" s="67"/>
      <c r="J293" s="12"/>
      <c r="K293" s="110"/>
      <c r="L293" s="107"/>
      <c r="M293" s="108"/>
      <c r="N293" s="11" t="str">
        <f t="shared" si="8"/>
        <v/>
      </c>
      <c r="O293" s="32" t="str">
        <f t="shared" si="9"/>
        <v/>
      </c>
    </row>
    <row r="294" spans="2:15" ht="14.5" customHeight="1" x14ac:dyDescent="0.35">
      <c r="B294" s="10">
        <v>618</v>
      </c>
      <c r="C294" s="34"/>
      <c r="D294" s="68"/>
      <c r="E294" s="68"/>
      <c r="F294" s="42"/>
      <c r="G294" s="36"/>
      <c r="H294" s="36"/>
      <c r="I294" s="67"/>
      <c r="J294" s="12"/>
      <c r="K294" s="110"/>
      <c r="L294" s="107"/>
      <c r="M294" s="108"/>
      <c r="N294" s="11" t="str">
        <f t="shared" si="8"/>
        <v/>
      </c>
      <c r="O294" s="32" t="str">
        <f t="shared" si="9"/>
        <v/>
      </c>
    </row>
    <row r="295" spans="2:15" ht="14.5" customHeight="1" x14ac:dyDescent="0.35">
      <c r="B295" s="10">
        <v>619</v>
      </c>
      <c r="C295" s="34"/>
      <c r="D295" s="68"/>
      <c r="E295" s="68"/>
      <c r="F295" s="42"/>
      <c r="G295" s="36"/>
      <c r="H295" s="36"/>
      <c r="I295" s="67"/>
      <c r="J295" s="12"/>
      <c r="K295" s="110"/>
      <c r="L295" s="107"/>
      <c r="M295" s="108"/>
      <c r="N295" s="11" t="str">
        <f t="shared" si="8"/>
        <v/>
      </c>
      <c r="O295" s="32" t="str">
        <f t="shared" si="9"/>
        <v/>
      </c>
    </row>
    <row r="296" spans="2:15" ht="14.5" customHeight="1" x14ac:dyDescent="0.35">
      <c r="B296" s="10">
        <v>620</v>
      </c>
      <c r="C296" s="34"/>
      <c r="D296" s="68"/>
      <c r="E296" s="68"/>
      <c r="F296" s="42"/>
      <c r="G296" s="36"/>
      <c r="H296" s="36"/>
      <c r="I296" s="67"/>
      <c r="J296" s="12"/>
      <c r="K296" s="110"/>
      <c r="L296" s="107"/>
      <c r="M296" s="108"/>
      <c r="N296" s="11" t="str">
        <f t="shared" si="8"/>
        <v/>
      </c>
      <c r="O296" s="32" t="str">
        <f t="shared" si="9"/>
        <v/>
      </c>
    </row>
    <row r="297" spans="2:15" ht="14.5" customHeight="1" x14ac:dyDescent="0.35">
      <c r="B297" s="10">
        <v>621</v>
      </c>
      <c r="C297" s="34"/>
      <c r="D297" s="68"/>
      <c r="E297" s="68"/>
      <c r="F297" s="42"/>
      <c r="G297" s="36"/>
      <c r="H297" s="36"/>
      <c r="I297" s="67"/>
      <c r="J297" s="12"/>
      <c r="K297" s="110"/>
      <c r="L297" s="107"/>
      <c r="M297" s="108"/>
      <c r="N297" s="11" t="str">
        <f t="shared" si="8"/>
        <v/>
      </c>
      <c r="O297" s="32" t="str">
        <f t="shared" si="9"/>
        <v/>
      </c>
    </row>
    <row r="298" spans="2:15" ht="14.5" customHeight="1" x14ac:dyDescent="0.35">
      <c r="B298" s="10">
        <v>622</v>
      </c>
      <c r="C298" s="34"/>
      <c r="D298" s="68"/>
      <c r="E298" s="68"/>
      <c r="F298" s="42"/>
      <c r="G298" s="36"/>
      <c r="H298" s="36"/>
      <c r="I298" s="67"/>
      <c r="J298" s="12"/>
      <c r="K298" s="110"/>
      <c r="L298" s="107"/>
      <c r="M298" s="108"/>
      <c r="N298" s="11" t="str">
        <f t="shared" si="8"/>
        <v/>
      </c>
      <c r="O298" s="32" t="str">
        <f t="shared" si="9"/>
        <v/>
      </c>
    </row>
    <row r="299" spans="2:15" ht="14.5" customHeight="1" x14ac:dyDescent="0.35">
      <c r="B299" s="10">
        <v>623</v>
      </c>
      <c r="C299" s="34"/>
      <c r="D299" s="68"/>
      <c r="E299" s="68"/>
      <c r="F299" s="42"/>
      <c r="G299" s="36"/>
      <c r="H299" s="36"/>
      <c r="I299" s="67"/>
      <c r="J299" s="12"/>
      <c r="K299" s="110"/>
      <c r="L299" s="107"/>
      <c r="M299" s="108"/>
      <c r="N299" s="11" t="str">
        <f t="shared" si="8"/>
        <v/>
      </c>
      <c r="O299" s="32" t="str">
        <f t="shared" si="9"/>
        <v/>
      </c>
    </row>
    <row r="300" spans="2:15" ht="14.5" customHeight="1" x14ac:dyDescent="0.35">
      <c r="B300" s="10">
        <v>624</v>
      </c>
      <c r="C300" s="34"/>
      <c r="D300" s="68"/>
      <c r="E300" s="68"/>
      <c r="F300" s="42"/>
      <c r="G300" s="36"/>
      <c r="H300" s="36"/>
      <c r="I300" s="67"/>
      <c r="J300" s="12"/>
      <c r="K300" s="110"/>
      <c r="L300" s="107"/>
      <c r="M300" s="108"/>
      <c r="N300" s="11" t="str">
        <f t="shared" si="8"/>
        <v/>
      </c>
      <c r="O300" s="32" t="str">
        <f t="shared" si="9"/>
        <v/>
      </c>
    </row>
    <row r="301" spans="2:15" ht="14.5" customHeight="1" x14ac:dyDescent="0.35">
      <c r="B301" s="10">
        <v>625</v>
      </c>
      <c r="C301" s="34"/>
      <c r="D301" s="68"/>
      <c r="E301" s="68"/>
      <c r="F301" s="42"/>
      <c r="G301" s="36"/>
      <c r="H301" s="36"/>
      <c r="I301" s="67"/>
      <c r="J301" s="12"/>
      <c r="K301" s="110"/>
      <c r="L301" s="107"/>
      <c r="M301" s="108"/>
      <c r="N301" s="11" t="str">
        <f t="shared" si="8"/>
        <v/>
      </c>
      <c r="O301" s="32" t="str">
        <f t="shared" si="9"/>
        <v/>
      </c>
    </row>
    <row r="302" spans="2:15" ht="14.5" customHeight="1" x14ac:dyDescent="0.35">
      <c r="B302" s="10">
        <v>626</v>
      </c>
      <c r="C302" s="34"/>
      <c r="D302" s="68"/>
      <c r="E302" s="68"/>
      <c r="F302" s="42"/>
      <c r="G302" s="36"/>
      <c r="H302" s="36"/>
      <c r="I302" s="67"/>
      <c r="J302" s="12"/>
      <c r="K302" s="110"/>
      <c r="L302" s="107"/>
      <c r="M302" s="108"/>
      <c r="N302" s="11" t="str">
        <f t="shared" si="8"/>
        <v/>
      </c>
      <c r="O302" s="32" t="str">
        <f t="shared" si="9"/>
        <v/>
      </c>
    </row>
    <row r="303" spans="2:15" ht="14.5" customHeight="1" x14ac:dyDescent="0.35">
      <c r="B303" s="10">
        <v>627</v>
      </c>
      <c r="C303" s="34"/>
      <c r="D303" s="68"/>
      <c r="E303" s="68"/>
      <c r="F303" s="42"/>
      <c r="G303" s="36"/>
      <c r="H303" s="36"/>
      <c r="I303" s="67"/>
      <c r="J303" s="12"/>
      <c r="K303" s="110"/>
      <c r="L303" s="107"/>
      <c r="M303" s="108"/>
      <c r="N303" s="11" t="str">
        <f t="shared" si="8"/>
        <v/>
      </c>
      <c r="O303" s="32" t="str">
        <f t="shared" si="9"/>
        <v/>
      </c>
    </row>
    <row r="304" spans="2:15" ht="14.5" customHeight="1" x14ac:dyDescent="0.35">
      <c r="B304" s="10">
        <v>628</v>
      </c>
      <c r="C304" s="34"/>
      <c r="D304" s="68"/>
      <c r="E304" s="68"/>
      <c r="F304" s="42"/>
      <c r="G304" s="36"/>
      <c r="H304" s="36"/>
      <c r="I304" s="67"/>
      <c r="J304" s="12"/>
      <c r="K304" s="110"/>
      <c r="L304" s="107"/>
      <c r="M304" s="108"/>
      <c r="N304" s="11" t="str">
        <f t="shared" si="8"/>
        <v/>
      </c>
      <c r="O304" s="32" t="str">
        <f t="shared" si="9"/>
        <v/>
      </c>
    </row>
    <row r="305" spans="2:15" ht="14.5" customHeight="1" x14ac:dyDescent="0.35">
      <c r="B305" s="10">
        <v>629</v>
      </c>
      <c r="C305" s="34"/>
      <c r="D305" s="68"/>
      <c r="E305" s="68"/>
      <c r="F305" s="42"/>
      <c r="G305" s="36"/>
      <c r="H305" s="36"/>
      <c r="I305" s="67"/>
      <c r="J305" s="12"/>
      <c r="K305" s="110"/>
      <c r="L305" s="107"/>
      <c r="M305" s="108"/>
      <c r="N305" s="11" t="str">
        <f t="shared" si="8"/>
        <v/>
      </c>
      <c r="O305" s="32" t="str">
        <f t="shared" si="9"/>
        <v/>
      </c>
    </row>
    <row r="306" spans="2:15" ht="14.5" customHeight="1" x14ac:dyDescent="0.35">
      <c r="B306" s="10">
        <v>630</v>
      </c>
      <c r="C306" s="34"/>
      <c r="D306" s="68"/>
      <c r="E306" s="68"/>
      <c r="F306" s="42"/>
      <c r="G306" s="36"/>
      <c r="H306" s="36"/>
      <c r="I306" s="68"/>
      <c r="J306" s="12"/>
      <c r="K306" s="110"/>
      <c r="L306" s="107"/>
      <c r="M306" s="108"/>
      <c r="N306" s="11" t="str">
        <f t="shared" si="8"/>
        <v/>
      </c>
      <c r="O306" s="32" t="str">
        <f t="shared" si="9"/>
        <v/>
      </c>
    </row>
    <row r="307" spans="2:15" ht="14.5" customHeight="1" x14ac:dyDescent="0.35">
      <c r="B307" s="10">
        <v>631</v>
      </c>
      <c r="C307" s="34"/>
      <c r="D307" s="68"/>
      <c r="E307" s="68"/>
      <c r="F307" s="42"/>
      <c r="G307" s="36"/>
      <c r="H307" s="36"/>
      <c r="I307" s="68"/>
      <c r="J307" s="12"/>
      <c r="K307" s="110"/>
      <c r="L307" s="107"/>
      <c r="M307" s="108"/>
      <c r="N307" s="11" t="str">
        <f t="shared" si="8"/>
        <v/>
      </c>
      <c r="O307" s="32" t="str">
        <f t="shared" si="9"/>
        <v/>
      </c>
    </row>
    <row r="308" spans="2:15" ht="14.5" customHeight="1" x14ac:dyDescent="0.35">
      <c r="B308" s="10">
        <v>632</v>
      </c>
      <c r="C308" s="34"/>
      <c r="D308" s="68"/>
      <c r="E308" s="68"/>
      <c r="F308" s="42"/>
      <c r="G308" s="36"/>
      <c r="H308" s="36"/>
      <c r="I308" s="67"/>
      <c r="J308" s="12"/>
      <c r="K308" s="110"/>
      <c r="L308" s="107"/>
      <c r="M308" s="108"/>
      <c r="N308" s="11" t="str">
        <f t="shared" si="8"/>
        <v/>
      </c>
      <c r="O308" s="32" t="str">
        <f t="shared" si="9"/>
        <v/>
      </c>
    </row>
    <row r="309" spans="2:15" ht="14.5" customHeight="1" x14ac:dyDescent="0.35">
      <c r="B309" s="10">
        <v>633</v>
      </c>
      <c r="C309" s="34"/>
      <c r="D309" s="68"/>
      <c r="E309" s="68"/>
      <c r="F309" s="42"/>
      <c r="G309" s="36"/>
      <c r="H309" s="36"/>
      <c r="I309" s="67"/>
      <c r="J309" s="12"/>
      <c r="K309" s="110"/>
      <c r="L309" s="107"/>
      <c r="M309" s="108"/>
      <c r="N309" s="11" t="str">
        <f t="shared" si="8"/>
        <v/>
      </c>
      <c r="O309" s="32" t="str">
        <f t="shared" si="9"/>
        <v/>
      </c>
    </row>
    <row r="310" spans="2:15" ht="14.5" customHeight="1" x14ac:dyDescent="0.35">
      <c r="B310" s="10">
        <v>634</v>
      </c>
      <c r="C310" s="34"/>
      <c r="D310" s="68"/>
      <c r="E310" s="68"/>
      <c r="F310" s="42"/>
      <c r="G310" s="36"/>
      <c r="H310" s="36"/>
      <c r="I310" s="67"/>
      <c r="J310" s="12"/>
      <c r="K310" s="110"/>
      <c r="L310" s="107"/>
      <c r="M310" s="108"/>
      <c r="N310" s="11" t="str">
        <f t="shared" si="8"/>
        <v/>
      </c>
      <c r="O310" s="32" t="str">
        <f t="shared" si="9"/>
        <v/>
      </c>
    </row>
    <row r="311" spans="2:15" ht="14.5" customHeight="1" x14ac:dyDescent="0.35">
      <c r="B311" s="10">
        <v>635</v>
      </c>
      <c r="C311" s="34"/>
      <c r="D311" s="68"/>
      <c r="E311" s="68"/>
      <c r="F311" s="42"/>
      <c r="G311" s="36"/>
      <c r="H311" s="36"/>
      <c r="I311" s="67"/>
      <c r="J311" s="12"/>
      <c r="K311" s="110"/>
      <c r="L311" s="107"/>
      <c r="M311" s="108"/>
      <c r="N311" s="11" t="str">
        <f t="shared" si="8"/>
        <v/>
      </c>
      <c r="O311" s="32" t="str">
        <f t="shared" si="9"/>
        <v/>
      </c>
    </row>
    <row r="312" spans="2:15" ht="14.5" customHeight="1" x14ac:dyDescent="0.35">
      <c r="B312" s="10">
        <v>636</v>
      </c>
      <c r="C312" s="34"/>
      <c r="D312" s="68"/>
      <c r="E312" s="68"/>
      <c r="F312" s="42"/>
      <c r="G312" s="36"/>
      <c r="H312" s="36"/>
      <c r="I312" s="67"/>
      <c r="J312" s="12"/>
      <c r="K312" s="110"/>
      <c r="L312" s="107"/>
      <c r="M312" s="108"/>
      <c r="N312" s="11" t="str">
        <f t="shared" si="8"/>
        <v/>
      </c>
      <c r="O312" s="32" t="str">
        <f t="shared" si="9"/>
        <v/>
      </c>
    </row>
    <row r="313" spans="2:15" ht="14.5" customHeight="1" x14ac:dyDescent="0.35">
      <c r="B313" s="10">
        <v>637</v>
      </c>
      <c r="C313" s="34"/>
      <c r="D313" s="68"/>
      <c r="E313" s="68"/>
      <c r="F313" s="42"/>
      <c r="G313" s="36"/>
      <c r="H313" s="36"/>
      <c r="I313" s="67"/>
      <c r="J313" s="12"/>
      <c r="K313" s="110"/>
      <c r="L313" s="107"/>
      <c r="M313" s="108"/>
      <c r="N313" s="11" t="str">
        <f t="shared" si="8"/>
        <v/>
      </c>
      <c r="O313" s="32" t="str">
        <f t="shared" si="9"/>
        <v/>
      </c>
    </row>
    <row r="314" spans="2:15" ht="14.5" customHeight="1" x14ac:dyDescent="0.35">
      <c r="B314" s="10">
        <v>638</v>
      </c>
      <c r="C314" s="34"/>
      <c r="D314" s="68"/>
      <c r="E314" s="68"/>
      <c r="F314" s="42"/>
      <c r="G314" s="36"/>
      <c r="H314" s="36"/>
      <c r="I314" s="67"/>
      <c r="J314" s="12"/>
      <c r="K314" s="110"/>
      <c r="L314" s="107"/>
      <c r="M314" s="108"/>
      <c r="N314" s="11" t="str">
        <f t="shared" si="8"/>
        <v/>
      </c>
      <c r="O314" s="32" t="str">
        <f t="shared" si="9"/>
        <v/>
      </c>
    </row>
    <row r="315" spans="2:15" ht="14.5" customHeight="1" x14ac:dyDescent="0.35">
      <c r="B315" s="10">
        <v>639</v>
      </c>
      <c r="C315" s="34"/>
      <c r="D315" s="68"/>
      <c r="E315" s="68"/>
      <c r="F315" s="42"/>
      <c r="G315" s="36"/>
      <c r="H315" s="36"/>
      <c r="I315" s="67"/>
      <c r="J315" s="12"/>
      <c r="K315" s="110"/>
      <c r="L315" s="107"/>
      <c r="M315" s="108"/>
      <c r="N315" s="11" t="str">
        <f t="shared" si="8"/>
        <v/>
      </c>
      <c r="O315" s="32" t="str">
        <f t="shared" si="9"/>
        <v/>
      </c>
    </row>
    <row r="316" spans="2:15" ht="14.5" customHeight="1" x14ac:dyDescent="0.35">
      <c r="B316" s="10">
        <v>640</v>
      </c>
      <c r="C316" s="34"/>
      <c r="D316" s="68"/>
      <c r="E316" s="68"/>
      <c r="F316" s="42"/>
      <c r="G316" s="36"/>
      <c r="H316" s="36"/>
      <c r="I316" s="67"/>
      <c r="J316" s="12"/>
      <c r="K316" s="110"/>
      <c r="L316" s="107"/>
      <c r="M316" s="108"/>
      <c r="N316" s="11" t="str">
        <f t="shared" si="8"/>
        <v/>
      </c>
      <c r="O316" s="32" t="str">
        <f t="shared" si="9"/>
        <v/>
      </c>
    </row>
    <row r="317" spans="2:15" ht="14.5" customHeight="1" x14ac:dyDescent="0.35">
      <c r="B317" s="10">
        <v>641</v>
      </c>
      <c r="C317" s="34"/>
      <c r="D317" s="68"/>
      <c r="E317" s="68"/>
      <c r="F317" s="42"/>
      <c r="G317" s="36"/>
      <c r="H317" s="36"/>
      <c r="I317" s="67"/>
      <c r="J317" s="12"/>
      <c r="K317" s="110"/>
      <c r="L317" s="107"/>
      <c r="M317" s="108"/>
      <c r="N317" s="11" t="str">
        <f t="shared" ref="N317:N380" si="10">IF(OR(M317="", K317=""),"", M317- K317)</f>
        <v/>
      </c>
      <c r="O317" s="32" t="str">
        <f t="shared" si="9"/>
        <v/>
      </c>
    </row>
    <row r="318" spans="2:15" ht="14.5" customHeight="1" x14ac:dyDescent="0.35">
      <c r="B318" s="10">
        <v>642</v>
      </c>
      <c r="C318" s="34"/>
      <c r="D318" s="68"/>
      <c r="E318" s="68"/>
      <c r="F318" s="42"/>
      <c r="G318" s="36"/>
      <c r="H318" s="36"/>
      <c r="I318" s="67"/>
      <c r="J318" s="12"/>
      <c r="K318" s="110"/>
      <c r="L318" s="107"/>
      <c r="M318" s="108"/>
      <c r="N318" s="11" t="str">
        <f t="shared" si="10"/>
        <v/>
      </c>
      <c r="O318" s="32" t="str">
        <f t="shared" ref="O318:O381" si="11">IF(OR(M318="", K318="", L318=""), "", IF((M318 - K318) &gt; L318, "No", "Yes"))</f>
        <v/>
      </c>
    </row>
    <row r="319" spans="2:15" ht="14.5" customHeight="1" x14ac:dyDescent="0.35">
      <c r="B319" s="10">
        <v>643</v>
      </c>
      <c r="C319" s="34"/>
      <c r="D319" s="68"/>
      <c r="E319" s="68"/>
      <c r="F319" s="42"/>
      <c r="G319" s="36"/>
      <c r="H319" s="36"/>
      <c r="I319" s="67"/>
      <c r="J319" s="12"/>
      <c r="K319" s="110"/>
      <c r="L319" s="107"/>
      <c r="M319" s="108"/>
      <c r="N319" s="11" t="str">
        <f t="shared" si="10"/>
        <v/>
      </c>
      <c r="O319" s="32" t="str">
        <f t="shared" si="11"/>
        <v/>
      </c>
    </row>
    <row r="320" spans="2:15" ht="14.5" customHeight="1" x14ac:dyDescent="0.35">
      <c r="B320" s="10">
        <v>644</v>
      </c>
      <c r="C320" s="34"/>
      <c r="D320" s="68"/>
      <c r="E320" s="68"/>
      <c r="F320" s="42"/>
      <c r="G320" s="36"/>
      <c r="H320" s="36"/>
      <c r="I320" s="67"/>
      <c r="J320" s="12"/>
      <c r="K320" s="110"/>
      <c r="L320" s="107"/>
      <c r="M320" s="108"/>
      <c r="N320" s="11" t="str">
        <f t="shared" si="10"/>
        <v/>
      </c>
      <c r="O320" s="32" t="str">
        <f t="shared" si="11"/>
        <v/>
      </c>
    </row>
    <row r="321" spans="2:15" ht="14.5" customHeight="1" x14ac:dyDescent="0.35">
      <c r="B321" s="10">
        <v>645</v>
      </c>
      <c r="C321" s="34"/>
      <c r="D321" s="68"/>
      <c r="E321" s="68"/>
      <c r="F321" s="42"/>
      <c r="G321" s="36"/>
      <c r="H321" s="36"/>
      <c r="I321" s="67"/>
      <c r="J321" s="12"/>
      <c r="K321" s="110"/>
      <c r="L321" s="107"/>
      <c r="M321" s="108"/>
      <c r="N321" s="11" t="str">
        <f t="shared" si="10"/>
        <v/>
      </c>
      <c r="O321" s="32" t="str">
        <f t="shared" si="11"/>
        <v/>
      </c>
    </row>
    <row r="322" spans="2:15" ht="14.5" customHeight="1" x14ac:dyDescent="0.35">
      <c r="B322" s="10">
        <v>646</v>
      </c>
      <c r="C322" s="34"/>
      <c r="D322" s="68"/>
      <c r="E322" s="68"/>
      <c r="F322" s="42"/>
      <c r="G322" s="36"/>
      <c r="H322" s="36"/>
      <c r="I322" s="67"/>
      <c r="J322" s="12"/>
      <c r="K322" s="110"/>
      <c r="L322" s="107"/>
      <c r="M322" s="108"/>
      <c r="N322" s="11" t="str">
        <f t="shared" si="10"/>
        <v/>
      </c>
      <c r="O322" s="32" t="str">
        <f t="shared" si="11"/>
        <v/>
      </c>
    </row>
    <row r="323" spans="2:15" ht="14.5" customHeight="1" x14ac:dyDescent="0.35">
      <c r="B323" s="10">
        <v>647</v>
      </c>
      <c r="C323" s="34"/>
      <c r="D323" s="68"/>
      <c r="E323" s="68"/>
      <c r="F323" s="42"/>
      <c r="G323" s="36"/>
      <c r="H323" s="36"/>
      <c r="I323" s="67"/>
      <c r="J323" s="12"/>
      <c r="K323" s="110"/>
      <c r="L323" s="107"/>
      <c r="M323" s="108"/>
      <c r="N323" s="11" t="str">
        <f t="shared" si="10"/>
        <v/>
      </c>
      <c r="O323" s="32" t="str">
        <f t="shared" si="11"/>
        <v/>
      </c>
    </row>
    <row r="324" spans="2:15" ht="14.5" customHeight="1" x14ac:dyDescent="0.35">
      <c r="B324" s="10">
        <v>648</v>
      </c>
      <c r="C324" s="34"/>
      <c r="D324" s="68"/>
      <c r="E324" s="68"/>
      <c r="F324" s="42"/>
      <c r="G324" s="36"/>
      <c r="H324" s="36"/>
      <c r="I324" s="67"/>
      <c r="J324" s="12"/>
      <c r="K324" s="110"/>
      <c r="L324" s="107"/>
      <c r="M324" s="108"/>
      <c r="N324" s="11" t="str">
        <f t="shared" si="10"/>
        <v/>
      </c>
      <c r="O324" s="32" t="str">
        <f t="shared" si="11"/>
        <v/>
      </c>
    </row>
    <row r="325" spans="2:15" ht="14.5" customHeight="1" x14ac:dyDescent="0.35">
      <c r="B325" s="10">
        <v>649</v>
      </c>
      <c r="C325" s="34"/>
      <c r="D325" s="68"/>
      <c r="E325" s="68"/>
      <c r="F325" s="42"/>
      <c r="G325" s="36"/>
      <c r="H325" s="36"/>
      <c r="I325" s="67"/>
      <c r="J325" s="12"/>
      <c r="K325" s="110"/>
      <c r="L325" s="107"/>
      <c r="M325" s="108"/>
      <c r="N325" s="11" t="str">
        <f t="shared" si="10"/>
        <v/>
      </c>
      <c r="O325" s="32" t="str">
        <f t="shared" si="11"/>
        <v/>
      </c>
    </row>
    <row r="326" spans="2:15" ht="14.5" customHeight="1" x14ac:dyDescent="0.35">
      <c r="B326" s="10">
        <v>650</v>
      </c>
      <c r="C326" s="34"/>
      <c r="D326" s="68"/>
      <c r="E326" s="68"/>
      <c r="F326" s="42"/>
      <c r="G326" s="36"/>
      <c r="H326" s="36"/>
      <c r="I326" s="67"/>
      <c r="J326" s="12"/>
      <c r="K326" s="110"/>
      <c r="L326" s="107"/>
      <c r="M326" s="108"/>
      <c r="N326" s="11" t="str">
        <f t="shared" si="10"/>
        <v/>
      </c>
      <c r="O326" s="32" t="str">
        <f t="shared" si="11"/>
        <v/>
      </c>
    </row>
    <row r="327" spans="2:15" ht="14.5" customHeight="1" x14ac:dyDescent="0.35">
      <c r="B327" s="10">
        <v>651</v>
      </c>
      <c r="C327" s="34"/>
      <c r="D327" s="68"/>
      <c r="E327" s="68"/>
      <c r="F327" s="42"/>
      <c r="G327" s="36"/>
      <c r="H327" s="36"/>
      <c r="I327" s="67"/>
      <c r="J327" s="12"/>
      <c r="K327" s="110"/>
      <c r="L327" s="107"/>
      <c r="M327" s="108"/>
      <c r="N327" s="11" t="str">
        <f t="shared" si="10"/>
        <v/>
      </c>
      <c r="O327" s="32" t="str">
        <f t="shared" si="11"/>
        <v/>
      </c>
    </row>
    <row r="328" spans="2:15" ht="14.5" customHeight="1" x14ac:dyDescent="0.35">
      <c r="B328" s="10">
        <v>652</v>
      </c>
      <c r="C328" s="34"/>
      <c r="D328" s="68"/>
      <c r="E328" s="68"/>
      <c r="F328" s="42"/>
      <c r="G328" s="36"/>
      <c r="H328" s="36"/>
      <c r="I328" s="67"/>
      <c r="J328" s="12"/>
      <c r="K328" s="110"/>
      <c r="L328" s="107"/>
      <c r="M328" s="108"/>
      <c r="N328" s="11" t="str">
        <f t="shared" si="10"/>
        <v/>
      </c>
      <c r="O328" s="32" t="str">
        <f t="shared" si="11"/>
        <v/>
      </c>
    </row>
    <row r="329" spans="2:15" ht="14.5" customHeight="1" x14ac:dyDescent="0.35">
      <c r="B329" s="10">
        <v>653</v>
      </c>
      <c r="C329" s="34"/>
      <c r="D329" s="68"/>
      <c r="E329" s="68"/>
      <c r="F329" s="42"/>
      <c r="G329" s="36"/>
      <c r="H329" s="36"/>
      <c r="I329" s="67"/>
      <c r="J329" s="12"/>
      <c r="K329" s="110"/>
      <c r="L329" s="107"/>
      <c r="M329" s="108"/>
      <c r="N329" s="11" t="str">
        <f t="shared" si="10"/>
        <v/>
      </c>
      <c r="O329" s="32" t="str">
        <f t="shared" si="11"/>
        <v/>
      </c>
    </row>
    <row r="330" spans="2:15" ht="14.5" customHeight="1" x14ac:dyDescent="0.35">
      <c r="B330" s="10">
        <v>654</v>
      </c>
      <c r="C330" s="34"/>
      <c r="D330" s="68"/>
      <c r="E330" s="68"/>
      <c r="F330" s="42"/>
      <c r="G330" s="36"/>
      <c r="H330" s="36"/>
      <c r="I330" s="67"/>
      <c r="J330" s="12"/>
      <c r="K330" s="110"/>
      <c r="L330" s="107"/>
      <c r="M330" s="108"/>
      <c r="N330" s="11" t="str">
        <f t="shared" si="10"/>
        <v/>
      </c>
      <c r="O330" s="32" t="str">
        <f t="shared" si="11"/>
        <v/>
      </c>
    </row>
    <row r="331" spans="2:15" ht="14.5" customHeight="1" x14ac:dyDescent="0.35">
      <c r="B331" s="10">
        <v>655</v>
      </c>
      <c r="C331" s="34"/>
      <c r="D331" s="68"/>
      <c r="E331" s="68"/>
      <c r="F331" s="42"/>
      <c r="G331" s="36"/>
      <c r="H331" s="36"/>
      <c r="I331" s="67"/>
      <c r="J331" s="12"/>
      <c r="K331" s="110"/>
      <c r="L331" s="107"/>
      <c r="M331" s="108"/>
      <c r="N331" s="11" t="str">
        <f t="shared" si="10"/>
        <v/>
      </c>
      <c r="O331" s="32" t="str">
        <f t="shared" si="11"/>
        <v/>
      </c>
    </row>
    <row r="332" spans="2:15" ht="14.5" customHeight="1" x14ac:dyDescent="0.35">
      <c r="B332" s="10">
        <v>656</v>
      </c>
      <c r="C332" s="34"/>
      <c r="D332" s="68"/>
      <c r="E332" s="68"/>
      <c r="F332" s="42"/>
      <c r="G332" s="36"/>
      <c r="H332" s="36"/>
      <c r="I332" s="67"/>
      <c r="J332" s="12"/>
      <c r="K332" s="110"/>
      <c r="L332" s="107"/>
      <c r="M332" s="108"/>
      <c r="N332" s="11" t="str">
        <f t="shared" si="10"/>
        <v/>
      </c>
      <c r="O332" s="32" t="str">
        <f t="shared" si="11"/>
        <v/>
      </c>
    </row>
    <row r="333" spans="2:15" ht="14.5" customHeight="1" x14ac:dyDescent="0.35">
      <c r="B333" s="10">
        <v>657</v>
      </c>
      <c r="C333" s="34"/>
      <c r="D333" s="68"/>
      <c r="E333" s="68"/>
      <c r="F333" s="42"/>
      <c r="G333" s="36"/>
      <c r="H333" s="36"/>
      <c r="I333" s="67"/>
      <c r="J333" s="12"/>
      <c r="K333" s="110"/>
      <c r="L333" s="107"/>
      <c r="M333" s="108"/>
      <c r="N333" s="11" t="str">
        <f t="shared" si="10"/>
        <v/>
      </c>
      <c r="O333" s="32" t="str">
        <f t="shared" si="11"/>
        <v/>
      </c>
    </row>
    <row r="334" spans="2:15" ht="14.5" customHeight="1" x14ac:dyDescent="0.35">
      <c r="B334" s="10">
        <v>658</v>
      </c>
      <c r="C334" s="34"/>
      <c r="D334" s="68"/>
      <c r="E334" s="68"/>
      <c r="F334" s="42"/>
      <c r="G334" s="36"/>
      <c r="H334" s="36"/>
      <c r="I334" s="67"/>
      <c r="J334" s="12"/>
      <c r="K334" s="110"/>
      <c r="L334" s="107"/>
      <c r="M334" s="108"/>
      <c r="N334" s="11" t="str">
        <f t="shared" si="10"/>
        <v/>
      </c>
      <c r="O334" s="32" t="str">
        <f t="shared" si="11"/>
        <v/>
      </c>
    </row>
    <row r="335" spans="2:15" ht="14.5" customHeight="1" x14ac:dyDescent="0.35">
      <c r="B335" s="10">
        <v>659</v>
      </c>
      <c r="C335" s="34"/>
      <c r="D335" s="68"/>
      <c r="E335" s="68"/>
      <c r="F335" s="42"/>
      <c r="G335" s="36"/>
      <c r="H335" s="36"/>
      <c r="I335" s="67"/>
      <c r="J335" s="12"/>
      <c r="K335" s="110"/>
      <c r="L335" s="107"/>
      <c r="M335" s="108"/>
      <c r="N335" s="11" t="str">
        <f t="shared" si="10"/>
        <v/>
      </c>
      <c r="O335" s="32" t="str">
        <f t="shared" si="11"/>
        <v/>
      </c>
    </row>
    <row r="336" spans="2:15" ht="14.5" customHeight="1" x14ac:dyDescent="0.35">
      <c r="B336" s="10">
        <v>660</v>
      </c>
      <c r="C336" s="34"/>
      <c r="D336" s="68"/>
      <c r="E336" s="68"/>
      <c r="F336" s="42"/>
      <c r="G336" s="36"/>
      <c r="H336" s="36"/>
      <c r="I336" s="67"/>
      <c r="J336" s="12"/>
      <c r="K336" s="110"/>
      <c r="L336" s="107"/>
      <c r="M336" s="108"/>
      <c r="N336" s="11" t="str">
        <f t="shared" si="10"/>
        <v/>
      </c>
      <c r="O336" s="32" t="str">
        <f t="shared" si="11"/>
        <v/>
      </c>
    </row>
    <row r="337" spans="2:15" ht="14.5" customHeight="1" x14ac:dyDescent="0.35">
      <c r="B337" s="10">
        <v>661</v>
      </c>
      <c r="C337" s="34"/>
      <c r="D337" s="68"/>
      <c r="E337" s="68"/>
      <c r="F337" s="42"/>
      <c r="G337" s="36"/>
      <c r="H337" s="36"/>
      <c r="I337" s="67"/>
      <c r="J337" s="12"/>
      <c r="K337" s="110"/>
      <c r="L337" s="107"/>
      <c r="M337" s="108"/>
      <c r="N337" s="11" t="str">
        <f t="shared" si="10"/>
        <v/>
      </c>
      <c r="O337" s="32" t="str">
        <f t="shared" si="11"/>
        <v/>
      </c>
    </row>
    <row r="338" spans="2:15" ht="14.5" customHeight="1" x14ac:dyDescent="0.35">
      <c r="B338" s="10">
        <v>662</v>
      </c>
      <c r="C338" s="34"/>
      <c r="D338" s="68"/>
      <c r="E338" s="68"/>
      <c r="F338" s="42"/>
      <c r="G338" s="36"/>
      <c r="H338" s="36"/>
      <c r="I338" s="67"/>
      <c r="J338" s="12"/>
      <c r="K338" s="110"/>
      <c r="L338" s="107"/>
      <c r="M338" s="108"/>
      <c r="N338" s="11" t="str">
        <f t="shared" si="10"/>
        <v/>
      </c>
      <c r="O338" s="32" t="str">
        <f t="shared" si="11"/>
        <v/>
      </c>
    </row>
    <row r="339" spans="2:15" ht="14.5" customHeight="1" x14ac:dyDescent="0.35">
      <c r="B339" s="10">
        <v>663</v>
      </c>
      <c r="C339" s="34"/>
      <c r="D339" s="68"/>
      <c r="E339" s="68"/>
      <c r="F339" s="42"/>
      <c r="G339" s="36"/>
      <c r="H339" s="36"/>
      <c r="I339" s="67"/>
      <c r="J339" s="12"/>
      <c r="K339" s="110"/>
      <c r="L339" s="107"/>
      <c r="M339" s="108"/>
      <c r="N339" s="11" t="str">
        <f t="shared" si="10"/>
        <v/>
      </c>
      <c r="O339" s="32" t="str">
        <f t="shared" si="11"/>
        <v/>
      </c>
    </row>
    <row r="340" spans="2:15" ht="14.5" customHeight="1" x14ac:dyDescent="0.35">
      <c r="B340" s="10">
        <v>664</v>
      </c>
      <c r="C340" s="34"/>
      <c r="D340" s="68"/>
      <c r="E340" s="68"/>
      <c r="F340" s="42"/>
      <c r="G340" s="36"/>
      <c r="H340" s="36"/>
      <c r="I340" s="67"/>
      <c r="J340" s="12"/>
      <c r="K340" s="110"/>
      <c r="L340" s="107"/>
      <c r="M340" s="108"/>
      <c r="N340" s="11" t="str">
        <f t="shared" si="10"/>
        <v/>
      </c>
      <c r="O340" s="32" t="str">
        <f t="shared" si="11"/>
        <v/>
      </c>
    </row>
    <row r="341" spans="2:15" ht="14.5" customHeight="1" x14ac:dyDescent="0.35">
      <c r="B341" s="10">
        <v>665</v>
      </c>
      <c r="C341" s="34"/>
      <c r="D341" s="68"/>
      <c r="E341" s="68"/>
      <c r="F341" s="42"/>
      <c r="G341" s="36"/>
      <c r="H341" s="36"/>
      <c r="I341" s="67"/>
      <c r="J341" s="12"/>
      <c r="K341" s="110"/>
      <c r="L341" s="107"/>
      <c r="M341" s="108"/>
      <c r="N341" s="11" t="str">
        <f t="shared" si="10"/>
        <v/>
      </c>
      <c r="O341" s="32" t="str">
        <f t="shared" si="11"/>
        <v/>
      </c>
    </row>
    <row r="342" spans="2:15" ht="14.5" customHeight="1" x14ac:dyDescent="0.35">
      <c r="B342" s="10">
        <v>666</v>
      </c>
      <c r="C342" s="34"/>
      <c r="D342" s="68"/>
      <c r="E342" s="68"/>
      <c r="F342" s="42"/>
      <c r="G342" s="36"/>
      <c r="H342" s="36"/>
      <c r="I342" s="67"/>
      <c r="J342" s="12"/>
      <c r="K342" s="110"/>
      <c r="L342" s="107"/>
      <c r="M342" s="108"/>
      <c r="N342" s="11" t="str">
        <f t="shared" si="10"/>
        <v/>
      </c>
      <c r="O342" s="32" t="str">
        <f t="shared" si="11"/>
        <v/>
      </c>
    </row>
    <row r="343" spans="2:15" ht="14.5" customHeight="1" x14ac:dyDescent="0.35">
      <c r="B343" s="10">
        <v>667</v>
      </c>
      <c r="C343" s="34"/>
      <c r="D343" s="68"/>
      <c r="E343" s="68"/>
      <c r="F343" s="42"/>
      <c r="G343" s="36"/>
      <c r="H343" s="36"/>
      <c r="I343" s="68"/>
      <c r="J343" s="12"/>
      <c r="K343" s="110"/>
      <c r="L343" s="107"/>
      <c r="M343" s="108"/>
      <c r="N343" s="11" t="str">
        <f t="shared" si="10"/>
        <v/>
      </c>
      <c r="O343" s="32" t="str">
        <f t="shared" si="11"/>
        <v/>
      </c>
    </row>
    <row r="344" spans="2:15" ht="14.5" customHeight="1" x14ac:dyDescent="0.35">
      <c r="B344" s="10">
        <v>668</v>
      </c>
      <c r="C344" s="34"/>
      <c r="D344" s="68"/>
      <c r="E344" s="68"/>
      <c r="F344" s="42"/>
      <c r="G344" s="36"/>
      <c r="H344" s="36"/>
      <c r="I344" s="68"/>
      <c r="J344" s="12"/>
      <c r="K344" s="110"/>
      <c r="L344" s="107"/>
      <c r="M344" s="108"/>
      <c r="N344" s="11" t="str">
        <f t="shared" si="10"/>
        <v/>
      </c>
      <c r="O344" s="32" t="str">
        <f t="shared" si="11"/>
        <v/>
      </c>
    </row>
    <row r="345" spans="2:15" ht="14.5" customHeight="1" x14ac:dyDescent="0.35">
      <c r="B345" s="10">
        <v>669</v>
      </c>
      <c r="C345" s="34"/>
      <c r="D345" s="68"/>
      <c r="E345" s="68"/>
      <c r="F345" s="42"/>
      <c r="G345" s="36"/>
      <c r="H345" s="36"/>
      <c r="I345" s="68"/>
      <c r="J345" s="12"/>
      <c r="K345" s="110"/>
      <c r="L345" s="107"/>
      <c r="M345" s="108"/>
      <c r="N345" s="11" t="str">
        <f t="shared" si="10"/>
        <v/>
      </c>
      <c r="O345" s="32" t="str">
        <f t="shared" si="11"/>
        <v/>
      </c>
    </row>
    <row r="346" spans="2:15" ht="14.5" customHeight="1" x14ac:dyDescent="0.35">
      <c r="B346" s="10">
        <v>670</v>
      </c>
      <c r="C346" s="34"/>
      <c r="D346" s="68"/>
      <c r="E346" s="68"/>
      <c r="F346" s="42"/>
      <c r="G346" s="36"/>
      <c r="H346" s="36"/>
      <c r="I346" s="68"/>
      <c r="J346" s="12"/>
      <c r="K346" s="110"/>
      <c r="L346" s="107"/>
      <c r="M346" s="108"/>
      <c r="N346" s="11" t="str">
        <f t="shared" si="10"/>
        <v/>
      </c>
      <c r="O346" s="32" t="str">
        <f t="shared" si="11"/>
        <v/>
      </c>
    </row>
    <row r="347" spans="2:15" ht="14.5" customHeight="1" x14ac:dyDescent="0.35">
      <c r="B347" s="10">
        <v>671</v>
      </c>
      <c r="C347" s="34"/>
      <c r="D347" s="68"/>
      <c r="E347" s="68"/>
      <c r="F347" s="42"/>
      <c r="G347" s="36"/>
      <c r="H347" s="36"/>
      <c r="I347" s="67"/>
      <c r="J347" s="12"/>
      <c r="K347" s="110"/>
      <c r="L347" s="107"/>
      <c r="M347" s="108"/>
      <c r="N347" s="11" t="str">
        <f t="shared" si="10"/>
        <v/>
      </c>
      <c r="O347" s="32" t="str">
        <f t="shared" si="11"/>
        <v/>
      </c>
    </row>
    <row r="348" spans="2:15" ht="14.5" customHeight="1" x14ac:dyDescent="0.35">
      <c r="B348" s="10">
        <v>672</v>
      </c>
      <c r="C348" s="34"/>
      <c r="D348" s="68"/>
      <c r="E348" s="68"/>
      <c r="F348" s="42"/>
      <c r="G348" s="36"/>
      <c r="H348" s="36"/>
      <c r="I348" s="67"/>
      <c r="J348" s="12"/>
      <c r="K348" s="110"/>
      <c r="L348" s="107"/>
      <c r="M348" s="108"/>
      <c r="N348" s="11" t="str">
        <f t="shared" si="10"/>
        <v/>
      </c>
      <c r="O348" s="32" t="str">
        <f t="shared" si="11"/>
        <v/>
      </c>
    </row>
    <row r="349" spans="2:15" ht="14.5" customHeight="1" x14ac:dyDescent="0.35">
      <c r="B349" s="10">
        <v>673</v>
      </c>
      <c r="C349" s="34"/>
      <c r="D349" s="68"/>
      <c r="E349" s="68"/>
      <c r="F349" s="42"/>
      <c r="G349" s="36"/>
      <c r="H349" s="36"/>
      <c r="I349" s="67"/>
      <c r="J349" s="12"/>
      <c r="K349" s="110"/>
      <c r="L349" s="107"/>
      <c r="M349" s="108"/>
      <c r="N349" s="11" t="str">
        <f t="shared" si="10"/>
        <v/>
      </c>
      <c r="O349" s="32" t="str">
        <f t="shared" si="11"/>
        <v/>
      </c>
    </row>
    <row r="350" spans="2:15" ht="14.5" customHeight="1" x14ac:dyDescent="0.35">
      <c r="B350" s="10">
        <v>674</v>
      </c>
      <c r="C350" s="34"/>
      <c r="D350" s="68"/>
      <c r="E350" s="68"/>
      <c r="F350" s="42"/>
      <c r="G350" s="36"/>
      <c r="H350" s="36"/>
      <c r="I350" s="67"/>
      <c r="J350" s="12"/>
      <c r="K350" s="110"/>
      <c r="L350" s="107"/>
      <c r="M350" s="108"/>
      <c r="N350" s="11" t="str">
        <f t="shared" si="10"/>
        <v/>
      </c>
      <c r="O350" s="32" t="str">
        <f t="shared" si="11"/>
        <v/>
      </c>
    </row>
    <row r="351" spans="2:15" ht="14.5" customHeight="1" x14ac:dyDescent="0.35">
      <c r="B351" s="10">
        <v>675</v>
      </c>
      <c r="C351" s="34"/>
      <c r="D351" s="68"/>
      <c r="E351" s="68"/>
      <c r="F351" s="42"/>
      <c r="G351" s="36"/>
      <c r="H351" s="36"/>
      <c r="I351" s="67"/>
      <c r="J351" s="12"/>
      <c r="K351" s="110"/>
      <c r="L351" s="107"/>
      <c r="M351" s="108"/>
      <c r="N351" s="11" t="str">
        <f t="shared" si="10"/>
        <v/>
      </c>
      <c r="O351" s="32" t="str">
        <f t="shared" si="11"/>
        <v/>
      </c>
    </row>
    <row r="352" spans="2:15" ht="14.5" customHeight="1" x14ac:dyDescent="0.35">
      <c r="B352" s="10">
        <v>676</v>
      </c>
      <c r="C352" s="34"/>
      <c r="D352" s="68"/>
      <c r="E352" s="68"/>
      <c r="F352" s="42"/>
      <c r="G352" s="36"/>
      <c r="H352" s="36"/>
      <c r="I352" s="67"/>
      <c r="J352" s="12"/>
      <c r="K352" s="110"/>
      <c r="L352" s="107"/>
      <c r="M352" s="108"/>
      <c r="N352" s="11" t="str">
        <f t="shared" si="10"/>
        <v/>
      </c>
      <c r="O352" s="32" t="str">
        <f t="shared" si="11"/>
        <v/>
      </c>
    </row>
    <row r="353" spans="2:15" ht="14.5" customHeight="1" x14ac:dyDescent="0.35">
      <c r="B353" s="10">
        <v>677</v>
      </c>
      <c r="C353" s="34"/>
      <c r="D353" s="68"/>
      <c r="E353" s="68"/>
      <c r="F353" s="42"/>
      <c r="G353" s="36"/>
      <c r="H353" s="36"/>
      <c r="I353" s="67"/>
      <c r="J353" s="12"/>
      <c r="K353" s="110"/>
      <c r="L353" s="107"/>
      <c r="M353" s="108"/>
      <c r="N353" s="11" t="str">
        <f t="shared" si="10"/>
        <v/>
      </c>
      <c r="O353" s="32" t="str">
        <f t="shared" si="11"/>
        <v/>
      </c>
    </row>
    <row r="354" spans="2:15" ht="14.5" customHeight="1" x14ac:dyDescent="0.35">
      <c r="B354" s="10">
        <v>678</v>
      </c>
      <c r="C354" s="34"/>
      <c r="D354" s="68"/>
      <c r="E354" s="68"/>
      <c r="F354" s="42"/>
      <c r="G354" s="36"/>
      <c r="H354" s="36"/>
      <c r="I354" s="67"/>
      <c r="J354" s="12"/>
      <c r="K354" s="110"/>
      <c r="L354" s="107"/>
      <c r="M354" s="108"/>
      <c r="N354" s="11" t="str">
        <f t="shared" si="10"/>
        <v/>
      </c>
      <c r="O354" s="32" t="str">
        <f t="shared" si="11"/>
        <v/>
      </c>
    </row>
    <row r="355" spans="2:15" ht="14.5" customHeight="1" x14ac:dyDescent="0.35">
      <c r="B355" s="10">
        <v>679</v>
      </c>
      <c r="C355" s="34"/>
      <c r="D355" s="68"/>
      <c r="E355" s="68"/>
      <c r="F355" s="42"/>
      <c r="G355" s="36"/>
      <c r="H355" s="36"/>
      <c r="I355" s="67"/>
      <c r="J355" s="12"/>
      <c r="K355" s="110"/>
      <c r="L355" s="107"/>
      <c r="M355" s="108"/>
      <c r="N355" s="11" t="str">
        <f t="shared" si="10"/>
        <v/>
      </c>
      <c r="O355" s="32" t="str">
        <f t="shared" si="11"/>
        <v/>
      </c>
    </row>
    <row r="356" spans="2:15" ht="14.5" customHeight="1" x14ac:dyDescent="0.35">
      <c r="B356" s="10">
        <v>680</v>
      </c>
      <c r="C356" s="34"/>
      <c r="D356" s="68"/>
      <c r="E356" s="68"/>
      <c r="F356" s="42"/>
      <c r="G356" s="36"/>
      <c r="H356" s="36"/>
      <c r="I356" s="67"/>
      <c r="J356" s="12"/>
      <c r="K356" s="110"/>
      <c r="L356" s="107"/>
      <c r="M356" s="108"/>
      <c r="N356" s="11" t="str">
        <f t="shared" si="10"/>
        <v/>
      </c>
      <c r="O356" s="32" t="str">
        <f t="shared" si="11"/>
        <v/>
      </c>
    </row>
    <row r="357" spans="2:15" ht="14.5" customHeight="1" x14ac:dyDescent="0.35">
      <c r="B357" s="10">
        <v>681</v>
      </c>
      <c r="C357" s="34"/>
      <c r="D357" s="68"/>
      <c r="E357" s="68"/>
      <c r="F357" s="42"/>
      <c r="G357" s="36"/>
      <c r="H357" s="36"/>
      <c r="I357" s="67"/>
      <c r="J357" s="12"/>
      <c r="K357" s="110"/>
      <c r="L357" s="107"/>
      <c r="M357" s="108"/>
      <c r="N357" s="11" t="str">
        <f t="shared" si="10"/>
        <v/>
      </c>
      <c r="O357" s="32" t="str">
        <f t="shared" si="11"/>
        <v/>
      </c>
    </row>
    <row r="358" spans="2:15" ht="14.5" customHeight="1" x14ac:dyDescent="0.35">
      <c r="B358" s="10">
        <v>682</v>
      </c>
      <c r="C358" s="34"/>
      <c r="D358" s="68"/>
      <c r="E358" s="68"/>
      <c r="F358" s="42"/>
      <c r="G358" s="36"/>
      <c r="H358" s="36"/>
      <c r="I358" s="67"/>
      <c r="J358" s="12"/>
      <c r="K358" s="110"/>
      <c r="L358" s="107"/>
      <c r="M358" s="108"/>
      <c r="N358" s="11" t="str">
        <f t="shared" si="10"/>
        <v/>
      </c>
      <c r="O358" s="32" t="str">
        <f t="shared" si="11"/>
        <v/>
      </c>
    </row>
    <row r="359" spans="2:15" ht="14.5" customHeight="1" x14ac:dyDescent="0.35">
      <c r="B359" s="10">
        <v>683</v>
      </c>
      <c r="C359" s="34"/>
      <c r="D359" s="68"/>
      <c r="E359" s="68"/>
      <c r="F359" s="42"/>
      <c r="G359" s="36"/>
      <c r="H359" s="36"/>
      <c r="I359" s="67"/>
      <c r="J359" s="12"/>
      <c r="K359" s="110"/>
      <c r="L359" s="107"/>
      <c r="M359" s="108"/>
      <c r="N359" s="11" t="str">
        <f t="shared" si="10"/>
        <v/>
      </c>
      <c r="O359" s="32" t="str">
        <f t="shared" si="11"/>
        <v/>
      </c>
    </row>
    <row r="360" spans="2:15" ht="14.5" customHeight="1" x14ac:dyDescent="0.35">
      <c r="B360" s="10">
        <v>684</v>
      </c>
      <c r="C360" s="34"/>
      <c r="D360" s="68"/>
      <c r="E360" s="68"/>
      <c r="F360" s="42"/>
      <c r="G360" s="36"/>
      <c r="H360" s="36"/>
      <c r="I360" s="67"/>
      <c r="J360" s="12"/>
      <c r="K360" s="110"/>
      <c r="L360" s="107"/>
      <c r="M360" s="108"/>
      <c r="N360" s="11" t="str">
        <f t="shared" si="10"/>
        <v/>
      </c>
      <c r="O360" s="32" t="str">
        <f t="shared" si="11"/>
        <v/>
      </c>
    </row>
    <row r="361" spans="2:15" ht="14.5" customHeight="1" x14ac:dyDescent="0.35">
      <c r="B361" s="10">
        <v>685</v>
      </c>
      <c r="C361" s="34"/>
      <c r="D361" s="68"/>
      <c r="E361" s="68"/>
      <c r="F361" s="42"/>
      <c r="G361" s="36"/>
      <c r="H361" s="36"/>
      <c r="I361" s="67"/>
      <c r="J361" s="12"/>
      <c r="K361" s="110"/>
      <c r="L361" s="107"/>
      <c r="M361" s="108"/>
      <c r="N361" s="11" t="str">
        <f t="shared" si="10"/>
        <v/>
      </c>
      <c r="O361" s="32" t="str">
        <f t="shared" si="11"/>
        <v/>
      </c>
    </row>
    <row r="362" spans="2:15" ht="14.5" customHeight="1" x14ac:dyDescent="0.35">
      <c r="B362" s="10">
        <v>686</v>
      </c>
      <c r="C362" s="34"/>
      <c r="D362" s="68"/>
      <c r="E362" s="68"/>
      <c r="F362" s="42"/>
      <c r="G362" s="36"/>
      <c r="H362" s="36"/>
      <c r="I362" s="67"/>
      <c r="J362" s="12"/>
      <c r="K362" s="110"/>
      <c r="L362" s="107"/>
      <c r="M362" s="108"/>
      <c r="N362" s="11" t="str">
        <f t="shared" si="10"/>
        <v/>
      </c>
      <c r="O362" s="32" t="str">
        <f t="shared" si="11"/>
        <v/>
      </c>
    </row>
    <row r="363" spans="2:15" ht="14.5" customHeight="1" x14ac:dyDescent="0.35">
      <c r="B363" s="10">
        <v>687</v>
      </c>
      <c r="C363" s="34"/>
      <c r="D363" s="68"/>
      <c r="E363" s="68"/>
      <c r="F363" s="42"/>
      <c r="G363" s="36"/>
      <c r="H363" s="36"/>
      <c r="I363" s="67"/>
      <c r="J363" s="12"/>
      <c r="K363" s="110"/>
      <c r="L363" s="107"/>
      <c r="M363" s="108"/>
      <c r="N363" s="11" t="str">
        <f t="shared" si="10"/>
        <v/>
      </c>
      <c r="O363" s="32" t="str">
        <f t="shared" si="11"/>
        <v/>
      </c>
    </row>
    <row r="364" spans="2:15" ht="14.5" customHeight="1" x14ac:dyDescent="0.35">
      <c r="B364" s="10">
        <v>688</v>
      </c>
      <c r="C364" s="34"/>
      <c r="D364" s="68"/>
      <c r="E364" s="68"/>
      <c r="F364" s="42"/>
      <c r="G364" s="36"/>
      <c r="H364" s="36"/>
      <c r="I364" s="67"/>
      <c r="J364" s="12"/>
      <c r="K364" s="110"/>
      <c r="L364" s="107"/>
      <c r="M364" s="108"/>
      <c r="N364" s="11" t="str">
        <f t="shared" si="10"/>
        <v/>
      </c>
      <c r="O364" s="32" t="str">
        <f t="shared" si="11"/>
        <v/>
      </c>
    </row>
    <row r="365" spans="2:15" ht="14.5" customHeight="1" x14ac:dyDescent="0.35">
      <c r="B365" s="10">
        <v>689</v>
      </c>
      <c r="C365" s="34"/>
      <c r="D365" s="68"/>
      <c r="E365" s="68"/>
      <c r="F365" s="42"/>
      <c r="G365" s="36"/>
      <c r="H365" s="36"/>
      <c r="I365" s="67"/>
      <c r="J365" s="12"/>
      <c r="K365" s="110"/>
      <c r="L365" s="107"/>
      <c r="M365" s="108"/>
      <c r="N365" s="11" t="str">
        <f t="shared" si="10"/>
        <v/>
      </c>
      <c r="O365" s="32" t="str">
        <f t="shared" si="11"/>
        <v/>
      </c>
    </row>
    <row r="366" spans="2:15" ht="14.5" customHeight="1" x14ac:dyDescent="0.35">
      <c r="B366" s="10">
        <v>690</v>
      </c>
      <c r="C366" s="34"/>
      <c r="D366" s="68"/>
      <c r="E366" s="68"/>
      <c r="F366" s="42"/>
      <c r="G366" s="36"/>
      <c r="H366" s="36"/>
      <c r="I366" s="67"/>
      <c r="J366" s="12"/>
      <c r="K366" s="110"/>
      <c r="L366" s="107"/>
      <c r="M366" s="108"/>
      <c r="N366" s="11" t="str">
        <f t="shared" si="10"/>
        <v/>
      </c>
      <c r="O366" s="32" t="str">
        <f t="shared" si="11"/>
        <v/>
      </c>
    </row>
    <row r="367" spans="2:15" ht="14.5" customHeight="1" x14ac:dyDescent="0.35">
      <c r="B367" s="10">
        <v>691</v>
      </c>
      <c r="C367" s="34"/>
      <c r="D367" s="68"/>
      <c r="E367" s="68"/>
      <c r="F367" s="42"/>
      <c r="G367" s="36"/>
      <c r="H367" s="36"/>
      <c r="I367" s="67"/>
      <c r="J367" s="12"/>
      <c r="K367" s="110"/>
      <c r="L367" s="107"/>
      <c r="M367" s="108"/>
      <c r="N367" s="11" t="str">
        <f t="shared" si="10"/>
        <v/>
      </c>
      <c r="O367" s="32" t="str">
        <f t="shared" si="11"/>
        <v/>
      </c>
    </row>
    <row r="368" spans="2:15" ht="14.5" customHeight="1" x14ac:dyDescent="0.35">
      <c r="B368" s="10">
        <v>692</v>
      </c>
      <c r="C368" s="34"/>
      <c r="D368" s="68"/>
      <c r="E368" s="68"/>
      <c r="F368" s="42"/>
      <c r="G368" s="36"/>
      <c r="H368" s="36"/>
      <c r="I368" s="67"/>
      <c r="J368" s="12"/>
      <c r="K368" s="110"/>
      <c r="L368" s="107"/>
      <c r="M368" s="108"/>
      <c r="N368" s="11" t="str">
        <f t="shared" si="10"/>
        <v/>
      </c>
      <c r="O368" s="32" t="str">
        <f t="shared" si="11"/>
        <v/>
      </c>
    </row>
    <row r="369" spans="2:15" ht="14.5" customHeight="1" x14ac:dyDescent="0.35">
      <c r="B369" s="10">
        <v>693</v>
      </c>
      <c r="C369" s="34"/>
      <c r="D369" s="68"/>
      <c r="E369" s="68"/>
      <c r="F369" s="42"/>
      <c r="G369" s="36"/>
      <c r="H369" s="36"/>
      <c r="I369" s="67"/>
      <c r="J369" s="12"/>
      <c r="K369" s="110"/>
      <c r="L369" s="107"/>
      <c r="M369" s="108"/>
      <c r="N369" s="11" t="str">
        <f t="shared" si="10"/>
        <v/>
      </c>
      <c r="O369" s="32" t="str">
        <f t="shared" si="11"/>
        <v/>
      </c>
    </row>
    <row r="370" spans="2:15" ht="14.5" customHeight="1" x14ac:dyDescent="0.35">
      <c r="B370" s="10">
        <v>694</v>
      </c>
      <c r="C370" s="34"/>
      <c r="D370" s="68"/>
      <c r="E370" s="68"/>
      <c r="F370" s="42"/>
      <c r="G370" s="36"/>
      <c r="H370" s="36"/>
      <c r="I370" s="67"/>
      <c r="J370" s="12"/>
      <c r="K370" s="110"/>
      <c r="L370" s="107"/>
      <c r="M370" s="108"/>
      <c r="N370" s="11" t="str">
        <f t="shared" si="10"/>
        <v/>
      </c>
      <c r="O370" s="32" t="str">
        <f t="shared" si="11"/>
        <v/>
      </c>
    </row>
    <row r="371" spans="2:15" ht="14.5" customHeight="1" x14ac:dyDescent="0.35">
      <c r="B371" s="10">
        <v>695</v>
      </c>
      <c r="C371" s="34"/>
      <c r="D371" s="68"/>
      <c r="E371" s="68"/>
      <c r="F371" s="42"/>
      <c r="G371" s="36"/>
      <c r="H371" s="36"/>
      <c r="I371" s="67"/>
      <c r="J371" s="12"/>
      <c r="K371" s="110"/>
      <c r="L371" s="107"/>
      <c r="M371" s="108"/>
      <c r="N371" s="11" t="str">
        <f t="shared" si="10"/>
        <v/>
      </c>
      <c r="O371" s="32" t="str">
        <f t="shared" si="11"/>
        <v/>
      </c>
    </row>
    <row r="372" spans="2:15" ht="14.5" customHeight="1" x14ac:dyDescent="0.35">
      <c r="B372" s="10">
        <v>696</v>
      </c>
      <c r="C372" s="34"/>
      <c r="D372" s="68"/>
      <c r="E372" s="68"/>
      <c r="F372" s="42"/>
      <c r="G372" s="36"/>
      <c r="H372" s="36"/>
      <c r="I372" s="67"/>
      <c r="J372" s="12"/>
      <c r="K372" s="110"/>
      <c r="L372" s="107"/>
      <c r="M372" s="108"/>
      <c r="N372" s="11" t="str">
        <f t="shared" si="10"/>
        <v/>
      </c>
      <c r="O372" s="32" t="str">
        <f t="shared" si="11"/>
        <v/>
      </c>
    </row>
    <row r="373" spans="2:15" ht="14.5" customHeight="1" x14ac:dyDescent="0.35">
      <c r="B373" s="10">
        <v>697</v>
      </c>
      <c r="C373" s="34"/>
      <c r="D373" s="68"/>
      <c r="E373" s="68"/>
      <c r="F373" s="42"/>
      <c r="G373" s="36"/>
      <c r="H373" s="36"/>
      <c r="I373" s="67"/>
      <c r="J373" s="12"/>
      <c r="K373" s="110"/>
      <c r="L373" s="107"/>
      <c r="M373" s="108"/>
      <c r="N373" s="11" t="str">
        <f t="shared" si="10"/>
        <v/>
      </c>
      <c r="O373" s="32" t="str">
        <f t="shared" si="11"/>
        <v/>
      </c>
    </row>
    <row r="374" spans="2:15" ht="14.5" customHeight="1" x14ac:dyDescent="0.35">
      <c r="B374" s="10">
        <v>698</v>
      </c>
      <c r="C374" s="34"/>
      <c r="D374" s="68"/>
      <c r="E374" s="68"/>
      <c r="F374" s="42"/>
      <c r="G374" s="36"/>
      <c r="H374" s="36"/>
      <c r="I374" s="67"/>
      <c r="J374" s="12"/>
      <c r="K374" s="110"/>
      <c r="L374" s="107"/>
      <c r="M374" s="108"/>
      <c r="N374" s="11" t="str">
        <f t="shared" si="10"/>
        <v/>
      </c>
      <c r="O374" s="32" t="str">
        <f t="shared" si="11"/>
        <v/>
      </c>
    </row>
    <row r="375" spans="2:15" ht="14.5" customHeight="1" x14ac:dyDescent="0.35">
      <c r="B375" s="10">
        <v>699</v>
      </c>
      <c r="C375" s="34"/>
      <c r="D375" s="68"/>
      <c r="E375" s="68"/>
      <c r="F375" s="42"/>
      <c r="G375" s="36"/>
      <c r="H375" s="36"/>
      <c r="I375" s="67"/>
      <c r="J375" s="12"/>
      <c r="K375" s="110"/>
      <c r="L375" s="107"/>
      <c r="M375" s="108"/>
      <c r="N375" s="11" t="str">
        <f t="shared" si="10"/>
        <v/>
      </c>
      <c r="O375" s="32" t="str">
        <f t="shared" si="11"/>
        <v/>
      </c>
    </row>
    <row r="376" spans="2:15" ht="14.5" customHeight="1" x14ac:dyDescent="0.35">
      <c r="B376" s="10">
        <v>700</v>
      </c>
      <c r="C376" s="34"/>
      <c r="D376" s="68"/>
      <c r="E376" s="68"/>
      <c r="F376" s="42"/>
      <c r="G376" s="36"/>
      <c r="H376" s="36"/>
      <c r="I376" s="67"/>
      <c r="J376" s="12"/>
      <c r="K376" s="110"/>
      <c r="L376" s="107"/>
      <c r="M376" s="108"/>
      <c r="N376" s="11" t="str">
        <f t="shared" si="10"/>
        <v/>
      </c>
      <c r="O376" s="32" t="str">
        <f t="shared" si="11"/>
        <v/>
      </c>
    </row>
    <row r="377" spans="2:15" ht="26.5" customHeight="1" x14ac:dyDescent="0.35">
      <c r="B377" s="10">
        <v>701</v>
      </c>
      <c r="C377" s="34"/>
      <c r="D377" s="68"/>
      <c r="E377" s="68"/>
      <c r="F377" s="42"/>
      <c r="G377" s="36"/>
      <c r="H377" s="36"/>
      <c r="I377" s="67"/>
      <c r="J377" s="12"/>
      <c r="K377" s="110"/>
      <c r="L377" s="107"/>
      <c r="M377" s="108"/>
      <c r="N377" s="11" t="str">
        <f t="shared" si="10"/>
        <v/>
      </c>
      <c r="O377" s="32" t="str">
        <f t="shared" si="11"/>
        <v/>
      </c>
    </row>
    <row r="378" spans="2:15" ht="14.5" customHeight="1" x14ac:dyDescent="0.35">
      <c r="B378" s="10">
        <v>702</v>
      </c>
      <c r="C378" s="34"/>
      <c r="D378" s="68"/>
      <c r="E378" s="68"/>
      <c r="F378" s="42"/>
      <c r="G378" s="36"/>
      <c r="H378" s="36"/>
      <c r="I378" s="67"/>
      <c r="J378" s="12"/>
      <c r="K378" s="110"/>
      <c r="L378" s="107"/>
      <c r="M378" s="108"/>
      <c r="N378" s="11" t="str">
        <f t="shared" si="10"/>
        <v/>
      </c>
      <c r="O378" s="32" t="str">
        <f t="shared" si="11"/>
        <v/>
      </c>
    </row>
    <row r="379" spans="2:15" ht="14.5" customHeight="1" x14ac:dyDescent="0.35">
      <c r="B379" s="10">
        <v>703</v>
      </c>
      <c r="C379" s="34"/>
      <c r="D379" s="68"/>
      <c r="E379" s="68"/>
      <c r="F379" s="42"/>
      <c r="G379" s="36"/>
      <c r="H379" s="36"/>
      <c r="I379" s="67"/>
      <c r="J379" s="12"/>
      <c r="K379" s="110"/>
      <c r="L379" s="107"/>
      <c r="M379" s="108"/>
      <c r="N379" s="11" t="str">
        <f t="shared" si="10"/>
        <v/>
      </c>
      <c r="O379" s="32" t="str">
        <f t="shared" si="11"/>
        <v/>
      </c>
    </row>
    <row r="380" spans="2:15" ht="14.5" customHeight="1" x14ac:dyDescent="0.35">
      <c r="B380" s="10">
        <v>704</v>
      </c>
      <c r="C380" s="34"/>
      <c r="D380" s="68"/>
      <c r="E380" s="68"/>
      <c r="F380" s="42"/>
      <c r="G380" s="36"/>
      <c r="H380" s="36"/>
      <c r="I380" s="67"/>
      <c r="J380" s="12"/>
      <c r="K380" s="110"/>
      <c r="L380" s="107"/>
      <c r="M380" s="108"/>
      <c r="N380" s="11" t="str">
        <f t="shared" si="10"/>
        <v/>
      </c>
      <c r="O380" s="32" t="str">
        <f t="shared" si="11"/>
        <v/>
      </c>
    </row>
    <row r="381" spans="2:15" ht="14.5" customHeight="1" x14ac:dyDescent="0.35">
      <c r="B381" s="10">
        <v>705</v>
      </c>
      <c r="C381" s="34"/>
      <c r="D381" s="68"/>
      <c r="E381" s="68"/>
      <c r="F381" s="42"/>
      <c r="G381" s="36"/>
      <c r="H381" s="36"/>
      <c r="I381" s="67"/>
      <c r="J381" s="12"/>
      <c r="K381" s="110"/>
      <c r="L381" s="107"/>
      <c r="M381" s="108"/>
      <c r="N381" s="11" t="str">
        <f t="shared" ref="N381:N444" si="12">IF(OR(M381="", K381=""),"", M381- K381)</f>
        <v/>
      </c>
      <c r="O381" s="32" t="str">
        <f t="shared" si="11"/>
        <v/>
      </c>
    </row>
    <row r="382" spans="2:15" ht="14.5" customHeight="1" x14ac:dyDescent="0.35">
      <c r="B382" s="10">
        <v>706</v>
      </c>
      <c r="C382" s="34"/>
      <c r="D382" s="68"/>
      <c r="E382" s="68"/>
      <c r="F382" s="42"/>
      <c r="G382" s="36"/>
      <c r="H382" s="36"/>
      <c r="I382" s="67"/>
      <c r="J382" s="12"/>
      <c r="K382" s="110"/>
      <c r="L382" s="107"/>
      <c r="M382" s="108"/>
      <c r="N382" s="11" t="str">
        <f t="shared" si="12"/>
        <v/>
      </c>
      <c r="O382" s="32" t="str">
        <f t="shared" ref="O382:O445" si="13">IF(OR(M382="", K382="", L382=""), "", IF((M382 - K382) &gt; L382, "No", "Yes"))</f>
        <v/>
      </c>
    </row>
    <row r="383" spans="2:15" ht="14.5" customHeight="1" x14ac:dyDescent="0.35">
      <c r="B383" s="10">
        <v>707</v>
      </c>
      <c r="C383" s="34"/>
      <c r="D383" s="68"/>
      <c r="E383" s="68"/>
      <c r="F383" s="42"/>
      <c r="G383" s="36"/>
      <c r="H383" s="36"/>
      <c r="I383" s="67"/>
      <c r="J383" s="12"/>
      <c r="K383" s="110"/>
      <c r="L383" s="107"/>
      <c r="M383" s="108"/>
      <c r="N383" s="11" t="str">
        <f t="shared" si="12"/>
        <v/>
      </c>
      <c r="O383" s="32" t="str">
        <f t="shared" si="13"/>
        <v/>
      </c>
    </row>
    <row r="384" spans="2:15" ht="14.5" customHeight="1" x14ac:dyDescent="0.35">
      <c r="B384" s="10">
        <v>708</v>
      </c>
      <c r="C384" s="34"/>
      <c r="D384" s="68"/>
      <c r="E384" s="68"/>
      <c r="F384" s="42"/>
      <c r="G384" s="36"/>
      <c r="H384" s="36"/>
      <c r="I384" s="67"/>
      <c r="J384" s="12"/>
      <c r="K384" s="110"/>
      <c r="L384" s="107"/>
      <c r="M384" s="108"/>
      <c r="N384" s="11" t="str">
        <f t="shared" si="12"/>
        <v/>
      </c>
      <c r="O384" s="32" t="str">
        <f t="shared" si="13"/>
        <v/>
      </c>
    </row>
    <row r="385" spans="2:15" ht="14.5" customHeight="1" x14ac:dyDescent="0.35">
      <c r="B385" s="10">
        <v>709</v>
      </c>
      <c r="C385" s="34"/>
      <c r="D385" s="68"/>
      <c r="E385" s="68"/>
      <c r="F385" s="42"/>
      <c r="G385" s="36"/>
      <c r="H385" s="36"/>
      <c r="I385" s="67"/>
      <c r="J385" s="12"/>
      <c r="K385" s="110"/>
      <c r="L385" s="107"/>
      <c r="M385" s="108"/>
      <c r="N385" s="11" t="str">
        <f t="shared" si="12"/>
        <v/>
      </c>
      <c r="O385" s="32" t="str">
        <f t="shared" si="13"/>
        <v/>
      </c>
    </row>
    <row r="386" spans="2:15" ht="14.5" customHeight="1" x14ac:dyDescent="0.35">
      <c r="B386" s="10">
        <v>710</v>
      </c>
      <c r="C386" s="34"/>
      <c r="D386" s="68"/>
      <c r="E386" s="68"/>
      <c r="F386" s="42"/>
      <c r="G386" s="36"/>
      <c r="H386" s="36"/>
      <c r="I386" s="67"/>
      <c r="J386" s="12"/>
      <c r="K386" s="110"/>
      <c r="L386" s="107"/>
      <c r="M386" s="108"/>
      <c r="N386" s="11" t="str">
        <f t="shared" si="12"/>
        <v/>
      </c>
      <c r="O386" s="32" t="str">
        <f t="shared" si="13"/>
        <v/>
      </c>
    </row>
    <row r="387" spans="2:15" ht="14.5" customHeight="1" x14ac:dyDescent="0.35">
      <c r="B387" s="10">
        <v>711</v>
      </c>
      <c r="C387" s="34"/>
      <c r="D387" s="68"/>
      <c r="E387" s="68"/>
      <c r="F387" s="42"/>
      <c r="G387" s="36"/>
      <c r="H387" s="36"/>
      <c r="I387" s="67"/>
      <c r="J387" s="12"/>
      <c r="K387" s="110"/>
      <c r="L387" s="107"/>
      <c r="M387" s="108"/>
      <c r="N387" s="11" t="str">
        <f t="shared" si="12"/>
        <v/>
      </c>
      <c r="O387" s="32" t="str">
        <f t="shared" si="13"/>
        <v/>
      </c>
    </row>
    <row r="388" spans="2:15" ht="14.5" customHeight="1" x14ac:dyDescent="0.35">
      <c r="B388" s="10">
        <v>712</v>
      </c>
      <c r="C388" s="34"/>
      <c r="D388" s="68"/>
      <c r="E388" s="68"/>
      <c r="F388" s="42"/>
      <c r="G388" s="36"/>
      <c r="H388" s="36"/>
      <c r="I388" s="67"/>
      <c r="J388" s="12"/>
      <c r="K388" s="110"/>
      <c r="L388" s="107"/>
      <c r="M388" s="108"/>
      <c r="N388" s="11" t="str">
        <f t="shared" si="12"/>
        <v/>
      </c>
      <c r="O388" s="32" t="str">
        <f t="shared" si="13"/>
        <v/>
      </c>
    </row>
    <row r="389" spans="2:15" ht="14.5" customHeight="1" x14ac:dyDescent="0.35">
      <c r="B389" s="10">
        <v>713</v>
      </c>
      <c r="C389" s="34"/>
      <c r="D389" s="68"/>
      <c r="E389" s="68"/>
      <c r="F389" s="42"/>
      <c r="G389" s="36"/>
      <c r="H389" s="36"/>
      <c r="I389" s="67"/>
      <c r="J389" s="12"/>
      <c r="K389" s="110"/>
      <c r="L389" s="107"/>
      <c r="M389" s="108"/>
      <c r="N389" s="11" t="str">
        <f t="shared" si="12"/>
        <v/>
      </c>
      <c r="O389" s="32" t="str">
        <f t="shared" si="13"/>
        <v/>
      </c>
    </row>
    <row r="390" spans="2:15" ht="14.5" customHeight="1" x14ac:dyDescent="0.35">
      <c r="B390" s="10">
        <v>714</v>
      </c>
      <c r="C390" s="34"/>
      <c r="D390" s="68"/>
      <c r="E390" s="68"/>
      <c r="F390" s="42"/>
      <c r="G390" s="36"/>
      <c r="H390" s="36"/>
      <c r="I390" s="67"/>
      <c r="J390" s="12"/>
      <c r="K390" s="110"/>
      <c r="L390" s="107"/>
      <c r="M390" s="108"/>
      <c r="N390" s="11" t="str">
        <f t="shared" si="12"/>
        <v/>
      </c>
      <c r="O390" s="32" t="str">
        <f t="shared" si="13"/>
        <v/>
      </c>
    </row>
    <row r="391" spans="2:15" ht="14.5" customHeight="1" x14ac:dyDescent="0.35">
      <c r="B391" s="10">
        <v>715</v>
      </c>
      <c r="C391" s="34"/>
      <c r="D391" s="68"/>
      <c r="E391" s="68"/>
      <c r="F391" s="42"/>
      <c r="G391" s="36"/>
      <c r="H391" s="36"/>
      <c r="I391" s="67"/>
      <c r="J391" s="12"/>
      <c r="K391" s="110"/>
      <c r="L391" s="107"/>
      <c r="M391" s="108"/>
      <c r="N391" s="11" t="str">
        <f t="shared" si="12"/>
        <v/>
      </c>
      <c r="O391" s="32" t="str">
        <f t="shared" si="13"/>
        <v/>
      </c>
    </row>
    <row r="392" spans="2:15" ht="14.5" customHeight="1" x14ac:dyDescent="0.35">
      <c r="B392" s="10">
        <v>716</v>
      </c>
      <c r="C392" s="34"/>
      <c r="D392" s="68"/>
      <c r="E392" s="68"/>
      <c r="F392" s="42"/>
      <c r="G392" s="36"/>
      <c r="H392" s="36"/>
      <c r="I392" s="67"/>
      <c r="J392" s="12"/>
      <c r="K392" s="110"/>
      <c r="L392" s="107"/>
      <c r="M392" s="108"/>
      <c r="N392" s="11" t="str">
        <f t="shared" si="12"/>
        <v/>
      </c>
      <c r="O392" s="32" t="str">
        <f t="shared" si="13"/>
        <v/>
      </c>
    </row>
    <row r="393" spans="2:15" ht="14.5" customHeight="1" x14ac:dyDescent="0.35">
      <c r="B393" s="10">
        <v>717</v>
      </c>
      <c r="C393" s="34"/>
      <c r="D393" s="68"/>
      <c r="E393" s="68"/>
      <c r="F393" s="42"/>
      <c r="G393" s="36"/>
      <c r="H393" s="36"/>
      <c r="I393" s="67"/>
      <c r="J393" s="12"/>
      <c r="K393" s="110"/>
      <c r="L393" s="107"/>
      <c r="M393" s="108"/>
      <c r="N393" s="11" t="str">
        <f t="shared" si="12"/>
        <v/>
      </c>
      <c r="O393" s="32" t="str">
        <f t="shared" si="13"/>
        <v/>
      </c>
    </row>
    <row r="394" spans="2:15" ht="14.5" customHeight="1" x14ac:dyDescent="0.35">
      <c r="B394" s="10">
        <v>718</v>
      </c>
      <c r="C394" s="34"/>
      <c r="D394" s="68"/>
      <c r="E394" s="68"/>
      <c r="F394" s="42"/>
      <c r="G394" s="36"/>
      <c r="H394" s="36"/>
      <c r="I394" s="67"/>
      <c r="J394" s="12"/>
      <c r="K394" s="110"/>
      <c r="L394" s="107"/>
      <c r="M394" s="108"/>
      <c r="N394" s="11" t="str">
        <f t="shared" si="12"/>
        <v/>
      </c>
      <c r="O394" s="32" t="str">
        <f t="shared" si="13"/>
        <v/>
      </c>
    </row>
    <row r="395" spans="2:15" ht="14.5" customHeight="1" x14ac:dyDescent="0.35">
      <c r="B395" s="10">
        <v>719</v>
      </c>
      <c r="C395" s="34"/>
      <c r="D395" s="68"/>
      <c r="E395" s="68"/>
      <c r="F395" s="42"/>
      <c r="G395" s="36"/>
      <c r="H395" s="36"/>
      <c r="I395" s="67"/>
      <c r="J395" s="12"/>
      <c r="K395" s="110"/>
      <c r="L395" s="107"/>
      <c r="M395" s="108"/>
      <c r="N395" s="11" t="str">
        <f t="shared" si="12"/>
        <v/>
      </c>
      <c r="O395" s="32" t="str">
        <f t="shared" si="13"/>
        <v/>
      </c>
    </row>
    <row r="396" spans="2:15" ht="14.5" customHeight="1" x14ac:dyDescent="0.35">
      <c r="B396" s="10">
        <v>720</v>
      </c>
      <c r="C396" s="34"/>
      <c r="D396" s="68"/>
      <c r="E396" s="68"/>
      <c r="F396" s="42"/>
      <c r="G396" s="36"/>
      <c r="H396" s="36"/>
      <c r="I396" s="67"/>
      <c r="J396" s="12"/>
      <c r="K396" s="110"/>
      <c r="L396" s="107"/>
      <c r="M396" s="108"/>
      <c r="N396" s="11" t="str">
        <f t="shared" si="12"/>
        <v/>
      </c>
      <c r="O396" s="32" t="str">
        <f t="shared" si="13"/>
        <v/>
      </c>
    </row>
    <row r="397" spans="2:15" ht="14.5" customHeight="1" x14ac:dyDescent="0.35">
      <c r="B397" s="10">
        <v>721</v>
      </c>
      <c r="C397" s="34"/>
      <c r="D397" s="68"/>
      <c r="E397" s="68"/>
      <c r="F397" s="42"/>
      <c r="G397" s="36"/>
      <c r="H397" s="36"/>
      <c r="I397" s="67"/>
      <c r="J397" s="12"/>
      <c r="K397" s="110"/>
      <c r="L397" s="107"/>
      <c r="M397" s="108"/>
      <c r="N397" s="11" t="str">
        <f t="shared" si="12"/>
        <v/>
      </c>
      <c r="O397" s="32" t="str">
        <f t="shared" si="13"/>
        <v/>
      </c>
    </row>
    <row r="398" spans="2:15" ht="14.5" customHeight="1" x14ac:dyDescent="0.35">
      <c r="B398" s="10">
        <v>722</v>
      </c>
      <c r="C398" s="34"/>
      <c r="D398" s="68"/>
      <c r="E398" s="68"/>
      <c r="F398" s="42"/>
      <c r="G398" s="36"/>
      <c r="H398" s="36"/>
      <c r="I398" s="67"/>
      <c r="J398" s="12"/>
      <c r="K398" s="110"/>
      <c r="L398" s="107"/>
      <c r="M398" s="108"/>
      <c r="N398" s="11" t="str">
        <f t="shared" si="12"/>
        <v/>
      </c>
      <c r="O398" s="32" t="str">
        <f t="shared" si="13"/>
        <v/>
      </c>
    </row>
    <row r="399" spans="2:15" ht="14.5" customHeight="1" x14ac:dyDescent="0.35">
      <c r="B399" s="10">
        <v>723</v>
      </c>
      <c r="C399" s="34"/>
      <c r="D399" s="68"/>
      <c r="E399" s="68"/>
      <c r="F399" s="42"/>
      <c r="G399" s="36"/>
      <c r="H399" s="36"/>
      <c r="I399" s="67"/>
      <c r="J399" s="12"/>
      <c r="K399" s="110"/>
      <c r="L399" s="107"/>
      <c r="M399" s="108"/>
      <c r="N399" s="11" t="str">
        <f t="shared" si="12"/>
        <v/>
      </c>
      <c r="O399" s="32" t="str">
        <f t="shared" si="13"/>
        <v/>
      </c>
    </row>
    <row r="400" spans="2:15" ht="14.5" customHeight="1" x14ac:dyDescent="0.35">
      <c r="B400" s="10">
        <v>724</v>
      </c>
      <c r="C400" s="34"/>
      <c r="D400" s="68"/>
      <c r="E400" s="68"/>
      <c r="F400" s="42"/>
      <c r="G400" s="36"/>
      <c r="H400" s="36"/>
      <c r="I400" s="67"/>
      <c r="J400" s="12"/>
      <c r="K400" s="110"/>
      <c r="L400" s="107"/>
      <c r="M400" s="108"/>
      <c r="N400" s="11" t="str">
        <f t="shared" si="12"/>
        <v/>
      </c>
      <c r="O400" s="32" t="str">
        <f t="shared" si="13"/>
        <v/>
      </c>
    </row>
    <row r="401" spans="2:15" ht="14.5" customHeight="1" x14ac:dyDescent="0.35">
      <c r="B401" s="10">
        <v>725</v>
      </c>
      <c r="C401" s="34"/>
      <c r="D401" s="68"/>
      <c r="E401" s="68"/>
      <c r="F401" s="42"/>
      <c r="G401" s="36"/>
      <c r="H401" s="36"/>
      <c r="I401" s="67"/>
      <c r="J401" s="12"/>
      <c r="K401" s="110"/>
      <c r="L401" s="107"/>
      <c r="M401" s="108"/>
      <c r="N401" s="11" t="str">
        <f t="shared" si="12"/>
        <v/>
      </c>
      <c r="O401" s="32" t="str">
        <f t="shared" si="13"/>
        <v/>
      </c>
    </row>
    <row r="402" spans="2:15" ht="14.5" customHeight="1" x14ac:dyDescent="0.35">
      <c r="B402" s="10">
        <v>726</v>
      </c>
      <c r="C402" s="34"/>
      <c r="D402" s="68"/>
      <c r="E402" s="68"/>
      <c r="F402" s="42"/>
      <c r="G402" s="36"/>
      <c r="H402" s="36"/>
      <c r="I402" s="67"/>
      <c r="J402" s="12"/>
      <c r="K402" s="110"/>
      <c r="L402" s="107"/>
      <c r="M402" s="108"/>
      <c r="N402" s="11" t="str">
        <f t="shared" si="12"/>
        <v/>
      </c>
      <c r="O402" s="32" t="str">
        <f t="shared" si="13"/>
        <v/>
      </c>
    </row>
    <row r="403" spans="2:15" ht="14.5" customHeight="1" x14ac:dyDescent="0.35">
      <c r="B403" s="10">
        <v>727</v>
      </c>
      <c r="C403" s="34"/>
      <c r="D403" s="68"/>
      <c r="E403" s="68"/>
      <c r="F403" s="42"/>
      <c r="G403" s="36"/>
      <c r="H403" s="36"/>
      <c r="I403" s="68"/>
      <c r="J403" s="12"/>
      <c r="K403" s="110"/>
      <c r="L403" s="107"/>
      <c r="M403" s="108"/>
      <c r="N403" s="11" t="str">
        <f t="shared" si="12"/>
        <v/>
      </c>
      <c r="O403" s="32" t="str">
        <f t="shared" si="13"/>
        <v/>
      </c>
    </row>
    <row r="404" spans="2:15" ht="14.5" customHeight="1" x14ac:dyDescent="0.35">
      <c r="B404" s="10">
        <v>728</v>
      </c>
      <c r="C404" s="34"/>
      <c r="D404" s="68"/>
      <c r="E404" s="68"/>
      <c r="F404" s="42"/>
      <c r="G404" s="36"/>
      <c r="H404" s="36"/>
      <c r="I404" s="67"/>
      <c r="J404" s="12"/>
      <c r="K404" s="110"/>
      <c r="L404" s="107"/>
      <c r="M404" s="108"/>
      <c r="N404" s="11" t="str">
        <f t="shared" si="12"/>
        <v/>
      </c>
      <c r="O404" s="32" t="str">
        <f t="shared" si="13"/>
        <v/>
      </c>
    </row>
    <row r="405" spans="2:15" ht="14.5" customHeight="1" x14ac:dyDescent="0.35">
      <c r="B405" s="10">
        <v>729</v>
      </c>
      <c r="C405" s="34"/>
      <c r="D405" s="68"/>
      <c r="E405" s="68"/>
      <c r="F405" s="42"/>
      <c r="G405" s="36"/>
      <c r="H405" s="36"/>
      <c r="I405" s="68"/>
      <c r="J405" s="12"/>
      <c r="K405" s="110"/>
      <c r="L405" s="107"/>
      <c r="M405" s="108"/>
      <c r="N405" s="11" t="str">
        <f t="shared" si="12"/>
        <v/>
      </c>
      <c r="O405" s="32" t="str">
        <f t="shared" si="13"/>
        <v/>
      </c>
    </row>
    <row r="406" spans="2:15" ht="14.5" customHeight="1" x14ac:dyDescent="0.35">
      <c r="B406" s="10">
        <v>730</v>
      </c>
      <c r="C406" s="34"/>
      <c r="D406" s="68"/>
      <c r="E406" s="68"/>
      <c r="F406" s="42"/>
      <c r="G406" s="36"/>
      <c r="H406" s="36"/>
      <c r="I406" s="67"/>
      <c r="J406" s="12"/>
      <c r="K406" s="110"/>
      <c r="L406" s="107"/>
      <c r="M406" s="108"/>
      <c r="N406" s="11" t="str">
        <f t="shared" si="12"/>
        <v/>
      </c>
      <c r="O406" s="32" t="str">
        <f t="shared" si="13"/>
        <v/>
      </c>
    </row>
    <row r="407" spans="2:15" ht="14.5" customHeight="1" x14ac:dyDescent="0.35">
      <c r="B407" s="10">
        <v>731</v>
      </c>
      <c r="C407" s="34"/>
      <c r="D407" s="68"/>
      <c r="E407" s="68"/>
      <c r="F407" s="42"/>
      <c r="G407" s="36"/>
      <c r="H407" s="36"/>
      <c r="I407" s="68"/>
      <c r="J407" s="12"/>
      <c r="K407" s="110"/>
      <c r="L407" s="107"/>
      <c r="M407" s="108"/>
      <c r="N407" s="11" t="str">
        <f t="shared" si="12"/>
        <v/>
      </c>
      <c r="O407" s="32" t="str">
        <f t="shared" si="13"/>
        <v/>
      </c>
    </row>
    <row r="408" spans="2:15" ht="14.5" customHeight="1" x14ac:dyDescent="0.35">
      <c r="B408" s="10">
        <v>732</v>
      </c>
      <c r="C408" s="34"/>
      <c r="D408" s="68"/>
      <c r="E408" s="68"/>
      <c r="F408" s="42"/>
      <c r="G408" s="36"/>
      <c r="H408" s="36"/>
      <c r="I408" s="68"/>
      <c r="J408" s="12"/>
      <c r="K408" s="110"/>
      <c r="L408" s="107"/>
      <c r="M408" s="108"/>
      <c r="N408" s="11" t="str">
        <f t="shared" si="12"/>
        <v/>
      </c>
      <c r="O408" s="32" t="str">
        <f t="shared" si="13"/>
        <v/>
      </c>
    </row>
    <row r="409" spans="2:15" ht="14.5" customHeight="1" x14ac:dyDescent="0.35">
      <c r="B409" s="10">
        <v>733</v>
      </c>
      <c r="C409" s="34"/>
      <c r="D409" s="68"/>
      <c r="E409" s="68"/>
      <c r="F409" s="42"/>
      <c r="G409" s="36"/>
      <c r="H409" s="36"/>
      <c r="I409" s="67"/>
      <c r="J409" s="12"/>
      <c r="K409" s="110"/>
      <c r="L409" s="107"/>
      <c r="M409" s="108"/>
      <c r="N409" s="11" t="str">
        <f t="shared" si="12"/>
        <v/>
      </c>
      <c r="O409" s="32" t="str">
        <f t="shared" si="13"/>
        <v/>
      </c>
    </row>
    <row r="410" spans="2:15" ht="14.5" customHeight="1" x14ac:dyDescent="0.35">
      <c r="B410" s="10">
        <v>734</v>
      </c>
      <c r="C410" s="34"/>
      <c r="D410" s="68"/>
      <c r="E410" s="68"/>
      <c r="F410" s="42"/>
      <c r="G410" s="36"/>
      <c r="H410" s="36"/>
      <c r="I410" s="67"/>
      <c r="J410" s="12"/>
      <c r="K410" s="110"/>
      <c r="L410" s="107"/>
      <c r="M410" s="108"/>
      <c r="N410" s="11" t="str">
        <f t="shared" si="12"/>
        <v/>
      </c>
      <c r="O410" s="32" t="str">
        <f t="shared" si="13"/>
        <v/>
      </c>
    </row>
    <row r="411" spans="2:15" ht="14.5" customHeight="1" x14ac:dyDescent="0.35">
      <c r="B411" s="10">
        <v>735</v>
      </c>
      <c r="C411" s="34"/>
      <c r="D411" s="68"/>
      <c r="E411" s="68"/>
      <c r="F411" s="42"/>
      <c r="G411" s="36"/>
      <c r="H411" s="36"/>
      <c r="I411" s="67"/>
      <c r="J411" s="12"/>
      <c r="K411" s="110"/>
      <c r="L411" s="107"/>
      <c r="M411" s="108"/>
      <c r="N411" s="11" t="str">
        <f t="shared" si="12"/>
        <v/>
      </c>
      <c r="O411" s="32" t="str">
        <f t="shared" si="13"/>
        <v/>
      </c>
    </row>
    <row r="412" spans="2:15" ht="14.5" customHeight="1" x14ac:dyDescent="0.35">
      <c r="B412" s="10">
        <v>736</v>
      </c>
      <c r="C412" s="34"/>
      <c r="D412" s="68"/>
      <c r="E412" s="68"/>
      <c r="F412" s="42"/>
      <c r="G412" s="36"/>
      <c r="H412" s="36"/>
      <c r="I412" s="67"/>
      <c r="J412" s="12"/>
      <c r="K412" s="110"/>
      <c r="L412" s="107"/>
      <c r="M412" s="108"/>
      <c r="N412" s="11" t="str">
        <f t="shared" si="12"/>
        <v/>
      </c>
      <c r="O412" s="32" t="str">
        <f t="shared" si="13"/>
        <v/>
      </c>
    </row>
    <row r="413" spans="2:15" ht="14.5" customHeight="1" x14ac:dyDescent="0.35">
      <c r="B413" s="10">
        <v>737</v>
      </c>
      <c r="C413" s="34"/>
      <c r="D413" s="68"/>
      <c r="E413" s="68"/>
      <c r="F413" s="42"/>
      <c r="G413" s="36"/>
      <c r="H413" s="36"/>
      <c r="I413" s="67"/>
      <c r="J413" s="12"/>
      <c r="K413" s="110"/>
      <c r="L413" s="107"/>
      <c r="M413" s="108"/>
      <c r="N413" s="11" t="str">
        <f t="shared" si="12"/>
        <v/>
      </c>
      <c r="O413" s="32" t="str">
        <f t="shared" si="13"/>
        <v/>
      </c>
    </row>
    <row r="414" spans="2:15" ht="14.5" customHeight="1" x14ac:dyDescent="0.35">
      <c r="B414" s="10">
        <v>738</v>
      </c>
      <c r="C414" s="34"/>
      <c r="D414" s="68"/>
      <c r="E414" s="68"/>
      <c r="F414" s="42"/>
      <c r="G414" s="36"/>
      <c r="H414" s="36"/>
      <c r="I414" s="67"/>
      <c r="J414" s="12"/>
      <c r="K414" s="110"/>
      <c r="L414" s="107"/>
      <c r="M414" s="108"/>
      <c r="N414" s="11" t="str">
        <f t="shared" si="12"/>
        <v/>
      </c>
      <c r="O414" s="32" t="str">
        <f t="shared" si="13"/>
        <v/>
      </c>
    </row>
    <row r="415" spans="2:15" ht="14.5" customHeight="1" x14ac:dyDescent="0.35">
      <c r="B415" s="10">
        <v>739</v>
      </c>
      <c r="C415" s="34"/>
      <c r="D415" s="68"/>
      <c r="E415" s="68"/>
      <c r="F415" s="42"/>
      <c r="G415" s="36"/>
      <c r="H415" s="36"/>
      <c r="I415" s="68"/>
      <c r="J415" s="12"/>
      <c r="K415" s="110"/>
      <c r="L415" s="107"/>
      <c r="M415" s="108"/>
      <c r="N415" s="11" t="str">
        <f t="shared" si="12"/>
        <v/>
      </c>
      <c r="O415" s="32" t="str">
        <f t="shared" si="13"/>
        <v/>
      </c>
    </row>
    <row r="416" spans="2:15" ht="14.5" customHeight="1" x14ac:dyDescent="0.35">
      <c r="B416" s="10">
        <v>740</v>
      </c>
      <c r="C416" s="34"/>
      <c r="D416" s="68"/>
      <c r="E416" s="68"/>
      <c r="F416" s="42"/>
      <c r="G416" s="36"/>
      <c r="H416" s="36"/>
      <c r="I416" s="68"/>
      <c r="J416" s="12"/>
      <c r="K416" s="110"/>
      <c r="L416" s="107"/>
      <c r="M416" s="108"/>
      <c r="N416" s="11" t="str">
        <f t="shared" si="12"/>
        <v/>
      </c>
      <c r="O416" s="32" t="str">
        <f t="shared" si="13"/>
        <v/>
      </c>
    </row>
    <row r="417" spans="2:16" ht="14.5" customHeight="1" x14ac:dyDescent="0.35">
      <c r="B417" s="10">
        <v>741</v>
      </c>
      <c r="C417" s="34"/>
      <c r="D417" s="68"/>
      <c r="E417" s="68"/>
      <c r="F417" s="42"/>
      <c r="G417" s="36"/>
      <c r="H417" s="36"/>
      <c r="I417" s="68"/>
      <c r="J417" s="12"/>
      <c r="K417" s="110"/>
      <c r="L417" s="107"/>
      <c r="M417" s="108"/>
      <c r="N417" s="11" t="str">
        <f t="shared" si="12"/>
        <v/>
      </c>
      <c r="O417" s="32" t="str">
        <f t="shared" si="13"/>
        <v/>
      </c>
    </row>
    <row r="418" spans="2:16" ht="14.5" customHeight="1" x14ac:dyDescent="0.35">
      <c r="B418" s="10">
        <v>742</v>
      </c>
      <c r="C418" s="34"/>
      <c r="D418" s="76"/>
      <c r="E418" s="76"/>
      <c r="F418" s="79"/>
      <c r="G418" s="78"/>
      <c r="H418" s="78"/>
      <c r="I418" s="76"/>
      <c r="J418" s="80"/>
      <c r="K418" s="110"/>
      <c r="L418" s="107"/>
      <c r="M418" s="108"/>
      <c r="N418" s="11" t="str">
        <f t="shared" si="12"/>
        <v/>
      </c>
      <c r="O418" s="32" t="str">
        <f t="shared" si="13"/>
        <v/>
      </c>
    </row>
    <row r="419" spans="2:16" ht="14.5" customHeight="1" x14ac:dyDescent="0.35">
      <c r="B419" s="10">
        <v>743</v>
      </c>
      <c r="C419" s="34"/>
      <c r="D419" s="77"/>
      <c r="E419" s="77"/>
      <c r="F419" s="50"/>
      <c r="G419" s="50"/>
      <c r="H419" s="50"/>
      <c r="I419" s="74"/>
      <c r="J419" s="77"/>
      <c r="K419" s="110"/>
      <c r="L419" s="107"/>
      <c r="M419" s="108"/>
      <c r="N419" s="11" t="str">
        <f t="shared" si="12"/>
        <v/>
      </c>
      <c r="O419" s="32" t="str">
        <f t="shared" si="13"/>
        <v/>
      </c>
      <c r="P419" s="37"/>
    </row>
    <row r="420" spans="2:16" ht="14.5" customHeight="1" x14ac:dyDescent="0.35">
      <c r="B420" s="10">
        <v>744</v>
      </c>
      <c r="C420" s="34"/>
      <c r="D420" s="77"/>
      <c r="E420" s="77"/>
      <c r="F420" s="50"/>
      <c r="G420" s="50"/>
      <c r="H420" s="50"/>
      <c r="I420" s="75"/>
      <c r="J420" s="77"/>
      <c r="K420" s="110"/>
      <c r="L420" s="107"/>
      <c r="M420" s="108"/>
      <c r="N420" s="11" t="str">
        <f t="shared" si="12"/>
        <v/>
      </c>
      <c r="O420" s="32" t="str">
        <f t="shared" si="13"/>
        <v/>
      </c>
      <c r="P420" s="37"/>
    </row>
    <row r="421" spans="2:16" ht="14.5" customHeight="1" x14ac:dyDescent="0.35">
      <c r="B421" s="10">
        <v>745</v>
      </c>
      <c r="C421" s="34"/>
      <c r="D421" s="77"/>
      <c r="E421" s="77"/>
      <c r="F421" s="50"/>
      <c r="G421" s="50"/>
      <c r="H421" s="50"/>
      <c r="I421" s="74"/>
      <c r="J421" s="77"/>
      <c r="K421" s="110"/>
      <c r="L421" s="107"/>
      <c r="M421" s="108"/>
      <c r="N421" s="11" t="str">
        <f t="shared" si="12"/>
        <v/>
      </c>
      <c r="O421" s="32" t="str">
        <f t="shared" si="13"/>
        <v/>
      </c>
      <c r="P421" s="37"/>
    </row>
    <row r="422" spans="2:16" ht="14.5" customHeight="1" x14ac:dyDescent="0.35">
      <c r="B422" s="10">
        <v>746</v>
      </c>
      <c r="C422" s="34"/>
      <c r="D422" s="77"/>
      <c r="E422" s="77"/>
      <c r="F422" s="50"/>
      <c r="G422" s="50"/>
      <c r="H422" s="50"/>
      <c r="I422" s="74"/>
      <c r="J422" s="77"/>
      <c r="K422" s="110"/>
      <c r="L422" s="107"/>
      <c r="M422" s="108"/>
      <c r="N422" s="11" t="str">
        <f t="shared" si="12"/>
        <v/>
      </c>
      <c r="O422" s="32" t="str">
        <f t="shared" si="13"/>
        <v/>
      </c>
      <c r="P422" s="37"/>
    </row>
    <row r="423" spans="2:16" ht="14.5" customHeight="1" x14ac:dyDescent="0.35">
      <c r="B423" s="10">
        <v>747</v>
      </c>
      <c r="C423" s="34"/>
      <c r="D423" s="77"/>
      <c r="E423" s="77"/>
      <c r="F423" s="50"/>
      <c r="G423" s="50"/>
      <c r="H423" s="50"/>
      <c r="I423" s="74"/>
      <c r="J423" s="77"/>
      <c r="K423" s="110"/>
      <c r="L423" s="107"/>
      <c r="M423" s="108"/>
      <c r="N423" s="11" t="str">
        <f t="shared" si="12"/>
        <v/>
      </c>
      <c r="O423" s="32" t="str">
        <f t="shared" si="13"/>
        <v/>
      </c>
      <c r="P423" s="37"/>
    </row>
    <row r="424" spans="2:16" ht="14.5" customHeight="1" x14ac:dyDescent="0.35">
      <c r="B424" s="10">
        <v>748</v>
      </c>
      <c r="C424" s="34"/>
      <c r="D424" s="77"/>
      <c r="E424" s="77"/>
      <c r="F424" s="50"/>
      <c r="G424" s="50"/>
      <c r="H424" s="50"/>
      <c r="I424" s="74"/>
      <c r="J424" s="77"/>
      <c r="K424" s="110"/>
      <c r="L424" s="107"/>
      <c r="M424" s="108"/>
      <c r="N424" s="11" t="str">
        <f t="shared" si="12"/>
        <v/>
      </c>
      <c r="O424" s="32" t="str">
        <f t="shared" si="13"/>
        <v/>
      </c>
      <c r="P424" s="37"/>
    </row>
    <row r="425" spans="2:16" ht="27" customHeight="1" x14ac:dyDescent="0.35">
      <c r="B425" s="10">
        <v>749</v>
      </c>
      <c r="C425" s="34"/>
      <c r="D425" s="77"/>
      <c r="E425" s="77"/>
      <c r="F425" s="72"/>
      <c r="G425" s="50"/>
      <c r="H425" s="50"/>
      <c r="I425" s="74"/>
      <c r="J425" s="77"/>
      <c r="K425" s="110"/>
      <c r="L425" s="107"/>
      <c r="M425" s="108"/>
      <c r="N425" s="11" t="str">
        <f t="shared" si="12"/>
        <v/>
      </c>
      <c r="O425" s="32" t="str">
        <f t="shared" si="13"/>
        <v/>
      </c>
      <c r="P425" s="37"/>
    </row>
    <row r="426" spans="2:16" ht="14.5" customHeight="1" x14ac:dyDescent="0.35">
      <c r="B426" s="10">
        <v>750</v>
      </c>
      <c r="C426" s="34"/>
      <c r="D426" s="77"/>
      <c r="E426" s="77"/>
      <c r="F426" s="50"/>
      <c r="G426" s="50"/>
      <c r="H426" s="50"/>
      <c r="I426" s="74"/>
      <c r="J426" s="77"/>
      <c r="K426" s="110"/>
      <c r="L426" s="107"/>
      <c r="M426" s="108"/>
      <c r="N426" s="11" t="str">
        <f t="shared" si="12"/>
        <v/>
      </c>
      <c r="O426" s="32" t="str">
        <f t="shared" si="13"/>
        <v/>
      </c>
      <c r="P426" s="37"/>
    </row>
    <row r="427" spans="2:16" ht="14.5" customHeight="1" x14ac:dyDescent="0.35">
      <c r="B427" s="10">
        <v>751</v>
      </c>
      <c r="C427" s="34"/>
      <c r="D427" s="77"/>
      <c r="E427" s="77"/>
      <c r="F427" s="50"/>
      <c r="G427" s="50"/>
      <c r="H427" s="50"/>
      <c r="I427" s="74"/>
      <c r="J427" s="77"/>
      <c r="K427" s="110"/>
      <c r="L427" s="107"/>
      <c r="M427" s="108"/>
      <c r="N427" s="11" t="str">
        <f t="shared" si="12"/>
        <v/>
      </c>
      <c r="O427" s="32" t="str">
        <f t="shared" si="13"/>
        <v/>
      </c>
      <c r="P427" s="37"/>
    </row>
    <row r="428" spans="2:16" ht="14.5" customHeight="1" x14ac:dyDescent="0.35">
      <c r="B428" s="10">
        <v>752</v>
      </c>
      <c r="C428" s="34"/>
      <c r="D428" s="77"/>
      <c r="E428" s="77"/>
      <c r="F428" s="50"/>
      <c r="G428" s="50"/>
      <c r="H428" s="50"/>
      <c r="I428" s="74"/>
      <c r="J428" s="77"/>
      <c r="K428" s="110"/>
      <c r="L428" s="107"/>
      <c r="M428" s="108"/>
      <c r="N428" s="11" t="str">
        <f t="shared" si="12"/>
        <v/>
      </c>
      <c r="O428" s="32" t="str">
        <f t="shared" si="13"/>
        <v/>
      </c>
      <c r="P428" s="37"/>
    </row>
    <row r="429" spans="2:16" ht="14.5" customHeight="1" x14ac:dyDescent="0.35">
      <c r="B429" s="10">
        <v>753</v>
      </c>
      <c r="C429" s="34"/>
      <c r="D429" s="77"/>
      <c r="E429" s="77"/>
      <c r="F429" s="50"/>
      <c r="G429" s="50"/>
      <c r="H429" s="50"/>
      <c r="I429" s="74"/>
      <c r="J429" s="77"/>
      <c r="K429" s="110"/>
      <c r="L429" s="107"/>
      <c r="M429" s="108"/>
      <c r="N429" s="11" t="str">
        <f t="shared" si="12"/>
        <v/>
      </c>
      <c r="O429" s="32" t="str">
        <f t="shared" si="13"/>
        <v/>
      </c>
      <c r="P429" s="37"/>
    </row>
    <row r="430" spans="2:16" ht="14.5" customHeight="1" x14ac:dyDescent="0.35">
      <c r="B430" s="10">
        <v>754</v>
      </c>
      <c r="C430" s="34"/>
      <c r="D430" s="77"/>
      <c r="E430" s="77"/>
      <c r="F430" s="50"/>
      <c r="G430" s="50"/>
      <c r="H430" s="50"/>
      <c r="I430" s="74"/>
      <c r="J430" s="77"/>
      <c r="K430" s="110"/>
      <c r="L430" s="107"/>
      <c r="M430" s="108"/>
      <c r="N430" s="11" t="str">
        <f t="shared" si="12"/>
        <v/>
      </c>
      <c r="O430" s="32" t="str">
        <f t="shared" si="13"/>
        <v/>
      </c>
      <c r="P430" s="37"/>
    </row>
    <row r="431" spans="2:16" ht="14.5" customHeight="1" x14ac:dyDescent="0.35">
      <c r="B431" s="10">
        <v>755</v>
      </c>
      <c r="C431" s="34"/>
      <c r="D431" s="77"/>
      <c r="E431" s="77"/>
      <c r="F431" s="50"/>
      <c r="G431" s="50"/>
      <c r="H431" s="50"/>
      <c r="I431" s="74"/>
      <c r="J431" s="77"/>
      <c r="K431" s="110"/>
      <c r="L431" s="107"/>
      <c r="M431" s="108"/>
      <c r="N431" s="11" t="str">
        <f t="shared" si="12"/>
        <v/>
      </c>
      <c r="O431" s="32" t="str">
        <f t="shared" si="13"/>
        <v/>
      </c>
      <c r="P431" s="37"/>
    </row>
    <row r="432" spans="2:16" ht="14.5" customHeight="1" x14ac:dyDescent="0.35">
      <c r="B432" s="10">
        <v>756</v>
      </c>
      <c r="C432" s="34"/>
      <c r="D432" s="77"/>
      <c r="E432" s="77"/>
      <c r="F432" s="50"/>
      <c r="G432" s="50"/>
      <c r="H432" s="50"/>
      <c r="I432" s="74"/>
      <c r="J432" s="77"/>
      <c r="K432" s="110"/>
      <c r="L432" s="107"/>
      <c r="M432" s="108"/>
      <c r="N432" s="11" t="str">
        <f t="shared" si="12"/>
        <v/>
      </c>
      <c r="O432" s="32" t="str">
        <f t="shared" si="13"/>
        <v/>
      </c>
      <c r="P432" s="37"/>
    </row>
    <row r="433" spans="2:16" ht="14.5" customHeight="1" x14ac:dyDescent="0.35">
      <c r="B433" s="10">
        <v>757</v>
      </c>
      <c r="C433" s="34"/>
      <c r="D433" s="77"/>
      <c r="E433" s="77"/>
      <c r="F433" s="50"/>
      <c r="G433" s="50"/>
      <c r="H433" s="50"/>
      <c r="I433" s="74"/>
      <c r="J433" s="77"/>
      <c r="K433" s="110"/>
      <c r="L433" s="107"/>
      <c r="M433" s="108"/>
      <c r="N433" s="11" t="str">
        <f t="shared" si="12"/>
        <v/>
      </c>
      <c r="O433" s="32" t="str">
        <f t="shared" si="13"/>
        <v/>
      </c>
      <c r="P433" s="37"/>
    </row>
    <row r="434" spans="2:16" ht="14.5" customHeight="1" x14ac:dyDescent="0.35">
      <c r="B434" s="10">
        <v>758</v>
      </c>
      <c r="C434" s="34"/>
      <c r="D434" s="77"/>
      <c r="E434" s="77"/>
      <c r="F434" s="50"/>
      <c r="G434" s="50"/>
      <c r="H434" s="50"/>
      <c r="I434" s="74"/>
      <c r="J434" s="77"/>
      <c r="K434" s="110"/>
      <c r="L434" s="107"/>
      <c r="M434" s="108"/>
      <c r="N434" s="11" t="str">
        <f t="shared" si="12"/>
        <v/>
      </c>
      <c r="O434" s="32" t="str">
        <f t="shared" si="13"/>
        <v/>
      </c>
      <c r="P434" s="37"/>
    </row>
    <row r="435" spans="2:16" ht="29" customHeight="1" x14ac:dyDescent="0.35">
      <c r="B435" s="10">
        <v>759</v>
      </c>
      <c r="C435" s="34"/>
      <c r="D435" s="77"/>
      <c r="E435" s="77"/>
      <c r="F435" s="72"/>
      <c r="G435" s="50"/>
      <c r="H435" s="50"/>
      <c r="I435" s="74"/>
      <c r="J435" s="77"/>
      <c r="K435" s="110"/>
      <c r="L435" s="107"/>
      <c r="M435" s="108"/>
      <c r="N435" s="11" t="str">
        <f t="shared" si="12"/>
        <v/>
      </c>
      <c r="O435" s="32" t="str">
        <f t="shared" si="13"/>
        <v/>
      </c>
      <c r="P435" s="37"/>
    </row>
    <row r="436" spans="2:16" ht="14.5" customHeight="1" x14ac:dyDescent="0.35">
      <c r="B436" s="10">
        <v>760</v>
      </c>
      <c r="C436" s="34"/>
      <c r="D436" s="77"/>
      <c r="E436" s="77"/>
      <c r="F436" s="50"/>
      <c r="G436" s="50"/>
      <c r="H436" s="50"/>
      <c r="I436" s="74"/>
      <c r="J436" s="77"/>
      <c r="K436" s="110"/>
      <c r="L436" s="107"/>
      <c r="M436" s="108"/>
      <c r="N436" s="11" t="str">
        <f t="shared" si="12"/>
        <v/>
      </c>
      <c r="O436" s="32" t="str">
        <f t="shared" si="13"/>
        <v/>
      </c>
      <c r="P436" s="37"/>
    </row>
    <row r="437" spans="2:16" ht="14.5" customHeight="1" x14ac:dyDescent="0.35">
      <c r="B437" s="10">
        <v>761</v>
      </c>
      <c r="C437" s="34"/>
      <c r="D437" s="77"/>
      <c r="E437" s="77"/>
      <c r="F437" s="50"/>
      <c r="G437" s="50"/>
      <c r="H437" s="50"/>
      <c r="I437" s="74"/>
      <c r="J437" s="77"/>
      <c r="K437" s="110"/>
      <c r="L437" s="107"/>
      <c r="M437" s="108"/>
      <c r="N437" s="11" t="str">
        <f t="shared" si="12"/>
        <v/>
      </c>
      <c r="O437" s="32" t="str">
        <f t="shared" si="13"/>
        <v/>
      </c>
      <c r="P437" s="37"/>
    </row>
    <row r="438" spans="2:16" ht="14.5" customHeight="1" x14ac:dyDescent="0.35">
      <c r="B438" s="10">
        <v>762</v>
      </c>
      <c r="C438" s="34"/>
      <c r="D438" s="77"/>
      <c r="E438" s="77"/>
      <c r="F438" s="50"/>
      <c r="G438" s="50"/>
      <c r="H438" s="50"/>
      <c r="I438" s="74"/>
      <c r="J438" s="77"/>
      <c r="K438" s="110"/>
      <c r="L438" s="107"/>
      <c r="M438" s="108"/>
      <c r="N438" s="11" t="str">
        <f t="shared" si="12"/>
        <v/>
      </c>
      <c r="O438" s="32" t="str">
        <f t="shared" si="13"/>
        <v/>
      </c>
      <c r="P438" s="37"/>
    </row>
    <row r="439" spans="2:16" ht="14.5" customHeight="1" x14ac:dyDescent="0.35">
      <c r="B439" s="10">
        <v>763</v>
      </c>
      <c r="C439" s="34"/>
      <c r="D439" s="77"/>
      <c r="E439" s="77"/>
      <c r="F439" s="50"/>
      <c r="G439" s="50"/>
      <c r="H439" s="50"/>
      <c r="I439" s="74"/>
      <c r="J439" s="77"/>
      <c r="K439" s="110"/>
      <c r="L439" s="107"/>
      <c r="M439" s="108"/>
      <c r="N439" s="11" t="str">
        <f t="shared" si="12"/>
        <v/>
      </c>
      <c r="O439" s="32" t="str">
        <f t="shared" si="13"/>
        <v/>
      </c>
      <c r="P439" s="37"/>
    </row>
    <row r="440" spans="2:16" ht="14.5" customHeight="1" x14ac:dyDescent="0.35">
      <c r="B440" s="10">
        <v>764</v>
      </c>
      <c r="C440" s="34"/>
      <c r="D440" s="77"/>
      <c r="E440" s="77"/>
      <c r="F440" s="50"/>
      <c r="G440" s="50"/>
      <c r="H440" s="50"/>
      <c r="I440" s="74"/>
      <c r="J440" s="77"/>
      <c r="K440" s="110"/>
      <c r="L440" s="107"/>
      <c r="M440" s="108"/>
      <c r="N440" s="11" t="str">
        <f t="shared" si="12"/>
        <v/>
      </c>
      <c r="O440" s="32" t="str">
        <f t="shared" si="13"/>
        <v/>
      </c>
      <c r="P440" s="37"/>
    </row>
    <row r="441" spans="2:16" ht="43.5" customHeight="1" x14ac:dyDescent="0.35">
      <c r="B441" s="10">
        <v>765</v>
      </c>
      <c r="C441" s="34"/>
      <c r="D441" s="77"/>
      <c r="E441" s="77"/>
      <c r="F441" s="72"/>
      <c r="G441" s="50"/>
      <c r="H441" s="50"/>
      <c r="I441" s="74"/>
      <c r="J441" s="77"/>
      <c r="K441" s="110"/>
      <c r="L441" s="107"/>
      <c r="M441" s="108"/>
      <c r="N441" s="11" t="str">
        <f t="shared" si="12"/>
        <v/>
      </c>
      <c r="O441" s="32" t="str">
        <f t="shared" si="13"/>
        <v/>
      </c>
      <c r="P441" s="37"/>
    </row>
    <row r="442" spans="2:16" ht="43.5" customHeight="1" x14ac:dyDescent="0.35">
      <c r="B442" s="10">
        <v>766</v>
      </c>
      <c r="C442" s="34"/>
      <c r="D442" s="77"/>
      <c r="E442" s="77"/>
      <c r="F442" s="72"/>
      <c r="G442" s="50"/>
      <c r="H442" s="50"/>
      <c r="I442" s="74"/>
      <c r="J442" s="77"/>
      <c r="K442" s="110"/>
      <c r="L442" s="107"/>
      <c r="M442" s="108"/>
      <c r="N442" s="11" t="str">
        <f t="shared" si="12"/>
        <v/>
      </c>
      <c r="O442" s="32" t="str">
        <f t="shared" si="13"/>
        <v/>
      </c>
      <c r="P442" s="37"/>
    </row>
    <row r="443" spans="2:16" ht="14.5" customHeight="1" x14ac:dyDescent="0.35">
      <c r="B443" s="10">
        <v>767</v>
      </c>
      <c r="C443" s="34"/>
      <c r="D443" s="77"/>
      <c r="E443" s="77"/>
      <c r="F443" s="50"/>
      <c r="G443" s="50"/>
      <c r="H443" s="50"/>
      <c r="I443" s="74"/>
      <c r="J443" s="77"/>
      <c r="K443" s="110"/>
      <c r="L443" s="107"/>
      <c r="M443" s="108"/>
      <c r="N443" s="11" t="str">
        <f t="shared" si="12"/>
        <v/>
      </c>
      <c r="O443" s="32" t="str">
        <f t="shared" si="13"/>
        <v/>
      </c>
      <c r="P443" s="37"/>
    </row>
    <row r="444" spans="2:16" ht="14.5" customHeight="1" x14ac:dyDescent="0.35">
      <c r="B444" s="10">
        <v>768</v>
      </c>
      <c r="C444" s="34"/>
      <c r="D444" s="77"/>
      <c r="E444" s="77"/>
      <c r="F444" s="50"/>
      <c r="G444" s="50"/>
      <c r="H444" s="50"/>
      <c r="I444" s="74"/>
      <c r="J444" s="77"/>
      <c r="K444" s="110"/>
      <c r="L444" s="107"/>
      <c r="M444" s="108"/>
      <c r="N444" s="11" t="str">
        <f t="shared" si="12"/>
        <v/>
      </c>
      <c r="O444" s="32" t="str">
        <f t="shared" si="13"/>
        <v/>
      </c>
      <c r="P444" s="37"/>
    </row>
    <row r="445" spans="2:16" ht="14.5" customHeight="1" x14ac:dyDescent="0.35">
      <c r="B445" s="10">
        <v>769</v>
      </c>
      <c r="C445" s="34"/>
      <c r="D445" s="77"/>
      <c r="E445" s="77"/>
      <c r="F445" s="50"/>
      <c r="G445" s="50"/>
      <c r="H445" s="50"/>
      <c r="I445" s="74"/>
      <c r="J445" s="77"/>
      <c r="K445" s="110"/>
      <c r="L445" s="107"/>
      <c r="M445" s="108"/>
      <c r="N445" s="11" t="str">
        <f t="shared" ref="N445:N508" si="14">IF(OR(M445="", K445=""),"", M445- K445)</f>
        <v/>
      </c>
      <c r="O445" s="32" t="str">
        <f t="shared" si="13"/>
        <v/>
      </c>
      <c r="P445" s="37"/>
    </row>
    <row r="446" spans="2:16" ht="14.5" customHeight="1" x14ac:dyDescent="0.35">
      <c r="B446" s="10">
        <v>770</v>
      </c>
      <c r="C446" s="34"/>
      <c r="D446" s="77"/>
      <c r="E446" s="77"/>
      <c r="F446" s="50"/>
      <c r="G446" s="50"/>
      <c r="H446" s="50"/>
      <c r="I446" s="74"/>
      <c r="J446" s="77"/>
      <c r="K446" s="110"/>
      <c r="L446" s="107"/>
      <c r="M446" s="108"/>
      <c r="N446" s="11" t="str">
        <f t="shared" si="14"/>
        <v/>
      </c>
      <c r="O446" s="32" t="str">
        <f t="shared" ref="O446:O509" si="15">IF(OR(M446="", K446="", L446=""), "", IF((M446 - K446) &gt; L446, "No", "Yes"))</f>
        <v/>
      </c>
      <c r="P446" s="37"/>
    </row>
    <row r="447" spans="2:16" ht="14.5" customHeight="1" x14ac:dyDescent="0.35">
      <c r="B447" s="10">
        <v>771</v>
      </c>
      <c r="C447" s="34"/>
      <c r="D447" s="77"/>
      <c r="E447" s="77"/>
      <c r="F447" s="50"/>
      <c r="G447" s="50"/>
      <c r="H447" s="50"/>
      <c r="I447" s="74"/>
      <c r="J447" s="77"/>
      <c r="K447" s="110"/>
      <c r="L447" s="107"/>
      <c r="M447" s="108"/>
      <c r="N447" s="11" t="str">
        <f t="shared" si="14"/>
        <v/>
      </c>
      <c r="O447" s="32" t="str">
        <f t="shared" si="15"/>
        <v/>
      </c>
      <c r="P447" s="37"/>
    </row>
    <row r="448" spans="2:16" ht="14.5" customHeight="1" x14ac:dyDescent="0.35">
      <c r="B448" s="10">
        <v>772</v>
      </c>
      <c r="C448" s="34"/>
      <c r="D448" s="77"/>
      <c r="E448" s="77"/>
      <c r="F448" s="50"/>
      <c r="G448" s="50"/>
      <c r="H448" s="50"/>
      <c r="I448" s="74"/>
      <c r="J448" s="77"/>
      <c r="K448" s="110"/>
      <c r="L448" s="107"/>
      <c r="M448" s="108"/>
      <c r="N448" s="11" t="str">
        <f t="shared" si="14"/>
        <v/>
      </c>
      <c r="O448" s="32" t="str">
        <f t="shared" si="15"/>
        <v/>
      </c>
      <c r="P448" s="37"/>
    </row>
    <row r="449" spans="2:16" ht="14.5" customHeight="1" x14ac:dyDescent="0.35">
      <c r="B449" s="10">
        <v>773</v>
      </c>
      <c r="C449" s="34"/>
      <c r="D449" s="77"/>
      <c r="E449" s="77"/>
      <c r="F449" s="50"/>
      <c r="G449" s="50"/>
      <c r="H449" s="50"/>
      <c r="I449" s="74"/>
      <c r="J449" s="77"/>
      <c r="K449" s="110"/>
      <c r="L449" s="107"/>
      <c r="M449" s="108"/>
      <c r="N449" s="11" t="str">
        <f t="shared" si="14"/>
        <v/>
      </c>
      <c r="O449" s="32" t="str">
        <f t="shared" si="15"/>
        <v/>
      </c>
      <c r="P449" s="37"/>
    </row>
    <row r="450" spans="2:16" ht="14.5" customHeight="1" x14ac:dyDescent="0.35">
      <c r="B450" s="10">
        <v>774</v>
      </c>
      <c r="C450" s="34"/>
      <c r="D450" s="77"/>
      <c r="E450" s="77"/>
      <c r="F450" s="50"/>
      <c r="G450" s="50"/>
      <c r="H450" s="50"/>
      <c r="I450" s="74"/>
      <c r="J450" s="77"/>
      <c r="K450" s="110"/>
      <c r="L450" s="107"/>
      <c r="M450" s="108"/>
      <c r="N450" s="11" t="str">
        <f t="shared" si="14"/>
        <v/>
      </c>
      <c r="O450" s="32" t="str">
        <f t="shared" si="15"/>
        <v/>
      </c>
      <c r="P450" s="37"/>
    </row>
    <row r="451" spans="2:16" ht="14.5" customHeight="1" x14ac:dyDescent="0.35">
      <c r="B451" s="10">
        <v>775</v>
      </c>
      <c r="C451" s="34"/>
      <c r="D451" s="77"/>
      <c r="E451" s="77"/>
      <c r="F451" s="50"/>
      <c r="G451" s="50"/>
      <c r="H451" s="50"/>
      <c r="I451" s="74"/>
      <c r="J451" s="77"/>
      <c r="K451" s="110"/>
      <c r="L451" s="107"/>
      <c r="M451" s="108"/>
      <c r="N451" s="11" t="str">
        <f t="shared" si="14"/>
        <v/>
      </c>
      <c r="O451" s="32" t="str">
        <f t="shared" si="15"/>
        <v/>
      </c>
      <c r="P451" s="37"/>
    </row>
    <row r="452" spans="2:16" ht="14.5" customHeight="1" x14ac:dyDescent="0.35">
      <c r="B452" s="10">
        <v>776</v>
      </c>
      <c r="C452" s="34"/>
      <c r="D452" s="77"/>
      <c r="E452" s="77"/>
      <c r="F452" s="50"/>
      <c r="G452" s="50"/>
      <c r="H452" s="50"/>
      <c r="I452" s="74"/>
      <c r="J452" s="77"/>
      <c r="K452" s="110"/>
      <c r="L452" s="107"/>
      <c r="M452" s="108"/>
      <c r="N452" s="11" t="str">
        <f t="shared" si="14"/>
        <v/>
      </c>
      <c r="O452" s="32" t="str">
        <f t="shared" si="15"/>
        <v/>
      </c>
      <c r="P452" s="37"/>
    </row>
    <row r="453" spans="2:16" ht="14.5" customHeight="1" x14ac:dyDescent="0.35">
      <c r="B453" s="10">
        <v>777</v>
      </c>
      <c r="C453" s="34"/>
      <c r="D453" s="77"/>
      <c r="E453" s="77"/>
      <c r="F453" s="50"/>
      <c r="G453" s="50"/>
      <c r="H453" s="50"/>
      <c r="I453" s="74"/>
      <c r="J453" s="77"/>
      <c r="K453" s="110"/>
      <c r="L453" s="107"/>
      <c r="M453" s="108"/>
      <c r="N453" s="11" t="str">
        <f t="shared" si="14"/>
        <v/>
      </c>
      <c r="O453" s="32" t="str">
        <f t="shared" si="15"/>
        <v/>
      </c>
      <c r="P453" s="37"/>
    </row>
    <row r="454" spans="2:16" ht="29" customHeight="1" x14ac:dyDescent="0.35">
      <c r="B454" s="10">
        <v>778</v>
      </c>
      <c r="C454" s="34"/>
      <c r="D454" s="77"/>
      <c r="E454" s="77"/>
      <c r="F454" s="72"/>
      <c r="G454" s="50"/>
      <c r="H454" s="50"/>
      <c r="I454" s="74"/>
      <c r="J454" s="77"/>
      <c r="K454" s="110"/>
      <c r="L454" s="107"/>
      <c r="M454" s="108"/>
      <c r="N454" s="11" t="str">
        <f t="shared" si="14"/>
        <v/>
      </c>
      <c r="O454" s="32" t="str">
        <f t="shared" si="15"/>
        <v/>
      </c>
      <c r="P454" s="37"/>
    </row>
    <row r="455" spans="2:16" ht="29" customHeight="1" x14ac:dyDescent="0.35">
      <c r="B455" s="10">
        <v>779</v>
      </c>
      <c r="C455" s="34"/>
      <c r="D455" s="77"/>
      <c r="E455" s="77"/>
      <c r="F455" s="72"/>
      <c r="G455" s="50"/>
      <c r="H455" s="50"/>
      <c r="I455" s="74"/>
      <c r="J455" s="77"/>
      <c r="K455" s="110"/>
      <c r="L455" s="107"/>
      <c r="M455" s="108"/>
      <c r="N455" s="11" t="str">
        <f t="shared" si="14"/>
        <v/>
      </c>
      <c r="O455" s="32" t="str">
        <f t="shared" si="15"/>
        <v/>
      </c>
      <c r="P455" s="37"/>
    </row>
    <row r="456" spans="2:16" ht="14.5" customHeight="1" x14ac:dyDescent="0.35">
      <c r="B456" s="10">
        <v>780</v>
      </c>
      <c r="C456" s="34"/>
      <c r="D456" s="77"/>
      <c r="E456" s="77"/>
      <c r="F456" s="50"/>
      <c r="G456" s="50"/>
      <c r="H456" s="50"/>
      <c r="I456" s="74"/>
      <c r="J456" s="77"/>
      <c r="K456" s="110"/>
      <c r="L456" s="107"/>
      <c r="M456" s="108"/>
      <c r="N456" s="11" t="str">
        <f t="shared" si="14"/>
        <v/>
      </c>
      <c r="O456" s="32" t="str">
        <f t="shared" si="15"/>
        <v/>
      </c>
      <c r="P456" s="37"/>
    </row>
    <row r="457" spans="2:16" ht="14.5" customHeight="1" x14ac:dyDescent="0.35">
      <c r="B457" s="10">
        <v>781</v>
      </c>
      <c r="C457" s="34"/>
      <c r="D457" s="77"/>
      <c r="E457" s="77"/>
      <c r="F457" s="50"/>
      <c r="G457" s="50"/>
      <c r="H457" s="50"/>
      <c r="I457" s="74"/>
      <c r="J457" s="77"/>
      <c r="K457" s="110"/>
      <c r="L457" s="107"/>
      <c r="M457" s="108"/>
      <c r="N457" s="11" t="str">
        <f t="shared" si="14"/>
        <v/>
      </c>
      <c r="O457" s="32" t="str">
        <f t="shared" si="15"/>
        <v/>
      </c>
      <c r="P457" s="37"/>
    </row>
    <row r="458" spans="2:16" ht="29" customHeight="1" x14ac:dyDescent="0.35">
      <c r="B458" s="10">
        <v>782</v>
      </c>
      <c r="C458" s="34"/>
      <c r="D458" s="77"/>
      <c r="E458" s="77"/>
      <c r="F458" s="72"/>
      <c r="G458" s="50"/>
      <c r="H458" s="50"/>
      <c r="I458" s="74"/>
      <c r="J458" s="77"/>
      <c r="K458" s="110"/>
      <c r="L458" s="107"/>
      <c r="M458" s="108"/>
      <c r="N458" s="11" t="str">
        <f t="shared" si="14"/>
        <v/>
      </c>
      <c r="O458" s="32" t="str">
        <f t="shared" si="15"/>
        <v/>
      </c>
      <c r="P458" s="37"/>
    </row>
    <row r="459" spans="2:16" ht="14.5" customHeight="1" x14ac:dyDescent="0.35">
      <c r="B459" s="10">
        <v>783</v>
      </c>
      <c r="C459" s="34"/>
      <c r="D459" s="77"/>
      <c r="E459" s="77"/>
      <c r="F459" s="50"/>
      <c r="G459" s="50"/>
      <c r="H459" s="50"/>
      <c r="I459" s="74"/>
      <c r="J459" s="77"/>
      <c r="K459" s="110"/>
      <c r="L459" s="107"/>
      <c r="M459" s="108"/>
      <c r="N459" s="11" t="str">
        <f t="shared" si="14"/>
        <v/>
      </c>
      <c r="O459" s="32" t="str">
        <f t="shared" si="15"/>
        <v/>
      </c>
      <c r="P459" s="37"/>
    </row>
    <row r="460" spans="2:16" ht="14.5" customHeight="1" x14ac:dyDescent="0.35">
      <c r="B460" s="10">
        <v>784</v>
      </c>
      <c r="C460" s="34"/>
      <c r="D460" s="77"/>
      <c r="E460" s="77"/>
      <c r="F460" s="50"/>
      <c r="G460" s="50"/>
      <c r="H460" s="50"/>
      <c r="I460" s="74"/>
      <c r="J460" s="77"/>
      <c r="K460" s="110"/>
      <c r="L460" s="107"/>
      <c r="M460" s="108"/>
      <c r="N460" s="11" t="str">
        <f t="shared" si="14"/>
        <v/>
      </c>
      <c r="O460" s="32" t="str">
        <f t="shared" si="15"/>
        <v/>
      </c>
      <c r="P460" s="37"/>
    </row>
    <row r="461" spans="2:16" ht="14.5" customHeight="1" x14ac:dyDescent="0.35">
      <c r="B461" s="10">
        <v>785</v>
      </c>
      <c r="C461" s="34"/>
      <c r="D461" s="77"/>
      <c r="E461" s="77"/>
      <c r="F461" s="50"/>
      <c r="G461" s="50"/>
      <c r="H461" s="50"/>
      <c r="I461" s="74"/>
      <c r="J461" s="77"/>
      <c r="K461" s="110"/>
      <c r="L461" s="107"/>
      <c r="M461" s="108"/>
      <c r="N461" s="11" t="str">
        <f t="shared" si="14"/>
        <v/>
      </c>
      <c r="O461" s="32" t="str">
        <f t="shared" si="15"/>
        <v/>
      </c>
      <c r="P461" s="37"/>
    </row>
    <row r="462" spans="2:16" ht="14.5" customHeight="1" x14ac:dyDescent="0.35">
      <c r="B462" s="10">
        <v>786</v>
      </c>
      <c r="C462" s="34"/>
      <c r="D462" s="77"/>
      <c r="E462" s="77"/>
      <c r="F462" s="50"/>
      <c r="G462" s="50"/>
      <c r="H462" s="50"/>
      <c r="I462" s="74"/>
      <c r="J462" s="77"/>
      <c r="K462" s="110"/>
      <c r="L462" s="107"/>
      <c r="M462" s="108"/>
      <c r="N462" s="11" t="str">
        <f t="shared" si="14"/>
        <v/>
      </c>
      <c r="O462" s="32" t="str">
        <f t="shared" si="15"/>
        <v/>
      </c>
      <c r="P462" s="37"/>
    </row>
    <row r="463" spans="2:16" ht="14.5" customHeight="1" x14ac:dyDescent="0.35">
      <c r="B463" s="10">
        <v>787</v>
      </c>
      <c r="C463" s="34"/>
      <c r="D463" s="77"/>
      <c r="E463" s="77"/>
      <c r="F463" s="50"/>
      <c r="G463" s="50"/>
      <c r="H463" s="50"/>
      <c r="I463" s="74"/>
      <c r="J463" s="77"/>
      <c r="K463" s="110"/>
      <c r="L463" s="107"/>
      <c r="M463" s="108"/>
      <c r="N463" s="11" t="str">
        <f t="shared" si="14"/>
        <v/>
      </c>
      <c r="O463" s="32" t="str">
        <f t="shared" si="15"/>
        <v/>
      </c>
      <c r="P463" s="37"/>
    </row>
    <row r="464" spans="2:16" ht="14.5" customHeight="1" x14ac:dyDescent="0.35">
      <c r="B464" s="10">
        <v>788</v>
      </c>
      <c r="C464" s="34"/>
      <c r="D464" s="77"/>
      <c r="E464" s="77"/>
      <c r="F464" s="50"/>
      <c r="G464" s="50"/>
      <c r="H464" s="50"/>
      <c r="I464" s="74"/>
      <c r="J464" s="77"/>
      <c r="K464" s="110"/>
      <c r="L464" s="107"/>
      <c r="M464" s="108"/>
      <c r="N464" s="11" t="str">
        <f t="shared" si="14"/>
        <v/>
      </c>
      <c r="O464" s="32" t="str">
        <f t="shared" si="15"/>
        <v/>
      </c>
      <c r="P464" s="37"/>
    </row>
    <row r="465" spans="2:16" ht="14.5" customHeight="1" x14ac:dyDescent="0.35">
      <c r="B465" s="10">
        <v>789</v>
      </c>
      <c r="C465" s="34"/>
      <c r="D465" s="77"/>
      <c r="E465" s="77"/>
      <c r="F465" s="50"/>
      <c r="G465" s="50"/>
      <c r="H465" s="50"/>
      <c r="I465" s="74"/>
      <c r="J465" s="77"/>
      <c r="K465" s="110"/>
      <c r="L465" s="107"/>
      <c r="M465" s="108"/>
      <c r="N465" s="11" t="str">
        <f t="shared" si="14"/>
        <v/>
      </c>
      <c r="O465" s="32" t="str">
        <f t="shared" si="15"/>
        <v/>
      </c>
      <c r="P465" s="37"/>
    </row>
    <row r="466" spans="2:16" ht="14.5" customHeight="1" x14ac:dyDescent="0.35">
      <c r="B466" s="10">
        <v>790</v>
      </c>
      <c r="C466" s="34"/>
      <c r="D466" s="77"/>
      <c r="E466" s="77"/>
      <c r="F466" s="50"/>
      <c r="G466" s="50"/>
      <c r="H466" s="50"/>
      <c r="I466" s="74"/>
      <c r="J466" s="77"/>
      <c r="K466" s="110"/>
      <c r="L466" s="107"/>
      <c r="M466" s="108"/>
      <c r="N466" s="11" t="str">
        <f t="shared" si="14"/>
        <v/>
      </c>
      <c r="O466" s="32" t="str">
        <f t="shared" si="15"/>
        <v/>
      </c>
      <c r="P466" s="37"/>
    </row>
    <row r="467" spans="2:16" ht="15" customHeight="1" x14ac:dyDescent="0.35">
      <c r="B467" s="10">
        <v>791</v>
      </c>
      <c r="C467" s="34"/>
      <c r="D467" s="77"/>
      <c r="E467" s="77"/>
      <c r="F467" s="50"/>
      <c r="G467" s="50"/>
      <c r="H467" s="50"/>
      <c r="I467" s="74"/>
      <c r="J467" s="77"/>
      <c r="K467" s="110"/>
      <c r="L467" s="107"/>
      <c r="M467" s="108"/>
      <c r="N467" s="11" t="str">
        <f t="shared" si="14"/>
        <v/>
      </c>
      <c r="O467" s="32" t="str">
        <f t="shared" si="15"/>
        <v/>
      </c>
      <c r="P467" s="37"/>
    </row>
    <row r="468" spans="2:16" ht="15" customHeight="1" x14ac:dyDescent="0.35">
      <c r="B468" s="10">
        <v>792</v>
      </c>
      <c r="C468" s="34"/>
      <c r="D468" s="77"/>
      <c r="E468" s="77"/>
      <c r="F468" s="50"/>
      <c r="G468" s="50"/>
      <c r="H468" s="50"/>
      <c r="I468" s="74"/>
      <c r="J468" s="77"/>
      <c r="K468" s="110"/>
      <c r="L468" s="107"/>
      <c r="M468" s="108"/>
      <c r="N468" s="11" t="str">
        <f t="shared" si="14"/>
        <v/>
      </c>
      <c r="O468" s="32" t="str">
        <f t="shared" si="15"/>
        <v/>
      </c>
      <c r="P468" s="37"/>
    </row>
    <row r="469" spans="2:16" ht="15" customHeight="1" x14ac:dyDescent="0.35">
      <c r="B469" s="10">
        <v>793</v>
      </c>
      <c r="C469" s="34"/>
      <c r="D469" s="77"/>
      <c r="E469" s="77"/>
      <c r="F469" s="50"/>
      <c r="G469" s="50"/>
      <c r="H469" s="50"/>
      <c r="I469" s="74"/>
      <c r="J469" s="77"/>
      <c r="K469" s="110"/>
      <c r="L469" s="107"/>
      <c r="M469" s="108"/>
      <c r="N469" s="11" t="str">
        <f t="shared" si="14"/>
        <v/>
      </c>
      <c r="O469" s="32" t="str">
        <f t="shared" si="15"/>
        <v/>
      </c>
      <c r="P469" s="37"/>
    </row>
    <row r="470" spans="2:16" ht="15" customHeight="1" x14ac:dyDescent="0.35">
      <c r="B470" s="10">
        <v>794</v>
      </c>
      <c r="C470" s="34"/>
      <c r="D470" s="77"/>
      <c r="E470" s="77"/>
      <c r="F470" s="50"/>
      <c r="G470" s="50"/>
      <c r="H470" s="50"/>
      <c r="I470" s="74"/>
      <c r="J470" s="77"/>
      <c r="K470" s="110"/>
      <c r="L470" s="107"/>
      <c r="M470" s="108"/>
      <c r="N470" s="11" t="str">
        <f t="shared" si="14"/>
        <v/>
      </c>
      <c r="O470" s="32" t="str">
        <f t="shared" si="15"/>
        <v/>
      </c>
      <c r="P470" s="37"/>
    </row>
    <row r="471" spans="2:16" ht="15" customHeight="1" x14ac:dyDescent="0.35">
      <c r="B471" s="10">
        <v>795</v>
      </c>
      <c r="C471" s="34"/>
      <c r="D471" s="77"/>
      <c r="E471" s="77"/>
      <c r="F471" s="50"/>
      <c r="G471" s="50"/>
      <c r="H471" s="50"/>
      <c r="I471" s="74"/>
      <c r="J471" s="77"/>
      <c r="K471" s="110"/>
      <c r="L471" s="107"/>
      <c r="M471" s="108"/>
      <c r="N471" s="11" t="str">
        <f t="shared" si="14"/>
        <v/>
      </c>
      <c r="O471" s="32" t="str">
        <f t="shared" si="15"/>
        <v/>
      </c>
      <c r="P471" s="37"/>
    </row>
    <row r="472" spans="2:16" ht="15" customHeight="1" x14ac:dyDescent="0.35">
      <c r="B472" s="10">
        <v>796</v>
      </c>
      <c r="C472" s="34"/>
      <c r="D472" s="77"/>
      <c r="E472" s="77"/>
      <c r="F472" s="50"/>
      <c r="G472" s="50"/>
      <c r="H472" s="50"/>
      <c r="I472" s="74"/>
      <c r="J472" s="77"/>
      <c r="K472" s="110"/>
      <c r="L472" s="107"/>
      <c r="M472" s="108"/>
      <c r="N472" s="11" t="str">
        <f t="shared" si="14"/>
        <v/>
      </c>
      <c r="O472" s="32" t="str">
        <f t="shared" si="15"/>
        <v/>
      </c>
      <c r="P472" s="37"/>
    </row>
    <row r="473" spans="2:16" ht="15" customHeight="1" x14ac:dyDescent="0.35">
      <c r="B473" s="10">
        <v>797</v>
      </c>
      <c r="C473" s="34"/>
      <c r="D473" s="77"/>
      <c r="E473" s="77"/>
      <c r="F473" s="50"/>
      <c r="G473" s="50"/>
      <c r="H473" s="50"/>
      <c r="I473" s="74"/>
      <c r="J473" s="77"/>
      <c r="K473" s="110"/>
      <c r="L473" s="107"/>
      <c r="M473" s="108"/>
      <c r="N473" s="11" t="str">
        <f t="shared" si="14"/>
        <v/>
      </c>
      <c r="O473" s="32" t="str">
        <f t="shared" si="15"/>
        <v/>
      </c>
      <c r="P473" s="37"/>
    </row>
    <row r="474" spans="2:16" ht="15" customHeight="1" x14ac:dyDescent="0.35">
      <c r="B474" s="10">
        <v>798</v>
      </c>
      <c r="C474" s="34"/>
      <c r="D474" s="77"/>
      <c r="E474" s="77"/>
      <c r="F474" s="50"/>
      <c r="G474" s="50"/>
      <c r="H474" s="50"/>
      <c r="I474" s="74"/>
      <c r="J474" s="77"/>
      <c r="K474" s="110"/>
      <c r="L474" s="107"/>
      <c r="M474" s="108"/>
      <c r="N474" s="11" t="str">
        <f t="shared" si="14"/>
        <v/>
      </c>
      <c r="O474" s="32" t="str">
        <f t="shared" si="15"/>
        <v/>
      </c>
      <c r="P474" s="37"/>
    </row>
    <row r="475" spans="2:16" ht="15" customHeight="1" x14ac:dyDescent="0.35">
      <c r="B475" s="10">
        <v>799</v>
      </c>
      <c r="C475" s="34"/>
      <c r="D475" s="77"/>
      <c r="E475" s="77"/>
      <c r="F475" s="72"/>
      <c r="G475" s="50"/>
      <c r="H475" s="50"/>
      <c r="I475" s="74"/>
      <c r="J475" s="77"/>
      <c r="K475" s="110"/>
      <c r="L475" s="107"/>
      <c r="M475" s="108"/>
      <c r="N475" s="11" t="str">
        <f t="shared" si="14"/>
        <v/>
      </c>
      <c r="O475" s="32" t="str">
        <f t="shared" si="15"/>
        <v/>
      </c>
      <c r="P475" s="37"/>
    </row>
    <row r="476" spans="2:16" ht="15" customHeight="1" x14ac:dyDescent="0.35">
      <c r="B476" s="10">
        <v>800</v>
      </c>
      <c r="C476" s="34"/>
      <c r="D476" s="77"/>
      <c r="E476" s="77"/>
      <c r="F476" s="50"/>
      <c r="G476" s="50"/>
      <c r="H476" s="50"/>
      <c r="I476" s="74"/>
      <c r="J476" s="77"/>
      <c r="K476" s="110"/>
      <c r="L476" s="107"/>
      <c r="M476" s="108"/>
      <c r="N476" s="11" t="str">
        <f t="shared" si="14"/>
        <v/>
      </c>
      <c r="O476" s="32" t="str">
        <f t="shared" si="15"/>
        <v/>
      </c>
      <c r="P476" s="37"/>
    </row>
    <row r="477" spans="2:16" ht="15" customHeight="1" x14ac:dyDescent="0.35">
      <c r="B477" s="10">
        <v>801</v>
      </c>
      <c r="C477" s="34"/>
      <c r="D477" s="77"/>
      <c r="E477" s="77"/>
      <c r="F477" s="72"/>
      <c r="G477" s="50"/>
      <c r="H477" s="50"/>
      <c r="I477" s="74"/>
      <c r="J477" s="77"/>
      <c r="K477" s="110"/>
      <c r="L477" s="107"/>
      <c r="M477" s="108"/>
      <c r="N477" s="11" t="str">
        <f t="shared" si="14"/>
        <v/>
      </c>
      <c r="O477" s="32" t="str">
        <f t="shared" si="15"/>
        <v/>
      </c>
      <c r="P477" s="37"/>
    </row>
    <row r="478" spans="2:16" ht="15" customHeight="1" x14ac:dyDescent="0.35">
      <c r="B478" s="10">
        <v>802</v>
      </c>
      <c r="C478" s="34"/>
      <c r="D478" s="77"/>
      <c r="E478" s="77"/>
      <c r="F478" s="72"/>
      <c r="G478" s="50"/>
      <c r="H478" s="50"/>
      <c r="I478" s="74"/>
      <c r="J478" s="77"/>
      <c r="K478" s="110"/>
      <c r="L478" s="107"/>
      <c r="M478" s="108"/>
      <c r="N478" s="11" t="str">
        <f t="shared" si="14"/>
        <v/>
      </c>
      <c r="O478" s="32" t="str">
        <f t="shared" si="15"/>
        <v/>
      </c>
      <c r="P478" s="37"/>
    </row>
    <row r="479" spans="2:16" ht="15" customHeight="1" x14ac:dyDescent="0.35">
      <c r="B479" s="10">
        <v>803</v>
      </c>
      <c r="C479" s="34"/>
      <c r="D479" s="77"/>
      <c r="E479" s="77"/>
      <c r="F479" s="72"/>
      <c r="G479" s="50"/>
      <c r="H479" s="50"/>
      <c r="I479" s="74"/>
      <c r="J479" s="77"/>
      <c r="K479" s="110"/>
      <c r="L479" s="107"/>
      <c r="M479" s="108"/>
      <c r="N479" s="11" t="str">
        <f t="shared" si="14"/>
        <v/>
      </c>
      <c r="O479" s="32" t="str">
        <f t="shared" si="15"/>
        <v/>
      </c>
      <c r="P479" s="37"/>
    </row>
    <row r="480" spans="2:16" ht="15" customHeight="1" x14ac:dyDescent="0.35">
      <c r="B480" s="10">
        <v>804</v>
      </c>
      <c r="C480" s="34"/>
      <c r="D480" s="77"/>
      <c r="E480" s="77"/>
      <c r="F480" s="72"/>
      <c r="G480" s="50"/>
      <c r="H480" s="50"/>
      <c r="I480" s="74"/>
      <c r="J480" s="77"/>
      <c r="K480" s="110"/>
      <c r="L480" s="107"/>
      <c r="M480" s="108"/>
      <c r="N480" s="11" t="str">
        <f t="shared" si="14"/>
        <v/>
      </c>
      <c r="O480" s="32" t="str">
        <f t="shared" si="15"/>
        <v/>
      </c>
      <c r="P480" s="37"/>
    </row>
    <row r="481" spans="2:16" ht="15" customHeight="1" x14ac:dyDescent="0.35">
      <c r="B481" s="10">
        <v>805</v>
      </c>
      <c r="C481" s="34"/>
      <c r="D481" s="77"/>
      <c r="E481" s="77"/>
      <c r="F481" s="72"/>
      <c r="G481" s="50"/>
      <c r="H481" s="50"/>
      <c r="I481" s="74"/>
      <c r="J481" s="77"/>
      <c r="K481" s="110"/>
      <c r="L481" s="107"/>
      <c r="M481" s="108"/>
      <c r="N481" s="11" t="str">
        <f t="shared" si="14"/>
        <v/>
      </c>
      <c r="O481" s="32" t="str">
        <f t="shared" si="15"/>
        <v/>
      </c>
      <c r="P481" s="37"/>
    </row>
    <row r="482" spans="2:16" ht="15" customHeight="1" x14ac:dyDescent="0.35">
      <c r="B482" s="10">
        <v>806</v>
      </c>
      <c r="C482" s="34"/>
      <c r="D482" s="77"/>
      <c r="E482" s="77"/>
      <c r="F482" s="50"/>
      <c r="G482" s="50"/>
      <c r="H482" s="50"/>
      <c r="I482" s="74"/>
      <c r="J482" s="77"/>
      <c r="K482" s="110"/>
      <c r="L482" s="107"/>
      <c r="M482" s="108"/>
      <c r="N482" s="11" t="str">
        <f t="shared" si="14"/>
        <v/>
      </c>
      <c r="O482" s="32" t="str">
        <f t="shared" si="15"/>
        <v/>
      </c>
      <c r="P482" s="37"/>
    </row>
    <row r="483" spans="2:16" ht="15" customHeight="1" x14ac:dyDescent="0.35">
      <c r="B483" s="10">
        <v>807</v>
      </c>
      <c r="C483" s="34"/>
      <c r="D483" s="77"/>
      <c r="E483" s="77"/>
      <c r="F483" s="50"/>
      <c r="G483" s="50"/>
      <c r="H483" s="50"/>
      <c r="I483" s="74"/>
      <c r="J483" s="77"/>
      <c r="K483" s="110"/>
      <c r="L483" s="107"/>
      <c r="M483" s="108"/>
      <c r="N483" s="11" t="str">
        <f t="shared" si="14"/>
        <v/>
      </c>
      <c r="O483" s="32" t="str">
        <f t="shared" si="15"/>
        <v/>
      </c>
      <c r="P483" s="37"/>
    </row>
    <row r="484" spans="2:16" ht="15" customHeight="1" x14ac:dyDescent="0.35">
      <c r="B484" s="10">
        <v>808</v>
      </c>
      <c r="C484" s="34"/>
      <c r="D484" s="77"/>
      <c r="E484" s="77"/>
      <c r="F484" s="50"/>
      <c r="G484" s="50"/>
      <c r="H484" s="50"/>
      <c r="I484" s="74"/>
      <c r="J484" s="77"/>
      <c r="K484" s="110"/>
      <c r="L484" s="107"/>
      <c r="M484" s="108"/>
      <c r="N484" s="11" t="str">
        <f t="shared" si="14"/>
        <v/>
      </c>
      <c r="O484" s="32" t="str">
        <f t="shared" si="15"/>
        <v/>
      </c>
      <c r="P484" s="37"/>
    </row>
    <row r="485" spans="2:16" ht="15" customHeight="1" x14ac:dyDescent="0.35">
      <c r="B485" s="10">
        <v>809</v>
      </c>
      <c r="C485" s="34"/>
      <c r="D485" s="77"/>
      <c r="E485" s="77"/>
      <c r="F485" s="50"/>
      <c r="G485" s="50"/>
      <c r="H485" s="50"/>
      <c r="I485" s="74"/>
      <c r="J485" s="77"/>
      <c r="K485" s="110"/>
      <c r="L485" s="107"/>
      <c r="M485" s="108"/>
      <c r="N485" s="11" t="str">
        <f t="shared" si="14"/>
        <v/>
      </c>
      <c r="O485" s="32" t="str">
        <f t="shared" si="15"/>
        <v/>
      </c>
      <c r="P485" s="37"/>
    </row>
    <row r="486" spans="2:16" ht="15" customHeight="1" x14ac:dyDescent="0.35">
      <c r="B486" s="10">
        <v>810</v>
      </c>
      <c r="C486" s="34"/>
      <c r="D486" s="77"/>
      <c r="E486" s="77"/>
      <c r="F486" s="50"/>
      <c r="G486" s="50"/>
      <c r="H486" s="50"/>
      <c r="I486" s="74"/>
      <c r="J486" s="77"/>
      <c r="K486" s="110"/>
      <c r="L486" s="107"/>
      <c r="M486" s="108"/>
      <c r="N486" s="11" t="str">
        <f t="shared" si="14"/>
        <v/>
      </c>
      <c r="O486" s="32" t="str">
        <f t="shared" si="15"/>
        <v/>
      </c>
      <c r="P486" s="37"/>
    </row>
    <row r="487" spans="2:16" ht="15" customHeight="1" x14ac:dyDescent="0.35">
      <c r="B487" s="10">
        <v>811</v>
      </c>
      <c r="C487" s="34"/>
      <c r="D487" s="77"/>
      <c r="E487" s="77"/>
      <c r="F487" s="50"/>
      <c r="G487" s="50"/>
      <c r="H487" s="50"/>
      <c r="I487" s="74"/>
      <c r="J487" s="77"/>
      <c r="K487" s="110"/>
      <c r="L487" s="107"/>
      <c r="M487" s="108"/>
      <c r="N487" s="11" t="str">
        <f t="shared" si="14"/>
        <v/>
      </c>
      <c r="O487" s="32" t="str">
        <f t="shared" si="15"/>
        <v/>
      </c>
      <c r="P487" s="37"/>
    </row>
    <row r="488" spans="2:16" ht="15" customHeight="1" x14ac:dyDescent="0.35">
      <c r="B488" s="10">
        <v>812</v>
      </c>
      <c r="C488" s="34"/>
      <c r="D488" s="77"/>
      <c r="E488" s="77"/>
      <c r="F488" s="77"/>
      <c r="G488" s="77"/>
      <c r="H488" s="93"/>
      <c r="I488" s="89"/>
      <c r="J488" s="77"/>
      <c r="K488" s="108"/>
      <c r="L488" s="107"/>
      <c r="M488" s="109"/>
      <c r="N488" s="11" t="str">
        <f t="shared" si="14"/>
        <v/>
      </c>
      <c r="O488" s="32" t="str">
        <f t="shared" si="15"/>
        <v/>
      </c>
    </row>
    <row r="489" spans="2:16" ht="15" customHeight="1" x14ac:dyDescent="0.4">
      <c r="B489" s="10">
        <v>813</v>
      </c>
      <c r="C489" s="34"/>
      <c r="D489" s="77"/>
      <c r="E489" s="77"/>
      <c r="F489" s="77"/>
      <c r="G489" s="77"/>
      <c r="H489" s="91"/>
      <c r="I489" s="89"/>
      <c r="J489" s="77"/>
      <c r="K489" s="110"/>
      <c r="L489" s="107"/>
      <c r="M489" s="109"/>
      <c r="N489" s="11" t="str">
        <f t="shared" si="14"/>
        <v/>
      </c>
      <c r="O489" s="32" t="str">
        <f t="shared" si="15"/>
        <v/>
      </c>
    </row>
    <row r="490" spans="2:16" ht="15" customHeight="1" x14ac:dyDescent="0.4">
      <c r="B490" s="10">
        <v>814</v>
      </c>
      <c r="C490" s="34"/>
      <c r="D490" s="77"/>
      <c r="E490" s="77"/>
      <c r="F490" s="77"/>
      <c r="G490" s="77"/>
      <c r="H490" s="91"/>
      <c r="I490" s="89"/>
      <c r="J490" s="77"/>
      <c r="K490" s="110"/>
      <c r="L490" s="107"/>
      <c r="M490" s="109"/>
      <c r="N490" s="11" t="str">
        <f t="shared" si="14"/>
        <v/>
      </c>
      <c r="O490" s="32" t="str">
        <f t="shared" si="15"/>
        <v/>
      </c>
    </row>
    <row r="491" spans="2:16" ht="15" customHeight="1" x14ac:dyDescent="0.4">
      <c r="B491" s="10">
        <v>815</v>
      </c>
      <c r="C491" s="34"/>
      <c r="D491" s="77"/>
      <c r="E491" s="77"/>
      <c r="F491" s="77"/>
      <c r="G491" s="77"/>
      <c r="H491" s="91"/>
      <c r="I491" s="89"/>
      <c r="J491" s="77"/>
      <c r="K491" s="110"/>
      <c r="L491" s="107"/>
      <c r="M491" s="109"/>
      <c r="N491" s="11" t="str">
        <f t="shared" si="14"/>
        <v/>
      </c>
      <c r="O491" s="32" t="str">
        <f t="shared" si="15"/>
        <v/>
      </c>
    </row>
    <row r="492" spans="2:16" ht="15" customHeight="1" x14ac:dyDescent="0.4">
      <c r="B492" s="10">
        <v>816</v>
      </c>
      <c r="C492" s="34"/>
      <c r="D492" s="77"/>
      <c r="E492" s="77"/>
      <c r="F492" s="77"/>
      <c r="G492" s="77"/>
      <c r="H492" s="91"/>
      <c r="I492" s="89"/>
      <c r="J492" s="77"/>
      <c r="K492" s="110"/>
      <c r="L492" s="107"/>
      <c r="M492" s="109"/>
      <c r="N492" s="11" t="str">
        <f t="shared" si="14"/>
        <v/>
      </c>
      <c r="O492" s="32" t="str">
        <f t="shared" si="15"/>
        <v/>
      </c>
    </row>
    <row r="493" spans="2:16" ht="27.75" customHeight="1" x14ac:dyDescent="0.4">
      <c r="B493" s="10">
        <v>817</v>
      </c>
      <c r="C493" s="34"/>
      <c r="D493" s="77"/>
      <c r="E493" s="77"/>
      <c r="F493" s="77"/>
      <c r="G493" s="77"/>
      <c r="H493" s="91"/>
      <c r="I493" s="89"/>
      <c r="J493" s="77"/>
      <c r="K493" s="110"/>
      <c r="L493" s="107"/>
      <c r="M493" s="109"/>
      <c r="N493" s="11" t="str">
        <f t="shared" si="14"/>
        <v/>
      </c>
      <c r="O493" s="32" t="str">
        <f t="shared" si="15"/>
        <v/>
      </c>
    </row>
    <row r="494" spans="2:16" ht="15" customHeight="1" x14ac:dyDescent="0.4">
      <c r="B494" s="10">
        <v>818</v>
      </c>
      <c r="C494" s="34"/>
      <c r="D494" s="77"/>
      <c r="E494" s="77"/>
      <c r="F494" s="77"/>
      <c r="G494" s="77"/>
      <c r="H494" s="94"/>
      <c r="I494" s="89"/>
      <c r="J494" s="77"/>
      <c r="K494" s="110"/>
      <c r="L494" s="107"/>
      <c r="M494" s="109"/>
      <c r="N494" s="11" t="str">
        <f t="shared" si="14"/>
        <v/>
      </c>
      <c r="O494" s="32" t="str">
        <f t="shared" si="15"/>
        <v/>
      </c>
    </row>
    <row r="495" spans="2:16" ht="15" customHeight="1" x14ac:dyDescent="0.4">
      <c r="B495" s="10">
        <v>819</v>
      </c>
      <c r="C495" s="34"/>
      <c r="D495" s="77"/>
      <c r="E495" s="77"/>
      <c r="F495" s="77"/>
      <c r="G495" s="77"/>
      <c r="H495" s="94"/>
      <c r="I495" s="89"/>
      <c r="J495" s="77"/>
      <c r="K495" s="110"/>
      <c r="L495" s="107"/>
      <c r="M495" s="109"/>
      <c r="N495" s="11" t="str">
        <f t="shared" si="14"/>
        <v/>
      </c>
      <c r="O495" s="32" t="str">
        <f t="shared" si="15"/>
        <v/>
      </c>
    </row>
    <row r="496" spans="2:16" ht="15" customHeight="1" x14ac:dyDescent="0.4">
      <c r="B496" s="10">
        <v>820</v>
      </c>
      <c r="C496" s="34"/>
      <c r="D496" s="77"/>
      <c r="E496" s="77"/>
      <c r="F496" s="77"/>
      <c r="G496" s="77"/>
      <c r="H496" s="94"/>
      <c r="I496" s="89"/>
      <c r="J496" s="77"/>
      <c r="K496" s="110"/>
      <c r="L496" s="107"/>
      <c r="M496" s="109"/>
      <c r="N496" s="11" t="str">
        <f t="shared" si="14"/>
        <v/>
      </c>
      <c r="O496" s="32" t="str">
        <f t="shared" si="15"/>
        <v/>
      </c>
    </row>
    <row r="497" spans="2:15" ht="15" customHeight="1" x14ac:dyDescent="0.4">
      <c r="B497" s="10">
        <v>821</v>
      </c>
      <c r="C497" s="34"/>
      <c r="D497" s="77"/>
      <c r="E497" s="77"/>
      <c r="F497" s="77"/>
      <c r="G497" s="77"/>
      <c r="H497" s="94"/>
      <c r="I497" s="89"/>
      <c r="J497" s="77"/>
      <c r="K497" s="110"/>
      <c r="L497" s="107"/>
      <c r="M497" s="109"/>
      <c r="N497" s="11" t="str">
        <f t="shared" si="14"/>
        <v/>
      </c>
      <c r="O497" s="32" t="str">
        <f t="shared" si="15"/>
        <v/>
      </c>
    </row>
    <row r="498" spans="2:15" ht="15" customHeight="1" x14ac:dyDescent="0.4">
      <c r="B498" s="10">
        <v>822</v>
      </c>
      <c r="C498" s="34"/>
      <c r="D498" s="77"/>
      <c r="E498" s="77"/>
      <c r="F498" s="77"/>
      <c r="G498" s="77"/>
      <c r="H498" s="94"/>
      <c r="I498" s="89"/>
      <c r="J498" s="77"/>
      <c r="K498" s="110"/>
      <c r="L498" s="107"/>
      <c r="M498" s="109"/>
      <c r="N498" s="11" t="str">
        <f t="shared" si="14"/>
        <v/>
      </c>
      <c r="O498" s="32" t="str">
        <f t="shared" si="15"/>
        <v/>
      </c>
    </row>
    <row r="499" spans="2:15" ht="15" customHeight="1" x14ac:dyDescent="0.4">
      <c r="B499" s="10">
        <v>823</v>
      </c>
      <c r="C499" s="34"/>
      <c r="D499" s="77"/>
      <c r="E499" s="77"/>
      <c r="F499" s="77"/>
      <c r="G499" s="77"/>
      <c r="H499" s="94"/>
      <c r="I499" s="89"/>
      <c r="J499" s="77"/>
      <c r="K499" s="110"/>
      <c r="L499" s="107"/>
      <c r="M499" s="109"/>
      <c r="N499" s="11" t="str">
        <f t="shared" si="14"/>
        <v/>
      </c>
      <c r="O499" s="32" t="str">
        <f t="shared" si="15"/>
        <v/>
      </c>
    </row>
    <row r="500" spans="2:15" ht="15" customHeight="1" x14ac:dyDescent="0.4">
      <c r="B500" s="10">
        <v>824</v>
      </c>
      <c r="C500" s="34"/>
      <c r="D500" s="77"/>
      <c r="E500" s="77"/>
      <c r="F500" s="77"/>
      <c r="G500" s="77"/>
      <c r="H500" s="94"/>
      <c r="I500" s="89"/>
      <c r="J500" s="77"/>
      <c r="K500" s="110"/>
      <c r="L500" s="107"/>
      <c r="M500" s="109"/>
      <c r="N500" s="11" t="str">
        <f t="shared" si="14"/>
        <v/>
      </c>
      <c r="O500" s="32" t="str">
        <f t="shared" si="15"/>
        <v/>
      </c>
    </row>
    <row r="501" spans="2:15" ht="15" customHeight="1" x14ac:dyDescent="0.4">
      <c r="B501" s="10">
        <v>825</v>
      </c>
      <c r="C501" s="34"/>
      <c r="D501" s="77"/>
      <c r="E501" s="77"/>
      <c r="F501" s="77"/>
      <c r="G501" s="77"/>
      <c r="H501" s="94"/>
      <c r="I501" s="89"/>
      <c r="J501" s="77"/>
      <c r="K501" s="110"/>
      <c r="L501" s="107"/>
      <c r="M501" s="109"/>
      <c r="N501" s="11" t="str">
        <f t="shared" si="14"/>
        <v/>
      </c>
      <c r="O501" s="32" t="str">
        <f t="shared" si="15"/>
        <v/>
      </c>
    </row>
    <row r="502" spans="2:15" ht="15" customHeight="1" x14ac:dyDescent="0.4">
      <c r="B502" s="10">
        <v>826</v>
      </c>
      <c r="C502" s="34"/>
      <c r="D502" s="77"/>
      <c r="E502" s="77"/>
      <c r="F502" s="77"/>
      <c r="G502" s="77"/>
      <c r="H502" s="94"/>
      <c r="I502" s="89"/>
      <c r="J502" s="77"/>
      <c r="K502" s="110"/>
      <c r="L502" s="107"/>
      <c r="M502" s="109"/>
      <c r="N502" s="11" t="str">
        <f t="shared" si="14"/>
        <v/>
      </c>
      <c r="O502" s="32" t="str">
        <f t="shared" si="15"/>
        <v/>
      </c>
    </row>
    <row r="503" spans="2:15" ht="15" customHeight="1" x14ac:dyDescent="0.4">
      <c r="B503" s="10">
        <v>827</v>
      </c>
      <c r="C503" s="34"/>
      <c r="D503" s="77"/>
      <c r="E503" s="77"/>
      <c r="F503" s="77"/>
      <c r="G503" s="77"/>
      <c r="H503" s="94"/>
      <c r="I503" s="89"/>
      <c r="J503" s="77"/>
      <c r="K503" s="110"/>
      <c r="L503" s="107"/>
      <c r="M503" s="109"/>
      <c r="N503" s="11" t="str">
        <f t="shared" si="14"/>
        <v/>
      </c>
      <c r="O503" s="32" t="str">
        <f t="shared" si="15"/>
        <v/>
      </c>
    </row>
    <row r="504" spans="2:15" ht="15" customHeight="1" x14ac:dyDescent="0.4">
      <c r="B504" s="10">
        <v>828</v>
      </c>
      <c r="C504" s="34"/>
      <c r="D504" s="77"/>
      <c r="E504" s="77"/>
      <c r="F504" s="77"/>
      <c r="G504" s="77"/>
      <c r="H504" s="94"/>
      <c r="I504" s="89"/>
      <c r="J504" s="77"/>
      <c r="K504" s="110"/>
      <c r="L504" s="107"/>
      <c r="M504" s="109"/>
      <c r="N504" s="11" t="str">
        <f t="shared" si="14"/>
        <v/>
      </c>
      <c r="O504" s="32" t="str">
        <f t="shared" si="15"/>
        <v/>
      </c>
    </row>
    <row r="505" spans="2:15" ht="15" customHeight="1" x14ac:dyDescent="0.4">
      <c r="B505" s="10">
        <v>829</v>
      </c>
      <c r="C505" s="34"/>
      <c r="D505" s="77"/>
      <c r="E505" s="77"/>
      <c r="F505" s="77"/>
      <c r="G505" s="77"/>
      <c r="H505" s="91"/>
      <c r="I505" s="89"/>
      <c r="J505" s="77"/>
      <c r="K505" s="110"/>
      <c r="L505" s="107"/>
      <c r="M505" s="109"/>
      <c r="N505" s="11" t="str">
        <f t="shared" si="14"/>
        <v/>
      </c>
      <c r="O505" s="32" t="str">
        <f t="shared" si="15"/>
        <v/>
      </c>
    </row>
    <row r="506" spans="2:15" ht="15" customHeight="1" x14ac:dyDescent="0.4">
      <c r="B506" s="10">
        <v>830</v>
      </c>
      <c r="C506" s="34"/>
      <c r="D506" s="77"/>
      <c r="E506" s="77"/>
      <c r="F506" s="77"/>
      <c r="G506" s="77"/>
      <c r="H506" s="91"/>
      <c r="I506" s="89"/>
      <c r="J506" s="77"/>
      <c r="K506" s="110"/>
      <c r="L506" s="107"/>
      <c r="M506" s="109"/>
      <c r="N506" s="11" t="str">
        <f t="shared" si="14"/>
        <v/>
      </c>
      <c r="O506" s="32" t="str">
        <f t="shared" si="15"/>
        <v/>
      </c>
    </row>
    <row r="507" spans="2:15" ht="15" customHeight="1" x14ac:dyDescent="0.4">
      <c r="B507" s="10">
        <v>831</v>
      </c>
      <c r="C507" s="34"/>
      <c r="D507" s="77"/>
      <c r="E507" s="77"/>
      <c r="F507" s="77"/>
      <c r="G507" s="77"/>
      <c r="H507" s="91"/>
      <c r="I507" s="89"/>
      <c r="J507" s="77"/>
      <c r="K507" s="110"/>
      <c r="L507" s="107"/>
      <c r="M507" s="109"/>
      <c r="N507" s="11" t="str">
        <f t="shared" si="14"/>
        <v/>
      </c>
      <c r="O507" s="32" t="str">
        <f t="shared" si="15"/>
        <v/>
      </c>
    </row>
    <row r="508" spans="2:15" ht="15" customHeight="1" x14ac:dyDescent="0.4">
      <c r="B508" s="10">
        <v>832</v>
      </c>
      <c r="C508" s="34"/>
      <c r="D508" s="77"/>
      <c r="E508" s="77"/>
      <c r="F508" s="77"/>
      <c r="G508" s="77"/>
      <c r="H508" s="91"/>
      <c r="I508" s="89"/>
      <c r="J508" s="77"/>
      <c r="K508" s="110"/>
      <c r="L508" s="107"/>
      <c r="M508" s="109"/>
      <c r="N508" s="11" t="str">
        <f t="shared" si="14"/>
        <v/>
      </c>
      <c r="O508" s="32" t="str">
        <f t="shared" si="15"/>
        <v/>
      </c>
    </row>
    <row r="509" spans="2:15" ht="15" customHeight="1" x14ac:dyDescent="0.4">
      <c r="B509" s="10">
        <v>833</v>
      </c>
      <c r="C509" s="34"/>
      <c r="D509" s="77"/>
      <c r="E509" s="77"/>
      <c r="F509" s="77"/>
      <c r="G509" s="77"/>
      <c r="H509" s="91"/>
      <c r="I509" s="89"/>
      <c r="J509" s="77"/>
      <c r="K509" s="110"/>
      <c r="L509" s="107"/>
      <c r="M509" s="109"/>
      <c r="N509" s="11" t="str">
        <f t="shared" ref="N509:N572" si="16">IF(OR(M509="", K509=""),"", M509- K509)</f>
        <v/>
      </c>
      <c r="O509" s="32" t="str">
        <f t="shared" si="15"/>
        <v/>
      </c>
    </row>
    <row r="510" spans="2:15" ht="15" customHeight="1" x14ac:dyDescent="0.4">
      <c r="B510" s="10">
        <v>834</v>
      </c>
      <c r="C510" s="34"/>
      <c r="D510" s="77"/>
      <c r="E510" s="77"/>
      <c r="F510" s="77"/>
      <c r="G510" s="77"/>
      <c r="H510" s="91"/>
      <c r="I510" s="89"/>
      <c r="J510" s="77"/>
      <c r="K510" s="110"/>
      <c r="L510" s="107"/>
      <c r="M510" s="109"/>
      <c r="N510" s="11" t="str">
        <f t="shared" si="16"/>
        <v/>
      </c>
      <c r="O510" s="32" t="str">
        <f t="shared" ref="O510:O573" si="17">IF(OR(M510="", K510="", L510=""), "", IF((M510 - K510) &gt; L510, "No", "Yes"))</f>
        <v/>
      </c>
    </row>
    <row r="511" spans="2:15" ht="15" customHeight="1" x14ac:dyDescent="0.4">
      <c r="B511" s="10">
        <v>835</v>
      </c>
      <c r="C511" s="34"/>
      <c r="D511" s="77"/>
      <c r="E511" s="77"/>
      <c r="F511" s="77"/>
      <c r="G511" s="77"/>
      <c r="H511" s="91"/>
      <c r="I511" s="89"/>
      <c r="J511" s="77"/>
      <c r="K511" s="110"/>
      <c r="L511" s="107"/>
      <c r="M511" s="109"/>
      <c r="N511" s="11" t="str">
        <f t="shared" si="16"/>
        <v/>
      </c>
      <c r="O511" s="32" t="str">
        <f t="shared" si="17"/>
        <v/>
      </c>
    </row>
    <row r="512" spans="2:15" ht="15" customHeight="1" x14ac:dyDescent="0.4">
      <c r="B512" s="10">
        <v>836</v>
      </c>
      <c r="C512" s="34"/>
      <c r="D512" s="77"/>
      <c r="E512" s="77"/>
      <c r="F512" s="77"/>
      <c r="G512" s="77"/>
      <c r="H512" s="91"/>
      <c r="I512" s="89"/>
      <c r="J512" s="77"/>
      <c r="K512" s="110"/>
      <c r="L512" s="107"/>
      <c r="M512" s="109"/>
      <c r="N512" s="11" t="str">
        <f t="shared" si="16"/>
        <v/>
      </c>
      <c r="O512" s="32" t="str">
        <f t="shared" si="17"/>
        <v/>
      </c>
    </row>
    <row r="513" spans="2:15" ht="15" customHeight="1" x14ac:dyDescent="0.4">
      <c r="B513" s="10">
        <v>837</v>
      </c>
      <c r="C513" s="34"/>
      <c r="D513" s="77"/>
      <c r="E513" s="77"/>
      <c r="F513" s="77"/>
      <c r="G513" s="77"/>
      <c r="H513" s="91"/>
      <c r="I513" s="89"/>
      <c r="J513" s="77"/>
      <c r="K513" s="110"/>
      <c r="L513" s="107"/>
      <c r="M513" s="109"/>
      <c r="N513" s="11" t="str">
        <f t="shared" si="16"/>
        <v/>
      </c>
      <c r="O513" s="32" t="str">
        <f t="shared" si="17"/>
        <v/>
      </c>
    </row>
    <row r="514" spans="2:15" ht="15" customHeight="1" x14ac:dyDescent="0.4">
      <c r="B514" s="10">
        <v>838</v>
      </c>
      <c r="C514" s="34"/>
      <c r="D514" s="77"/>
      <c r="E514" s="77"/>
      <c r="F514" s="77"/>
      <c r="G514" s="77"/>
      <c r="H514" s="91"/>
      <c r="I514" s="89"/>
      <c r="J514" s="77"/>
      <c r="K514" s="110"/>
      <c r="L514" s="107"/>
      <c r="M514" s="109"/>
      <c r="N514" s="11" t="str">
        <f t="shared" si="16"/>
        <v/>
      </c>
      <c r="O514" s="32" t="str">
        <f t="shared" si="17"/>
        <v/>
      </c>
    </row>
    <row r="515" spans="2:15" ht="15" customHeight="1" x14ac:dyDescent="0.4">
      <c r="B515" s="10">
        <v>839</v>
      </c>
      <c r="C515" s="34"/>
      <c r="D515" s="77"/>
      <c r="E515" s="77"/>
      <c r="F515" s="77"/>
      <c r="G515" s="77"/>
      <c r="H515" s="91"/>
      <c r="I515" s="89"/>
      <c r="J515" s="77"/>
      <c r="K515" s="110"/>
      <c r="L515" s="107"/>
      <c r="M515" s="109"/>
      <c r="N515" s="11" t="str">
        <f t="shared" si="16"/>
        <v/>
      </c>
      <c r="O515" s="32" t="str">
        <f t="shared" si="17"/>
        <v/>
      </c>
    </row>
    <row r="516" spans="2:15" ht="15" customHeight="1" x14ac:dyDescent="0.4">
      <c r="B516" s="10">
        <v>840</v>
      </c>
      <c r="C516" s="34"/>
      <c r="D516" s="77"/>
      <c r="E516" s="77"/>
      <c r="F516" s="77"/>
      <c r="G516" s="77"/>
      <c r="H516" s="91"/>
      <c r="I516" s="89"/>
      <c r="J516" s="77"/>
      <c r="K516" s="110"/>
      <c r="L516" s="107"/>
      <c r="M516" s="109"/>
      <c r="N516" s="11" t="str">
        <f t="shared" si="16"/>
        <v/>
      </c>
      <c r="O516" s="32" t="str">
        <f t="shared" si="17"/>
        <v/>
      </c>
    </row>
    <row r="517" spans="2:15" ht="15" customHeight="1" x14ac:dyDescent="0.4">
      <c r="B517" s="10">
        <v>841</v>
      </c>
      <c r="C517" s="34"/>
      <c r="D517" s="77"/>
      <c r="E517" s="77"/>
      <c r="F517" s="77"/>
      <c r="G517" s="77"/>
      <c r="H517" s="91"/>
      <c r="I517" s="89"/>
      <c r="J517" s="77"/>
      <c r="K517" s="110"/>
      <c r="L517" s="107"/>
      <c r="M517" s="109"/>
      <c r="N517" s="11" t="str">
        <f t="shared" si="16"/>
        <v/>
      </c>
      <c r="O517" s="32" t="str">
        <f t="shared" si="17"/>
        <v/>
      </c>
    </row>
    <row r="518" spans="2:15" ht="15" customHeight="1" x14ac:dyDescent="0.4">
      <c r="B518" s="10">
        <v>842</v>
      </c>
      <c r="C518" s="34"/>
      <c r="D518" s="77"/>
      <c r="E518" s="77"/>
      <c r="F518" s="77"/>
      <c r="G518" s="77"/>
      <c r="H518" s="91"/>
      <c r="I518" s="89"/>
      <c r="J518" s="77"/>
      <c r="K518" s="110"/>
      <c r="L518" s="107"/>
      <c r="M518" s="109"/>
      <c r="N518" s="11" t="str">
        <f t="shared" si="16"/>
        <v/>
      </c>
      <c r="O518" s="32" t="str">
        <f t="shared" si="17"/>
        <v/>
      </c>
    </row>
    <row r="519" spans="2:15" ht="15" customHeight="1" x14ac:dyDescent="0.4">
      <c r="B519" s="10">
        <v>843</v>
      </c>
      <c r="C519" s="34"/>
      <c r="D519" s="77"/>
      <c r="E519" s="77"/>
      <c r="F519" s="77"/>
      <c r="G519" s="77"/>
      <c r="H519" s="91"/>
      <c r="I519" s="89"/>
      <c r="J519" s="77"/>
      <c r="K519" s="110"/>
      <c r="L519" s="107"/>
      <c r="M519" s="109"/>
      <c r="N519" s="11" t="str">
        <f t="shared" si="16"/>
        <v/>
      </c>
      <c r="O519" s="32" t="str">
        <f t="shared" si="17"/>
        <v/>
      </c>
    </row>
    <row r="520" spans="2:15" ht="15" customHeight="1" x14ac:dyDescent="0.4">
      <c r="B520" s="10">
        <v>844</v>
      </c>
      <c r="C520" s="34"/>
      <c r="D520" s="77"/>
      <c r="E520" s="77"/>
      <c r="F520" s="77"/>
      <c r="G520" s="77"/>
      <c r="H520" s="91"/>
      <c r="I520" s="89"/>
      <c r="J520" s="77"/>
      <c r="K520" s="110"/>
      <c r="L520" s="107"/>
      <c r="M520" s="109"/>
      <c r="N520" s="11" t="str">
        <f t="shared" si="16"/>
        <v/>
      </c>
      <c r="O520" s="32" t="str">
        <f t="shared" si="17"/>
        <v/>
      </c>
    </row>
    <row r="521" spans="2:15" ht="25.5" customHeight="1" x14ac:dyDescent="0.4">
      <c r="B521" s="10">
        <v>845</v>
      </c>
      <c r="C521" s="34"/>
      <c r="D521" s="77"/>
      <c r="E521" s="77"/>
      <c r="F521" s="77"/>
      <c r="G521" s="77"/>
      <c r="H521" s="95"/>
      <c r="I521" s="89"/>
      <c r="J521" s="77"/>
      <c r="K521" s="110"/>
      <c r="L521" s="107"/>
      <c r="M521" s="109"/>
      <c r="N521" s="11" t="str">
        <f t="shared" si="16"/>
        <v/>
      </c>
      <c r="O521" s="32" t="str">
        <f t="shared" si="17"/>
        <v/>
      </c>
    </row>
    <row r="522" spans="2:15" ht="15" customHeight="1" x14ac:dyDescent="0.4">
      <c r="B522" s="10">
        <v>846</v>
      </c>
      <c r="C522" s="34"/>
      <c r="D522" s="77"/>
      <c r="E522" s="77"/>
      <c r="F522" s="77"/>
      <c r="G522" s="77"/>
      <c r="H522" s="91"/>
      <c r="I522" s="89"/>
      <c r="J522" s="77"/>
      <c r="K522" s="110"/>
      <c r="L522" s="107"/>
      <c r="M522" s="109"/>
      <c r="N522" s="11" t="str">
        <f t="shared" si="16"/>
        <v/>
      </c>
      <c r="O522" s="32" t="str">
        <f t="shared" si="17"/>
        <v/>
      </c>
    </row>
    <row r="523" spans="2:15" ht="15" customHeight="1" x14ac:dyDescent="0.4">
      <c r="B523" s="10">
        <v>847</v>
      </c>
      <c r="C523" s="34"/>
      <c r="D523" s="77"/>
      <c r="E523" s="77"/>
      <c r="F523" s="77"/>
      <c r="G523" s="77"/>
      <c r="H523" s="91"/>
      <c r="I523" s="89"/>
      <c r="J523" s="77"/>
      <c r="K523" s="110"/>
      <c r="L523" s="107"/>
      <c r="M523" s="109"/>
      <c r="N523" s="11" t="str">
        <f t="shared" si="16"/>
        <v/>
      </c>
      <c r="O523" s="32" t="str">
        <f t="shared" si="17"/>
        <v/>
      </c>
    </row>
    <row r="524" spans="2:15" ht="15" customHeight="1" x14ac:dyDescent="0.4">
      <c r="B524" s="10">
        <v>848</v>
      </c>
      <c r="C524" s="34"/>
      <c r="D524" s="83"/>
      <c r="E524" s="77"/>
      <c r="F524" s="77"/>
      <c r="G524" s="77"/>
      <c r="H524" s="94"/>
      <c r="I524" s="89"/>
      <c r="J524" s="77"/>
      <c r="K524" s="110"/>
      <c r="L524" s="107"/>
      <c r="M524" s="109"/>
      <c r="N524" s="11" t="str">
        <f t="shared" si="16"/>
        <v/>
      </c>
      <c r="O524" s="32" t="str">
        <f t="shared" si="17"/>
        <v/>
      </c>
    </row>
    <row r="525" spans="2:15" ht="15" customHeight="1" x14ac:dyDescent="0.4">
      <c r="B525" s="10">
        <v>849</v>
      </c>
      <c r="C525" s="34"/>
      <c r="D525" s="83"/>
      <c r="E525" s="77"/>
      <c r="F525" s="77"/>
      <c r="G525" s="77"/>
      <c r="H525" s="91"/>
      <c r="I525" s="89"/>
      <c r="J525" s="77"/>
      <c r="K525" s="110"/>
      <c r="L525" s="107"/>
      <c r="M525" s="109"/>
      <c r="N525" s="11" t="str">
        <f t="shared" si="16"/>
        <v/>
      </c>
      <c r="O525" s="32" t="str">
        <f t="shared" si="17"/>
        <v/>
      </c>
    </row>
    <row r="526" spans="2:15" ht="15" customHeight="1" x14ac:dyDescent="0.4">
      <c r="B526" s="10">
        <v>850</v>
      </c>
      <c r="C526" s="34"/>
      <c r="D526" s="77"/>
      <c r="E526" s="77"/>
      <c r="F526" s="77"/>
      <c r="G526" s="77"/>
      <c r="H526" s="91"/>
      <c r="I526" s="89"/>
      <c r="J526" s="77"/>
      <c r="K526" s="110"/>
      <c r="L526" s="107"/>
      <c r="M526" s="109"/>
      <c r="N526" s="11" t="str">
        <f t="shared" si="16"/>
        <v/>
      </c>
      <c r="O526" s="32" t="str">
        <f t="shared" si="17"/>
        <v/>
      </c>
    </row>
    <row r="527" spans="2:15" ht="15" customHeight="1" x14ac:dyDescent="0.4">
      <c r="B527" s="10">
        <v>851</v>
      </c>
      <c r="C527" s="34"/>
      <c r="D527" s="77"/>
      <c r="E527" s="77"/>
      <c r="F527" s="77"/>
      <c r="G527" s="77"/>
      <c r="H527" s="91"/>
      <c r="I527" s="89"/>
      <c r="J527" s="77"/>
      <c r="K527" s="110"/>
      <c r="L527" s="107"/>
      <c r="M527" s="109"/>
      <c r="N527" s="11" t="str">
        <f t="shared" si="16"/>
        <v/>
      </c>
      <c r="O527" s="32" t="str">
        <f t="shared" si="17"/>
        <v/>
      </c>
    </row>
    <row r="528" spans="2:15" ht="15" customHeight="1" x14ac:dyDescent="0.4">
      <c r="B528" s="10">
        <v>852</v>
      </c>
      <c r="C528" s="34"/>
      <c r="D528" s="77"/>
      <c r="E528" s="77"/>
      <c r="F528" s="77"/>
      <c r="G528" s="77"/>
      <c r="H528" s="96"/>
      <c r="I528" s="89"/>
      <c r="J528" s="77"/>
      <c r="K528" s="110"/>
      <c r="L528" s="107"/>
      <c r="M528" s="109"/>
      <c r="N528" s="11" t="str">
        <f t="shared" si="16"/>
        <v/>
      </c>
      <c r="O528" s="32" t="str">
        <f t="shared" si="17"/>
        <v/>
      </c>
    </row>
    <row r="529" spans="2:15" ht="15" customHeight="1" x14ac:dyDescent="0.4">
      <c r="B529" s="10">
        <v>853</v>
      </c>
      <c r="C529" s="34"/>
      <c r="D529" s="77"/>
      <c r="E529" s="77"/>
      <c r="F529" s="77"/>
      <c r="G529" s="77"/>
      <c r="H529" s="91"/>
      <c r="I529" s="89"/>
      <c r="J529" s="77"/>
      <c r="K529" s="110"/>
      <c r="L529" s="107"/>
      <c r="M529" s="109"/>
      <c r="N529" s="11" t="str">
        <f t="shared" si="16"/>
        <v/>
      </c>
      <c r="O529" s="32" t="str">
        <f t="shared" si="17"/>
        <v/>
      </c>
    </row>
    <row r="530" spans="2:15" ht="15" customHeight="1" x14ac:dyDescent="0.4">
      <c r="B530" s="10">
        <v>854</v>
      </c>
      <c r="C530" s="34"/>
      <c r="D530" s="77"/>
      <c r="E530" s="77"/>
      <c r="F530" s="77"/>
      <c r="G530" s="77"/>
      <c r="H530" s="91"/>
      <c r="I530" s="89"/>
      <c r="J530" s="77"/>
      <c r="K530" s="110"/>
      <c r="L530" s="107"/>
      <c r="M530" s="109"/>
      <c r="N530" s="11" t="str">
        <f t="shared" si="16"/>
        <v/>
      </c>
      <c r="O530" s="32" t="str">
        <f t="shared" si="17"/>
        <v/>
      </c>
    </row>
    <row r="531" spans="2:15" ht="15" customHeight="1" x14ac:dyDescent="0.4">
      <c r="B531" s="10">
        <v>855</v>
      </c>
      <c r="C531" s="34"/>
      <c r="D531" s="77"/>
      <c r="E531" s="77"/>
      <c r="F531" s="77"/>
      <c r="G531" s="77"/>
      <c r="H531" s="91"/>
      <c r="I531" s="89"/>
      <c r="J531" s="77"/>
      <c r="K531" s="110"/>
      <c r="L531" s="107"/>
      <c r="M531" s="109"/>
      <c r="N531" s="11" t="str">
        <f t="shared" si="16"/>
        <v/>
      </c>
      <c r="O531" s="32" t="str">
        <f t="shared" si="17"/>
        <v/>
      </c>
    </row>
    <row r="532" spans="2:15" ht="15" customHeight="1" x14ac:dyDescent="0.4">
      <c r="B532" s="10">
        <v>856</v>
      </c>
      <c r="C532" s="34"/>
      <c r="D532" s="77"/>
      <c r="E532" s="77"/>
      <c r="F532" s="77"/>
      <c r="G532" s="77"/>
      <c r="H532" s="91"/>
      <c r="I532" s="89"/>
      <c r="J532" s="77"/>
      <c r="K532" s="110"/>
      <c r="L532" s="107"/>
      <c r="M532" s="109"/>
      <c r="N532" s="11" t="str">
        <f t="shared" si="16"/>
        <v/>
      </c>
      <c r="O532" s="32" t="str">
        <f t="shared" si="17"/>
        <v/>
      </c>
    </row>
    <row r="533" spans="2:15" ht="15" customHeight="1" x14ac:dyDescent="0.4">
      <c r="B533" s="10">
        <v>857</v>
      </c>
      <c r="C533" s="34"/>
      <c r="D533" s="77"/>
      <c r="E533" s="77"/>
      <c r="F533" s="77"/>
      <c r="G533" s="77"/>
      <c r="H533" s="91"/>
      <c r="I533" s="89"/>
      <c r="J533" s="77"/>
      <c r="K533" s="110"/>
      <c r="L533" s="107"/>
      <c r="M533" s="109"/>
      <c r="N533" s="11" t="str">
        <f t="shared" si="16"/>
        <v/>
      </c>
      <c r="O533" s="32" t="str">
        <f t="shared" si="17"/>
        <v/>
      </c>
    </row>
    <row r="534" spans="2:15" ht="15" customHeight="1" x14ac:dyDescent="0.4">
      <c r="B534" s="10">
        <v>858</v>
      </c>
      <c r="C534" s="34"/>
      <c r="D534" s="77"/>
      <c r="E534" s="77"/>
      <c r="F534" s="77"/>
      <c r="G534" s="77"/>
      <c r="H534" s="97"/>
      <c r="I534" s="89"/>
      <c r="J534" s="77"/>
      <c r="K534" s="110"/>
      <c r="L534" s="107"/>
      <c r="M534" s="109"/>
      <c r="N534" s="11" t="str">
        <f t="shared" si="16"/>
        <v/>
      </c>
      <c r="O534" s="32" t="str">
        <f t="shared" si="17"/>
        <v/>
      </c>
    </row>
    <row r="535" spans="2:15" ht="15" customHeight="1" x14ac:dyDescent="0.4">
      <c r="B535" s="10">
        <v>859</v>
      </c>
      <c r="C535" s="34"/>
      <c r="D535" s="77"/>
      <c r="E535" s="77"/>
      <c r="F535" s="77"/>
      <c r="G535" s="77"/>
      <c r="H535" s="97"/>
      <c r="I535" s="89"/>
      <c r="J535" s="77"/>
      <c r="K535" s="110"/>
      <c r="L535" s="107"/>
      <c r="M535" s="109"/>
      <c r="N535" s="11" t="str">
        <f t="shared" si="16"/>
        <v/>
      </c>
      <c r="O535" s="32" t="str">
        <f t="shared" si="17"/>
        <v/>
      </c>
    </row>
    <row r="536" spans="2:15" ht="15" customHeight="1" x14ac:dyDescent="0.4">
      <c r="B536" s="10">
        <v>860</v>
      </c>
      <c r="C536" s="34"/>
      <c r="D536" s="77"/>
      <c r="E536" s="77"/>
      <c r="F536" s="77"/>
      <c r="G536" s="77"/>
      <c r="H536" s="97"/>
      <c r="I536" s="89"/>
      <c r="J536" s="77"/>
      <c r="K536" s="110"/>
      <c r="L536" s="107"/>
      <c r="M536" s="109"/>
      <c r="N536" s="11" t="str">
        <f t="shared" si="16"/>
        <v/>
      </c>
      <c r="O536" s="32" t="str">
        <f t="shared" si="17"/>
        <v/>
      </c>
    </row>
    <row r="537" spans="2:15" ht="15" customHeight="1" x14ac:dyDescent="0.4">
      <c r="B537" s="10">
        <v>861</v>
      </c>
      <c r="C537" s="34"/>
      <c r="D537" s="77"/>
      <c r="E537" s="77"/>
      <c r="F537" s="77"/>
      <c r="G537" s="77"/>
      <c r="H537" s="98"/>
      <c r="I537" s="89"/>
      <c r="J537" s="77"/>
      <c r="K537" s="110"/>
      <c r="L537" s="107"/>
      <c r="M537" s="109"/>
      <c r="N537" s="11" t="str">
        <f t="shared" si="16"/>
        <v/>
      </c>
      <c r="O537" s="32" t="str">
        <f t="shared" si="17"/>
        <v/>
      </c>
    </row>
    <row r="538" spans="2:15" ht="15" customHeight="1" x14ac:dyDescent="0.4">
      <c r="B538" s="10">
        <v>862</v>
      </c>
      <c r="C538" s="34"/>
      <c r="D538" s="77"/>
      <c r="E538" s="77"/>
      <c r="F538" s="77"/>
      <c r="G538" s="77"/>
      <c r="H538" s="97"/>
      <c r="I538" s="89"/>
      <c r="J538" s="77"/>
      <c r="K538" s="110"/>
      <c r="L538" s="107"/>
      <c r="M538" s="109"/>
      <c r="N538" s="11" t="str">
        <f t="shared" si="16"/>
        <v/>
      </c>
      <c r="O538" s="32" t="str">
        <f t="shared" si="17"/>
        <v/>
      </c>
    </row>
    <row r="539" spans="2:15" ht="15" customHeight="1" x14ac:dyDescent="0.4">
      <c r="B539" s="10">
        <v>863</v>
      </c>
      <c r="C539" s="34"/>
      <c r="D539" s="77"/>
      <c r="E539" s="77"/>
      <c r="F539" s="77"/>
      <c r="G539" s="77"/>
      <c r="H539" s="97"/>
      <c r="I539" s="89"/>
      <c r="J539" s="77"/>
      <c r="K539" s="110"/>
      <c r="L539" s="107"/>
      <c r="M539" s="109"/>
      <c r="N539" s="11" t="str">
        <f t="shared" si="16"/>
        <v/>
      </c>
      <c r="O539" s="32" t="str">
        <f t="shared" si="17"/>
        <v/>
      </c>
    </row>
    <row r="540" spans="2:15" ht="15" customHeight="1" x14ac:dyDescent="0.4">
      <c r="B540" s="10">
        <v>864</v>
      </c>
      <c r="C540" s="34"/>
      <c r="D540" s="77"/>
      <c r="E540" s="77"/>
      <c r="F540" s="77"/>
      <c r="G540" s="77"/>
      <c r="H540" s="91"/>
      <c r="I540" s="89"/>
      <c r="J540" s="77"/>
      <c r="K540" s="110"/>
      <c r="L540" s="107"/>
      <c r="M540" s="109"/>
      <c r="N540" s="11" t="str">
        <f t="shared" si="16"/>
        <v/>
      </c>
      <c r="O540" s="32" t="str">
        <f t="shared" si="17"/>
        <v/>
      </c>
    </row>
    <row r="541" spans="2:15" ht="15" customHeight="1" x14ac:dyDescent="0.35">
      <c r="B541" s="10">
        <v>865</v>
      </c>
      <c r="C541" s="34"/>
      <c r="D541" s="77"/>
      <c r="E541" s="77"/>
      <c r="F541" s="77"/>
      <c r="G541" s="77"/>
      <c r="H541" s="99"/>
      <c r="I541" s="89"/>
      <c r="J541" s="77"/>
      <c r="K541" s="110"/>
      <c r="L541" s="107"/>
      <c r="M541" s="109"/>
      <c r="N541" s="11" t="str">
        <f t="shared" si="16"/>
        <v/>
      </c>
      <c r="O541" s="32" t="str">
        <f t="shared" si="17"/>
        <v/>
      </c>
    </row>
    <row r="542" spans="2:15" ht="15" customHeight="1" x14ac:dyDescent="0.35">
      <c r="B542" s="10">
        <v>866</v>
      </c>
      <c r="C542" s="34"/>
      <c r="D542" s="77"/>
      <c r="E542" s="77"/>
      <c r="F542" s="77"/>
      <c r="G542" s="77"/>
      <c r="H542" s="99"/>
      <c r="I542" s="89"/>
      <c r="J542" s="77"/>
      <c r="K542" s="110"/>
      <c r="L542" s="107"/>
      <c r="M542" s="109"/>
      <c r="N542" s="11" t="str">
        <f t="shared" si="16"/>
        <v/>
      </c>
      <c r="O542" s="32" t="str">
        <f t="shared" si="17"/>
        <v/>
      </c>
    </row>
    <row r="543" spans="2:15" ht="15" customHeight="1" x14ac:dyDescent="0.35">
      <c r="B543" s="10">
        <v>867</v>
      </c>
      <c r="C543" s="34"/>
      <c r="D543" s="77"/>
      <c r="E543" s="77"/>
      <c r="F543" s="77"/>
      <c r="G543" s="77"/>
      <c r="H543" s="99"/>
      <c r="I543" s="89"/>
      <c r="J543" s="77"/>
      <c r="K543" s="110"/>
      <c r="L543" s="107"/>
      <c r="M543" s="109"/>
      <c r="N543" s="11" t="str">
        <f t="shared" si="16"/>
        <v/>
      </c>
      <c r="O543" s="32" t="str">
        <f t="shared" si="17"/>
        <v/>
      </c>
    </row>
    <row r="544" spans="2:15" ht="15" customHeight="1" x14ac:dyDescent="0.35">
      <c r="B544" s="10">
        <v>868</v>
      </c>
      <c r="C544" s="34"/>
      <c r="D544" s="77"/>
      <c r="E544" s="77"/>
      <c r="F544" s="77"/>
      <c r="G544" s="77"/>
      <c r="H544" s="99"/>
      <c r="I544" s="89"/>
      <c r="J544" s="77"/>
      <c r="K544" s="110"/>
      <c r="L544" s="107"/>
      <c r="M544" s="109"/>
      <c r="N544" s="11" t="str">
        <f t="shared" si="16"/>
        <v/>
      </c>
      <c r="O544" s="32" t="str">
        <f t="shared" si="17"/>
        <v/>
      </c>
    </row>
    <row r="545" spans="2:15" ht="15" customHeight="1" x14ac:dyDescent="0.35">
      <c r="B545" s="10">
        <v>869</v>
      </c>
      <c r="C545" s="34"/>
      <c r="D545" s="77"/>
      <c r="E545" s="77"/>
      <c r="F545" s="77"/>
      <c r="G545" s="77"/>
      <c r="H545" s="99"/>
      <c r="I545" s="89"/>
      <c r="J545" s="77"/>
      <c r="K545" s="110"/>
      <c r="L545" s="107"/>
      <c r="M545" s="109"/>
      <c r="N545" s="11" t="str">
        <f t="shared" si="16"/>
        <v/>
      </c>
      <c r="O545" s="32" t="str">
        <f t="shared" si="17"/>
        <v/>
      </c>
    </row>
    <row r="546" spans="2:15" ht="15" customHeight="1" x14ac:dyDescent="0.35">
      <c r="B546" s="10">
        <v>870</v>
      </c>
      <c r="C546" s="34"/>
      <c r="D546" s="77"/>
      <c r="E546" s="77"/>
      <c r="F546" s="77"/>
      <c r="G546" s="77"/>
      <c r="H546" s="99"/>
      <c r="I546" s="89"/>
      <c r="J546" s="77"/>
      <c r="K546" s="110"/>
      <c r="L546" s="107"/>
      <c r="M546" s="109"/>
      <c r="N546" s="11" t="str">
        <f t="shared" si="16"/>
        <v/>
      </c>
      <c r="O546" s="32" t="str">
        <f t="shared" si="17"/>
        <v/>
      </c>
    </row>
    <row r="547" spans="2:15" ht="15" customHeight="1" x14ac:dyDescent="0.35">
      <c r="B547" s="10">
        <v>871</v>
      </c>
      <c r="C547" s="34"/>
      <c r="D547" s="77"/>
      <c r="E547" s="77"/>
      <c r="F547" s="77"/>
      <c r="G547" s="77"/>
      <c r="H547" s="99"/>
      <c r="I547" s="89"/>
      <c r="J547" s="77"/>
      <c r="K547" s="110"/>
      <c r="L547" s="107"/>
      <c r="M547" s="109"/>
      <c r="N547" s="11" t="str">
        <f t="shared" si="16"/>
        <v/>
      </c>
      <c r="O547" s="32" t="str">
        <f t="shared" si="17"/>
        <v/>
      </c>
    </row>
    <row r="548" spans="2:15" ht="15" customHeight="1" x14ac:dyDescent="0.35">
      <c r="B548" s="10">
        <v>872</v>
      </c>
      <c r="C548" s="34"/>
      <c r="D548" s="77"/>
      <c r="E548" s="77"/>
      <c r="F548" s="77"/>
      <c r="G548" s="77"/>
      <c r="H548" s="99"/>
      <c r="I548" s="89"/>
      <c r="J548" s="77"/>
      <c r="K548" s="110"/>
      <c r="L548" s="107"/>
      <c r="M548" s="109"/>
      <c r="N548" s="11" t="str">
        <f t="shared" si="16"/>
        <v/>
      </c>
      <c r="O548" s="32" t="str">
        <f t="shared" si="17"/>
        <v/>
      </c>
    </row>
    <row r="549" spans="2:15" ht="15" customHeight="1" x14ac:dyDescent="0.35">
      <c r="B549" s="10">
        <v>873</v>
      </c>
      <c r="C549" s="34"/>
      <c r="D549" s="77"/>
      <c r="E549" s="77"/>
      <c r="F549" s="77"/>
      <c r="G549" s="77"/>
      <c r="H549" s="99"/>
      <c r="I549" s="89"/>
      <c r="J549" s="77"/>
      <c r="K549" s="110"/>
      <c r="L549" s="107"/>
      <c r="M549" s="109"/>
      <c r="N549" s="11" t="str">
        <f t="shared" si="16"/>
        <v/>
      </c>
      <c r="O549" s="32" t="str">
        <f t="shared" si="17"/>
        <v/>
      </c>
    </row>
    <row r="550" spans="2:15" ht="15" customHeight="1" x14ac:dyDescent="0.35">
      <c r="B550" s="10">
        <v>874</v>
      </c>
      <c r="C550" s="34"/>
      <c r="D550" s="77"/>
      <c r="E550" s="77"/>
      <c r="F550" s="77"/>
      <c r="G550" s="77"/>
      <c r="H550" s="99"/>
      <c r="I550" s="89"/>
      <c r="J550" s="77"/>
      <c r="K550" s="110"/>
      <c r="L550" s="107"/>
      <c r="M550" s="109"/>
      <c r="N550" s="11" t="str">
        <f t="shared" si="16"/>
        <v/>
      </c>
      <c r="O550" s="32" t="str">
        <f t="shared" si="17"/>
        <v/>
      </c>
    </row>
    <row r="551" spans="2:15" ht="15" customHeight="1" x14ac:dyDescent="0.35">
      <c r="B551" s="10">
        <v>875</v>
      </c>
      <c r="C551" s="34"/>
      <c r="D551" s="77"/>
      <c r="E551" s="77"/>
      <c r="F551" s="77"/>
      <c r="G551" s="77"/>
      <c r="H551" s="99"/>
      <c r="I551" s="89"/>
      <c r="J551" s="77"/>
      <c r="K551" s="110"/>
      <c r="L551" s="107"/>
      <c r="M551" s="109"/>
      <c r="N551" s="11" t="str">
        <f t="shared" si="16"/>
        <v/>
      </c>
      <c r="O551" s="32" t="str">
        <f t="shared" si="17"/>
        <v/>
      </c>
    </row>
    <row r="552" spans="2:15" ht="15" customHeight="1" x14ac:dyDescent="0.4">
      <c r="B552" s="10">
        <v>876</v>
      </c>
      <c r="C552" s="34"/>
      <c r="D552" s="77"/>
      <c r="E552" s="77"/>
      <c r="F552" s="77"/>
      <c r="G552" s="77"/>
      <c r="H552" s="91"/>
      <c r="I552" s="89"/>
      <c r="J552" s="77"/>
      <c r="K552" s="110"/>
      <c r="L552" s="107"/>
      <c r="M552" s="109"/>
      <c r="N552" s="11" t="str">
        <f t="shared" si="16"/>
        <v/>
      </c>
      <c r="O552" s="32" t="str">
        <f t="shared" si="17"/>
        <v/>
      </c>
    </row>
    <row r="553" spans="2:15" ht="15" customHeight="1" x14ac:dyDescent="0.35">
      <c r="B553" s="10">
        <v>877</v>
      </c>
      <c r="C553" s="34"/>
      <c r="D553" s="77"/>
      <c r="E553" s="77"/>
      <c r="F553" s="77"/>
      <c r="G553" s="77"/>
      <c r="H553" s="99"/>
      <c r="I553" s="89"/>
      <c r="J553" s="77"/>
      <c r="K553" s="110"/>
      <c r="L553" s="107"/>
      <c r="M553" s="109"/>
      <c r="N553" s="11" t="str">
        <f t="shared" si="16"/>
        <v/>
      </c>
      <c r="O553" s="32" t="str">
        <f t="shared" si="17"/>
        <v/>
      </c>
    </row>
    <row r="554" spans="2:15" ht="15" customHeight="1" x14ac:dyDescent="0.35">
      <c r="B554" s="10">
        <v>878</v>
      </c>
      <c r="C554" s="34"/>
      <c r="D554" s="77"/>
      <c r="E554" s="77"/>
      <c r="F554" s="77"/>
      <c r="G554" s="77"/>
      <c r="H554" s="99"/>
      <c r="I554" s="89"/>
      <c r="J554" s="77"/>
      <c r="K554" s="110"/>
      <c r="L554" s="107"/>
      <c r="M554" s="109"/>
      <c r="N554" s="11" t="str">
        <f t="shared" si="16"/>
        <v/>
      </c>
      <c r="O554" s="32" t="str">
        <f t="shared" si="17"/>
        <v/>
      </c>
    </row>
    <row r="555" spans="2:15" ht="15" customHeight="1" x14ac:dyDescent="0.35">
      <c r="B555" s="10">
        <v>879</v>
      </c>
      <c r="C555" s="34"/>
      <c r="D555" s="77"/>
      <c r="E555" s="77"/>
      <c r="F555" s="77"/>
      <c r="G555" s="77"/>
      <c r="H555" s="99"/>
      <c r="I555" s="89"/>
      <c r="J555" s="77"/>
      <c r="K555" s="110"/>
      <c r="L555" s="107"/>
      <c r="M555" s="109"/>
      <c r="N555" s="11" t="str">
        <f t="shared" si="16"/>
        <v/>
      </c>
      <c r="O555" s="32" t="str">
        <f t="shared" si="17"/>
        <v/>
      </c>
    </row>
    <row r="556" spans="2:15" ht="15" customHeight="1" x14ac:dyDescent="0.35">
      <c r="B556" s="10">
        <v>880</v>
      </c>
      <c r="C556" s="34"/>
      <c r="D556" s="77"/>
      <c r="E556" s="77"/>
      <c r="F556" s="77"/>
      <c r="G556" s="77"/>
      <c r="H556" s="99"/>
      <c r="I556" s="89"/>
      <c r="J556" s="77"/>
      <c r="K556" s="110"/>
      <c r="L556" s="107"/>
      <c r="M556" s="109"/>
      <c r="N556" s="11" t="str">
        <f t="shared" si="16"/>
        <v/>
      </c>
      <c r="O556" s="32" t="str">
        <f t="shared" si="17"/>
        <v/>
      </c>
    </row>
    <row r="557" spans="2:15" ht="15" customHeight="1" x14ac:dyDescent="0.35">
      <c r="B557" s="10">
        <v>881</v>
      </c>
      <c r="C557" s="34"/>
      <c r="D557" s="77"/>
      <c r="E557" s="77"/>
      <c r="F557" s="77"/>
      <c r="G557" s="77"/>
      <c r="H557" s="99"/>
      <c r="I557" s="89"/>
      <c r="J557" s="77"/>
      <c r="K557" s="110"/>
      <c r="L557" s="107"/>
      <c r="M557" s="109"/>
      <c r="N557" s="11" t="str">
        <f t="shared" si="16"/>
        <v/>
      </c>
      <c r="O557" s="32" t="str">
        <f t="shared" si="17"/>
        <v/>
      </c>
    </row>
    <row r="558" spans="2:15" ht="15" customHeight="1" x14ac:dyDescent="0.35">
      <c r="B558" s="10">
        <v>882</v>
      </c>
      <c r="C558" s="34"/>
      <c r="D558" s="77"/>
      <c r="E558" s="77"/>
      <c r="F558" s="77"/>
      <c r="G558" s="77"/>
      <c r="H558" s="99"/>
      <c r="I558" s="89"/>
      <c r="J558" s="77"/>
      <c r="K558" s="110"/>
      <c r="L558" s="107"/>
      <c r="M558" s="109"/>
      <c r="N558" s="11" t="str">
        <f t="shared" si="16"/>
        <v/>
      </c>
      <c r="O558" s="32" t="str">
        <f t="shared" si="17"/>
        <v/>
      </c>
    </row>
    <row r="559" spans="2:15" ht="15" customHeight="1" x14ac:dyDescent="0.35">
      <c r="B559" s="10">
        <v>883</v>
      </c>
      <c r="C559" s="34"/>
      <c r="D559" s="77"/>
      <c r="E559" s="77"/>
      <c r="F559" s="77"/>
      <c r="G559" s="77"/>
      <c r="H559" s="99"/>
      <c r="I559" s="89"/>
      <c r="J559" s="77"/>
      <c r="K559" s="110"/>
      <c r="L559" s="107"/>
      <c r="M559" s="109"/>
      <c r="N559" s="11" t="str">
        <f t="shared" si="16"/>
        <v/>
      </c>
      <c r="O559" s="32" t="str">
        <f t="shared" si="17"/>
        <v/>
      </c>
    </row>
    <row r="560" spans="2:15" ht="15" customHeight="1" x14ac:dyDescent="0.35">
      <c r="B560" s="10">
        <v>884</v>
      </c>
      <c r="C560" s="34"/>
      <c r="D560" s="83"/>
      <c r="E560" s="77"/>
      <c r="F560" s="77"/>
      <c r="G560" s="77"/>
      <c r="H560" s="99"/>
      <c r="I560" s="89"/>
      <c r="J560" s="77"/>
      <c r="K560" s="110"/>
      <c r="L560" s="107"/>
      <c r="M560" s="109"/>
      <c r="N560" s="11" t="str">
        <f t="shared" si="16"/>
        <v/>
      </c>
      <c r="O560" s="32" t="str">
        <f t="shared" si="17"/>
        <v/>
      </c>
    </row>
    <row r="561" spans="2:15" ht="15" customHeight="1" x14ac:dyDescent="0.35">
      <c r="B561" s="10">
        <v>885</v>
      </c>
      <c r="C561" s="34"/>
      <c r="D561" s="83"/>
      <c r="E561" s="77"/>
      <c r="F561" s="77"/>
      <c r="G561" s="77"/>
      <c r="H561" s="99"/>
      <c r="I561" s="89"/>
      <c r="J561" s="77"/>
      <c r="K561" s="110"/>
      <c r="L561" s="107"/>
      <c r="M561" s="109"/>
      <c r="N561" s="11" t="str">
        <f t="shared" si="16"/>
        <v/>
      </c>
      <c r="O561" s="32" t="str">
        <f t="shared" si="17"/>
        <v/>
      </c>
    </row>
    <row r="562" spans="2:15" ht="15" customHeight="1" x14ac:dyDescent="0.35">
      <c r="B562" s="10">
        <v>886</v>
      </c>
      <c r="C562" s="34"/>
      <c r="D562" s="83"/>
      <c r="E562" s="77"/>
      <c r="F562" s="77"/>
      <c r="G562" s="77"/>
      <c r="H562" s="99"/>
      <c r="I562" s="89"/>
      <c r="J562" s="77"/>
      <c r="K562" s="110"/>
      <c r="L562" s="107"/>
      <c r="M562" s="109"/>
      <c r="N562" s="11" t="str">
        <f t="shared" si="16"/>
        <v/>
      </c>
      <c r="O562" s="32" t="str">
        <f t="shared" si="17"/>
        <v/>
      </c>
    </row>
    <row r="563" spans="2:15" ht="15" customHeight="1" x14ac:dyDescent="0.35">
      <c r="B563" s="10">
        <v>887</v>
      </c>
      <c r="C563" s="34"/>
      <c r="D563" s="83"/>
      <c r="E563" s="77"/>
      <c r="F563" s="77"/>
      <c r="G563" s="77"/>
      <c r="H563" s="99"/>
      <c r="I563" s="89"/>
      <c r="J563" s="77"/>
      <c r="K563" s="110"/>
      <c r="L563" s="107"/>
      <c r="M563" s="109"/>
      <c r="N563" s="11" t="str">
        <f t="shared" si="16"/>
        <v/>
      </c>
      <c r="O563" s="32" t="str">
        <f t="shared" si="17"/>
        <v/>
      </c>
    </row>
    <row r="564" spans="2:15" ht="15" customHeight="1" thickBot="1" x14ac:dyDescent="0.4">
      <c r="B564" s="10">
        <v>888</v>
      </c>
      <c r="C564" s="34"/>
      <c r="D564" s="83"/>
      <c r="E564" s="77"/>
      <c r="F564" s="77"/>
      <c r="G564" s="77"/>
      <c r="H564" s="99"/>
      <c r="I564" s="89"/>
      <c r="J564" s="77"/>
      <c r="K564" s="110"/>
      <c r="L564" s="107"/>
      <c r="M564" s="109"/>
      <c r="N564" s="11" t="str">
        <f t="shared" si="16"/>
        <v/>
      </c>
      <c r="O564" s="32" t="str">
        <f t="shared" si="17"/>
        <v/>
      </c>
    </row>
    <row r="565" spans="2:15" ht="15" customHeight="1" thickBot="1" x14ac:dyDescent="0.4">
      <c r="B565" s="10">
        <v>889</v>
      </c>
      <c r="C565" s="34"/>
      <c r="D565" s="77"/>
      <c r="E565" s="77"/>
      <c r="F565" s="77"/>
      <c r="G565" s="77"/>
      <c r="H565" s="92"/>
      <c r="I565" s="89"/>
      <c r="J565" s="77"/>
      <c r="K565" s="111"/>
      <c r="L565" s="107"/>
      <c r="M565" s="109"/>
      <c r="N565" s="11" t="str">
        <f t="shared" si="16"/>
        <v/>
      </c>
      <c r="O565" s="32" t="str">
        <f t="shared" si="17"/>
        <v/>
      </c>
    </row>
    <row r="566" spans="2:15" ht="15" customHeight="1" x14ac:dyDescent="0.35">
      <c r="B566" s="10">
        <v>890</v>
      </c>
      <c r="C566" s="34"/>
      <c r="D566" s="77"/>
      <c r="E566" s="77"/>
      <c r="F566" s="77"/>
      <c r="G566" s="77"/>
      <c r="H566" s="99"/>
      <c r="I566" s="89"/>
      <c r="J566" s="77"/>
      <c r="K566" s="110"/>
      <c r="L566" s="107"/>
      <c r="M566" s="109"/>
      <c r="N566" s="11" t="str">
        <f t="shared" si="16"/>
        <v/>
      </c>
      <c r="O566" s="32" t="str">
        <f t="shared" si="17"/>
        <v/>
      </c>
    </row>
    <row r="567" spans="2:15" ht="15" customHeight="1" x14ac:dyDescent="0.35">
      <c r="B567" s="10">
        <v>891</v>
      </c>
      <c r="C567" s="34"/>
      <c r="D567" s="77"/>
      <c r="E567" s="77"/>
      <c r="F567" s="77"/>
      <c r="G567" s="77"/>
      <c r="H567" s="100"/>
      <c r="I567" s="89"/>
      <c r="J567" s="77"/>
      <c r="K567" s="110"/>
      <c r="L567" s="107"/>
      <c r="M567" s="109"/>
      <c r="N567" s="11" t="str">
        <f t="shared" si="16"/>
        <v/>
      </c>
      <c r="O567" s="32" t="str">
        <f t="shared" si="17"/>
        <v/>
      </c>
    </row>
    <row r="568" spans="2:15" ht="15" customHeight="1" x14ac:dyDescent="0.4">
      <c r="B568" s="10">
        <v>892</v>
      </c>
      <c r="C568" s="34"/>
      <c r="D568" s="77"/>
      <c r="E568" s="77"/>
      <c r="F568" s="77"/>
      <c r="G568" s="77"/>
      <c r="H568" s="101"/>
      <c r="I568" s="89"/>
      <c r="J568" s="77"/>
      <c r="K568" s="110"/>
      <c r="L568" s="107"/>
      <c r="M568" s="109"/>
      <c r="N568" s="11" t="str">
        <f t="shared" si="16"/>
        <v/>
      </c>
      <c r="O568" s="32" t="str">
        <f t="shared" si="17"/>
        <v/>
      </c>
    </row>
    <row r="569" spans="2:15" ht="27" customHeight="1" x14ac:dyDescent="0.4">
      <c r="B569" s="10">
        <v>893</v>
      </c>
      <c r="C569" s="34"/>
      <c r="D569" s="77"/>
      <c r="E569" s="77"/>
      <c r="F569" s="77"/>
      <c r="G569" s="77"/>
      <c r="H569" s="91"/>
      <c r="I569" s="89"/>
      <c r="J569" s="77"/>
      <c r="K569" s="110"/>
      <c r="L569" s="107"/>
      <c r="M569" s="109"/>
      <c r="N569" s="11" t="str">
        <f t="shared" si="16"/>
        <v/>
      </c>
      <c r="O569" s="32" t="str">
        <f t="shared" si="17"/>
        <v/>
      </c>
    </row>
    <row r="570" spans="2:15" ht="15" customHeight="1" x14ac:dyDescent="0.35">
      <c r="B570" s="10">
        <v>894</v>
      </c>
      <c r="C570" s="34"/>
      <c r="D570" s="77"/>
      <c r="E570" s="77"/>
      <c r="F570" s="77"/>
      <c r="G570" s="77"/>
      <c r="H570" s="102"/>
      <c r="I570" s="89"/>
      <c r="J570" s="77"/>
      <c r="K570" s="110"/>
      <c r="L570" s="107"/>
      <c r="M570" s="109"/>
      <c r="N570" s="11" t="str">
        <f t="shared" si="16"/>
        <v/>
      </c>
      <c r="O570" s="32" t="str">
        <f t="shared" si="17"/>
        <v/>
      </c>
    </row>
    <row r="571" spans="2:15" ht="15" customHeight="1" x14ac:dyDescent="0.4">
      <c r="B571" s="10">
        <v>895</v>
      </c>
      <c r="C571" s="34"/>
      <c r="D571" s="77"/>
      <c r="E571" s="77"/>
      <c r="F571" s="77"/>
      <c r="G571" s="77"/>
      <c r="H571" s="91"/>
      <c r="I571" s="89"/>
      <c r="J571" s="77"/>
      <c r="K571" s="110"/>
      <c r="L571" s="107"/>
      <c r="M571" s="109"/>
      <c r="N571" s="11" t="str">
        <f t="shared" si="16"/>
        <v/>
      </c>
      <c r="O571" s="32" t="str">
        <f t="shared" si="17"/>
        <v/>
      </c>
    </row>
    <row r="572" spans="2:15" ht="15" customHeight="1" x14ac:dyDescent="0.4">
      <c r="B572" s="10">
        <v>896</v>
      </c>
      <c r="C572" s="34"/>
      <c r="D572" s="77"/>
      <c r="E572" s="77"/>
      <c r="F572" s="77"/>
      <c r="G572" s="77"/>
      <c r="H572" s="91"/>
      <c r="I572" s="89"/>
      <c r="J572" s="77"/>
      <c r="K572" s="110"/>
      <c r="L572" s="107"/>
      <c r="M572" s="109"/>
      <c r="N572" s="11" t="str">
        <f t="shared" si="16"/>
        <v/>
      </c>
      <c r="O572" s="32" t="str">
        <f t="shared" si="17"/>
        <v/>
      </c>
    </row>
    <row r="573" spans="2:15" ht="15" customHeight="1" x14ac:dyDescent="0.4">
      <c r="B573" s="10">
        <v>897</v>
      </c>
      <c r="C573" s="34"/>
      <c r="D573" s="77"/>
      <c r="E573" s="77"/>
      <c r="F573" s="77"/>
      <c r="G573" s="77"/>
      <c r="H573" s="91"/>
      <c r="I573" s="89"/>
      <c r="J573" s="77"/>
      <c r="K573" s="110"/>
      <c r="L573" s="107"/>
      <c r="M573" s="109"/>
      <c r="N573" s="11" t="str">
        <f t="shared" ref="N573:N636" si="18">IF(OR(M573="", K573=""),"", M573- K573)</f>
        <v/>
      </c>
      <c r="O573" s="32" t="str">
        <f t="shared" si="17"/>
        <v/>
      </c>
    </row>
    <row r="574" spans="2:15" ht="15" customHeight="1" x14ac:dyDescent="0.4">
      <c r="B574" s="10">
        <v>898</v>
      </c>
      <c r="C574" s="34"/>
      <c r="D574" s="77"/>
      <c r="E574" s="77"/>
      <c r="F574" s="77"/>
      <c r="G574" s="77"/>
      <c r="H574" s="91"/>
      <c r="I574" s="89"/>
      <c r="J574" s="77"/>
      <c r="K574" s="110"/>
      <c r="L574" s="107"/>
      <c r="M574" s="109"/>
      <c r="N574" s="11" t="str">
        <f t="shared" si="18"/>
        <v/>
      </c>
      <c r="O574" s="32" t="str">
        <f t="shared" ref="O574:O637" si="19">IF(OR(M574="", K574="", L574=""), "", IF((M574 - K574) &gt; L574, "No", "Yes"))</f>
        <v/>
      </c>
    </row>
    <row r="575" spans="2:15" ht="15" customHeight="1" x14ac:dyDescent="0.4">
      <c r="B575" s="10">
        <v>899</v>
      </c>
      <c r="C575" s="34"/>
      <c r="D575" s="77"/>
      <c r="E575" s="77"/>
      <c r="F575" s="77"/>
      <c r="G575" s="77"/>
      <c r="H575" s="91"/>
      <c r="I575" s="89"/>
      <c r="J575" s="77"/>
      <c r="K575" s="110"/>
      <c r="L575" s="107"/>
      <c r="M575" s="109"/>
      <c r="N575" s="11" t="str">
        <f t="shared" si="18"/>
        <v/>
      </c>
      <c r="O575" s="32" t="str">
        <f t="shared" si="19"/>
        <v/>
      </c>
    </row>
    <row r="576" spans="2:15" ht="15" customHeight="1" x14ac:dyDescent="0.4">
      <c r="B576" s="10">
        <v>900</v>
      </c>
      <c r="C576" s="34"/>
      <c r="D576" s="77"/>
      <c r="E576" s="77"/>
      <c r="F576" s="77"/>
      <c r="G576" s="77"/>
      <c r="H576" s="91"/>
      <c r="I576" s="89"/>
      <c r="J576" s="77"/>
      <c r="K576" s="110"/>
      <c r="L576" s="107"/>
      <c r="M576" s="109"/>
      <c r="N576" s="11" t="str">
        <f t="shared" si="18"/>
        <v/>
      </c>
      <c r="O576" s="32" t="str">
        <f t="shared" si="19"/>
        <v/>
      </c>
    </row>
    <row r="577" spans="2:15" ht="15" customHeight="1" x14ac:dyDescent="0.4">
      <c r="B577" s="10">
        <v>901</v>
      </c>
      <c r="C577" s="34"/>
      <c r="D577" s="77"/>
      <c r="E577" s="77"/>
      <c r="F577" s="77"/>
      <c r="G577" s="77"/>
      <c r="H577" s="91"/>
      <c r="I577" s="89"/>
      <c r="J577" s="77"/>
      <c r="K577" s="110"/>
      <c r="L577" s="107"/>
      <c r="M577" s="109"/>
      <c r="N577" s="11" t="str">
        <f t="shared" si="18"/>
        <v/>
      </c>
      <c r="O577" s="32" t="str">
        <f t="shared" si="19"/>
        <v/>
      </c>
    </row>
    <row r="578" spans="2:15" ht="15" customHeight="1" x14ac:dyDescent="0.4">
      <c r="B578" s="10">
        <v>902</v>
      </c>
      <c r="C578" s="34"/>
      <c r="D578" s="77"/>
      <c r="E578" s="77"/>
      <c r="F578" s="77"/>
      <c r="G578" s="77"/>
      <c r="H578" s="91"/>
      <c r="I578" s="89"/>
      <c r="J578" s="77"/>
      <c r="K578" s="110"/>
      <c r="L578" s="107"/>
      <c r="M578" s="109"/>
      <c r="N578" s="11" t="str">
        <f t="shared" si="18"/>
        <v/>
      </c>
      <c r="O578" s="32" t="str">
        <f t="shared" si="19"/>
        <v/>
      </c>
    </row>
    <row r="579" spans="2:15" ht="15" customHeight="1" x14ac:dyDescent="0.35">
      <c r="B579" s="10">
        <v>903</v>
      </c>
      <c r="C579" s="34"/>
      <c r="D579" s="77"/>
      <c r="E579" s="77"/>
      <c r="F579" s="77"/>
      <c r="G579" s="77"/>
      <c r="H579" s="103"/>
      <c r="I579" s="89"/>
      <c r="J579" s="77"/>
      <c r="K579" s="110"/>
      <c r="L579" s="107"/>
      <c r="M579" s="109"/>
      <c r="N579" s="11" t="str">
        <f t="shared" si="18"/>
        <v/>
      </c>
      <c r="O579" s="32" t="str">
        <f t="shared" si="19"/>
        <v/>
      </c>
    </row>
    <row r="580" spans="2:15" ht="15" customHeight="1" x14ac:dyDescent="0.35">
      <c r="B580" s="10">
        <v>904</v>
      </c>
      <c r="C580" s="34"/>
      <c r="D580" s="77"/>
      <c r="E580" s="77"/>
      <c r="F580" s="77"/>
      <c r="G580" s="77"/>
      <c r="H580" s="104"/>
      <c r="I580" s="89"/>
      <c r="J580" s="77"/>
      <c r="K580" s="110"/>
      <c r="L580" s="107"/>
      <c r="M580" s="109"/>
      <c r="N580" s="11" t="str">
        <f t="shared" si="18"/>
        <v/>
      </c>
      <c r="O580" s="32" t="str">
        <f t="shared" si="19"/>
        <v/>
      </c>
    </row>
    <row r="581" spans="2:15" ht="15" customHeight="1" thickBot="1" x14ac:dyDescent="0.45">
      <c r="B581" s="10">
        <v>905</v>
      </c>
      <c r="C581" s="34"/>
      <c r="D581" s="77"/>
      <c r="E581" s="77"/>
      <c r="F581" s="77"/>
      <c r="G581" s="77"/>
      <c r="H581" s="91"/>
      <c r="I581" s="89"/>
      <c r="J581" s="77"/>
      <c r="K581" s="110"/>
      <c r="L581" s="107"/>
      <c r="M581" s="109"/>
      <c r="N581" s="11" t="str">
        <f t="shared" si="18"/>
        <v/>
      </c>
      <c r="O581" s="32" t="str">
        <f t="shared" si="19"/>
        <v/>
      </c>
    </row>
    <row r="582" spans="2:15" ht="15" customHeight="1" thickBot="1" x14ac:dyDescent="0.4">
      <c r="B582" s="10">
        <v>906</v>
      </c>
      <c r="C582" s="34"/>
      <c r="D582" s="77"/>
      <c r="E582" s="77"/>
      <c r="F582" s="77"/>
      <c r="G582" s="77"/>
      <c r="H582" s="92"/>
      <c r="I582" s="89"/>
      <c r="J582" s="77"/>
      <c r="K582" s="110"/>
      <c r="L582" s="107"/>
      <c r="M582" s="109"/>
      <c r="N582" s="11" t="str">
        <f t="shared" si="18"/>
        <v/>
      </c>
      <c r="O582" s="32" t="str">
        <f t="shared" si="19"/>
        <v/>
      </c>
    </row>
    <row r="583" spans="2:15" ht="15" customHeight="1" x14ac:dyDescent="0.4">
      <c r="B583" s="10">
        <v>907</v>
      </c>
      <c r="C583" s="34"/>
      <c r="D583" s="77"/>
      <c r="E583" s="77"/>
      <c r="F583" s="77"/>
      <c r="G583" s="77"/>
      <c r="H583" s="91"/>
      <c r="I583" s="89"/>
      <c r="J583" s="77"/>
      <c r="K583" s="110"/>
      <c r="L583" s="107"/>
      <c r="M583" s="109"/>
      <c r="N583" s="11" t="str">
        <f t="shared" si="18"/>
        <v/>
      </c>
      <c r="O583" s="32" t="str">
        <f t="shared" si="19"/>
        <v/>
      </c>
    </row>
    <row r="584" spans="2:15" ht="15" customHeight="1" x14ac:dyDescent="0.4">
      <c r="B584" s="10">
        <v>908</v>
      </c>
      <c r="C584" s="34"/>
      <c r="D584" s="77"/>
      <c r="E584" s="77"/>
      <c r="F584" s="77"/>
      <c r="G584" s="77"/>
      <c r="H584" s="91"/>
      <c r="I584" s="89"/>
      <c r="J584" s="77"/>
      <c r="K584" s="110"/>
      <c r="L584" s="107"/>
      <c r="M584" s="109"/>
      <c r="N584" s="11" t="str">
        <f t="shared" si="18"/>
        <v/>
      </c>
      <c r="O584" s="32" t="str">
        <f t="shared" si="19"/>
        <v/>
      </c>
    </row>
    <row r="585" spans="2:15" ht="15" customHeight="1" x14ac:dyDescent="0.4">
      <c r="B585" s="10">
        <v>909</v>
      </c>
      <c r="C585" s="34"/>
      <c r="D585" s="77"/>
      <c r="E585" s="77"/>
      <c r="F585" s="77"/>
      <c r="G585" s="77"/>
      <c r="H585" s="91"/>
      <c r="I585" s="89"/>
      <c r="J585" s="77"/>
      <c r="K585" s="110"/>
      <c r="L585" s="107"/>
      <c r="M585" s="109"/>
      <c r="N585" s="11" t="str">
        <f t="shared" si="18"/>
        <v/>
      </c>
      <c r="O585" s="32" t="str">
        <f t="shared" si="19"/>
        <v/>
      </c>
    </row>
    <row r="586" spans="2:15" ht="15" customHeight="1" x14ac:dyDescent="0.4">
      <c r="B586" s="10">
        <v>910</v>
      </c>
      <c r="C586" s="34"/>
      <c r="D586" s="77"/>
      <c r="E586" s="77"/>
      <c r="F586" s="77"/>
      <c r="G586" s="77"/>
      <c r="H586" s="91"/>
      <c r="I586" s="89"/>
      <c r="J586" s="77"/>
      <c r="K586" s="110"/>
      <c r="L586" s="107"/>
      <c r="M586" s="109"/>
      <c r="N586" s="11" t="str">
        <f t="shared" si="18"/>
        <v/>
      </c>
      <c r="O586" s="32" t="str">
        <f t="shared" si="19"/>
        <v/>
      </c>
    </row>
    <row r="587" spans="2:15" ht="15" customHeight="1" x14ac:dyDescent="0.4">
      <c r="B587" s="10">
        <v>911</v>
      </c>
      <c r="C587" s="34"/>
      <c r="D587" s="77"/>
      <c r="E587" s="77"/>
      <c r="F587" s="77"/>
      <c r="G587" s="77"/>
      <c r="H587" s="91"/>
      <c r="I587" s="89"/>
      <c r="J587" s="77"/>
      <c r="K587" s="110"/>
      <c r="L587" s="107"/>
      <c r="M587" s="109"/>
      <c r="N587" s="11" t="str">
        <f t="shared" si="18"/>
        <v/>
      </c>
      <c r="O587" s="32" t="str">
        <f t="shared" si="19"/>
        <v/>
      </c>
    </row>
    <row r="588" spans="2:15" ht="15" customHeight="1" x14ac:dyDescent="0.4">
      <c r="B588" s="10">
        <v>912</v>
      </c>
      <c r="C588" s="34"/>
      <c r="D588" s="77"/>
      <c r="E588" s="77"/>
      <c r="F588" s="77"/>
      <c r="G588" s="77"/>
      <c r="H588" s="91"/>
      <c r="I588" s="89"/>
      <c r="J588" s="77"/>
      <c r="K588" s="110"/>
      <c r="L588" s="107"/>
      <c r="M588" s="109"/>
      <c r="N588" s="11" t="str">
        <f t="shared" si="18"/>
        <v/>
      </c>
      <c r="O588" s="32" t="str">
        <f t="shared" si="19"/>
        <v/>
      </c>
    </row>
    <row r="589" spans="2:15" ht="15" customHeight="1" x14ac:dyDescent="0.4">
      <c r="B589" s="10">
        <v>913</v>
      </c>
      <c r="C589" s="34"/>
      <c r="D589" s="77"/>
      <c r="E589" s="77"/>
      <c r="F589" s="77"/>
      <c r="G589" s="77"/>
      <c r="H589" s="91"/>
      <c r="I589" s="89"/>
      <c r="J589" s="77"/>
      <c r="K589" s="110"/>
      <c r="L589" s="107"/>
      <c r="M589" s="109"/>
      <c r="N589" s="11" t="str">
        <f t="shared" si="18"/>
        <v/>
      </c>
      <c r="O589" s="32" t="str">
        <f t="shared" si="19"/>
        <v/>
      </c>
    </row>
    <row r="590" spans="2:15" ht="15" customHeight="1" x14ac:dyDescent="0.4">
      <c r="B590" s="10">
        <v>914</v>
      </c>
      <c r="C590" s="34"/>
      <c r="D590" s="77"/>
      <c r="E590" s="77"/>
      <c r="F590" s="77"/>
      <c r="G590" s="77"/>
      <c r="H590" s="91"/>
      <c r="I590" s="89"/>
      <c r="J590" s="77"/>
      <c r="K590" s="110"/>
      <c r="L590" s="107"/>
      <c r="M590" s="109"/>
      <c r="N590" s="11" t="str">
        <f t="shared" si="18"/>
        <v/>
      </c>
      <c r="O590" s="32" t="str">
        <f t="shared" si="19"/>
        <v/>
      </c>
    </row>
    <row r="591" spans="2:15" ht="15" customHeight="1" x14ac:dyDescent="0.35">
      <c r="B591" s="10">
        <v>915</v>
      </c>
      <c r="C591" s="34"/>
      <c r="D591" s="77"/>
      <c r="E591" s="77"/>
      <c r="F591" s="77"/>
      <c r="G591" s="77"/>
      <c r="H591" s="99"/>
      <c r="I591" s="89"/>
      <c r="J591" s="77"/>
      <c r="K591" s="110"/>
      <c r="L591" s="107"/>
      <c r="M591" s="109"/>
      <c r="N591" s="11" t="str">
        <f t="shared" si="18"/>
        <v/>
      </c>
      <c r="O591" s="32" t="str">
        <f t="shared" si="19"/>
        <v/>
      </c>
    </row>
    <row r="592" spans="2:15" ht="15" customHeight="1" x14ac:dyDescent="0.4">
      <c r="B592" s="10">
        <v>916</v>
      </c>
      <c r="C592" s="34"/>
      <c r="D592" s="77"/>
      <c r="E592" s="77"/>
      <c r="F592" s="77"/>
      <c r="G592" s="77"/>
      <c r="H592" s="91"/>
      <c r="I592" s="89"/>
      <c r="J592" s="77"/>
      <c r="K592" s="110"/>
      <c r="L592" s="107"/>
      <c r="M592" s="109"/>
      <c r="N592" s="11" t="str">
        <f t="shared" si="18"/>
        <v/>
      </c>
      <c r="O592" s="32" t="str">
        <f t="shared" si="19"/>
        <v/>
      </c>
    </row>
    <row r="593" spans="2:15" ht="15" customHeight="1" x14ac:dyDescent="0.4">
      <c r="B593" s="10">
        <v>917</v>
      </c>
      <c r="C593" s="34"/>
      <c r="D593" s="77"/>
      <c r="E593" s="77"/>
      <c r="F593" s="77"/>
      <c r="G593" s="77"/>
      <c r="H593" s="91"/>
      <c r="I593" s="89"/>
      <c r="J593" s="77"/>
      <c r="K593" s="110"/>
      <c r="L593" s="107"/>
      <c r="M593" s="109"/>
      <c r="N593" s="11" t="str">
        <f t="shared" si="18"/>
        <v/>
      </c>
      <c r="O593" s="32" t="str">
        <f t="shared" si="19"/>
        <v/>
      </c>
    </row>
    <row r="594" spans="2:15" ht="15" customHeight="1" x14ac:dyDescent="0.4">
      <c r="B594" s="10">
        <v>918</v>
      </c>
      <c r="C594" s="34"/>
      <c r="D594" s="77"/>
      <c r="E594" s="77"/>
      <c r="F594" s="77"/>
      <c r="G594" s="77"/>
      <c r="H594" s="91"/>
      <c r="I594" s="89"/>
      <c r="J594" s="77"/>
      <c r="K594" s="110"/>
      <c r="L594" s="107"/>
      <c r="M594" s="109"/>
      <c r="N594" s="11" t="str">
        <f t="shared" si="18"/>
        <v/>
      </c>
      <c r="O594" s="32" t="str">
        <f t="shared" si="19"/>
        <v/>
      </c>
    </row>
    <row r="595" spans="2:15" ht="15" customHeight="1" x14ac:dyDescent="0.4">
      <c r="B595" s="10">
        <v>919</v>
      </c>
      <c r="C595" s="34"/>
      <c r="D595" s="77"/>
      <c r="E595" s="77"/>
      <c r="F595" s="77"/>
      <c r="G595" s="77"/>
      <c r="H595" s="105"/>
      <c r="I595" s="89"/>
      <c r="J595" s="77"/>
      <c r="K595" s="110"/>
      <c r="L595" s="107"/>
      <c r="M595" s="109"/>
      <c r="N595" s="11" t="str">
        <f t="shared" si="18"/>
        <v/>
      </c>
      <c r="O595" s="32" t="str">
        <f t="shared" si="19"/>
        <v/>
      </c>
    </row>
    <row r="596" spans="2:15" ht="25.5" customHeight="1" x14ac:dyDescent="0.4">
      <c r="B596" s="10">
        <v>920</v>
      </c>
      <c r="C596" s="34"/>
      <c r="D596" s="77"/>
      <c r="E596" s="77"/>
      <c r="F596" s="77"/>
      <c r="G596" s="77"/>
      <c r="H596" s="91"/>
      <c r="I596" s="89"/>
      <c r="J596" s="77"/>
      <c r="K596" s="110"/>
      <c r="L596" s="107"/>
      <c r="M596" s="109"/>
      <c r="N596" s="11" t="str">
        <f t="shared" si="18"/>
        <v/>
      </c>
      <c r="O596" s="32" t="str">
        <f t="shared" si="19"/>
        <v/>
      </c>
    </row>
    <row r="597" spans="2:15" ht="15" customHeight="1" x14ac:dyDescent="0.4">
      <c r="B597" s="10">
        <v>921</v>
      </c>
      <c r="C597" s="34"/>
      <c r="D597" s="77"/>
      <c r="E597" s="77"/>
      <c r="F597" s="77"/>
      <c r="G597" s="77"/>
      <c r="H597" s="91"/>
      <c r="I597" s="89"/>
      <c r="J597" s="77"/>
      <c r="K597" s="110"/>
      <c r="L597" s="107"/>
      <c r="M597" s="109"/>
      <c r="N597" s="11" t="str">
        <f t="shared" si="18"/>
        <v/>
      </c>
      <c r="O597" s="32" t="str">
        <f t="shared" si="19"/>
        <v/>
      </c>
    </row>
    <row r="598" spans="2:15" ht="15" customHeight="1" x14ac:dyDescent="0.4">
      <c r="B598" s="10">
        <v>922</v>
      </c>
      <c r="C598" s="34"/>
      <c r="D598" s="77"/>
      <c r="E598" s="77"/>
      <c r="F598" s="77"/>
      <c r="G598" s="77"/>
      <c r="H598" s="91"/>
      <c r="I598" s="89"/>
      <c r="J598" s="77"/>
      <c r="K598" s="110"/>
      <c r="L598" s="107"/>
      <c r="M598" s="109"/>
      <c r="N598" s="11" t="str">
        <f t="shared" si="18"/>
        <v/>
      </c>
      <c r="O598" s="32" t="str">
        <f t="shared" si="19"/>
        <v/>
      </c>
    </row>
    <row r="599" spans="2:15" ht="15" customHeight="1" x14ac:dyDescent="0.4">
      <c r="B599" s="10">
        <v>923</v>
      </c>
      <c r="C599" s="34"/>
      <c r="D599" s="77"/>
      <c r="E599" s="77"/>
      <c r="F599" s="77"/>
      <c r="G599" s="77"/>
      <c r="H599" s="94"/>
      <c r="I599" s="89"/>
      <c r="J599" s="77"/>
      <c r="K599" s="110"/>
      <c r="L599" s="107"/>
      <c r="M599" s="109"/>
      <c r="N599" s="11" t="str">
        <f t="shared" si="18"/>
        <v/>
      </c>
      <c r="O599" s="32" t="str">
        <f t="shared" si="19"/>
        <v/>
      </c>
    </row>
    <row r="600" spans="2:15" ht="15" customHeight="1" x14ac:dyDescent="0.4">
      <c r="B600" s="10">
        <v>924</v>
      </c>
      <c r="C600" s="34"/>
      <c r="D600" s="77"/>
      <c r="E600" s="77"/>
      <c r="F600" s="77"/>
      <c r="G600" s="77"/>
      <c r="H600" s="91"/>
      <c r="I600" s="89"/>
      <c r="J600" s="77"/>
      <c r="K600" s="110"/>
      <c r="L600" s="107"/>
      <c r="M600" s="109"/>
      <c r="N600" s="11" t="str">
        <f t="shared" si="18"/>
        <v/>
      </c>
      <c r="O600" s="32" t="str">
        <f t="shared" si="19"/>
        <v/>
      </c>
    </row>
    <row r="601" spans="2:15" ht="15" customHeight="1" x14ac:dyDescent="0.4">
      <c r="B601" s="10">
        <v>925</v>
      </c>
      <c r="C601" s="34"/>
      <c r="D601" s="77"/>
      <c r="E601" s="77"/>
      <c r="F601" s="77"/>
      <c r="G601" s="77"/>
      <c r="H601" s="91"/>
      <c r="I601" s="89"/>
      <c r="J601" s="77"/>
      <c r="K601" s="110"/>
      <c r="L601" s="107"/>
      <c r="M601" s="109"/>
      <c r="N601" s="11" t="str">
        <f t="shared" si="18"/>
        <v/>
      </c>
      <c r="O601" s="32" t="str">
        <f t="shared" si="19"/>
        <v/>
      </c>
    </row>
    <row r="602" spans="2:15" ht="15" customHeight="1" x14ac:dyDescent="0.4">
      <c r="B602" s="10">
        <v>926</v>
      </c>
      <c r="C602" s="34"/>
      <c r="D602" s="77"/>
      <c r="E602" s="77"/>
      <c r="F602" s="77"/>
      <c r="G602" s="77"/>
      <c r="H602" s="91"/>
      <c r="I602" s="89"/>
      <c r="J602" s="77"/>
      <c r="K602" s="110"/>
      <c r="L602" s="107"/>
      <c r="M602" s="109"/>
      <c r="N602" s="11" t="str">
        <f t="shared" si="18"/>
        <v/>
      </c>
      <c r="O602" s="32" t="str">
        <f t="shared" si="19"/>
        <v/>
      </c>
    </row>
    <row r="603" spans="2:15" ht="15" customHeight="1" x14ac:dyDescent="0.4">
      <c r="B603" s="10">
        <v>927</v>
      </c>
      <c r="C603" s="34"/>
      <c r="D603" s="77"/>
      <c r="E603" s="77"/>
      <c r="F603" s="77"/>
      <c r="G603" s="77"/>
      <c r="H603" s="94"/>
      <c r="I603" s="89"/>
      <c r="J603" s="77"/>
      <c r="K603" s="110"/>
      <c r="L603" s="107"/>
      <c r="M603" s="109"/>
      <c r="N603" s="11" t="str">
        <f t="shared" si="18"/>
        <v/>
      </c>
      <c r="O603" s="32" t="str">
        <f t="shared" si="19"/>
        <v/>
      </c>
    </row>
    <row r="604" spans="2:15" ht="15" customHeight="1" x14ac:dyDescent="0.4">
      <c r="B604" s="10">
        <v>928</v>
      </c>
      <c r="C604" s="34"/>
      <c r="D604" s="77"/>
      <c r="E604" s="77"/>
      <c r="F604" s="77"/>
      <c r="G604" s="77"/>
      <c r="H604" s="91"/>
      <c r="I604" s="89"/>
      <c r="J604" s="77"/>
      <c r="K604" s="110"/>
      <c r="L604" s="107"/>
      <c r="M604" s="109"/>
      <c r="N604" s="11" t="str">
        <f t="shared" si="18"/>
        <v/>
      </c>
      <c r="O604" s="32" t="str">
        <f t="shared" si="19"/>
        <v/>
      </c>
    </row>
    <row r="605" spans="2:15" ht="15" customHeight="1" x14ac:dyDescent="0.4">
      <c r="B605" s="10">
        <v>929</v>
      </c>
      <c r="C605" s="34"/>
      <c r="D605" s="77"/>
      <c r="E605" s="77"/>
      <c r="F605" s="77"/>
      <c r="G605" s="77"/>
      <c r="H605" s="91"/>
      <c r="I605" s="89"/>
      <c r="J605" s="77"/>
      <c r="K605" s="110"/>
      <c r="L605" s="107"/>
      <c r="M605" s="109"/>
      <c r="N605" s="11" t="str">
        <f t="shared" si="18"/>
        <v/>
      </c>
      <c r="O605" s="32" t="str">
        <f t="shared" si="19"/>
        <v/>
      </c>
    </row>
    <row r="606" spans="2:15" ht="24.75" customHeight="1" x14ac:dyDescent="0.4">
      <c r="B606" s="10">
        <v>930</v>
      </c>
      <c r="C606" s="34"/>
      <c r="D606" s="77"/>
      <c r="E606" s="77"/>
      <c r="F606" s="77"/>
      <c r="G606" s="77"/>
      <c r="H606" s="91"/>
      <c r="I606" s="89"/>
      <c r="J606" s="77"/>
      <c r="K606" s="110"/>
      <c r="L606" s="107"/>
      <c r="M606" s="109"/>
      <c r="N606" s="11" t="str">
        <f t="shared" si="18"/>
        <v/>
      </c>
      <c r="O606" s="32" t="str">
        <f t="shared" si="19"/>
        <v/>
      </c>
    </row>
    <row r="607" spans="2:15" ht="15" customHeight="1" x14ac:dyDescent="0.4">
      <c r="B607" s="10">
        <v>931</v>
      </c>
      <c r="C607" s="34"/>
      <c r="D607" s="77"/>
      <c r="E607" s="77"/>
      <c r="F607" s="77"/>
      <c r="G607" s="77"/>
      <c r="H607" s="94"/>
      <c r="I607" s="89"/>
      <c r="J607" s="77"/>
      <c r="K607" s="110"/>
      <c r="L607" s="107"/>
      <c r="M607" s="109"/>
      <c r="N607" s="11" t="str">
        <f t="shared" si="18"/>
        <v/>
      </c>
      <c r="O607" s="32" t="str">
        <f t="shared" si="19"/>
        <v/>
      </c>
    </row>
    <row r="608" spans="2:15" ht="15" customHeight="1" x14ac:dyDescent="0.4">
      <c r="B608" s="10">
        <v>932</v>
      </c>
      <c r="C608" s="34"/>
      <c r="D608" s="77"/>
      <c r="E608" s="77"/>
      <c r="F608" s="77"/>
      <c r="G608" s="77"/>
      <c r="H608" s="91"/>
      <c r="I608" s="89"/>
      <c r="J608" s="77"/>
      <c r="K608" s="110"/>
      <c r="L608" s="107"/>
      <c r="M608" s="109"/>
      <c r="N608" s="11" t="str">
        <f t="shared" si="18"/>
        <v/>
      </c>
      <c r="O608" s="32" t="str">
        <f t="shared" si="19"/>
        <v/>
      </c>
    </row>
    <row r="609" spans="2:15" ht="15" customHeight="1" x14ac:dyDescent="0.4">
      <c r="B609" s="10">
        <v>933</v>
      </c>
      <c r="C609" s="34"/>
      <c r="D609" s="77"/>
      <c r="E609" s="77"/>
      <c r="F609" s="77"/>
      <c r="G609" s="77"/>
      <c r="H609" s="91"/>
      <c r="I609" s="89"/>
      <c r="J609" s="77"/>
      <c r="K609" s="110"/>
      <c r="L609" s="107"/>
      <c r="M609" s="109"/>
      <c r="N609" s="11" t="str">
        <f t="shared" si="18"/>
        <v/>
      </c>
      <c r="O609" s="32" t="str">
        <f t="shared" si="19"/>
        <v/>
      </c>
    </row>
    <row r="610" spans="2:15" ht="15" customHeight="1" x14ac:dyDescent="0.4">
      <c r="B610" s="10">
        <v>934</v>
      </c>
      <c r="C610" s="34"/>
      <c r="D610" s="77"/>
      <c r="E610" s="77"/>
      <c r="F610" s="77"/>
      <c r="G610" s="77"/>
      <c r="H610" s="91"/>
      <c r="I610" s="89"/>
      <c r="J610" s="77"/>
      <c r="K610" s="110"/>
      <c r="L610" s="107"/>
      <c r="M610" s="109"/>
      <c r="N610" s="11" t="str">
        <f t="shared" si="18"/>
        <v/>
      </c>
      <c r="O610" s="32" t="str">
        <f t="shared" si="19"/>
        <v/>
      </c>
    </row>
    <row r="611" spans="2:15" ht="15" customHeight="1" x14ac:dyDescent="0.4">
      <c r="B611" s="10">
        <v>935</v>
      </c>
      <c r="C611" s="34"/>
      <c r="D611" s="77"/>
      <c r="E611" s="77"/>
      <c r="F611" s="77"/>
      <c r="G611" s="77"/>
      <c r="H611" s="91"/>
      <c r="I611" s="89"/>
      <c r="J611" s="77"/>
      <c r="K611" s="110"/>
      <c r="L611" s="107"/>
      <c r="M611" s="109"/>
      <c r="N611" s="11" t="str">
        <f t="shared" si="18"/>
        <v/>
      </c>
      <c r="O611" s="32" t="str">
        <f t="shared" si="19"/>
        <v/>
      </c>
    </row>
    <row r="612" spans="2:15" ht="15" customHeight="1" x14ac:dyDescent="0.4">
      <c r="B612" s="10">
        <v>936</v>
      </c>
      <c r="C612" s="34"/>
      <c r="D612" s="77"/>
      <c r="E612" s="77"/>
      <c r="F612" s="77"/>
      <c r="G612" s="77"/>
      <c r="H612" s="91"/>
      <c r="I612" s="89"/>
      <c r="J612" s="77"/>
      <c r="K612" s="110"/>
      <c r="L612" s="107"/>
      <c r="M612" s="109"/>
      <c r="N612" s="11" t="str">
        <f t="shared" si="18"/>
        <v/>
      </c>
      <c r="O612" s="32" t="str">
        <f t="shared" si="19"/>
        <v/>
      </c>
    </row>
    <row r="613" spans="2:15" ht="15" customHeight="1" x14ac:dyDescent="0.4">
      <c r="B613" s="10">
        <v>937</v>
      </c>
      <c r="C613" s="34"/>
      <c r="D613" s="77"/>
      <c r="E613" s="77"/>
      <c r="F613" s="77"/>
      <c r="G613" s="77"/>
      <c r="H613" s="91"/>
      <c r="I613" s="89"/>
      <c r="J613" s="77"/>
      <c r="K613" s="110"/>
      <c r="L613" s="107"/>
      <c r="M613" s="109"/>
      <c r="N613" s="11" t="str">
        <f t="shared" si="18"/>
        <v/>
      </c>
      <c r="O613" s="32" t="str">
        <f t="shared" si="19"/>
        <v/>
      </c>
    </row>
    <row r="614" spans="2:15" ht="15" customHeight="1" x14ac:dyDescent="0.4">
      <c r="B614" s="10">
        <v>938</v>
      </c>
      <c r="C614" s="34"/>
      <c r="D614" s="77"/>
      <c r="E614" s="77"/>
      <c r="F614" s="77"/>
      <c r="G614" s="77"/>
      <c r="H614" s="91"/>
      <c r="I614" s="89"/>
      <c r="J614" s="77"/>
      <c r="K614" s="110"/>
      <c r="L614" s="107"/>
      <c r="M614" s="109"/>
      <c r="N614" s="11" t="str">
        <f t="shared" si="18"/>
        <v/>
      </c>
      <c r="O614" s="32" t="str">
        <f t="shared" si="19"/>
        <v/>
      </c>
    </row>
    <row r="615" spans="2:15" ht="15" customHeight="1" x14ac:dyDescent="0.4">
      <c r="B615" s="10">
        <v>939</v>
      </c>
      <c r="C615" s="34"/>
      <c r="D615" s="77"/>
      <c r="E615" s="77"/>
      <c r="F615" s="77"/>
      <c r="G615" s="77"/>
      <c r="H615" s="91"/>
      <c r="I615" s="89"/>
      <c r="J615" s="77"/>
      <c r="K615" s="110"/>
      <c r="L615" s="107"/>
      <c r="M615" s="109"/>
      <c r="N615" s="11" t="str">
        <f t="shared" si="18"/>
        <v/>
      </c>
      <c r="O615" s="32" t="str">
        <f t="shared" si="19"/>
        <v/>
      </c>
    </row>
    <row r="616" spans="2:15" ht="15" customHeight="1" x14ac:dyDescent="0.4">
      <c r="B616" s="10">
        <v>940</v>
      </c>
      <c r="C616" s="34"/>
      <c r="D616" s="77"/>
      <c r="E616" s="77"/>
      <c r="F616" s="77"/>
      <c r="G616" s="77"/>
      <c r="H616" s="91"/>
      <c r="I616" s="89"/>
      <c r="J616" s="77"/>
      <c r="K616" s="110"/>
      <c r="L616" s="107"/>
      <c r="M616" s="109"/>
      <c r="N616" s="11" t="str">
        <f t="shared" si="18"/>
        <v/>
      </c>
      <c r="O616" s="32" t="str">
        <f t="shared" si="19"/>
        <v/>
      </c>
    </row>
    <row r="617" spans="2:15" ht="15" customHeight="1" x14ac:dyDescent="0.4">
      <c r="B617" s="10">
        <v>941</v>
      </c>
      <c r="C617" s="34"/>
      <c r="D617" s="77"/>
      <c r="E617" s="77"/>
      <c r="F617" s="77"/>
      <c r="G617" s="77"/>
      <c r="H617" s="91"/>
      <c r="I617" s="89"/>
      <c r="J617" s="77"/>
      <c r="K617" s="110"/>
      <c r="L617" s="107"/>
      <c r="M617" s="109"/>
      <c r="N617" s="11" t="str">
        <f t="shared" si="18"/>
        <v/>
      </c>
      <c r="O617" s="32" t="str">
        <f t="shared" si="19"/>
        <v/>
      </c>
    </row>
    <row r="618" spans="2:15" ht="15" customHeight="1" x14ac:dyDescent="0.4">
      <c r="B618" s="10">
        <v>942</v>
      </c>
      <c r="C618" s="34"/>
      <c r="D618" s="77"/>
      <c r="E618" s="77"/>
      <c r="F618" s="77"/>
      <c r="G618" s="77"/>
      <c r="H618" s="91"/>
      <c r="I618" s="89"/>
      <c r="J618" s="77"/>
      <c r="K618" s="110"/>
      <c r="L618" s="107"/>
      <c r="M618" s="109"/>
      <c r="N618" s="11" t="str">
        <f t="shared" si="18"/>
        <v/>
      </c>
      <c r="O618" s="32" t="str">
        <f t="shared" si="19"/>
        <v/>
      </c>
    </row>
    <row r="619" spans="2:15" ht="15" customHeight="1" x14ac:dyDescent="0.4">
      <c r="B619" s="10">
        <v>943</v>
      </c>
      <c r="C619" s="34"/>
      <c r="D619" s="77"/>
      <c r="E619" s="77"/>
      <c r="F619" s="77"/>
      <c r="G619" s="77"/>
      <c r="H619" s="91"/>
      <c r="I619" s="89"/>
      <c r="J619" s="77"/>
      <c r="K619" s="110"/>
      <c r="L619" s="107"/>
      <c r="M619" s="109"/>
      <c r="N619" s="11" t="str">
        <f t="shared" si="18"/>
        <v/>
      </c>
      <c r="O619" s="32" t="str">
        <f t="shared" si="19"/>
        <v/>
      </c>
    </row>
    <row r="620" spans="2:15" ht="15" customHeight="1" x14ac:dyDescent="0.4">
      <c r="B620" s="10">
        <v>944</v>
      </c>
      <c r="C620" s="34"/>
      <c r="D620" s="77"/>
      <c r="E620" s="77"/>
      <c r="F620" s="77"/>
      <c r="G620" s="77"/>
      <c r="H620" s="91"/>
      <c r="I620" s="89"/>
      <c r="J620" s="77"/>
      <c r="K620" s="110"/>
      <c r="L620" s="107"/>
      <c r="M620" s="109"/>
      <c r="N620" s="11" t="str">
        <f t="shared" si="18"/>
        <v/>
      </c>
      <c r="O620" s="32" t="str">
        <f t="shared" si="19"/>
        <v/>
      </c>
    </row>
    <row r="621" spans="2:15" ht="15" customHeight="1" x14ac:dyDescent="0.4">
      <c r="B621" s="10">
        <v>945</v>
      </c>
      <c r="C621" s="34"/>
      <c r="D621" s="77"/>
      <c r="E621" s="77"/>
      <c r="F621" s="77"/>
      <c r="G621" s="77"/>
      <c r="H621" s="91"/>
      <c r="I621" s="89"/>
      <c r="J621" s="77"/>
      <c r="K621" s="110"/>
      <c r="L621" s="107"/>
      <c r="M621" s="109"/>
      <c r="N621" s="11" t="str">
        <f t="shared" si="18"/>
        <v/>
      </c>
      <c r="O621" s="32" t="str">
        <f t="shared" si="19"/>
        <v/>
      </c>
    </row>
    <row r="622" spans="2:15" ht="15" customHeight="1" x14ac:dyDescent="0.4">
      <c r="B622" s="10">
        <v>946</v>
      </c>
      <c r="C622" s="34"/>
      <c r="D622" s="77"/>
      <c r="E622" s="77"/>
      <c r="F622" s="77"/>
      <c r="G622" s="77"/>
      <c r="H622" s="91"/>
      <c r="I622" s="89"/>
      <c r="J622" s="77"/>
      <c r="K622" s="110"/>
      <c r="L622" s="107"/>
      <c r="M622" s="109"/>
      <c r="N622" s="11" t="str">
        <f t="shared" si="18"/>
        <v/>
      </c>
      <c r="O622" s="32" t="str">
        <f t="shared" si="19"/>
        <v/>
      </c>
    </row>
    <row r="623" spans="2:15" ht="15" customHeight="1" x14ac:dyDescent="0.4">
      <c r="B623" s="10">
        <v>947</v>
      </c>
      <c r="C623" s="34"/>
      <c r="D623" s="77"/>
      <c r="E623" s="77"/>
      <c r="F623" s="77"/>
      <c r="G623" s="77"/>
      <c r="H623" s="91"/>
      <c r="I623" s="89"/>
      <c r="J623" s="77"/>
      <c r="K623" s="110"/>
      <c r="L623" s="107"/>
      <c r="M623" s="109"/>
      <c r="N623" s="11" t="str">
        <f t="shared" si="18"/>
        <v/>
      </c>
      <c r="O623" s="32" t="str">
        <f t="shared" si="19"/>
        <v/>
      </c>
    </row>
    <row r="624" spans="2:15" ht="15" customHeight="1" x14ac:dyDescent="0.4">
      <c r="B624" s="10">
        <v>948</v>
      </c>
      <c r="C624" s="34"/>
      <c r="D624" s="77"/>
      <c r="E624" s="77"/>
      <c r="F624" s="77"/>
      <c r="G624" s="77"/>
      <c r="H624" s="91"/>
      <c r="I624" s="89"/>
      <c r="J624" s="77"/>
      <c r="K624" s="110"/>
      <c r="L624" s="107"/>
      <c r="M624" s="109"/>
      <c r="N624" s="11" t="str">
        <f t="shared" si="18"/>
        <v/>
      </c>
      <c r="O624" s="32" t="str">
        <f t="shared" si="19"/>
        <v/>
      </c>
    </row>
    <row r="625" spans="2:15" ht="15" customHeight="1" x14ac:dyDescent="0.4">
      <c r="B625" s="10">
        <v>949</v>
      </c>
      <c r="C625" s="34"/>
      <c r="D625" s="77"/>
      <c r="E625" s="137"/>
      <c r="F625" s="77"/>
      <c r="G625" s="77"/>
      <c r="H625" s="91"/>
      <c r="I625" s="89"/>
      <c r="J625" s="77"/>
      <c r="K625" s="110"/>
      <c r="L625" s="107"/>
      <c r="M625" s="109"/>
      <c r="N625" s="11" t="str">
        <f t="shared" si="18"/>
        <v/>
      </c>
      <c r="O625" s="32" t="str">
        <f t="shared" si="19"/>
        <v/>
      </c>
    </row>
    <row r="626" spans="2:15" ht="15" customHeight="1" x14ac:dyDescent="0.4">
      <c r="B626" s="10">
        <v>950</v>
      </c>
      <c r="C626" s="34"/>
      <c r="D626" s="77"/>
      <c r="E626" s="77"/>
      <c r="F626" s="77"/>
      <c r="G626" s="77"/>
      <c r="H626" s="91"/>
      <c r="I626" s="89"/>
      <c r="J626" s="77"/>
      <c r="K626" s="110"/>
      <c r="L626" s="107"/>
      <c r="M626" s="109"/>
      <c r="N626" s="11" t="str">
        <f t="shared" si="18"/>
        <v/>
      </c>
      <c r="O626" s="32" t="str">
        <f t="shared" si="19"/>
        <v/>
      </c>
    </row>
    <row r="627" spans="2:15" ht="15" customHeight="1" x14ac:dyDescent="0.4">
      <c r="B627" s="10">
        <v>951</v>
      </c>
      <c r="C627" s="34"/>
      <c r="D627" s="77"/>
      <c r="E627" s="77"/>
      <c r="F627" s="77"/>
      <c r="G627" s="77"/>
      <c r="H627" s="94"/>
      <c r="I627" s="89"/>
      <c r="J627" s="77"/>
      <c r="K627" s="110"/>
      <c r="L627" s="107"/>
      <c r="M627" s="109"/>
      <c r="N627" s="11" t="str">
        <f t="shared" si="18"/>
        <v/>
      </c>
      <c r="O627" s="32" t="str">
        <f t="shared" si="19"/>
        <v/>
      </c>
    </row>
    <row r="628" spans="2:15" ht="15" customHeight="1" x14ac:dyDescent="0.4">
      <c r="B628" s="10">
        <v>952</v>
      </c>
      <c r="C628" s="34"/>
      <c r="D628" s="77"/>
      <c r="E628" s="77"/>
      <c r="F628" s="77"/>
      <c r="G628" s="77"/>
      <c r="H628" s="91"/>
      <c r="I628" s="89"/>
      <c r="J628" s="77"/>
      <c r="K628" s="110"/>
      <c r="L628" s="107"/>
      <c r="M628" s="109"/>
      <c r="N628" s="11" t="str">
        <f t="shared" si="18"/>
        <v/>
      </c>
      <c r="O628" s="32" t="str">
        <f t="shared" si="19"/>
        <v/>
      </c>
    </row>
    <row r="629" spans="2:15" ht="15" customHeight="1" x14ac:dyDescent="0.4">
      <c r="B629" s="10">
        <v>953</v>
      </c>
      <c r="C629" s="34"/>
      <c r="D629" s="77"/>
      <c r="E629" s="77"/>
      <c r="F629" s="77"/>
      <c r="G629" s="77"/>
      <c r="H629" s="91"/>
      <c r="I629" s="89"/>
      <c r="J629" s="77"/>
      <c r="K629" s="110"/>
      <c r="L629" s="107"/>
      <c r="M629" s="109"/>
      <c r="N629" s="11" t="str">
        <f t="shared" si="18"/>
        <v/>
      </c>
      <c r="O629" s="32" t="str">
        <f t="shared" si="19"/>
        <v/>
      </c>
    </row>
    <row r="630" spans="2:15" ht="15" customHeight="1" x14ac:dyDescent="0.4">
      <c r="B630" s="10">
        <v>954</v>
      </c>
      <c r="C630" s="34"/>
      <c r="D630" s="77"/>
      <c r="E630" s="77"/>
      <c r="F630" s="77"/>
      <c r="G630" s="77"/>
      <c r="H630" s="91"/>
      <c r="I630" s="89"/>
      <c r="J630" s="77"/>
      <c r="K630" s="110"/>
      <c r="L630" s="107"/>
      <c r="M630" s="109"/>
      <c r="N630" s="11" t="str">
        <f t="shared" si="18"/>
        <v/>
      </c>
      <c r="O630" s="32" t="str">
        <f t="shared" si="19"/>
        <v/>
      </c>
    </row>
    <row r="631" spans="2:15" ht="15" customHeight="1" x14ac:dyDescent="0.4">
      <c r="B631" s="10">
        <v>955</v>
      </c>
      <c r="C631" s="34"/>
      <c r="D631" s="77"/>
      <c r="E631" s="77"/>
      <c r="F631" s="77"/>
      <c r="G631" s="77"/>
      <c r="H631" s="91"/>
      <c r="I631" s="89"/>
      <c r="J631" s="77"/>
      <c r="K631" s="110"/>
      <c r="L631" s="107"/>
      <c r="M631" s="109"/>
      <c r="N631" s="11" t="str">
        <f t="shared" si="18"/>
        <v/>
      </c>
      <c r="O631" s="32" t="str">
        <f t="shared" si="19"/>
        <v/>
      </c>
    </row>
    <row r="632" spans="2:15" ht="15" customHeight="1" x14ac:dyDescent="0.4">
      <c r="B632" s="10">
        <v>956</v>
      </c>
      <c r="C632" s="34"/>
      <c r="D632" s="77"/>
      <c r="E632" s="77"/>
      <c r="F632" s="77"/>
      <c r="G632" s="77"/>
      <c r="H632" s="91"/>
      <c r="I632" s="89"/>
      <c r="J632" s="77"/>
      <c r="K632" s="110"/>
      <c r="L632" s="107"/>
      <c r="M632" s="109"/>
      <c r="N632" s="11" t="str">
        <f t="shared" si="18"/>
        <v/>
      </c>
      <c r="O632" s="32" t="str">
        <f t="shared" si="19"/>
        <v/>
      </c>
    </row>
    <row r="633" spans="2:15" ht="15" customHeight="1" x14ac:dyDescent="0.4">
      <c r="B633" s="10">
        <v>957</v>
      </c>
      <c r="C633" s="34"/>
      <c r="D633" s="77"/>
      <c r="E633" s="77"/>
      <c r="F633" s="77"/>
      <c r="G633" s="77"/>
      <c r="H633" s="91"/>
      <c r="I633" s="89"/>
      <c r="J633" s="77"/>
      <c r="K633" s="110"/>
      <c r="L633" s="107"/>
      <c r="M633" s="109"/>
      <c r="N633" s="11" t="str">
        <f t="shared" si="18"/>
        <v/>
      </c>
      <c r="O633" s="32" t="str">
        <f t="shared" si="19"/>
        <v/>
      </c>
    </row>
    <row r="634" spans="2:15" ht="15" customHeight="1" x14ac:dyDescent="0.4">
      <c r="B634" s="10">
        <v>958</v>
      </c>
      <c r="C634" s="34"/>
      <c r="D634" s="77"/>
      <c r="E634" s="77"/>
      <c r="F634" s="77"/>
      <c r="G634" s="77"/>
      <c r="H634" s="91"/>
      <c r="I634" s="89"/>
      <c r="J634" s="77"/>
      <c r="K634" s="110"/>
      <c r="L634" s="107"/>
      <c r="M634" s="109"/>
      <c r="N634" s="11" t="str">
        <f t="shared" si="18"/>
        <v/>
      </c>
      <c r="O634" s="32" t="str">
        <f t="shared" si="19"/>
        <v/>
      </c>
    </row>
    <row r="635" spans="2:15" ht="15" customHeight="1" x14ac:dyDescent="0.4">
      <c r="B635" s="10">
        <v>959</v>
      </c>
      <c r="C635" s="34"/>
      <c r="D635" s="77"/>
      <c r="E635" s="77"/>
      <c r="F635" s="77"/>
      <c r="G635" s="77"/>
      <c r="H635" s="91"/>
      <c r="I635" s="89"/>
      <c r="J635" s="77"/>
      <c r="K635" s="110"/>
      <c r="L635" s="107"/>
      <c r="M635" s="109"/>
      <c r="N635" s="11" t="str">
        <f t="shared" si="18"/>
        <v/>
      </c>
      <c r="O635" s="32" t="str">
        <f t="shared" si="19"/>
        <v/>
      </c>
    </row>
    <row r="636" spans="2:15" ht="15" customHeight="1" x14ac:dyDescent="0.4">
      <c r="B636" s="10">
        <v>960</v>
      </c>
      <c r="C636" s="34"/>
      <c r="D636" s="77"/>
      <c r="E636" s="77"/>
      <c r="F636" s="77"/>
      <c r="G636" s="77"/>
      <c r="H636" s="91"/>
      <c r="I636" s="89"/>
      <c r="J636" s="77"/>
      <c r="K636" s="110"/>
      <c r="L636" s="107"/>
      <c r="M636" s="109"/>
      <c r="N636" s="11" t="str">
        <f t="shared" si="18"/>
        <v/>
      </c>
      <c r="O636" s="32" t="str">
        <f t="shared" si="19"/>
        <v/>
      </c>
    </row>
    <row r="637" spans="2:15" ht="15" customHeight="1" x14ac:dyDescent="0.4">
      <c r="B637" s="10">
        <v>961</v>
      </c>
      <c r="C637" s="34"/>
      <c r="D637" s="77"/>
      <c r="E637" s="77"/>
      <c r="F637" s="77"/>
      <c r="G637" s="77"/>
      <c r="H637" s="91"/>
      <c r="I637" s="89"/>
      <c r="J637" s="77"/>
      <c r="K637" s="110"/>
      <c r="L637" s="107"/>
      <c r="M637" s="109"/>
      <c r="N637" s="11" t="str">
        <f t="shared" ref="N637:N700" si="20">IF(OR(M637="", K637=""),"", M637- K637)</f>
        <v/>
      </c>
      <c r="O637" s="32" t="str">
        <f t="shared" si="19"/>
        <v/>
      </c>
    </row>
    <row r="638" spans="2:15" ht="15" customHeight="1" x14ac:dyDescent="0.4">
      <c r="B638" s="10">
        <v>962</v>
      </c>
      <c r="C638" s="34"/>
      <c r="D638" s="77"/>
      <c r="E638" s="77"/>
      <c r="F638" s="77"/>
      <c r="G638" s="77"/>
      <c r="H638" s="91"/>
      <c r="I638" s="89"/>
      <c r="J638" s="77"/>
      <c r="K638" s="110"/>
      <c r="L638" s="107"/>
      <c r="M638" s="109"/>
      <c r="N638" s="11" t="str">
        <f t="shared" si="20"/>
        <v/>
      </c>
      <c r="O638" s="32" t="str">
        <f t="shared" ref="O638:O701" si="21">IF(OR(M638="", K638="", L638=""), "", IF((M638 - K638) &gt; L638, "No", "Yes"))</f>
        <v/>
      </c>
    </row>
    <row r="639" spans="2:15" ht="15" customHeight="1" x14ac:dyDescent="0.4">
      <c r="B639" s="10">
        <v>963</v>
      </c>
      <c r="C639" s="34"/>
      <c r="D639" s="77"/>
      <c r="E639" s="77"/>
      <c r="F639" s="77"/>
      <c r="G639" s="77"/>
      <c r="H639" s="91"/>
      <c r="I639" s="89"/>
      <c r="J639" s="77"/>
      <c r="K639" s="110"/>
      <c r="L639" s="107"/>
      <c r="M639" s="109"/>
      <c r="N639" s="11" t="str">
        <f t="shared" si="20"/>
        <v/>
      </c>
      <c r="O639" s="32" t="str">
        <f t="shared" si="21"/>
        <v/>
      </c>
    </row>
    <row r="640" spans="2:15" ht="15" customHeight="1" x14ac:dyDescent="0.4">
      <c r="B640" s="10">
        <v>964</v>
      </c>
      <c r="C640" s="34"/>
      <c r="D640" s="77"/>
      <c r="E640" s="77"/>
      <c r="F640" s="77"/>
      <c r="G640" s="77"/>
      <c r="H640" s="91"/>
      <c r="I640" s="89"/>
      <c r="J640" s="77"/>
      <c r="K640" s="110"/>
      <c r="L640" s="107"/>
      <c r="M640" s="109"/>
      <c r="N640" s="11" t="str">
        <f t="shared" si="20"/>
        <v/>
      </c>
      <c r="O640" s="32" t="str">
        <f t="shared" si="21"/>
        <v/>
      </c>
    </row>
    <row r="641" spans="2:15" ht="26.25" customHeight="1" x14ac:dyDescent="0.4">
      <c r="B641" s="10">
        <v>965</v>
      </c>
      <c r="C641" s="34"/>
      <c r="D641" s="77"/>
      <c r="E641" s="77"/>
      <c r="F641" s="77"/>
      <c r="G641" s="77"/>
      <c r="H641" s="91"/>
      <c r="I641" s="89"/>
      <c r="J641" s="77"/>
      <c r="K641" s="110"/>
      <c r="L641" s="107"/>
      <c r="M641" s="109"/>
      <c r="N641" s="11" t="str">
        <f t="shared" si="20"/>
        <v/>
      </c>
      <c r="O641" s="32" t="str">
        <f t="shared" si="21"/>
        <v/>
      </c>
    </row>
    <row r="642" spans="2:15" ht="15" customHeight="1" x14ac:dyDescent="0.4">
      <c r="B642" s="10">
        <v>966</v>
      </c>
      <c r="C642" s="34"/>
      <c r="D642" s="77"/>
      <c r="E642" s="77"/>
      <c r="F642" s="77"/>
      <c r="G642" s="77"/>
      <c r="H642" s="91"/>
      <c r="I642" s="89"/>
      <c r="J642" s="90"/>
      <c r="K642" s="110"/>
      <c r="L642" s="107"/>
      <c r="M642" s="109"/>
      <c r="N642" s="11" t="str">
        <f t="shared" si="20"/>
        <v/>
      </c>
      <c r="O642" s="32" t="str">
        <f t="shared" si="21"/>
        <v/>
      </c>
    </row>
    <row r="643" spans="2:15" ht="15" customHeight="1" x14ac:dyDescent="0.4">
      <c r="B643" s="10">
        <v>967</v>
      </c>
      <c r="C643" s="34"/>
      <c r="D643" s="77"/>
      <c r="E643" s="77"/>
      <c r="F643" s="77"/>
      <c r="G643" s="77"/>
      <c r="H643" s="91"/>
      <c r="I643" s="89"/>
      <c r="J643" s="77"/>
      <c r="K643" s="110"/>
      <c r="L643" s="107"/>
      <c r="M643" s="109"/>
      <c r="N643" s="11" t="str">
        <f t="shared" si="20"/>
        <v/>
      </c>
      <c r="O643" s="32" t="str">
        <f t="shared" si="21"/>
        <v/>
      </c>
    </row>
    <row r="644" spans="2:15" ht="15" customHeight="1" x14ac:dyDescent="0.4">
      <c r="B644" s="10">
        <v>968</v>
      </c>
      <c r="C644" s="34"/>
      <c r="D644" s="77"/>
      <c r="E644" s="77"/>
      <c r="F644" s="77"/>
      <c r="G644" s="77"/>
      <c r="H644" s="91"/>
      <c r="I644" s="89"/>
      <c r="J644" s="77"/>
      <c r="K644" s="110"/>
      <c r="L644" s="107"/>
      <c r="M644" s="109"/>
      <c r="N644" s="11" t="str">
        <f t="shared" si="20"/>
        <v/>
      </c>
      <c r="O644" s="32" t="str">
        <f t="shared" si="21"/>
        <v/>
      </c>
    </row>
    <row r="645" spans="2:15" ht="15" customHeight="1" x14ac:dyDescent="0.4">
      <c r="B645" s="10">
        <v>969</v>
      </c>
      <c r="C645" s="34"/>
      <c r="D645" s="77"/>
      <c r="E645" s="77"/>
      <c r="F645" s="77"/>
      <c r="G645" s="77"/>
      <c r="H645" s="91"/>
      <c r="I645" s="89"/>
      <c r="J645" s="77"/>
      <c r="K645" s="110"/>
      <c r="L645" s="107"/>
      <c r="M645" s="109"/>
      <c r="N645" s="11" t="str">
        <f t="shared" si="20"/>
        <v/>
      </c>
      <c r="O645" s="32" t="str">
        <f t="shared" si="21"/>
        <v/>
      </c>
    </row>
    <row r="646" spans="2:15" ht="15" customHeight="1" x14ac:dyDescent="0.4">
      <c r="B646" s="10">
        <v>970</v>
      </c>
      <c r="C646" s="34"/>
      <c r="D646" s="77"/>
      <c r="E646" s="77"/>
      <c r="F646" s="77"/>
      <c r="G646" s="77"/>
      <c r="H646" s="91"/>
      <c r="I646" s="89"/>
      <c r="J646" s="77"/>
      <c r="K646" s="110"/>
      <c r="L646" s="107"/>
      <c r="M646" s="109"/>
      <c r="N646" s="11" t="str">
        <f t="shared" si="20"/>
        <v/>
      </c>
      <c r="O646" s="32" t="str">
        <f t="shared" si="21"/>
        <v/>
      </c>
    </row>
    <row r="647" spans="2:15" ht="15" customHeight="1" x14ac:dyDescent="0.4">
      <c r="B647" s="10">
        <v>971</v>
      </c>
      <c r="C647" s="34"/>
      <c r="D647" s="77"/>
      <c r="E647" s="77"/>
      <c r="F647" s="77"/>
      <c r="G647" s="77"/>
      <c r="H647" s="91"/>
      <c r="I647" s="89"/>
      <c r="J647" s="77"/>
      <c r="K647" s="110"/>
      <c r="L647" s="107"/>
      <c r="M647" s="109"/>
      <c r="N647" s="11" t="str">
        <f t="shared" si="20"/>
        <v/>
      </c>
      <c r="O647" s="32" t="str">
        <f t="shared" si="21"/>
        <v/>
      </c>
    </row>
    <row r="648" spans="2:15" ht="15" customHeight="1" x14ac:dyDescent="0.4">
      <c r="B648" s="10">
        <v>972</v>
      </c>
      <c r="C648" s="34"/>
      <c r="D648" s="77"/>
      <c r="E648" s="77"/>
      <c r="F648" s="77"/>
      <c r="G648" s="77"/>
      <c r="H648" s="91"/>
      <c r="I648" s="89"/>
      <c r="J648" s="77"/>
      <c r="K648" s="110"/>
      <c r="L648" s="107"/>
      <c r="M648" s="109"/>
      <c r="N648" s="11" t="str">
        <f t="shared" si="20"/>
        <v/>
      </c>
      <c r="O648" s="32" t="str">
        <f t="shared" si="21"/>
        <v/>
      </c>
    </row>
    <row r="649" spans="2:15" ht="15" customHeight="1" x14ac:dyDescent="0.4">
      <c r="B649" s="10">
        <v>973</v>
      </c>
      <c r="C649" s="34"/>
      <c r="D649" s="77"/>
      <c r="E649" s="77"/>
      <c r="F649" s="77"/>
      <c r="G649" s="77"/>
      <c r="H649" s="91"/>
      <c r="I649" s="89"/>
      <c r="J649" s="77"/>
      <c r="K649" s="110"/>
      <c r="L649" s="107"/>
      <c r="M649" s="109"/>
      <c r="N649" s="11" t="str">
        <f t="shared" si="20"/>
        <v/>
      </c>
      <c r="O649" s="32" t="str">
        <f t="shared" si="21"/>
        <v/>
      </c>
    </row>
    <row r="650" spans="2:15" ht="15" customHeight="1" x14ac:dyDescent="0.4">
      <c r="B650" s="10">
        <v>974</v>
      </c>
      <c r="C650" s="34"/>
      <c r="D650" s="77"/>
      <c r="E650" s="77"/>
      <c r="F650" s="77"/>
      <c r="G650" s="77"/>
      <c r="H650" s="91"/>
      <c r="I650" s="89"/>
      <c r="J650" s="77"/>
      <c r="K650" s="110"/>
      <c r="L650" s="107"/>
      <c r="M650" s="109"/>
      <c r="N650" s="11" t="str">
        <f t="shared" si="20"/>
        <v/>
      </c>
      <c r="O650" s="32" t="str">
        <f t="shared" si="21"/>
        <v/>
      </c>
    </row>
    <row r="651" spans="2:15" ht="15" customHeight="1" x14ac:dyDescent="0.4">
      <c r="B651" s="10">
        <v>975</v>
      </c>
      <c r="C651" s="34"/>
      <c r="D651" s="77"/>
      <c r="E651" s="77"/>
      <c r="F651" s="77"/>
      <c r="G651" s="77"/>
      <c r="H651" s="91"/>
      <c r="I651" s="89"/>
      <c r="J651" s="77"/>
      <c r="K651" s="110"/>
      <c r="L651" s="107"/>
      <c r="M651" s="109"/>
      <c r="N651" s="11" t="str">
        <f t="shared" si="20"/>
        <v/>
      </c>
      <c r="O651" s="32" t="str">
        <f t="shared" si="21"/>
        <v/>
      </c>
    </row>
    <row r="652" spans="2:15" ht="15" customHeight="1" x14ac:dyDescent="0.4">
      <c r="B652" s="10">
        <v>976</v>
      </c>
      <c r="C652" s="34"/>
      <c r="D652" s="77"/>
      <c r="E652" s="77"/>
      <c r="F652" s="77"/>
      <c r="G652" s="77"/>
      <c r="H652" s="91"/>
      <c r="I652" s="89"/>
      <c r="J652" s="77"/>
      <c r="K652" s="110"/>
      <c r="L652" s="107"/>
      <c r="M652" s="109"/>
      <c r="N652" s="11" t="str">
        <f t="shared" si="20"/>
        <v/>
      </c>
      <c r="O652" s="32" t="str">
        <f t="shared" si="21"/>
        <v/>
      </c>
    </row>
    <row r="653" spans="2:15" ht="15" customHeight="1" x14ac:dyDescent="0.4">
      <c r="B653" s="10">
        <v>977</v>
      </c>
      <c r="C653" s="34"/>
      <c r="D653" s="77"/>
      <c r="E653" s="77"/>
      <c r="F653" s="77"/>
      <c r="G653" s="77"/>
      <c r="H653" s="91"/>
      <c r="I653" s="89"/>
      <c r="J653" s="77"/>
      <c r="K653" s="110"/>
      <c r="L653" s="107"/>
      <c r="M653" s="109"/>
      <c r="N653" s="11" t="str">
        <f t="shared" si="20"/>
        <v/>
      </c>
      <c r="O653" s="32" t="str">
        <f t="shared" si="21"/>
        <v/>
      </c>
    </row>
    <row r="654" spans="2:15" ht="15" customHeight="1" x14ac:dyDescent="0.4">
      <c r="B654" s="10">
        <v>978</v>
      </c>
      <c r="C654" s="34"/>
      <c r="D654" s="77"/>
      <c r="E654" s="77"/>
      <c r="F654" s="77"/>
      <c r="G654" s="77"/>
      <c r="H654" s="91"/>
      <c r="I654" s="89"/>
      <c r="J654" s="77"/>
      <c r="K654" s="110"/>
      <c r="L654" s="107"/>
      <c r="M654" s="109"/>
      <c r="N654" s="11" t="str">
        <f t="shared" si="20"/>
        <v/>
      </c>
      <c r="O654" s="32" t="str">
        <f t="shared" si="21"/>
        <v/>
      </c>
    </row>
    <row r="655" spans="2:15" ht="15" customHeight="1" x14ac:dyDescent="0.4">
      <c r="B655" s="10">
        <v>979</v>
      </c>
      <c r="C655" s="34"/>
      <c r="D655" s="77"/>
      <c r="E655" s="77"/>
      <c r="F655" s="77"/>
      <c r="G655" s="77"/>
      <c r="H655" s="91"/>
      <c r="I655" s="89"/>
      <c r="J655" s="77"/>
      <c r="K655" s="110"/>
      <c r="L655" s="107"/>
      <c r="M655" s="109"/>
      <c r="N655" s="11" t="str">
        <f t="shared" si="20"/>
        <v/>
      </c>
      <c r="O655" s="32" t="str">
        <f t="shared" si="21"/>
        <v/>
      </c>
    </row>
    <row r="656" spans="2:15" ht="15" customHeight="1" x14ac:dyDescent="0.4">
      <c r="B656" s="10">
        <v>980</v>
      </c>
      <c r="C656" s="34"/>
      <c r="D656" s="77"/>
      <c r="E656" s="77"/>
      <c r="F656" s="77"/>
      <c r="G656" s="77"/>
      <c r="H656" s="91"/>
      <c r="I656" s="89"/>
      <c r="J656" s="77"/>
      <c r="K656" s="110"/>
      <c r="L656" s="107"/>
      <c r="M656" s="109"/>
      <c r="N656" s="11" t="str">
        <f t="shared" si="20"/>
        <v/>
      </c>
      <c r="O656" s="32" t="str">
        <f t="shared" si="21"/>
        <v/>
      </c>
    </row>
    <row r="657" spans="2:15" ht="15" customHeight="1" x14ac:dyDescent="0.4">
      <c r="B657" s="10">
        <v>981</v>
      </c>
      <c r="C657" s="34"/>
      <c r="D657" s="77"/>
      <c r="E657" s="77"/>
      <c r="F657" s="77"/>
      <c r="G657" s="77"/>
      <c r="H657" s="91"/>
      <c r="I657" s="89"/>
      <c r="J657" s="77"/>
      <c r="K657" s="110"/>
      <c r="L657" s="107"/>
      <c r="M657" s="109"/>
      <c r="N657" s="11" t="str">
        <f t="shared" si="20"/>
        <v/>
      </c>
      <c r="O657" s="32" t="str">
        <f t="shared" si="21"/>
        <v/>
      </c>
    </row>
    <row r="658" spans="2:15" ht="15" customHeight="1" x14ac:dyDescent="0.4">
      <c r="B658" s="10">
        <v>982</v>
      </c>
      <c r="C658" s="34"/>
      <c r="D658" s="77"/>
      <c r="E658" s="77"/>
      <c r="F658" s="77"/>
      <c r="G658" s="77"/>
      <c r="H658" s="91"/>
      <c r="I658" s="89"/>
      <c r="J658" s="77"/>
      <c r="K658" s="110"/>
      <c r="L658" s="107"/>
      <c r="M658" s="109"/>
      <c r="N658" s="11" t="str">
        <f t="shared" si="20"/>
        <v/>
      </c>
      <c r="O658" s="32" t="str">
        <f t="shared" si="21"/>
        <v/>
      </c>
    </row>
    <row r="659" spans="2:15" ht="15" customHeight="1" x14ac:dyDescent="0.4">
      <c r="B659" s="10">
        <v>983</v>
      </c>
      <c r="C659" s="34"/>
      <c r="D659" s="77"/>
      <c r="E659" s="77"/>
      <c r="F659" s="77"/>
      <c r="G659" s="77"/>
      <c r="H659" s="105"/>
      <c r="I659" s="89"/>
      <c r="J659" s="77"/>
      <c r="K659" s="110"/>
      <c r="L659" s="107"/>
      <c r="M659" s="109"/>
      <c r="N659" s="11" t="str">
        <f t="shared" si="20"/>
        <v/>
      </c>
      <c r="O659" s="32" t="str">
        <f t="shared" si="21"/>
        <v/>
      </c>
    </row>
    <row r="660" spans="2:15" ht="15" customHeight="1" x14ac:dyDescent="0.4">
      <c r="B660" s="10">
        <v>984</v>
      </c>
      <c r="C660" s="34"/>
      <c r="D660" s="77"/>
      <c r="E660" s="77"/>
      <c r="F660" s="77"/>
      <c r="G660" s="77"/>
      <c r="H660" s="91"/>
      <c r="I660" s="89"/>
      <c r="J660" s="77"/>
      <c r="K660" s="110"/>
      <c r="L660" s="107"/>
      <c r="M660" s="109"/>
      <c r="N660" s="11" t="str">
        <f t="shared" si="20"/>
        <v/>
      </c>
      <c r="O660" s="32" t="str">
        <f t="shared" si="21"/>
        <v/>
      </c>
    </row>
    <row r="661" spans="2:15" ht="15" customHeight="1" x14ac:dyDescent="0.4">
      <c r="B661" s="10">
        <v>985</v>
      </c>
      <c r="C661" s="34"/>
      <c r="D661" s="77"/>
      <c r="E661" s="77"/>
      <c r="F661" s="77"/>
      <c r="G661" s="77"/>
      <c r="H661" s="91"/>
      <c r="I661" s="89"/>
      <c r="J661" s="77"/>
      <c r="K661" s="110"/>
      <c r="L661" s="107"/>
      <c r="M661" s="109"/>
      <c r="N661" s="11" t="str">
        <f t="shared" si="20"/>
        <v/>
      </c>
      <c r="O661" s="32" t="str">
        <f t="shared" si="21"/>
        <v/>
      </c>
    </row>
    <row r="662" spans="2:15" ht="15" customHeight="1" x14ac:dyDescent="0.4">
      <c r="B662" s="10">
        <v>986</v>
      </c>
      <c r="C662" s="34"/>
      <c r="D662" s="77"/>
      <c r="E662" s="77"/>
      <c r="F662" s="77"/>
      <c r="G662" s="77"/>
      <c r="H662" s="91"/>
      <c r="I662" s="89"/>
      <c r="J662" s="77"/>
      <c r="K662" s="110"/>
      <c r="L662" s="107"/>
      <c r="M662" s="109"/>
      <c r="N662" s="11" t="str">
        <f t="shared" si="20"/>
        <v/>
      </c>
      <c r="O662" s="32" t="str">
        <f t="shared" si="21"/>
        <v/>
      </c>
    </row>
    <row r="663" spans="2:15" ht="15" customHeight="1" x14ac:dyDescent="0.4">
      <c r="B663" s="10">
        <v>987</v>
      </c>
      <c r="C663" s="34"/>
      <c r="D663" s="77"/>
      <c r="E663" s="77"/>
      <c r="F663" s="77"/>
      <c r="G663" s="77"/>
      <c r="H663" s="91"/>
      <c r="I663" s="89"/>
      <c r="J663" s="77"/>
      <c r="K663" s="110"/>
      <c r="L663" s="107"/>
      <c r="M663" s="109"/>
      <c r="N663" s="11" t="str">
        <f t="shared" si="20"/>
        <v/>
      </c>
      <c r="O663" s="32" t="str">
        <f t="shared" si="21"/>
        <v/>
      </c>
    </row>
    <row r="664" spans="2:15" ht="15" customHeight="1" x14ac:dyDescent="0.4">
      <c r="B664" s="10">
        <v>988</v>
      </c>
      <c r="C664" s="34"/>
      <c r="D664" s="77"/>
      <c r="E664" s="77"/>
      <c r="F664" s="77"/>
      <c r="G664" s="77"/>
      <c r="H664" s="91"/>
      <c r="I664" s="89"/>
      <c r="J664" s="77"/>
      <c r="K664" s="110"/>
      <c r="L664" s="107"/>
      <c r="M664" s="109"/>
      <c r="N664" s="11" t="str">
        <f t="shared" si="20"/>
        <v/>
      </c>
      <c r="O664" s="32" t="str">
        <f t="shared" si="21"/>
        <v/>
      </c>
    </row>
    <row r="665" spans="2:15" ht="15" customHeight="1" x14ac:dyDescent="0.4">
      <c r="B665" s="10">
        <v>989</v>
      </c>
      <c r="C665" s="34"/>
      <c r="D665" s="77"/>
      <c r="E665" s="77"/>
      <c r="F665" s="77"/>
      <c r="G665" s="77"/>
      <c r="H665" s="94"/>
      <c r="I665" s="89"/>
      <c r="J665" s="77"/>
      <c r="K665" s="110"/>
      <c r="L665" s="107"/>
      <c r="M665" s="109"/>
      <c r="N665" s="11" t="str">
        <f t="shared" si="20"/>
        <v/>
      </c>
      <c r="O665" s="32" t="str">
        <f t="shared" si="21"/>
        <v/>
      </c>
    </row>
    <row r="666" spans="2:15" ht="15" customHeight="1" x14ac:dyDescent="0.4">
      <c r="B666" s="10">
        <v>990</v>
      </c>
      <c r="C666" s="34"/>
      <c r="D666" s="77"/>
      <c r="E666" s="77"/>
      <c r="F666" s="77"/>
      <c r="G666" s="77"/>
      <c r="H666" s="94"/>
      <c r="I666" s="89"/>
      <c r="J666" s="77"/>
      <c r="K666" s="110"/>
      <c r="L666" s="107"/>
      <c r="M666" s="109"/>
      <c r="N666" s="11" t="str">
        <f t="shared" si="20"/>
        <v/>
      </c>
      <c r="O666" s="32" t="str">
        <f t="shared" si="21"/>
        <v/>
      </c>
    </row>
    <row r="667" spans="2:15" ht="15" customHeight="1" x14ac:dyDescent="0.4">
      <c r="B667" s="10">
        <v>991</v>
      </c>
      <c r="C667" s="34"/>
      <c r="D667" s="77"/>
      <c r="E667" s="77"/>
      <c r="F667" s="77"/>
      <c r="G667" s="77"/>
      <c r="H667" s="94"/>
      <c r="I667" s="89"/>
      <c r="J667" s="77"/>
      <c r="K667" s="110"/>
      <c r="L667" s="107"/>
      <c r="M667" s="109"/>
      <c r="N667" s="11" t="str">
        <f t="shared" si="20"/>
        <v/>
      </c>
      <c r="O667" s="32" t="str">
        <f t="shared" si="21"/>
        <v/>
      </c>
    </row>
    <row r="668" spans="2:15" ht="15" customHeight="1" x14ac:dyDescent="0.4">
      <c r="B668" s="10">
        <v>992</v>
      </c>
      <c r="C668" s="34"/>
      <c r="D668" s="77"/>
      <c r="E668" s="77"/>
      <c r="F668" s="77"/>
      <c r="G668" s="77"/>
      <c r="H668" s="94"/>
      <c r="I668" s="89"/>
      <c r="J668" s="77"/>
      <c r="K668" s="110"/>
      <c r="L668" s="107"/>
      <c r="M668" s="109"/>
      <c r="N668" s="11" t="str">
        <f t="shared" si="20"/>
        <v/>
      </c>
      <c r="O668" s="32" t="str">
        <f t="shared" si="21"/>
        <v/>
      </c>
    </row>
    <row r="669" spans="2:15" ht="15" customHeight="1" x14ac:dyDescent="0.4">
      <c r="B669" s="10">
        <v>993</v>
      </c>
      <c r="C669" s="34"/>
      <c r="D669" s="77"/>
      <c r="E669" s="77"/>
      <c r="F669" s="77"/>
      <c r="G669" s="77"/>
      <c r="H669" s="94"/>
      <c r="I669" s="89"/>
      <c r="J669" s="77"/>
      <c r="K669" s="110"/>
      <c r="L669" s="107"/>
      <c r="M669" s="109"/>
      <c r="N669" s="11" t="str">
        <f t="shared" si="20"/>
        <v/>
      </c>
      <c r="O669" s="32" t="str">
        <f t="shared" si="21"/>
        <v/>
      </c>
    </row>
    <row r="670" spans="2:15" ht="15" customHeight="1" x14ac:dyDescent="0.4">
      <c r="B670" s="10">
        <v>994</v>
      </c>
      <c r="C670" s="34"/>
      <c r="D670" s="77"/>
      <c r="E670" s="77"/>
      <c r="F670" s="77"/>
      <c r="G670" s="77"/>
      <c r="H670" s="94"/>
      <c r="I670" s="89"/>
      <c r="J670" s="77"/>
      <c r="K670" s="110"/>
      <c r="L670" s="107"/>
      <c r="M670" s="109"/>
      <c r="N670" s="11" t="str">
        <f t="shared" si="20"/>
        <v/>
      </c>
      <c r="O670" s="32" t="str">
        <f t="shared" si="21"/>
        <v/>
      </c>
    </row>
    <row r="671" spans="2:15" ht="15" customHeight="1" x14ac:dyDescent="0.4">
      <c r="B671" s="10">
        <v>995</v>
      </c>
      <c r="C671" s="34"/>
      <c r="D671" s="77"/>
      <c r="E671" s="77"/>
      <c r="F671" s="77"/>
      <c r="G671" s="77"/>
      <c r="H671" s="94"/>
      <c r="I671" s="89"/>
      <c r="J671" s="77"/>
      <c r="K671" s="110"/>
      <c r="L671" s="107"/>
      <c r="M671" s="109"/>
      <c r="N671" s="11" t="str">
        <f t="shared" si="20"/>
        <v/>
      </c>
      <c r="O671" s="32" t="str">
        <f t="shared" si="21"/>
        <v/>
      </c>
    </row>
    <row r="672" spans="2:15" ht="15" customHeight="1" x14ac:dyDescent="0.4">
      <c r="B672" s="10">
        <v>996</v>
      </c>
      <c r="C672" s="34"/>
      <c r="D672" s="77"/>
      <c r="E672" s="77"/>
      <c r="F672" s="77"/>
      <c r="G672" s="77"/>
      <c r="H672" s="94"/>
      <c r="I672" s="89"/>
      <c r="J672" s="77"/>
      <c r="K672" s="110"/>
      <c r="L672" s="107"/>
      <c r="M672" s="109"/>
      <c r="N672" s="11" t="str">
        <f t="shared" si="20"/>
        <v/>
      </c>
      <c r="O672" s="32" t="str">
        <f t="shared" si="21"/>
        <v/>
      </c>
    </row>
    <row r="673" spans="2:15" ht="15" customHeight="1" x14ac:dyDescent="0.4">
      <c r="B673" s="10">
        <v>997</v>
      </c>
      <c r="C673" s="34"/>
      <c r="D673" s="77"/>
      <c r="E673" s="77"/>
      <c r="F673" s="77"/>
      <c r="G673" s="77"/>
      <c r="H673" s="94"/>
      <c r="I673" s="89"/>
      <c r="J673" s="77"/>
      <c r="K673" s="110"/>
      <c r="L673" s="107"/>
      <c r="M673" s="109"/>
      <c r="N673" s="11" t="str">
        <f t="shared" si="20"/>
        <v/>
      </c>
      <c r="O673" s="32" t="str">
        <f t="shared" si="21"/>
        <v/>
      </c>
    </row>
    <row r="674" spans="2:15" ht="15" customHeight="1" x14ac:dyDescent="0.4">
      <c r="B674" s="10">
        <v>998</v>
      </c>
      <c r="C674" s="34"/>
      <c r="D674" s="77"/>
      <c r="E674" s="77"/>
      <c r="F674" s="77"/>
      <c r="G674" s="77"/>
      <c r="H674" s="94"/>
      <c r="I674" s="89"/>
      <c r="J674" s="77"/>
      <c r="K674" s="110"/>
      <c r="L674" s="107"/>
      <c r="M674" s="109"/>
      <c r="N674" s="11" t="str">
        <f t="shared" si="20"/>
        <v/>
      </c>
      <c r="O674" s="32" t="str">
        <f t="shared" si="21"/>
        <v/>
      </c>
    </row>
    <row r="675" spans="2:15" ht="15" customHeight="1" x14ac:dyDescent="0.4">
      <c r="B675" s="10">
        <v>999</v>
      </c>
      <c r="C675" s="34"/>
      <c r="D675" s="77"/>
      <c r="E675" s="77"/>
      <c r="F675" s="77"/>
      <c r="G675" s="77"/>
      <c r="H675" s="94"/>
      <c r="I675" s="89"/>
      <c r="J675" s="77"/>
      <c r="K675" s="110"/>
      <c r="L675" s="107"/>
      <c r="M675" s="109"/>
      <c r="N675" s="11" t="str">
        <f t="shared" si="20"/>
        <v/>
      </c>
      <c r="O675" s="32" t="str">
        <f t="shared" si="21"/>
        <v/>
      </c>
    </row>
    <row r="676" spans="2:15" ht="15" customHeight="1" x14ac:dyDescent="0.4">
      <c r="B676" s="10">
        <v>1000</v>
      </c>
      <c r="C676" s="34"/>
      <c r="D676" s="77"/>
      <c r="E676" s="77"/>
      <c r="F676" s="77"/>
      <c r="G676" s="77"/>
      <c r="H676" s="94"/>
      <c r="I676" s="89"/>
      <c r="J676" s="77"/>
      <c r="K676" s="110"/>
      <c r="L676" s="107"/>
      <c r="M676" s="109"/>
      <c r="N676" s="11" t="str">
        <f t="shared" si="20"/>
        <v/>
      </c>
      <c r="O676" s="32" t="str">
        <f t="shared" si="21"/>
        <v/>
      </c>
    </row>
    <row r="677" spans="2:15" ht="15" customHeight="1" x14ac:dyDescent="0.4">
      <c r="B677" s="10">
        <v>1001</v>
      </c>
      <c r="C677" s="34"/>
      <c r="D677" s="77"/>
      <c r="E677" s="77"/>
      <c r="F677" s="77"/>
      <c r="G677" s="77"/>
      <c r="H677" s="94"/>
      <c r="I677" s="89"/>
      <c r="J677" s="77"/>
      <c r="K677" s="110"/>
      <c r="L677" s="107"/>
      <c r="M677" s="109"/>
      <c r="N677" s="11" t="str">
        <f t="shared" si="20"/>
        <v/>
      </c>
      <c r="O677" s="32" t="str">
        <f t="shared" si="21"/>
        <v/>
      </c>
    </row>
    <row r="678" spans="2:15" ht="15" customHeight="1" x14ac:dyDescent="0.4">
      <c r="B678" s="10">
        <v>1002</v>
      </c>
      <c r="C678" s="34"/>
      <c r="D678" s="77"/>
      <c r="E678" s="77"/>
      <c r="F678" s="77"/>
      <c r="G678" s="77"/>
      <c r="H678" s="94"/>
      <c r="I678" s="89"/>
      <c r="J678" s="77"/>
      <c r="K678" s="110"/>
      <c r="L678" s="107"/>
      <c r="M678" s="109"/>
      <c r="N678" s="11" t="str">
        <f t="shared" si="20"/>
        <v/>
      </c>
      <c r="O678" s="32" t="str">
        <f t="shared" si="21"/>
        <v/>
      </c>
    </row>
    <row r="679" spans="2:15" ht="15" customHeight="1" x14ac:dyDescent="0.4">
      <c r="B679" s="10">
        <v>1003</v>
      </c>
      <c r="C679" s="34"/>
      <c r="D679" s="77"/>
      <c r="E679" s="77"/>
      <c r="F679" s="77"/>
      <c r="G679" s="77"/>
      <c r="H679" s="91"/>
      <c r="I679" s="89"/>
      <c r="J679" s="77"/>
      <c r="K679" s="110"/>
      <c r="L679" s="107"/>
      <c r="M679" s="109"/>
      <c r="N679" s="11" t="str">
        <f t="shared" si="20"/>
        <v/>
      </c>
      <c r="O679" s="32" t="str">
        <f t="shared" si="21"/>
        <v/>
      </c>
    </row>
    <row r="680" spans="2:15" ht="15" customHeight="1" x14ac:dyDescent="0.4">
      <c r="B680" s="10">
        <v>1004</v>
      </c>
      <c r="C680" s="34"/>
      <c r="D680" s="77"/>
      <c r="E680" s="77"/>
      <c r="F680" s="77"/>
      <c r="G680" s="77"/>
      <c r="H680" s="94"/>
      <c r="I680" s="89"/>
      <c r="J680" s="77"/>
      <c r="K680" s="110"/>
      <c r="L680" s="107"/>
      <c r="M680" s="109"/>
      <c r="N680" s="11" t="str">
        <f t="shared" si="20"/>
        <v/>
      </c>
      <c r="O680" s="32" t="str">
        <f t="shared" si="21"/>
        <v/>
      </c>
    </row>
    <row r="681" spans="2:15" ht="15" customHeight="1" x14ac:dyDescent="0.4">
      <c r="B681" s="10">
        <v>1005</v>
      </c>
      <c r="C681" s="34"/>
      <c r="D681" s="77"/>
      <c r="E681" s="77"/>
      <c r="F681" s="77"/>
      <c r="G681" s="77"/>
      <c r="H681" s="94"/>
      <c r="I681" s="89"/>
      <c r="J681" s="77"/>
      <c r="K681" s="110"/>
      <c r="L681" s="107"/>
      <c r="M681" s="109"/>
      <c r="N681" s="11" t="str">
        <f t="shared" si="20"/>
        <v/>
      </c>
      <c r="O681" s="32" t="str">
        <f t="shared" si="21"/>
        <v/>
      </c>
    </row>
    <row r="682" spans="2:15" ht="15" customHeight="1" x14ac:dyDescent="0.4">
      <c r="B682" s="10">
        <v>1006</v>
      </c>
      <c r="C682" s="34"/>
      <c r="D682" s="77"/>
      <c r="E682" s="77"/>
      <c r="F682" s="77"/>
      <c r="G682" s="77"/>
      <c r="H682" s="94"/>
      <c r="I682" s="89"/>
      <c r="J682" s="77"/>
      <c r="K682" s="110"/>
      <c r="L682" s="107"/>
      <c r="M682" s="109"/>
      <c r="N682" s="11" t="str">
        <f t="shared" si="20"/>
        <v/>
      </c>
      <c r="O682" s="32" t="str">
        <f t="shared" si="21"/>
        <v/>
      </c>
    </row>
    <row r="683" spans="2:15" ht="15" customHeight="1" x14ac:dyDescent="0.4">
      <c r="B683" s="10">
        <v>1007</v>
      </c>
      <c r="C683" s="34"/>
      <c r="D683" s="77"/>
      <c r="E683" s="77"/>
      <c r="F683" s="77"/>
      <c r="G683" s="77"/>
      <c r="H683" s="94"/>
      <c r="I683" s="89"/>
      <c r="J683" s="77"/>
      <c r="K683" s="110"/>
      <c r="L683" s="107"/>
      <c r="M683" s="109"/>
      <c r="N683" s="11" t="str">
        <f t="shared" si="20"/>
        <v/>
      </c>
      <c r="O683" s="32" t="str">
        <f t="shared" si="21"/>
        <v/>
      </c>
    </row>
    <row r="684" spans="2:15" ht="15" customHeight="1" x14ac:dyDescent="0.4">
      <c r="B684" s="10">
        <v>1008</v>
      </c>
      <c r="C684" s="34"/>
      <c r="D684" s="77"/>
      <c r="E684" s="77"/>
      <c r="F684" s="77"/>
      <c r="G684" s="77"/>
      <c r="H684" s="91"/>
      <c r="I684" s="89"/>
      <c r="J684" s="77"/>
      <c r="K684" s="110"/>
      <c r="L684" s="107"/>
      <c r="M684" s="109"/>
      <c r="N684" s="11" t="str">
        <f t="shared" si="20"/>
        <v/>
      </c>
      <c r="O684" s="32" t="str">
        <f t="shared" si="21"/>
        <v/>
      </c>
    </row>
    <row r="685" spans="2:15" ht="15" customHeight="1" x14ac:dyDescent="0.4">
      <c r="B685" s="10">
        <v>1009</v>
      </c>
      <c r="C685" s="34"/>
      <c r="D685" s="77"/>
      <c r="E685" s="77"/>
      <c r="F685" s="77"/>
      <c r="G685" s="77"/>
      <c r="H685" s="91"/>
      <c r="I685" s="89"/>
      <c r="J685" s="77"/>
      <c r="K685" s="110"/>
      <c r="L685" s="107"/>
      <c r="M685" s="109"/>
      <c r="N685" s="11" t="str">
        <f t="shared" si="20"/>
        <v/>
      </c>
      <c r="O685" s="32" t="str">
        <f t="shared" si="21"/>
        <v/>
      </c>
    </row>
    <row r="686" spans="2:15" ht="15" customHeight="1" x14ac:dyDescent="0.4">
      <c r="B686" s="10">
        <v>1010</v>
      </c>
      <c r="C686" s="34"/>
      <c r="D686" s="77"/>
      <c r="E686" s="77"/>
      <c r="F686" s="77"/>
      <c r="G686" s="77"/>
      <c r="H686" s="91"/>
      <c r="I686" s="89"/>
      <c r="J686" s="77"/>
      <c r="K686" s="110"/>
      <c r="L686" s="107"/>
      <c r="M686" s="109"/>
      <c r="N686" s="11" t="str">
        <f t="shared" si="20"/>
        <v/>
      </c>
      <c r="O686" s="32" t="str">
        <f t="shared" si="21"/>
        <v/>
      </c>
    </row>
    <row r="687" spans="2:15" ht="15" customHeight="1" x14ac:dyDescent="0.4">
      <c r="B687" s="10">
        <v>1011</v>
      </c>
      <c r="C687" s="34"/>
      <c r="D687" s="77"/>
      <c r="E687" s="77"/>
      <c r="F687" s="77"/>
      <c r="G687" s="77"/>
      <c r="H687" s="91"/>
      <c r="I687" s="89"/>
      <c r="J687" s="77"/>
      <c r="K687" s="110"/>
      <c r="L687" s="107"/>
      <c r="M687" s="109"/>
      <c r="N687" s="11" t="str">
        <f t="shared" si="20"/>
        <v/>
      </c>
      <c r="O687" s="32" t="str">
        <f t="shared" si="21"/>
        <v/>
      </c>
    </row>
    <row r="688" spans="2:15" ht="15" customHeight="1" x14ac:dyDescent="0.4">
      <c r="B688" s="10">
        <v>1012</v>
      </c>
      <c r="C688" s="34"/>
      <c r="D688" s="77"/>
      <c r="E688" s="77"/>
      <c r="F688" s="77"/>
      <c r="G688" s="77"/>
      <c r="H688" s="91"/>
      <c r="I688" s="89"/>
      <c r="J688" s="77"/>
      <c r="K688" s="110"/>
      <c r="L688" s="107"/>
      <c r="M688" s="109"/>
      <c r="N688" s="11" t="str">
        <f t="shared" si="20"/>
        <v/>
      </c>
      <c r="O688" s="32" t="str">
        <f t="shared" si="21"/>
        <v/>
      </c>
    </row>
    <row r="689" spans="2:15" ht="15" customHeight="1" x14ac:dyDescent="0.4">
      <c r="B689" s="10">
        <v>1013</v>
      </c>
      <c r="C689" s="34"/>
      <c r="D689" s="77"/>
      <c r="E689" s="77"/>
      <c r="F689" s="77"/>
      <c r="G689" s="77"/>
      <c r="H689" s="91"/>
      <c r="I689" s="89"/>
      <c r="J689" s="77"/>
      <c r="K689" s="110"/>
      <c r="L689" s="107"/>
      <c r="M689" s="109"/>
      <c r="N689" s="11" t="str">
        <f t="shared" si="20"/>
        <v/>
      </c>
      <c r="O689" s="32" t="str">
        <f t="shared" si="21"/>
        <v/>
      </c>
    </row>
    <row r="690" spans="2:15" ht="15" customHeight="1" x14ac:dyDescent="0.4">
      <c r="B690" s="10">
        <v>1014</v>
      </c>
      <c r="C690" s="34"/>
      <c r="D690" s="77"/>
      <c r="E690" s="77"/>
      <c r="F690" s="77"/>
      <c r="G690" s="77"/>
      <c r="H690" s="91"/>
      <c r="I690" s="89"/>
      <c r="J690" s="77"/>
      <c r="K690" s="110"/>
      <c r="L690" s="107"/>
      <c r="M690" s="109"/>
      <c r="N690" s="11" t="str">
        <f t="shared" si="20"/>
        <v/>
      </c>
      <c r="O690" s="32" t="str">
        <f t="shared" si="21"/>
        <v/>
      </c>
    </row>
    <row r="691" spans="2:15" ht="15" customHeight="1" x14ac:dyDescent="0.4">
      <c r="B691" s="10">
        <v>1015</v>
      </c>
      <c r="C691" s="34"/>
      <c r="D691" s="77"/>
      <c r="E691" s="77"/>
      <c r="F691" s="77"/>
      <c r="G691" s="77"/>
      <c r="H691" s="91"/>
      <c r="I691" s="89"/>
      <c r="J691" s="77"/>
      <c r="K691" s="110"/>
      <c r="L691" s="107"/>
      <c r="M691" s="109"/>
      <c r="N691" s="11" t="str">
        <f t="shared" si="20"/>
        <v/>
      </c>
      <c r="O691" s="32" t="str">
        <f t="shared" si="21"/>
        <v/>
      </c>
    </row>
    <row r="692" spans="2:15" ht="15" customHeight="1" x14ac:dyDescent="0.4">
      <c r="B692" s="10">
        <v>1016</v>
      </c>
      <c r="C692" s="34"/>
      <c r="D692" s="77"/>
      <c r="E692" s="77"/>
      <c r="F692" s="77"/>
      <c r="G692" s="77"/>
      <c r="H692" s="91"/>
      <c r="I692" s="89"/>
      <c r="J692" s="77"/>
      <c r="K692" s="110"/>
      <c r="L692" s="107"/>
      <c r="M692" s="109"/>
      <c r="N692" s="11" t="str">
        <f t="shared" si="20"/>
        <v/>
      </c>
      <c r="O692" s="32" t="str">
        <f t="shared" si="21"/>
        <v/>
      </c>
    </row>
    <row r="693" spans="2:15" ht="15" customHeight="1" x14ac:dyDescent="0.4">
      <c r="B693" s="10">
        <v>1017</v>
      </c>
      <c r="C693" s="34"/>
      <c r="D693" s="77"/>
      <c r="E693" s="77"/>
      <c r="F693" s="77"/>
      <c r="G693" s="77"/>
      <c r="H693" s="91"/>
      <c r="I693" s="89"/>
      <c r="J693" s="77"/>
      <c r="K693" s="110"/>
      <c r="L693" s="107"/>
      <c r="M693" s="109"/>
      <c r="N693" s="11" t="str">
        <f t="shared" si="20"/>
        <v/>
      </c>
      <c r="O693" s="32" t="str">
        <f t="shared" si="21"/>
        <v/>
      </c>
    </row>
    <row r="694" spans="2:15" ht="15" customHeight="1" x14ac:dyDescent="0.4">
      <c r="B694" s="10">
        <v>1018</v>
      </c>
      <c r="C694" s="34"/>
      <c r="D694" s="77"/>
      <c r="E694" s="77"/>
      <c r="F694" s="77"/>
      <c r="G694" s="77"/>
      <c r="H694" s="91"/>
      <c r="I694" s="89"/>
      <c r="J694" s="77"/>
      <c r="K694" s="110"/>
      <c r="L694" s="107"/>
      <c r="M694" s="109"/>
      <c r="N694" s="11" t="str">
        <f t="shared" si="20"/>
        <v/>
      </c>
      <c r="O694" s="32" t="str">
        <f t="shared" si="21"/>
        <v/>
      </c>
    </row>
    <row r="695" spans="2:15" ht="15" customHeight="1" x14ac:dyDescent="0.35">
      <c r="B695" s="10">
        <v>1019</v>
      </c>
      <c r="C695" s="34"/>
      <c r="D695" s="77"/>
      <c r="E695" s="77"/>
      <c r="F695" s="77"/>
      <c r="G695" s="77"/>
      <c r="H695" s="103"/>
      <c r="I695" s="89"/>
      <c r="J695" s="77"/>
      <c r="K695" s="110"/>
      <c r="L695" s="107"/>
      <c r="M695" s="109"/>
      <c r="N695" s="11" t="str">
        <f t="shared" si="20"/>
        <v/>
      </c>
      <c r="O695" s="32" t="str">
        <f t="shared" si="21"/>
        <v/>
      </c>
    </row>
    <row r="696" spans="2:15" ht="15" customHeight="1" x14ac:dyDescent="0.35">
      <c r="B696" s="10">
        <v>1020</v>
      </c>
      <c r="C696" s="34"/>
      <c r="D696" s="77"/>
      <c r="E696" s="77"/>
      <c r="F696" s="77"/>
      <c r="G696" s="77"/>
      <c r="H696" s="103"/>
      <c r="I696" s="89"/>
      <c r="J696" s="77"/>
      <c r="K696" s="110"/>
      <c r="L696" s="107"/>
      <c r="M696" s="109"/>
      <c r="N696" s="11" t="str">
        <f t="shared" si="20"/>
        <v/>
      </c>
      <c r="O696" s="32" t="str">
        <f t="shared" si="21"/>
        <v/>
      </c>
    </row>
    <row r="697" spans="2:15" ht="15" customHeight="1" x14ac:dyDescent="0.35">
      <c r="B697" s="10">
        <v>1021</v>
      </c>
      <c r="C697" s="34"/>
      <c r="D697" s="77"/>
      <c r="E697" s="77"/>
      <c r="F697" s="77"/>
      <c r="G697" s="77"/>
      <c r="H697" s="104"/>
      <c r="I697" s="89"/>
      <c r="J697" s="77"/>
      <c r="K697" s="110"/>
      <c r="L697" s="107"/>
      <c r="M697" s="109"/>
      <c r="N697" s="11" t="str">
        <f t="shared" si="20"/>
        <v/>
      </c>
      <c r="O697" s="32" t="str">
        <f t="shared" si="21"/>
        <v/>
      </c>
    </row>
    <row r="698" spans="2:15" ht="15" customHeight="1" x14ac:dyDescent="0.35">
      <c r="B698" s="10">
        <v>1022</v>
      </c>
      <c r="C698" s="34"/>
      <c r="D698" s="77"/>
      <c r="E698" s="77"/>
      <c r="F698" s="77"/>
      <c r="G698" s="77"/>
      <c r="H698" s="103"/>
      <c r="I698" s="89"/>
      <c r="J698" s="77"/>
      <c r="K698" s="110"/>
      <c r="L698" s="107"/>
      <c r="M698" s="109"/>
      <c r="N698" s="11" t="str">
        <f t="shared" si="20"/>
        <v/>
      </c>
      <c r="O698" s="32" t="str">
        <f t="shared" si="21"/>
        <v/>
      </c>
    </row>
    <row r="699" spans="2:15" ht="15" customHeight="1" x14ac:dyDescent="0.35">
      <c r="B699" s="10">
        <v>1023</v>
      </c>
      <c r="C699" s="34"/>
      <c r="D699" s="77"/>
      <c r="E699" s="77"/>
      <c r="F699" s="77"/>
      <c r="G699" s="77"/>
      <c r="H699" s="103"/>
      <c r="I699" s="89"/>
      <c r="J699" s="77"/>
      <c r="K699" s="110"/>
      <c r="L699" s="107"/>
      <c r="M699" s="109"/>
      <c r="N699" s="11" t="str">
        <f t="shared" si="20"/>
        <v/>
      </c>
      <c r="O699" s="32" t="str">
        <f t="shared" si="21"/>
        <v/>
      </c>
    </row>
    <row r="700" spans="2:15" ht="15" customHeight="1" x14ac:dyDescent="0.35">
      <c r="B700" s="10">
        <v>1024</v>
      </c>
      <c r="C700" s="34"/>
      <c r="D700" s="77"/>
      <c r="E700" s="77"/>
      <c r="F700" s="77"/>
      <c r="G700" s="77"/>
      <c r="H700" s="104"/>
      <c r="I700" s="89"/>
      <c r="J700" s="77"/>
      <c r="K700" s="110"/>
      <c r="L700" s="107"/>
      <c r="M700" s="109"/>
      <c r="N700" s="11" t="str">
        <f t="shared" si="20"/>
        <v/>
      </c>
      <c r="O700" s="32" t="str">
        <f t="shared" si="21"/>
        <v/>
      </c>
    </row>
    <row r="701" spans="2:15" ht="15" customHeight="1" x14ac:dyDescent="0.35">
      <c r="B701" s="10">
        <v>1025</v>
      </c>
      <c r="C701" s="34"/>
      <c r="D701" s="77"/>
      <c r="E701" s="77"/>
      <c r="F701" s="77"/>
      <c r="G701" s="77"/>
      <c r="H701" s="103"/>
      <c r="I701" s="89"/>
      <c r="J701" s="77"/>
      <c r="K701" s="110"/>
      <c r="L701" s="107"/>
      <c r="M701" s="109"/>
      <c r="N701" s="11" t="str">
        <f t="shared" ref="N701:N723" si="22">IF(OR(M701="", K701=""),"", M701- K701)</f>
        <v/>
      </c>
      <c r="O701" s="32" t="str">
        <f t="shared" si="21"/>
        <v/>
      </c>
    </row>
    <row r="702" spans="2:15" ht="15" customHeight="1" x14ac:dyDescent="0.35">
      <c r="B702" s="10">
        <v>1026</v>
      </c>
      <c r="C702" s="34"/>
      <c r="D702" s="77"/>
      <c r="E702" s="77"/>
      <c r="F702" s="77"/>
      <c r="G702" s="77"/>
      <c r="H702" s="103"/>
      <c r="I702" s="89"/>
      <c r="J702" s="77"/>
      <c r="K702" s="110"/>
      <c r="L702" s="107"/>
      <c r="M702" s="109"/>
      <c r="N702" s="11" t="str">
        <f t="shared" si="22"/>
        <v/>
      </c>
      <c r="O702" s="32" t="str">
        <f t="shared" ref="O702:O723" si="23">IF(OR(M702="", K702="", L702=""), "", IF((M702 - K702) &gt; L702, "No", "Yes"))</f>
        <v/>
      </c>
    </row>
    <row r="703" spans="2:15" ht="15" customHeight="1" x14ac:dyDescent="0.35">
      <c r="B703" s="10">
        <v>1027</v>
      </c>
      <c r="C703" s="34"/>
      <c r="D703" s="77"/>
      <c r="E703" s="77"/>
      <c r="F703" s="77"/>
      <c r="G703" s="77"/>
      <c r="H703" s="103"/>
      <c r="I703" s="89"/>
      <c r="J703" s="77"/>
      <c r="K703" s="110"/>
      <c r="L703" s="107"/>
      <c r="M703" s="109"/>
      <c r="N703" s="11" t="str">
        <f t="shared" si="22"/>
        <v/>
      </c>
      <c r="O703" s="32" t="str">
        <f t="shared" si="23"/>
        <v/>
      </c>
    </row>
    <row r="704" spans="2:15" ht="15" customHeight="1" x14ac:dyDescent="0.35">
      <c r="B704" s="10">
        <v>1028</v>
      </c>
      <c r="C704" s="34"/>
      <c r="D704" s="77"/>
      <c r="E704" s="77"/>
      <c r="F704" s="77"/>
      <c r="G704" s="77"/>
      <c r="H704" s="103"/>
      <c r="I704" s="89"/>
      <c r="J704" s="77"/>
      <c r="K704" s="110"/>
      <c r="L704" s="107"/>
      <c r="M704" s="109"/>
      <c r="N704" s="11" t="str">
        <f t="shared" si="22"/>
        <v/>
      </c>
      <c r="O704" s="32" t="str">
        <f t="shared" si="23"/>
        <v/>
      </c>
    </row>
    <row r="705" spans="2:15" ht="15" customHeight="1" x14ac:dyDescent="0.4">
      <c r="B705" s="10">
        <v>1029</v>
      </c>
      <c r="C705" s="34"/>
      <c r="D705" s="77"/>
      <c r="E705" s="77"/>
      <c r="F705" s="77"/>
      <c r="G705" s="77"/>
      <c r="H705" s="91"/>
      <c r="I705" s="89"/>
      <c r="J705" s="77"/>
      <c r="K705" s="110"/>
      <c r="L705" s="107"/>
      <c r="M705" s="109"/>
      <c r="N705" s="11" t="str">
        <f t="shared" si="22"/>
        <v/>
      </c>
      <c r="O705" s="32" t="str">
        <f t="shared" si="23"/>
        <v/>
      </c>
    </row>
    <row r="706" spans="2:15" ht="15" customHeight="1" x14ac:dyDescent="0.4">
      <c r="B706" s="10">
        <v>1030</v>
      </c>
      <c r="C706" s="34"/>
      <c r="D706" s="77"/>
      <c r="E706" s="77"/>
      <c r="F706" s="77"/>
      <c r="G706" s="77"/>
      <c r="H706" s="91"/>
      <c r="I706" s="89"/>
      <c r="J706" s="77"/>
      <c r="K706" s="110"/>
      <c r="L706" s="107"/>
      <c r="M706" s="109"/>
      <c r="N706" s="11" t="str">
        <f t="shared" si="22"/>
        <v/>
      </c>
      <c r="O706" s="32" t="str">
        <f t="shared" si="23"/>
        <v/>
      </c>
    </row>
    <row r="707" spans="2:15" ht="15" customHeight="1" x14ac:dyDescent="0.4">
      <c r="B707" s="10">
        <v>1031</v>
      </c>
      <c r="C707" s="34"/>
      <c r="D707" s="77"/>
      <c r="E707" s="77"/>
      <c r="F707" s="77"/>
      <c r="G707" s="77"/>
      <c r="H707" s="105"/>
      <c r="I707" s="89"/>
      <c r="J707" s="77"/>
      <c r="K707" s="110"/>
      <c r="L707" s="107"/>
      <c r="M707" s="109"/>
      <c r="N707" s="11" t="str">
        <f t="shared" si="22"/>
        <v/>
      </c>
      <c r="O707" s="32" t="str">
        <f t="shared" si="23"/>
        <v/>
      </c>
    </row>
    <row r="708" spans="2:15" ht="15" customHeight="1" x14ac:dyDescent="0.4">
      <c r="B708" s="10">
        <v>1032</v>
      </c>
      <c r="C708" s="34"/>
      <c r="D708" s="77"/>
      <c r="E708" s="77"/>
      <c r="F708" s="77"/>
      <c r="G708" s="77"/>
      <c r="H708" s="91"/>
      <c r="I708" s="89"/>
      <c r="J708" s="77"/>
      <c r="K708" s="110"/>
      <c r="L708" s="107"/>
      <c r="M708" s="109"/>
      <c r="N708" s="11" t="str">
        <f t="shared" si="22"/>
        <v/>
      </c>
      <c r="O708" s="32" t="str">
        <f t="shared" si="23"/>
        <v/>
      </c>
    </row>
    <row r="709" spans="2:15" ht="15" customHeight="1" x14ac:dyDescent="0.4">
      <c r="B709" s="10">
        <v>1033</v>
      </c>
      <c r="C709" s="34"/>
      <c r="D709" s="77"/>
      <c r="E709" s="77"/>
      <c r="F709" s="77"/>
      <c r="G709" s="77"/>
      <c r="H709" s="91"/>
      <c r="I709" s="89"/>
      <c r="J709" s="77"/>
      <c r="K709" s="110"/>
      <c r="L709" s="107"/>
      <c r="M709" s="109"/>
      <c r="N709" s="11" t="str">
        <f t="shared" si="22"/>
        <v/>
      </c>
      <c r="O709" s="32" t="str">
        <f t="shared" si="23"/>
        <v/>
      </c>
    </row>
    <row r="710" spans="2:15" ht="15" customHeight="1" x14ac:dyDescent="0.4">
      <c r="B710" s="10">
        <v>1034</v>
      </c>
      <c r="C710" s="34"/>
      <c r="D710" s="77"/>
      <c r="E710" s="77"/>
      <c r="F710" s="77"/>
      <c r="G710" s="77"/>
      <c r="H710" s="105"/>
      <c r="I710" s="89"/>
      <c r="J710" s="77"/>
      <c r="K710" s="110"/>
      <c r="L710" s="107"/>
      <c r="M710" s="109"/>
      <c r="N710" s="11" t="str">
        <f t="shared" si="22"/>
        <v/>
      </c>
      <c r="O710" s="32" t="str">
        <f t="shared" si="23"/>
        <v/>
      </c>
    </row>
    <row r="711" spans="2:15" ht="15" customHeight="1" x14ac:dyDescent="0.4">
      <c r="B711" s="10">
        <v>1035</v>
      </c>
      <c r="C711" s="34"/>
      <c r="D711" s="77"/>
      <c r="E711" s="77"/>
      <c r="F711" s="77"/>
      <c r="G711" s="77"/>
      <c r="H711" s="105"/>
      <c r="I711" s="89"/>
      <c r="J711" s="77"/>
      <c r="K711" s="110"/>
      <c r="L711" s="107"/>
      <c r="M711" s="109"/>
      <c r="N711" s="11" t="str">
        <f t="shared" si="22"/>
        <v/>
      </c>
      <c r="O711" s="32" t="str">
        <f t="shared" si="23"/>
        <v/>
      </c>
    </row>
    <row r="712" spans="2:15" ht="15" customHeight="1" x14ac:dyDescent="0.4">
      <c r="B712" s="10">
        <v>1036</v>
      </c>
      <c r="C712" s="34"/>
      <c r="D712" s="77"/>
      <c r="E712" s="77"/>
      <c r="F712" s="77"/>
      <c r="G712" s="77"/>
      <c r="H712" s="105"/>
      <c r="I712" s="89"/>
      <c r="J712" s="77"/>
      <c r="K712" s="110"/>
      <c r="L712" s="107"/>
      <c r="M712" s="109"/>
      <c r="N712" s="11" t="str">
        <f t="shared" si="22"/>
        <v/>
      </c>
      <c r="O712" s="32" t="str">
        <f t="shared" si="23"/>
        <v/>
      </c>
    </row>
    <row r="713" spans="2:15" ht="15" customHeight="1" x14ac:dyDescent="0.4">
      <c r="B713" s="10">
        <v>1037</v>
      </c>
      <c r="C713" s="34"/>
      <c r="D713" s="77"/>
      <c r="E713" s="77"/>
      <c r="F713" s="77"/>
      <c r="G713" s="77"/>
      <c r="H713" s="91"/>
      <c r="I713" s="89"/>
      <c r="J713" s="77"/>
      <c r="K713" s="110"/>
      <c r="L713" s="107"/>
      <c r="M713" s="109"/>
      <c r="N713" s="11" t="str">
        <f t="shared" si="22"/>
        <v/>
      </c>
      <c r="O713" s="32" t="str">
        <f t="shared" si="23"/>
        <v/>
      </c>
    </row>
    <row r="714" spans="2:15" ht="15" customHeight="1" x14ac:dyDescent="0.4">
      <c r="B714" s="10">
        <v>1038</v>
      </c>
      <c r="C714" s="34"/>
      <c r="D714" s="77"/>
      <c r="E714" s="77"/>
      <c r="F714" s="77"/>
      <c r="G714" s="77"/>
      <c r="H714" s="91"/>
      <c r="I714" s="89"/>
      <c r="J714" s="77"/>
      <c r="K714" s="110"/>
      <c r="L714" s="107"/>
      <c r="M714" s="109"/>
      <c r="N714" s="11" t="str">
        <f t="shared" si="22"/>
        <v/>
      </c>
      <c r="O714" s="32" t="str">
        <f t="shared" si="23"/>
        <v/>
      </c>
    </row>
    <row r="715" spans="2:15" ht="15" customHeight="1" x14ac:dyDescent="0.4">
      <c r="B715" s="10">
        <v>1039</v>
      </c>
      <c r="C715" s="34"/>
      <c r="D715" s="77"/>
      <c r="E715" s="77"/>
      <c r="F715" s="77"/>
      <c r="G715" s="77"/>
      <c r="H715" s="91"/>
      <c r="I715" s="89"/>
      <c r="J715" s="77"/>
      <c r="K715" s="110"/>
      <c r="L715" s="107"/>
      <c r="M715" s="109"/>
      <c r="N715" s="11" t="str">
        <f t="shared" si="22"/>
        <v/>
      </c>
      <c r="O715" s="32" t="str">
        <f t="shared" si="23"/>
        <v/>
      </c>
    </row>
    <row r="716" spans="2:15" ht="15" customHeight="1" x14ac:dyDescent="0.4">
      <c r="B716" s="10">
        <v>1040</v>
      </c>
      <c r="C716" s="34"/>
      <c r="D716" s="77"/>
      <c r="E716" s="77"/>
      <c r="F716" s="77"/>
      <c r="G716" s="77"/>
      <c r="H716" s="91"/>
      <c r="I716" s="89"/>
      <c r="J716" s="77"/>
      <c r="K716" s="110"/>
      <c r="L716" s="107"/>
      <c r="M716" s="109"/>
      <c r="N716" s="11" t="str">
        <f t="shared" si="22"/>
        <v/>
      </c>
      <c r="O716" s="32" t="str">
        <f t="shared" si="23"/>
        <v/>
      </c>
    </row>
    <row r="717" spans="2:15" ht="15" customHeight="1" x14ac:dyDescent="0.4">
      <c r="B717" s="10">
        <v>1041</v>
      </c>
      <c r="C717" s="34"/>
      <c r="D717" s="77"/>
      <c r="E717" s="77"/>
      <c r="F717" s="77"/>
      <c r="G717" s="77"/>
      <c r="H717" s="91"/>
      <c r="I717" s="89"/>
      <c r="J717" s="77"/>
      <c r="K717" s="110"/>
      <c r="L717" s="107"/>
      <c r="M717" s="109"/>
      <c r="N717" s="11" t="str">
        <f t="shared" si="22"/>
        <v/>
      </c>
      <c r="O717" s="32" t="str">
        <f t="shared" si="23"/>
        <v/>
      </c>
    </row>
    <row r="718" spans="2:15" ht="15" customHeight="1" x14ac:dyDescent="0.4">
      <c r="B718" s="10">
        <v>1042</v>
      </c>
      <c r="C718" s="34"/>
      <c r="D718" s="77"/>
      <c r="E718" s="77"/>
      <c r="F718" s="77"/>
      <c r="G718" s="77"/>
      <c r="H718" s="91"/>
      <c r="I718" s="89"/>
      <c r="J718" s="77"/>
      <c r="K718" s="110"/>
      <c r="L718" s="107"/>
      <c r="M718" s="109"/>
      <c r="N718" s="11" t="str">
        <f t="shared" si="22"/>
        <v/>
      </c>
      <c r="O718" s="32" t="str">
        <f t="shared" si="23"/>
        <v/>
      </c>
    </row>
    <row r="719" spans="2:15" ht="15" customHeight="1" x14ac:dyDescent="0.35">
      <c r="B719" s="10">
        <v>1043</v>
      </c>
      <c r="C719" s="34"/>
      <c r="D719" s="77"/>
      <c r="E719" s="77"/>
      <c r="F719" s="77"/>
      <c r="G719" s="77"/>
      <c r="H719" s="106"/>
      <c r="I719" s="89"/>
      <c r="J719" s="77"/>
      <c r="K719" s="110"/>
      <c r="L719" s="107"/>
      <c r="M719" s="109"/>
      <c r="N719" s="11" t="str">
        <f t="shared" si="22"/>
        <v/>
      </c>
      <c r="O719" s="32" t="str">
        <f t="shared" si="23"/>
        <v/>
      </c>
    </row>
    <row r="720" spans="2:15" ht="15" customHeight="1" x14ac:dyDescent="0.4">
      <c r="B720" s="10">
        <v>1044</v>
      </c>
      <c r="C720" s="34"/>
      <c r="D720" s="77"/>
      <c r="E720" s="77"/>
      <c r="F720" s="77"/>
      <c r="G720" s="77"/>
      <c r="H720" s="91"/>
      <c r="I720" s="89"/>
      <c r="J720" s="77"/>
      <c r="K720" s="110"/>
      <c r="L720" s="107"/>
      <c r="M720" s="109"/>
      <c r="N720" s="11" t="str">
        <f t="shared" si="22"/>
        <v/>
      </c>
      <c r="O720" s="32" t="str">
        <f t="shared" si="23"/>
        <v/>
      </c>
    </row>
    <row r="721" spans="2:15" ht="15" customHeight="1" x14ac:dyDescent="0.4">
      <c r="B721" s="10">
        <v>1045</v>
      </c>
      <c r="C721" s="34"/>
      <c r="D721" s="77"/>
      <c r="E721" s="77"/>
      <c r="F721" s="77"/>
      <c r="G721" s="77"/>
      <c r="H721" s="91"/>
      <c r="I721" s="89"/>
      <c r="J721" s="77"/>
      <c r="K721" s="110"/>
      <c r="L721" s="107"/>
      <c r="M721" s="109"/>
      <c r="N721" s="11" t="str">
        <f t="shared" si="22"/>
        <v/>
      </c>
      <c r="O721" s="32" t="str">
        <f t="shared" si="23"/>
        <v/>
      </c>
    </row>
    <row r="722" spans="2:15" ht="16" customHeight="1" x14ac:dyDescent="0.4">
      <c r="B722" s="10">
        <v>1046</v>
      </c>
      <c r="C722" s="34"/>
      <c r="D722" s="77"/>
      <c r="E722" s="77"/>
      <c r="F722" s="77"/>
      <c r="G722" s="77"/>
      <c r="H722" s="91"/>
      <c r="I722" s="89"/>
      <c r="J722" s="77"/>
      <c r="K722" s="110"/>
      <c r="L722" s="107"/>
      <c r="M722" s="109"/>
      <c r="N722" s="11" t="str">
        <f t="shared" si="22"/>
        <v/>
      </c>
      <c r="O722" s="32" t="str">
        <f t="shared" si="23"/>
        <v/>
      </c>
    </row>
    <row r="723" spans="2:15" ht="15" customHeight="1" x14ac:dyDescent="0.4">
      <c r="B723" s="10">
        <v>1047</v>
      </c>
      <c r="C723" s="34"/>
      <c r="D723" s="77"/>
      <c r="E723" s="77"/>
      <c r="F723" s="77"/>
      <c r="G723" s="77"/>
      <c r="H723" s="91"/>
      <c r="I723" s="89"/>
      <c r="J723" s="77"/>
      <c r="K723" s="110"/>
      <c r="L723" s="107"/>
      <c r="M723" s="109"/>
      <c r="N723" s="11" t="str">
        <f t="shared" si="22"/>
        <v/>
      </c>
      <c r="O723" s="32" t="str">
        <f t="shared" si="23"/>
        <v/>
      </c>
    </row>
    <row r="724" spans="2:15" ht="15" customHeight="1" x14ac:dyDescent="0.4">
      <c r="B724" s="10">
        <v>1048</v>
      </c>
      <c r="C724" s="34"/>
      <c r="D724" s="77"/>
      <c r="E724" s="77"/>
      <c r="F724" s="77"/>
      <c r="G724" s="77"/>
      <c r="H724" s="91"/>
      <c r="I724" s="89"/>
      <c r="J724" s="77"/>
      <c r="K724" s="110"/>
      <c r="L724" s="107"/>
      <c r="M724" s="109"/>
      <c r="N724" s="11" t="str">
        <f t="shared" ref="N724:N787" si="24">IF(OR(M724="", K724=""),"", M724- K724)</f>
        <v/>
      </c>
      <c r="O724" s="32" t="str">
        <f t="shared" ref="O724:O787" si="25">IF(OR(M724="", K724="", L724=""), "", IF((M724 - K724) &gt; L724, "No", "Yes"))</f>
        <v/>
      </c>
    </row>
    <row r="725" spans="2:15" ht="15" customHeight="1" x14ac:dyDescent="0.4">
      <c r="B725" s="10">
        <v>1049</v>
      </c>
      <c r="C725" s="34"/>
      <c r="D725" s="77"/>
      <c r="E725" s="77"/>
      <c r="F725" s="77"/>
      <c r="G725" s="77"/>
      <c r="H725" s="91"/>
      <c r="I725" s="89"/>
      <c r="J725" s="77"/>
      <c r="K725" s="110"/>
      <c r="L725" s="107"/>
      <c r="M725" s="109"/>
      <c r="N725" s="11" t="str">
        <f t="shared" si="24"/>
        <v/>
      </c>
      <c r="O725" s="32" t="str">
        <f t="shared" si="25"/>
        <v/>
      </c>
    </row>
    <row r="726" spans="2:15" ht="15" customHeight="1" x14ac:dyDescent="0.4">
      <c r="B726" s="10">
        <v>1050</v>
      </c>
      <c r="C726" s="34"/>
      <c r="D726" s="77"/>
      <c r="E726" s="77"/>
      <c r="F726" s="77"/>
      <c r="G726" s="77"/>
      <c r="H726" s="91"/>
      <c r="I726" s="89"/>
      <c r="J726" s="77"/>
      <c r="K726" s="110"/>
      <c r="L726" s="107"/>
      <c r="M726" s="109"/>
      <c r="N726" s="11" t="str">
        <f t="shared" si="24"/>
        <v/>
      </c>
      <c r="O726" s="32" t="str">
        <f t="shared" si="25"/>
        <v/>
      </c>
    </row>
    <row r="727" spans="2:15" ht="15" customHeight="1" x14ac:dyDescent="0.4">
      <c r="B727" s="10">
        <v>1051</v>
      </c>
      <c r="C727" s="34"/>
      <c r="D727" s="77"/>
      <c r="E727" s="77"/>
      <c r="F727" s="77"/>
      <c r="G727" s="77"/>
      <c r="H727" s="91"/>
      <c r="I727" s="89"/>
      <c r="J727" s="77"/>
      <c r="K727" s="110"/>
      <c r="L727" s="107"/>
      <c r="M727" s="109"/>
      <c r="N727" s="11" t="str">
        <f t="shared" si="24"/>
        <v/>
      </c>
      <c r="O727" s="32" t="str">
        <f t="shared" si="25"/>
        <v/>
      </c>
    </row>
    <row r="728" spans="2:15" ht="15" customHeight="1" x14ac:dyDescent="0.4">
      <c r="B728" s="10">
        <v>1052</v>
      </c>
      <c r="C728" s="34"/>
      <c r="D728" s="77"/>
      <c r="E728" s="77"/>
      <c r="F728" s="77"/>
      <c r="G728" s="77"/>
      <c r="H728" s="91"/>
      <c r="I728" s="89"/>
      <c r="J728" s="77"/>
      <c r="K728" s="110"/>
      <c r="L728" s="107"/>
      <c r="M728" s="109"/>
      <c r="N728" s="11" t="str">
        <f t="shared" si="24"/>
        <v/>
      </c>
      <c r="O728" s="32" t="str">
        <f t="shared" si="25"/>
        <v/>
      </c>
    </row>
    <row r="729" spans="2:15" ht="15" customHeight="1" x14ac:dyDescent="0.4">
      <c r="B729" s="10">
        <v>1053</v>
      </c>
      <c r="C729" s="34"/>
      <c r="D729" s="77"/>
      <c r="E729" s="77"/>
      <c r="F729" s="77"/>
      <c r="G729" s="77"/>
      <c r="H729" s="91"/>
      <c r="I729" s="89"/>
      <c r="J729" s="77"/>
      <c r="K729" s="110"/>
      <c r="L729" s="107"/>
      <c r="M729" s="109"/>
      <c r="N729" s="11" t="str">
        <f t="shared" si="24"/>
        <v/>
      </c>
      <c r="O729" s="32" t="str">
        <f t="shared" si="25"/>
        <v/>
      </c>
    </row>
    <row r="730" spans="2:15" ht="15" customHeight="1" x14ac:dyDescent="0.4">
      <c r="B730" s="10">
        <v>1054</v>
      </c>
      <c r="C730" s="34"/>
      <c r="D730" s="77"/>
      <c r="E730" s="77"/>
      <c r="F730" s="77"/>
      <c r="G730" s="77"/>
      <c r="H730" s="91"/>
      <c r="I730" s="89"/>
      <c r="J730" s="77"/>
      <c r="K730" s="110"/>
      <c r="L730" s="107"/>
      <c r="M730" s="109"/>
      <c r="N730" s="11" t="str">
        <f t="shared" si="24"/>
        <v/>
      </c>
      <c r="O730" s="32" t="str">
        <f t="shared" si="25"/>
        <v/>
      </c>
    </row>
    <row r="731" spans="2:15" ht="15" customHeight="1" x14ac:dyDescent="0.4">
      <c r="B731" s="10">
        <v>1055</v>
      </c>
      <c r="C731" s="34"/>
      <c r="D731" s="77"/>
      <c r="E731" s="77"/>
      <c r="F731" s="77"/>
      <c r="G731" s="77"/>
      <c r="H731" s="91"/>
      <c r="I731" s="89"/>
      <c r="J731" s="77"/>
      <c r="K731" s="110"/>
      <c r="L731" s="107"/>
      <c r="M731" s="109"/>
      <c r="N731" s="11" t="str">
        <f t="shared" si="24"/>
        <v/>
      </c>
      <c r="O731" s="32" t="str">
        <f t="shared" si="25"/>
        <v/>
      </c>
    </row>
    <row r="732" spans="2:15" ht="15" customHeight="1" x14ac:dyDescent="0.4">
      <c r="B732" s="10">
        <v>1056</v>
      </c>
      <c r="C732" s="34"/>
      <c r="D732" s="77"/>
      <c r="E732" s="77"/>
      <c r="F732" s="77"/>
      <c r="G732" s="77"/>
      <c r="H732" s="91"/>
      <c r="I732" s="89"/>
      <c r="J732" s="77"/>
      <c r="K732" s="110"/>
      <c r="L732" s="107"/>
      <c r="M732" s="109"/>
      <c r="N732" s="11" t="str">
        <f t="shared" si="24"/>
        <v/>
      </c>
      <c r="O732" s="32" t="str">
        <f t="shared" si="25"/>
        <v/>
      </c>
    </row>
    <row r="733" spans="2:15" ht="15" customHeight="1" x14ac:dyDescent="0.4">
      <c r="B733" s="10">
        <v>1057</v>
      </c>
      <c r="C733" s="34"/>
      <c r="D733" s="77"/>
      <c r="E733" s="77"/>
      <c r="F733" s="77"/>
      <c r="G733" s="77"/>
      <c r="H733" s="91"/>
      <c r="I733" s="89"/>
      <c r="J733" s="77"/>
      <c r="K733" s="110"/>
      <c r="L733" s="107"/>
      <c r="M733" s="109"/>
      <c r="N733" s="11" t="str">
        <f t="shared" si="24"/>
        <v/>
      </c>
      <c r="O733" s="32" t="str">
        <f t="shared" si="25"/>
        <v/>
      </c>
    </row>
    <row r="734" spans="2:15" ht="15" customHeight="1" x14ac:dyDescent="0.4">
      <c r="B734" s="10">
        <v>1058</v>
      </c>
      <c r="C734" s="34"/>
      <c r="D734" s="77"/>
      <c r="E734" s="77"/>
      <c r="F734" s="77"/>
      <c r="G734" s="77"/>
      <c r="H734" s="91"/>
      <c r="I734" s="89"/>
      <c r="J734" s="77"/>
      <c r="K734" s="110"/>
      <c r="L734" s="107"/>
      <c r="M734" s="109"/>
      <c r="N734" s="11" t="str">
        <f t="shared" si="24"/>
        <v/>
      </c>
      <c r="O734" s="32" t="str">
        <f t="shared" si="25"/>
        <v/>
      </c>
    </row>
    <row r="735" spans="2:15" ht="15" customHeight="1" x14ac:dyDescent="0.4">
      <c r="B735" s="10">
        <v>1059</v>
      </c>
      <c r="C735" s="34"/>
      <c r="D735" s="77"/>
      <c r="E735" s="77"/>
      <c r="F735" s="77"/>
      <c r="G735" s="77"/>
      <c r="H735" s="91"/>
      <c r="I735" s="89"/>
      <c r="J735" s="77"/>
      <c r="K735" s="110"/>
      <c r="L735" s="107"/>
      <c r="M735" s="109"/>
      <c r="N735" s="11" t="str">
        <f t="shared" si="24"/>
        <v/>
      </c>
      <c r="O735" s="32" t="str">
        <f t="shared" si="25"/>
        <v/>
      </c>
    </row>
    <row r="736" spans="2:15" ht="15" customHeight="1" x14ac:dyDescent="0.4">
      <c r="B736" s="10">
        <v>1060</v>
      </c>
      <c r="C736" s="34"/>
      <c r="D736" s="77"/>
      <c r="E736" s="77"/>
      <c r="F736" s="77"/>
      <c r="G736" s="77"/>
      <c r="H736" s="91"/>
      <c r="I736" s="89"/>
      <c r="J736" s="77"/>
      <c r="K736" s="110"/>
      <c r="L736" s="107"/>
      <c r="M736" s="109"/>
      <c r="N736" s="11" t="str">
        <f t="shared" si="24"/>
        <v/>
      </c>
      <c r="O736" s="32" t="str">
        <f t="shared" si="25"/>
        <v/>
      </c>
    </row>
    <row r="737" spans="2:15" ht="15" customHeight="1" x14ac:dyDescent="0.4">
      <c r="B737" s="10">
        <v>1061</v>
      </c>
      <c r="C737" s="34"/>
      <c r="D737" s="77"/>
      <c r="E737" s="77"/>
      <c r="F737" s="77"/>
      <c r="G737" s="77"/>
      <c r="H737" s="91"/>
      <c r="I737" s="89"/>
      <c r="J737" s="77"/>
      <c r="K737" s="110"/>
      <c r="L737" s="107"/>
      <c r="M737" s="109"/>
      <c r="N737" s="11" t="str">
        <f t="shared" si="24"/>
        <v/>
      </c>
      <c r="O737" s="32" t="str">
        <f t="shared" si="25"/>
        <v/>
      </c>
    </row>
    <row r="738" spans="2:15" ht="15" customHeight="1" x14ac:dyDescent="0.4">
      <c r="B738" s="10">
        <v>1062</v>
      </c>
      <c r="C738" s="34"/>
      <c r="D738" s="77"/>
      <c r="E738" s="77"/>
      <c r="F738" s="77"/>
      <c r="G738" s="77"/>
      <c r="H738" s="91"/>
      <c r="I738" s="89"/>
      <c r="J738" s="77"/>
      <c r="K738" s="110"/>
      <c r="L738" s="107"/>
      <c r="M738" s="109"/>
      <c r="N738" s="11" t="str">
        <f t="shared" si="24"/>
        <v/>
      </c>
      <c r="O738" s="32" t="str">
        <f t="shared" si="25"/>
        <v/>
      </c>
    </row>
    <row r="739" spans="2:15" ht="15" customHeight="1" x14ac:dyDescent="0.4">
      <c r="B739" s="10">
        <v>1063</v>
      </c>
      <c r="C739" s="34"/>
      <c r="D739" s="77"/>
      <c r="E739" s="77"/>
      <c r="F739" s="77"/>
      <c r="G739" s="77"/>
      <c r="H739" s="91"/>
      <c r="I739" s="89"/>
      <c r="J739" s="77"/>
      <c r="K739" s="110"/>
      <c r="L739" s="107"/>
      <c r="M739" s="109"/>
      <c r="N739" s="11" t="str">
        <f t="shared" si="24"/>
        <v/>
      </c>
      <c r="O739" s="32" t="str">
        <f t="shared" si="25"/>
        <v/>
      </c>
    </row>
    <row r="740" spans="2:15" ht="15" customHeight="1" x14ac:dyDescent="0.4">
      <c r="B740" s="10">
        <v>1064</v>
      </c>
      <c r="C740" s="34"/>
      <c r="D740" s="77"/>
      <c r="E740" s="77"/>
      <c r="F740" s="77"/>
      <c r="G740" s="77"/>
      <c r="H740" s="91"/>
      <c r="I740" s="89"/>
      <c r="J740" s="77"/>
      <c r="K740" s="110"/>
      <c r="L740" s="107"/>
      <c r="M740" s="109"/>
      <c r="N740" s="11" t="str">
        <f t="shared" si="24"/>
        <v/>
      </c>
      <c r="O740" s="32" t="str">
        <f t="shared" si="25"/>
        <v/>
      </c>
    </row>
    <row r="741" spans="2:15" ht="15" customHeight="1" x14ac:dyDescent="0.4">
      <c r="B741" s="10">
        <v>1065</v>
      </c>
      <c r="C741" s="34"/>
      <c r="D741" s="77"/>
      <c r="E741" s="77"/>
      <c r="F741" s="77"/>
      <c r="G741" s="77"/>
      <c r="H741" s="91"/>
      <c r="I741" s="89"/>
      <c r="J741" s="77"/>
      <c r="K741" s="110"/>
      <c r="L741" s="107"/>
      <c r="M741" s="109"/>
      <c r="N741" s="11" t="str">
        <f t="shared" si="24"/>
        <v/>
      </c>
      <c r="O741" s="32" t="str">
        <f t="shared" si="25"/>
        <v/>
      </c>
    </row>
    <row r="742" spans="2:15" ht="15" customHeight="1" x14ac:dyDescent="0.4">
      <c r="B742" s="10">
        <v>1066</v>
      </c>
      <c r="C742" s="34"/>
      <c r="D742" s="77"/>
      <c r="E742" s="77"/>
      <c r="F742" s="77"/>
      <c r="G742" s="77"/>
      <c r="H742" s="91"/>
      <c r="I742" s="89"/>
      <c r="J742" s="77"/>
      <c r="K742" s="110"/>
      <c r="L742" s="107"/>
      <c r="M742" s="109"/>
      <c r="N742" s="11" t="str">
        <f t="shared" si="24"/>
        <v/>
      </c>
      <c r="O742" s="32" t="str">
        <f t="shared" si="25"/>
        <v/>
      </c>
    </row>
    <row r="743" spans="2:15" ht="15" customHeight="1" x14ac:dyDescent="0.4">
      <c r="B743" s="10">
        <v>1067</v>
      </c>
      <c r="C743" s="34"/>
      <c r="D743" s="77"/>
      <c r="E743" s="77"/>
      <c r="F743" s="77"/>
      <c r="G743" s="77"/>
      <c r="H743" s="91"/>
      <c r="I743" s="89"/>
      <c r="J743" s="77"/>
      <c r="K743" s="110"/>
      <c r="L743" s="107"/>
      <c r="M743" s="109"/>
      <c r="N743" s="11" t="str">
        <f t="shared" si="24"/>
        <v/>
      </c>
      <c r="O743" s="32" t="str">
        <f t="shared" si="25"/>
        <v/>
      </c>
    </row>
    <row r="744" spans="2:15" ht="15" customHeight="1" x14ac:dyDescent="0.4">
      <c r="B744" s="10">
        <v>1068</v>
      </c>
      <c r="C744" s="34"/>
      <c r="D744" s="77"/>
      <c r="E744" s="77"/>
      <c r="F744" s="77"/>
      <c r="G744" s="77"/>
      <c r="H744" s="91"/>
      <c r="I744" s="89"/>
      <c r="J744" s="77"/>
      <c r="K744" s="110"/>
      <c r="L744" s="107"/>
      <c r="M744" s="109"/>
      <c r="N744" s="11" t="str">
        <f t="shared" si="24"/>
        <v/>
      </c>
      <c r="O744" s="32" t="str">
        <f t="shared" si="25"/>
        <v/>
      </c>
    </row>
    <row r="745" spans="2:15" ht="15" customHeight="1" x14ac:dyDescent="0.4">
      <c r="B745" s="10">
        <v>1069</v>
      </c>
      <c r="C745" s="34"/>
      <c r="D745" s="77"/>
      <c r="E745" s="77"/>
      <c r="F745" s="77"/>
      <c r="G745" s="77"/>
      <c r="H745" s="91"/>
      <c r="I745" s="89"/>
      <c r="J745" s="77"/>
      <c r="K745" s="110"/>
      <c r="L745" s="107"/>
      <c r="M745" s="109"/>
      <c r="N745" s="11" t="str">
        <f t="shared" si="24"/>
        <v/>
      </c>
      <c r="O745" s="32" t="str">
        <f t="shared" si="25"/>
        <v/>
      </c>
    </row>
    <row r="746" spans="2:15" ht="15" customHeight="1" x14ac:dyDescent="0.4">
      <c r="B746" s="10">
        <v>1070</v>
      </c>
      <c r="C746" s="34"/>
      <c r="D746" s="77"/>
      <c r="E746" s="77"/>
      <c r="F746" s="77"/>
      <c r="G746" s="77"/>
      <c r="H746" s="91"/>
      <c r="I746" s="89"/>
      <c r="J746" s="77"/>
      <c r="K746" s="110"/>
      <c r="L746" s="107"/>
      <c r="M746" s="109"/>
      <c r="N746" s="11" t="str">
        <f t="shared" si="24"/>
        <v/>
      </c>
      <c r="O746" s="32" t="str">
        <f t="shared" si="25"/>
        <v/>
      </c>
    </row>
    <row r="747" spans="2:15" ht="15" customHeight="1" x14ac:dyDescent="0.4">
      <c r="B747" s="10">
        <v>1071</v>
      </c>
      <c r="C747" s="34"/>
      <c r="D747" s="77"/>
      <c r="E747" s="77"/>
      <c r="F747" s="77"/>
      <c r="G747" s="77"/>
      <c r="H747" s="91"/>
      <c r="I747" s="89"/>
      <c r="J747" s="77"/>
      <c r="K747" s="110"/>
      <c r="L747" s="107"/>
      <c r="M747" s="109"/>
      <c r="N747" s="11" t="str">
        <f t="shared" si="24"/>
        <v/>
      </c>
      <c r="O747" s="32" t="str">
        <f t="shared" si="25"/>
        <v/>
      </c>
    </row>
    <row r="748" spans="2:15" ht="15" customHeight="1" x14ac:dyDescent="0.4">
      <c r="B748" s="10">
        <v>1072</v>
      </c>
      <c r="C748" s="34"/>
      <c r="D748" s="77"/>
      <c r="E748" s="77"/>
      <c r="F748" s="77"/>
      <c r="G748" s="77"/>
      <c r="H748" s="91"/>
      <c r="I748" s="89"/>
      <c r="J748" s="77"/>
      <c r="K748" s="110"/>
      <c r="L748" s="107"/>
      <c r="M748" s="109"/>
      <c r="N748" s="11" t="str">
        <f t="shared" si="24"/>
        <v/>
      </c>
      <c r="O748" s="32" t="str">
        <f t="shared" si="25"/>
        <v/>
      </c>
    </row>
    <row r="749" spans="2:15" ht="15" customHeight="1" x14ac:dyDescent="0.4">
      <c r="B749" s="10">
        <v>1073</v>
      </c>
      <c r="C749" s="34"/>
      <c r="D749" s="77"/>
      <c r="E749" s="77"/>
      <c r="F749" s="77"/>
      <c r="G749" s="77"/>
      <c r="H749" s="91"/>
      <c r="I749" s="89"/>
      <c r="J749" s="77"/>
      <c r="K749" s="110"/>
      <c r="L749" s="107"/>
      <c r="M749" s="109"/>
      <c r="N749" s="11" t="str">
        <f t="shared" si="24"/>
        <v/>
      </c>
      <c r="O749" s="32" t="str">
        <f t="shared" si="25"/>
        <v/>
      </c>
    </row>
    <row r="750" spans="2:15" ht="15" customHeight="1" x14ac:dyDescent="0.4">
      <c r="B750" s="10">
        <v>1074</v>
      </c>
      <c r="C750" s="34"/>
      <c r="D750" s="77"/>
      <c r="E750" s="77"/>
      <c r="F750" s="77"/>
      <c r="G750" s="77"/>
      <c r="H750" s="91"/>
      <c r="I750" s="89"/>
      <c r="J750" s="77"/>
      <c r="K750" s="110"/>
      <c r="L750" s="107"/>
      <c r="M750" s="109"/>
      <c r="N750" s="11" t="str">
        <f t="shared" si="24"/>
        <v/>
      </c>
      <c r="O750" s="32" t="str">
        <f t="shared" si="25"/>
        <v/>
      </c>
    </row>
    <row r="751" spans="2:15" ht="15" customHeight="1" x14ac:dyDescent="0.4">
      <c r="B751" s="10">
        <v>1075</v>
      </c>
      <c r="C751" s="34"/>
      <c r="D751" s="77"/>
      <c r="E751" s="77"/>
      <c r="F751" s="77"/>
      <c r="G751" s="77"/>
      <c r="H751" s="91"/>
      <c r="I751" s="89"/>
      <c r="J751" s="77"/>
      <c r="K751" s="110"/>
      <c r="L751" s="107"/>
      <c r="M751" s="109"/>
      <c r="N751" s="11" t="str">
        <f t="shared" si="24"/>
        <v/>
      </c>
      <c r="O751" s="32" t="str">
        <f t="shared" si="25"/>
        <v/>
      </c>
    </row>
    <row r="752" spans="2:15" ht="15" customHeight="1" x14ac:dyDescent="0.4">
      <c r="B752" s="10">
        <v>1076</v>
      </c>
      <c r="C752" s="34"/>
      <c r="D752" s="77"/>
      <c r="E752" s="77"/>
      <c r="F752" s="77"/>
      <c r="G752" s="77"/>
      <c r="H752" s="91"/>
      <c r="I752" s="89"/>
      <c r="J752" s="77"/>
      <c r="K752" s="110"/>
      <c r="L752" s="107"/>
      <c r="M752" s="109"/>
      <c r="N752" s="11" t="str">
        <f t="shared" si="24"/>
        <v/>
      </c>
      <c r="O752" s="32" t="str">
        <f t="shared" si="25"/>
        <v/>
      </c>
    </row>
    <row r="753" spans="2:15" ht="15" customHeight="1" x14ac:dyDescent="0.4">
      <c r="B753" s="10">
        <v>1077</v>
      </c>
      <c r="C753" s="34"/>
      <c r="D753" s="77"/>
      <c r="E753" s="77"/>
      <c r="F753" s="77"/>
      <c r="G753" s="77"/>
      <c r="H753" s="91"/>
      <c r="I753" s="89"/>
      <c r="J753" s="77"/>
      <c r="K753" s="110"/>
      <c r="L753" s="107"/>
      <c r="M753" s="109"/>
      <c r="N753" s="11" t="str">
        <f t="shared" si="24"/>
        <v/>
      </c>
      <c r="O753" s="32" t="str">
        <f t="shared" si="25"/>
        <v/>
      </c>
    </row>
    <row r="754" spans="2:15" ht="15" customHeight="1" x14ac:dyDescent="0.4">
      <c r="B754" s="10">
        <v>1078</v>
      </c>
      <c r="C754" s="34"/>
      <c r="D754" s="77"/>
      <c r="E754" s="77"/>
      <c r="F754" s="77"/>
      <c r="G754" s="77"/>
      <c r="H754" s="91"/>
      <c r="I754" s="89"/>
      <c r="J754" s="77"/>
      <c r="K754" s="110"/>
      <c r="L754" s="107"/>
      <c r="M754" s="109"/>
      <c r="N754" s="11" t="str">
        <f t="shared" si="24"/>
        <v/>
      </c>
      <c r="O754" s="32" t="str">
        <f t="shared" si="25"/>
        <v/>
      </c>
    </row>
    <row r="755" spans="2:15" ht="15" customHeight="1" x14ac:dyDescent="0.4">
      <c r="B755" s="10">
        <v>1079</v>
      </c>
      <c r="C755" s="34"/>
      <c r="D755" s="77"/>
      <c r="E755" s="77"/>
      <c r="F755" s="77"/>
      <c r="G755" s="77"/>
      <c r="H755" s="91"/>
      <c r="I755" s="89"/>
      <c r="J755" s="77"/>
      <c r="K755" s="110"/>
      <c r="L755" s="107"/>
      <c r="M755" s="109"/>
      <c r="N755" s="11" t="str">
        <f t="shared" si="24"/>
        <v/>
      </c>
      <c r="O755" s="32" t="str">
        <f t="shared" si="25"/>
        <v/>
      </c>
    </row>
    <row r="756" spans="2:15" ht="15" customHeight="1" x14ac:dyDescent="0.4">
      <c r="B756" s="10">
        <v>1080</v>
      </c>
      <c r="C756" s="34"/>
      <c r="D756" s="77"/>
      <c r="E756" s="77"/>
      <c r="F756" s="77"/>
      <c r="G756" s="77"/>
      <c r="H756" s="91"/>
      <c r="I756" s="89"/>
      <c r="J756" s="77"/>
      <c r="K756" s="110"/>
      <c r="L756" s="107"/>
      <c r="M756" s="109"/>
      <c r="N756" s="11" t="str">
        <f t="shared" si="24"/>
        <v/>
      </c>
      <c r="O756" s="32" t="str">
        <f t="shared" si="25"/>
        <v/>
      </c>
    </row>
    <row r="757" spans="2:15" ht="15" customHeight="1" x14ac:dyDescent="0.4">
      <c r="B757" s="10">
        <v>1081</v>
      </c>
      <c r="C757" s="34"/>
      <c r="D757" s="77"/>
      <c r="E757" s="77"/>
      <c r="F757" s="77"/>
      <c r="G757" s="77"/>
      <c r="H757" s="91"/>
      <c r="I757" s="89"/>
      <c r="J757" s="77"/>
      <c r="K757" s="110"/>
      <c r="L757" s="107"/>
      <c r="M757" s="109"/>
      <c r="N757" s="11" t="str">
        <f t="shared" si="24"/>
        <v/>
      </c>
      <c r="O757" s="32" t="str">
        <f t="shared" si="25"/>
        <v/>
      </c>
    </row>
    <row r="758" spans="2:15" ht="15" customHeight="1" x14ac:dyDescent="0.4">
      <c r="B758" s="10">
        <v>1082</v>
      </c>
      <c r="C758" s="34"/>
      <c r="D758" s="77"/>
      <c r="E758" s="77"/>
      <c r="F758" s="77"/>
      <c r="G758" s="77"/>
      <c r="H758" s="91"/>
      <c r="I758" s="89"/>
      <c r="J758" s="77"/>
      <c r="K758" s="110"/>
      <c r="L758" s="107"/>
      <c r="M758" s="109"/>
      <c r="N758" s="11" t="str">
        <f t="shared" si="24"/>
        <v/>
      </c>
      <c r="O758" s="32" t="str">
        <f t="shared" si="25"/>
        <v/>
      </c>
    </row>
    <row r="759" spans="2:15" ht="15" customHeight="1" x14ac:dyDescent="0.4">
      <c r="B759" s="10">
        <v>1083</v>
      </c>
      <c r="C759" s="34"/>
      <c r="D759" s="77"/>
      <c r="E759" s="77"/>
      <c r="F759" s="77"/>
      <c r="G759" s="77"/>
      <c r="H759" s="91"/>
      <c r="I759" s="89"/>
      <c r="J759" s="77"/>
      <c r="K759" s="110"/>
      <c r="L759" s="107"/>
      <c r="M759" s="109"/>
      <c r="N759" s="11" t="str">
        <f t="shared" si="24"/>
        <v/>
      </c>
      <c r="O759" s="32" t="str">
        <f t="shared" si="25"/>
        <v/>
      </c>
    </row>
    <row r="760" spans="2:15" ht="15" customHeight="1" x14ac:dyDescent="0.4">
      <c r="B760" s="10">
        <v>1084</v>
      </c>
      <c r="C760" s="34"/>
      <c r="D760" s="77"/>
      <c r="E760" s="77"/>
      <c r="F760" s="77"/>
      <c r="G760" s="77"/>
      <c r="H760" s="91"/>
      <c r="I760" s="89"/>
      <c r="J760" s="77"/>
      <c r="K760" s="110"/>
      <c r="L760" s="107"/>
      <c r="M760" s="109"/>
      <c r="N760" s="11" t="str">
        <f t="shared" si="24"/>
        <v/>
      </c>
      <c r="O760" s="32" t="str">
        <f t="shared" si="25"/>
        <v/>
      </c>
    </row>
    <row r="761" spans="2:15" ht="15" customHeight="1" x14ac:dyDescent="0.4">
      <c r="B761" s="10">
        <v>1085</v>
      </c>
      <c r="C761" s="34"/>
      <c r="D761" s="77"/>
      <c r="E761" s="77"/>
      <c r="F761" s="77"/>
      <c r="G761" s="77"/>
      <c r="H761" s="91"/>
      <c r="I761" s="89"/>
      <c r="J761" s="77"/>
      <c r="K761" s="110"/>
      <c r="L761" s="107"/>
      <c r="M761" s="109"/>
      <c r="N761" s="11" t="str">
        <f t="shared" si="24"/>
        <v/>
      </c>
      <c r="O761" s="32" t="str">
        <f t="shared" si="25"/>
        <v/>
      </c>
    </row>
    <row r="762" spans="2:15" ht="15" customHeight="1" x14ac:dyDescent="0.4">
      <c r="B762" s="10">
        <v>1086</v>
      </c>
      <c r="C762" s="34"/>
      <c r="D762" s="77"/>
      <c r="E762" s="77"/>
      <c r="F762" s="77"/>
      <c r="G762" s="77"/>
      <c r="H762" s="91"/>
      <c r="I762" s="89"/>
      <c r="J762" s="77"/>
      <c r="K762" s="110"/>
      <c r="L762" s="107"/>
      <c r="M762" s="109"/>
      <c r="N762" s="11" t="str">
        <f t="shared" si="24"/>
        <v/>
      </c>
      <c r="O762" s="32" t="str">
        <f t="shared" si="25"/>
        <v/>
      </c>
    </row>
    <row r="763" spans="2:15" ht="15" customHeight="1" x14ac:dyDescent="0.4">
      <c r="B763" s="10">
        <v>1087</v>
      </c>
      <c r="C763" s="34"/>
      <c r="D763" s="77"/>
      <c r="E763" s="77"/>
      <c r="F763" s="77"/>
      <c r="G763" s="77"/>
      <c r="H763" s="91"/>
      <c r="I763" s="89"/>
      <c r="J763" s="77"/>
      <c r="K763" s="110"/>
      <c r="L763" s="107"/>
      <c r="M763" s="109"/>
      <c r="N763" s="11" t="str">
        <f t="shared" si="24"/>
        <v/>
      </c>
      <c r="O763" s="32" t="str">
        <f t="shared" si="25"/>
        <v/>
      </c>
    </row>
    <row r="764" spans="2:15" ht="15" customHeight="1" x14ac:dyDescent="0.4">
      <c r="B764" s="10">
        <v>1088</v>
      </c>
      <c r="C764" s="34"/>
      <c r="D764" s="77"/>
      <c r="E764" s="77"/>
      <c r="F764" s="77"/>
      <c r="G764" s="77"/>
      <c r="H764" s="91"/>
      <c r="I764" s="89"/>
      <c r="J764" s="77"/>
      <c r="K764" s="110"/>
      <c r="L764" s="107"/>
      <c r="M764" s="109"/>
      <c r="N764" s="11" t="str">
        <f t="shared" si="24"/>
        <v/>
      </c>
      <c r="O764" s="32" t="str">
        <f t="shared" si="25"/>
        <v/>
      </c>
    </row>
    <row r="765" spans="2:15" ht="15" customHeight="1" x14ac:dyDescent="0.4">
      <c r="B765" s="10">
        <v>1089</v>
      </c>
      <c r="C765" s="34"/>
      <c r="D765" s="77"/>
      <c r="E765" s="77"/>
      <c r="F765" s="77"/>
      <c r="G765" s="77"/>
      <c r="H765" s="91"/>
      <c r="I765" s="89"/>
      <c r="J765" s="77"/>
      <c r="K765" s="110"/>
      <c r="L765" s="107"/>
      <c r="M765" s="109"/>
      <c r="N765" s="11" t="str">
        <f t="shared" si="24"/>
        <v/>
      </c>
      <c r="O765" s="32" t="str">
        <f t="shared" si="25"/>
        <v/>
      </c>
    </row>
    <row r="766" spans="2:15" ht="15" customHeight="1" x14ac:dyDescent="0.4">
      <c r="B766" s="10">
        <v>1090</v>
      </c>
      <c r="C766" s="34"/>
      <c r="D766" s="77"/>
      <c r="E766" s="77"/>
      <c r="F766" s="77"/>
      <c r="G766" s="77"/>
      <c r="H766" s="91"/>
      <c r="I766" s="89"/>
      <c r="J766" s="77"/>
      <c r="K766" s="110"/>
      <c r="L766" s="107"/>
      <c r="M766" s="109"/>
      <c r="N766" s="11" t="str">
        <f t="shared" si="24"/>
        <v/>
      </c>
      <c r="O766" s="32" t="str">
        <f t="shared" si="25"/>
        <v/>
      </c>
    </row>
    <row r="767" spans="2:15" ht="15" customHeight="1" x14ac:dyDescent="0.4">
      <c r="B767" s="10">
        <v>1091</v>
      </c>
      <c r="C767" s="34"/>
      <c r="D767" s="77"/>
      <c r="E767" s="77"/>
      <c r="F767" s="77"/>
      <c r="G767" s="77"/>
      <c r="H767" s="91"/>
      <c r="I767" s="89"/>
      <c r="J767" s="77"/>
      <c r="K767" s="110"/>
      <c r="L767" s="107"/>
      <c r="M767" s="109"/>
      <c r="N767" s="11" t="str">
        <f t="shared" si="24"/>
        <v/>
      </c>
      <c r="O767" s="32" t="str">
        <f t="shared" si="25"/>
        <v/>
      </c>
    </row>
    <row r="768" spans="2:15" ht="15" customHeight="1" x14ac:dyDescent="0.4">
      <c r="B768" s="10">
        <v>1092</v>
      </c>
      <c r="C768" s="34"/>
      <c r="D768" s="77"/>
      <c r="E768" s="77"/>
      <c r="F768" s="77"/>
      <c r="G768" s="77"/>
      <c r="H768" s="91"/>
      <c r="I768" s="89"/>
      <c r="J768" s="77"/>
      <c r="K768" s="110"/>
      <c r="L768" s="107"/>
      <c r="M768" s="109"/>
      <c r="N768" s="11" t="str">
        <f t="shared" si="24"/>
        <v/>
      </c>
      <c r="O768" s="32" t="str">
        <f t="shared" si="25"/>
        <v/>
      </c>
    </row>
    <row r="769" spans="2:15" ht="15" customHeight="1" x14ac:dyDescent="0.4">
      <c r="B769" s="10">
        <v>1093</v>
      </c>
      <c r="C769" s="34"/>
      <c r="D769" s="77"/>
      <c r="E769" s="77"/>
      <c r="F769" s="77"/>
      <c r="G769" s="77"/>
      <c r="H769" s="91"/>
      <c r="I769" s="89"/>
      <c r="J769" s="77"/>
      <c r="K769" s="110"/>
      <c r="L769" s="107"/>
      <c r="M769" s="109"/>
      <c r="N769" s="11" t="str">
        <f t="shared" si="24"/>
        <v/>
      </c>
      <c r="O769" s="32" t="str">
        <f t="shared" si="25"/>
        <v/>
      </c>
    </row>
    <row r="770" spans="2:15" ht="15" customHeight="1" x14ac:dyDescent="0.4">
      <c r="B770" s="10">
        <v>1094</v>
      </c>
      <c r="C770" s="34"/>
      <c r="D770" s="77"/>
      <c r="E770" s="77"/>
      <c r="F770" s="77"/>
      <c r="G770" s="77"/>
      <c r="H770" s="91"/>
      <c r="I770" s="89"/>
      <c r="J770" s="77"/>
      <c r="K770" s="110"/>
      <c r="L770" s="107"/>
      <c r="M770" s="109"/>
      <c r="N770" s="11" t="str">
        <f t="shared" si="24"/>
        <v/>
      </c>
      <c r="O770" s="32" t="str">
        <f t="shared" si="25"/>
        <v/>
      </c>
    </row>
    <row r="771" spans="2:15" ht="15" customHeight="1" x14ac:dyDescent="0.4">
      <c r="B771" s="10">
        <v>1095</v>
      </c>
      <c r="C771" s="34"/>
      <c r="D771" s="77"/>
      <c r="E771" s="77"/>
      <c r="F771" s="77"/>
      <c r="G771" s="77"/>
      <c r="H771" s="91"/>
      <c r="I771" s="89"/>
      <c r="J771" s="77"/>
      <c r="K771" s="110"/>
      <c r="L771" s="107"/>
      <c r="M771" s="109"/>
      <c r="N771" s="11" t="str">
        <f t="shared" si="24"/>
        <v/>
      </c>
      <c r="O771" s="32" t="str">
        <f t="shared" si="25"/>
        <v/>
      </c>
    </row>
    <row r="772" spans="2:15" ht="15" customHeight="1" x14ac:dyDescent="0.4">
      <c r="B772" s="10">
        <v>1096</v>
      </c>
      <c r="C772" s="34"/>
      <c r="D772" s="77"/>
      <c r="E772" s="77"/>
      <c r="F772" s="77"/>
      <c r="G772" s="77"/>
      <c r="H772" s="91"/>
      <c r="I772" s="89"/>
      <c r="J772" s="77"/>
      <c r="K772" s="110"/>
      <c r="L772" s="107"/>
      <c r="M772" s="109"/>
      <c r="N772" s="11" t="str">
        <f t="shared" si="24"/>
        <v/>
      </c>
      <c r="O772" s="32" t="str">
        <f t="shared" si="25"/>
        <v/>
      </c>
    </row>
    <row r="773" spans="2:15" ht="15" customHeight="1" x14ac:dyDescent="0.4">
      <c r="B773" s="10">
        <v>1097</v>
      </c>
      <c r="C773" s="34"/>
      <c r="D773" s="77"/>
      <c r="E773" s="77"/>
      <c r="F773" s="77"/>
      <c r="G773" s="77"/>
      <c r="H773" s="91"/>
      <c r="I773" s="89"/>
      <c r="J773" s="77"/>
      <c r="K773" s="110"/>
      <c r="L773" s="107"/>
      <c r="M773" s="109"/>
      <c r="N773" s="11" t="str">
        <f t="shared" si="24"/>
        <v/>
      </c>
      <c r="O773" s="32" t="str">
        <f t="shared" si="25"/>
        <v/>
      </c>
    </row>
    <row r="774" spans="2:15" ht="15" customHeight="1" x14ac:dyDescent="0.4">
      <c r="B774" s="10">
        <v>1098</v>
      </c>
      <c r="C774" s="34"/>
      <c r="D774" s="77"/>
      <c r="E774" s="77"/>
      <c r="F774" s="77"/>
      <c r="G774" s="77"/>
      <c r="H774" s="91"/>
      <c r="I774" s="89"/>
      <c r="J774" s="77"/>
      <c r="K774" s="110"/>
      <c r="L774" s="107"/>
      <c r="M774" s="109"/>
      <c r="N774" s="11" t="str">
        <f t="shared" si="24"/>
        <v/>
      </c>
      <c r="O774" s="32" t="str">
        <f t="shared" si="25"/>
        <v/>
      </c>
    </row>
    <row r="775" spans="2:15" ht="15" customHeight="1" x14ac:dyDescent="0.4">
      <c r="B775" s="10">
        <v>1099</v>
      </c>
      <c r="C775" s="34"/>
      <c r="D775" s="77"/>
      <c r="E775" s="77"/>
      <c r="F775" s="77"/>
      <c r="G775" s="77"/>
      <c r="H775" s="91"/>
      <c r="I775" s="89"/>
      <c r="J775" s="77"/>
      <c r="K775" s="110"/>
      <c r="L775" s="107"/>
      <c r="M775" s="109"/>
      <c r="N775" s="11" t="str">
        <f t="shared" si="24"/>
        <v/>
      </c>
      <c r="O775" s="32" t="str">
        <f t="shared" si="25"/>
        <v/>
      </c>
    </row>
    <row r="776" spans="2:15" ht="15" customHeight="1" x14ac:dyDescent="0.4">
      <c r="B776" s="10">
        <v>1100</v>
      </c>
      <c r="C776" s="34"/>
      <c r="D776" s="77"/>
      <c r="E776" s="77"/>
      <c r="F776" s="77"/>
      <c r="G776" s="77"/>
      <c r="H776" s="91"/>
      <c r="I776" s="89"/>
      <c r="J776" s="77"/>
      <c r="K776" s="110"/>
      <c r="L776" s="107"/>
      <c r="M776" s="109"/>
      <c r="N776" s="11" t="str">
        <f t="shared" si="24"/>
        <v/>
      </c>
      <c r="O776" s="32" t="str">
        <f t="shared" si="25"/>
        <v/>
      </c>
    </row>
    <row r="777" spans="2:15" ht="15" customHeight="1" x14ac:dyDescent="0.4">
      <c r="B777" s="10">
        <v>1101</v>
      </c>
      <c r="C777" s="34"/>
      <c r="D777" s="77"/>
      <c r="E777" s="77"/>
      <c r="F777" s="77"/>
      <c r="G777" s="77"/>
      <c r="H777" s="91"/>
      <c r="I777" s="89"/>
      <c r="J777" s="77"/>
      <c r="K777" s="110"/>
      <c r="L777" s="107"/>
      <c r="M777" s="109"/>
      <c r="N777" s="11" t="str">
        <f t="shared" si="24"/>
        <v/>
      </c>
      <c r="O777" s="32" t="str">
        <f t="shared" si="25"/>
        <v/>
      </c>
    </row>
    <row r="778" spans="2:15" ht="15" customHeight="1" x14ac:dyDescent="0.4">
      <c r="B778" s="10">
        <v>1102</v>
      </c>
      <c r="C778" s="34"/>
      <c r="D778" s="77"/>
      <c r="E778" s="77"/>
      <c r="F778" s="77"/>
      <c r="G778" s="77"/>
      <c r="H778" s="91"/>
      <c r="I778" s="89"/>
      <c r="J778" s="77"/>
      <c r="K778" s="110"/>
      <c r="L778" s="107"/>
      <c r="M778" s="109"/>
      <c r="N778" s="11" t="str">
        <f t="shared" si="24"/>
        <v/>
      </c>
      <c r="O778" s="32" t="str">
        <f t="shared" si="25"/>
        <v/>
      </c>
    </row>
    <row r="779" spans="2:15" ht="15" customHeight="1" x14ac:dyDescent="0.4">
      <c r="B779" s="10">
        <v>1103</v>
      </c>
      <c r="C779" s="34"/>
      <c r="D779" s="77"/>
      <c r="E779" s="77"/>
      <c r="F779" s="77"/>
      <c r="G779" s="77"/>
      <c r="H779" s="91"/>
      <c r="I779" s="89"/>
      <c r="J779" s="77"/>
      <c r="K779" s="110"/>
      <c r="L779" s="107"/>
      <c r="M779" s="109"/>
      <c r="N779" s="11" t="str">
        <f t="shared" si="24"/>
        <v/>
      </c>
      <c r="O779" s="32" t="str">
        <f t="shared" si="25"/>
        <v/>
      </c>
    </row>
    <row r="780" spans="2:15" ht="15" customHeight="1" x14ac:dyDescent="0.4">
      <c r="B780" s="10">
        <v>1104</v>
      </c>
      <c r="C780" s="34"/>
      <c r="D780" s="77"/>
      <c r="E780" s="77"/>
      <c r="F780" s="77"/>
      <c r="G780" s="77"/>
      <c r="H780" s="91"/>
      <c r="I780" s="89"/>
      <c r="J780" s="77"/>
      <c r="K780" s="110"/>
      <c r="L780" s="107"/>
      <c r="M780" s="109"/>
      <c r="N780" s="11" t="str">
        <f t="shared" si="24"/>
        <v/>
      </c>
      <c r="O780" s="32" t="str">
        <f t="shared" si="25"/>
        <v/>
      </c>
    </row>
    <row r="781" spans="2:15" ht="15" customHeight="1" x14ac:dyDescent="0.4">
      <c r="B781" s="10">
        <v>1105</v>
      </c>
      <c r="C781" s="34"/>
      <c r="D781" s="77"/>
      <c r="E781" s="77"/>
      <c r="F781" s="77"/>
      <c r="G781" s="77"/>
      <c r="H781" s="91"/>
      <c r="I781" s="89"/>
      <c r="J781" s="77"/>
      <c r="K781" s="110"/>
      <c r="L781" s="107"/>
      <c r="M781" s="109"/>
      <c r="N781" s="11" t="str">
        <f t="shared" si="24"/>
        <v/>
      </c>
      <c r="O781" s="32" t="str">
        <f t="shared" si="25"/>
        <v/>
      </c>
    </row>
    <row r="782" spans="2:15" ht="15" customHeight="1" x14ac:dyDescent="0.4">
      <c r="B782" s="10">
        <v>1106</v>
      </c>
      <c r="C782" s="34"/>
      <c r="D782" s="77"/>
      <c r="E782" s="77"/>
      <c r="F782" s="77"/>
      <c r="G782" s="77"/>
      <c r="H782" s="91"/>
      <c r="I782" s="89"/>
      <c r="J782" s="77"/>
      <c r="K782" s="110"/>
      <c r="L782" s="107"/>
      <c r="M782" s="109"/>
      <c r="N782" s="11" t="str">
        <f t="shared" si="24"/>
        <v/>
      </c>
      <c r="O782" s="32" t="str">
        <f t="shared" si="25"/>
        <v/>
      </c>
    </row>
    <row r="783" spans="2:15" ht="15" customHeight="1" x14ac:dyDescent="0.4">
      <c r="B783" s="10">
        <v>1107</v>
      </c>
      <c r="C783" s="34"/>
      <c r="D783" s="77"/>
      <c r="E783" s="77"/>
      <c r="F783" s="77"/>
      <c r="G783" s="77"/>
      <c r="H783" s="91"/>
      <c r="I783" s="89"/>
      <c r="J783" s="77"/>
      <c r="K783" s="110"/>
      <c r="L783" s="107"/>
      <c r="M783" s="109"/>
      <c r="N783" s="11" t="str">
        <f t="shared" si="24"/>
        <v/>
      </c>
      <c r="O783" s="32" t="str">
        <f t="shared" si="25"/>
        <v/>
      </c>
    </row>
    <row r="784" spans="2:15" ht="15" customHeight="1" x14ac:dyDescent="0.4">
      <c r="B784" s="10">
        <v>1108</v>
      </c>
      <c r="C784" s="34"/>
      <c r="D784" s="77"/>
      <c r="E784" s="77"/>
      <c r="F784" s="77"/>
      <c r="G784" s="77"/>
      <c r="H784" s="91"/>
      <c r="I784" s="89"/>
      <c r="J784" s="77"/>
      <c r="K784" s="110"/>
      <c r="L784" s="107"/>
      <c r="M784" s="109"/>
      <c r="N784" s="11" t="str">
        <f t="shared" si="24"/>
        <v/>
      </c>
      <c r="O784" s="32" t="str">
        <f t="shared" si="25"/>
        <v/>
      </c>
    </row>
    <row r="785" spans="2:15" ht="15" customHeight="1" x14ac:dyDescent="0.4">
      <c r="B785" s="10">
        <v>1109</v>
      </c>
      <c r="C785" s="34"/>
      <c r="D785" s="77"/>
      <c r="E785" s="77"/>
      <c r="F785" s="77"/>
      <c r="G785" s="77"/>
      <c r="H785" s="91"/>
      <c r="I785" s="89"/>
      <c r="J785" s="77"/>
      <c r="K785" s="110"/>
      <c r="L785" s="107"/>
      <c r="M785" s="109"/>
      <c r="N785" s="11" t="str">
        <f t="shared" si="24"/>
        <v/>
      </c>
      <c r="O785" s="32" t="str">
        <f t="shared" si="25"/>
        <v/>
      </c>
    </row>
    <row r="786" spans="2:15" ht="15" customHeight="1" x14ac:dyDescent="0.4">
      <c r="B786" s="10">
        <v>1110</v>
      </c>
      <c r="C786" s="34"/>
      <c r="D786" s="77"/>
      <c r="E786" s="77"/>
      <c r="F786" s="77"/>
      <c r="G786" s="77"/>
      <c r="H786" s="91"/>
      <c r="I786" s="89"/>
      <c r="J786" s="77"/>
      <c r="K786" s="110"/>
      <c r="L786" s="107"/>
      <c r="M786" s="109"/>
      <c r="N786" s="11" t="str">
        <f t="shared" si="24"/>
        <v/>
      </c>
      <c r="O786" s="32" t="str">
        <f t="shared" si="25"/>
        <v/>
      </c>
    </row>
    <row r="787" spans="2:15" ht="15" customHeight="1" x14ac:dyDescent="0.4">
      <c r="B787" s="10">
        <v>1111</v>
      </c>
      <c r="C787" s="34"/>
      <c r="D787" s="77"/>
      <c r="E787" s="77"/>
      <c r="F787" s="77"/>
      <c r="G787" s="77"/>
      <c r="H787" s="91"/>
      <c r="I787" s="89"/>
      <c r="J787" s="77"/>
      <c r="K787" s="110"/>
      <c r="L787" s="107"/>
      <c r="M787" s="109"/>
      <c r="N787" s="11" t="str">
        <f t="shared" si="24"/>
        <v/>
      </c>
      <c r="O787" s="32" t="str">
        <f t="shared" si="25"/>
        <v/>
      </c>
    </row>
    <row r="788" spans="2:15" ht="15" customHeight="1" x14ac:dyDescent="0.4">
      <c r="B788" s="10">
        <v>1112</v>
      </c>
      <c r="C788" s="34"/>
      <c r="D788" s="77"/>
      <c r="E788" s="77"/>
      <c r="F788" s="77"/>
      <c r="G788" s="77"/>
      <c r="H788" s="91"/>
      <c r="I788" s="89"/>
      <c r="J788" s="77"/>
      <c r="K788" s="110"/>
      <c r="L788" s="107"/>
      <c r="M788" s="109"/>
      <c r="N788" s="11" t="str">
        <f t="shared" ref="N788:N851" si="26">IF(OR(M788="", K788=""),"", M788- K788)</f>
        <v/>
      </c>
      <c r="O788" s="32" t="str">
        <f t="shared" ref="O788:O851" si="27">IF(OR(M788="", K788="", L788=""), "", IF((M788 - K788) &gt; L788, "No", "Yes"))</f>
        <v/>
      </c>
    </row>
    <row r="789" spans="2:15" ht="15" customHeight="1" x14ac:dyDescent="0.4">
      <c r="B789" s="10">
        <v>1113</v>
      </c>
      <c r="C789" s="34"/>
      <c r="D789" s="77"/>
      <c r="E789" s="77"/>
      <c r="F789" s="77"/>
      <c r="G789" s="77"/>
      <c r="H789" s="91"/>
      <c r="I789" s="89"/>
      <c r="J789" s="77"/>
      <c r="K789" s="110"/>
      <c r="L789" s="107"/>
      <c r="M789" s="109"/>
      <c r="N789" s="11" t="str">
        <f t="shared" si="26"/>
        <v/>
      </c>
      <c r="O789" s="32" t="str">
        <f t="shared" si="27"/>
        <v/>
      </c>
    </row>
    <row r="790" spans="2:15" ht="15" customHeight="1" x14ac:dyDescent="0.4">
      <c r="B790" s="10">
        <v>1114</v>
      </c>
      <c r="C790" s="34"/>
      <c r="D790" s="77"/>
      <c r="E790" s="77"/>
      <c r="F790" s="77"/>
      <c r="G790" s="77"/>
      <c r="H790" s="91"/>
      <c r="I790" s="89"/>
      <c r="J790" s="77"/>
      <c r="K790" s="110"/>
      <c r="L790" s="107"/>
      <c r="M790" s="109"/>
      <c r="N790" s="11" t="str">
        <f t="shared" si="26"/>
        <v/>
      </c>
      <c r="O790" s="32" t="str">
        <f t="shared" si="27"/>
        <v/>
      </c>
    </row>
    <row r="791" spans="2:15" ht="15" customHeight="1" x14ac:dyDescent="0.4">
      <c r="B791" s="10">
        <v>1115</v>
      </c>
      <c r="C791" s="34"/>
      <c r="D791" s="77"/>
      <c r="E791" s="77"/>
      <c r="F791" s="77"/>
      <c r="G791" s="77"/>
      <c r="H791" s="91"/>
      <c r="I791" s="89"/>
      <c r="J791" s="77"/>
      <c r="K791" s="110"/>
      <c r="L791" s="107"/>
      <c r="M791" s="109"/>
      <c r="N791" s="11" t="str">
        <f t="shared" si="26"/>
        <v/>
      </c>
      <c r="O791" s="32" t="str">
        <f t="shared" si="27"/>
        <v/>
      </c>
    </row>
    <row r="792" spans="2:15" ht="15" customHeight="1" x14ac:dyDescent="0.4">
      <c r="B792" s="10">
        <v>1116</v>
      </c>
      <c r="C792" s="34"/>
      <c r="D792" s="77"/>
      <c r="E792" s="77"/>
      <c r="F792" s="77"/>
      <c r="G792" s="77"/>
      <c r="H792" s="91"/>
      <c r="I792" s="89"/>
      <c r="J792" s="77"/>
      <c r="K792" s="110"/>
      <c r="L792" s="107"/>
      <c r="M792" s="109"/>
      <c r="N792" s="11" t="str">
        <f t="shared" si="26"/>
        <v/>
      </c>
      <c r="O792" s="32" t="str">
        <f t="shared" si="27"/>
        <v/>
      </c>
    </row>
    <row r="793" spans="2:15" ht="15" customHeight="1" x14ac:dyDescent="0.4">
      <c r="B793" s="10">
        <v>1117</v>
      </c>
      <c r="C793" s="34"/>
      <c r="D793" s="77"/>
      <c r="E793" s="77"/>
      <c r="F793" s="77"/>
      <c r="G793" s="77"/>
      <c r="H793" s="91"/>
      <c r="I793" s="89"/>
      <c r="J793" s="77"/>
      <c r="K793" s="110"/>
      <c r="L793" s="107"/>
      <c r="M793" s="109"/>
      <c r="N793" s="11" t="str">
        <f t="shared" si="26"/>
        <v/>
      </c>
      <c r="O793" s="32" t="str">
        <f t="shared" si="27"/>
        <v/>
      </c>
    </row>
    <row r="794" spans="2:15" ht="15" customHeight="1" x14ac:dyDescent="0.4">
      <c r="B794" s="10">
        <v>1118</v>
      </c>
      <c r="C794" s="34"/>
      <c r="D794" s="77"/>
      <c r="E794" s="77"/>
      <c r="F794" s="77"/>
      <c r="G794" s="77"/>
      <c r="H794" s="91"/>
      <c r="I794" s="89"/>
      <c r="J794" s="77"/>
      <c r="K794" s="110"/>
      <c r="L794" s="107"/>
      <c r="M794" s="109"/>
      <c r="N794" s="11" t="str">
        <f t="shared" si="26"/>
        <v/>
      </c>
      <c r="O794" s="32" t="str">
        <f t="shared" si="27"/>
        <v/>
      </c>
    </row>
    <row r="795" spans="2:15" ht="15" customHeight="1" x14ac:dyDescent="0.4">
      <c r="B795" s="10">
        <v>1119</v>
      </c>
      <c r="C795" s="34"/>
      <c r="D795" s="77"/>
      <c r="E795" s="77"/>
      <c r="F795" s="77"/>
      <c r="G795" s="77"/>
      <c r="H795" s="91"/>
      <c r="I795" s="89"/>
      <c r="J795" s="77"/>
      <c r="K795" s="110"/>
      <c r="L795" s="107"/>
      <c r="M795" s="109"/>
      <c r="N795" s="11" t="str">
        <f t="shared" si="26"/>
        <v/>
      </c>
      <c r="O795" s="32" t="str">
        <f t="shared" si="27"/>
        <v/>
      </c>
    </row>
    <row r="796" spans="2:15" ht="15" customHeight="1" x14ac:dyDescent="0.4">
      <c r="B796" s="10">
        <v>1120</v>
      </c>
      <c r="C796" s="34"/>
      <c r="D796" s="77"/>
      <c r="E796" s="77"/>
      <c r="F796" s="77"/>
      <c r="G796" s="77"/>
      <c r="H796" s="91"/>
      <c r="I796" s="89"/>
      <c r="J796" s="77"/>
      <c r="K796" s="110"/>
      <c r="L796" s="107"/>
      <c r="M796" s="109"/>
      <c r="N796" s="11" t="str">
        <f t="shared" si="26"/>
        <v/>
      </c>
      <c r="O796" s="32" t="str">
        <f t="shared" si="27"/>
        <v/>
      </c>
    </row>
    <row r="797" spans="2:15" ht="15" customHeight="1" x14ac:dyDescent="0.4">
      <c r="B797" s="10">
        <v>1121</v>
      </c>
      <c r="C797" s="34"/>
      <c r="D797" s="77"/>
      <c r="E797" s="77"/>
      <c r="F797" s="77"/>
      <c r="G797" s="77"/>
      <c r="H797" s="91"/>
      <c r="I797" s="89"/>
      <c r="J797" s="77"/>
      <c r="K797" s="110"/>
      <c r="L797" s="107"/>
      <c r="M797" s="109"/>
      <c r="N797" s="11" t="str">
        <f t="shared" si="26"/>
        <v/>
      </c>
      <c r="O797" s="32" t="str">
        <f t="shared" si="27"/>
        <v/>
      </c>
    </row>
    <row r="798" spans="2:15" ht="15" customHeight="1" x14ac:dyDescent="0.4">
      <c r="B798" s="10">
        <v>1122</v>
      </c>
      <c r="C798" s="34"/>
      <c r="D798" s="77"/>
      <c r="E798" s="77"/>
      <c r="F798" s="77"/>
      <c r="G798" s="77"/>
      <c r="H798" s="91"/>
      <c r="I798" s="89"/>
      <c r="J798" s="77"/>
      <c r="K798" s="110"/>
      <c r="L798" s="107"/>
      <c r="M798" s="109"/>
      <c r="N798" s="11" t="str">
        <f t="shared" si="26"/>
        <v/>
      </c>
      <c r="O798" s="32" t="str">
        <f t="shared" si="27"/>
        <v/>
      </c>
    </row>
    <row r="799" spans="2:15" ht="15" customHeight="1" x14ac:dyDescent="0.4">
      <c r="B799" s="10">
        <v>1123</v>
      </c>
      <c r="C799" s="34"/>
      <c r="D799" s="77"/>
      <c r="E799" s="77"/>
      <c r="F799" s="77"/>
      <c r="G799" s="77"/>
      <c r="H799" s="91"/>
      <c r="I799" s="89"/>
      <c r="J799" s="77"/>
      <c r="K799" s="110"/>
      <c r="L799" s="107"/>
      <c r="M799" s="109"/>
      <c r="N799" s="11" t="str">
        <f t="shared" si="26"/>
        <v/>
      </c>
      <c r="O799" s="32" t="str">
        <f t="shared" si="27"/>
        <v/>
      </c>
    </row>
    <row r="800" spans="2:15" ht="15" customHeight="1" x14ac:dyDescent="0.4">
      <c r="B800" s="10">
        <v>1124</v>
      </c>
      <c r="C800" s="34"/>
      <c r="D800" s="77"/>
      <c r="E800" s="77"/>
      <c r="F800" s="77"/>
      <c r="G800" s="77"/>
      <c r="H800" s="91"/>
      <c r="I800" s="89"/>
      <c r="J800" s="77"/>
      <c r="K800" s="110"/>
      <c r="L800" s="107"/>
      <c r="M800" s="109"/>
      <c r="N800" s="11" t="str">
        <f t="shared" si="26"/>
        <v/>
      </c>
      <c r="O800" s="32" t="str">
        <f t="shared" si="27"/>
        <v/>
      </c>
    </row>
    <row r="801" spans="2:15" ht="15" customHeight="1" x14ac:dyDescent="0.4">
      <c r="B801" s="10">
        <v>1125</v>
      </c>
      <c r="C801" s="34"/>
      <c r="D801" s="77"/>
      <c r="E801" s="77"/>
      <c r="F801" s="77"/>
      <c r="G801" s="77"/>
      <c r="H801" s="91"/>
      <c r="I801" s="89"/>
      <c r="J801" s="77"/>
      <c r="K801" s="110"/>
      <c r="L801" s="107"/>
      <c r="M801" s="109"/>
      <c r="N801" s="11" t="str">
        <f t="shared" si="26"/>
        <v/>
      </c>
      <c r="O801" s="32" t="str">
        <f t="shared" si="27"/>
        <v/>
      </c>
    </row>
    <row r="802" spans="2:15" ht="15" customHeight="1" x14ac:dyDescent="0.4">
      <c r="B802" s="10">
        <v>1126</v>
      </c>
      <c r="C802" s="34"/>
      <c r="D802" s="77"/>
      <c r="E802" s="77"/>
      <c r="F802" s="77"/>
      <c r="G802" s="77"/>
      <c r="H802" s="91"/>
      <c r="I802" s="89"/>
      <c r="J802" s="77"/>
      <c r="K802" s="110"/>
      <c r="L802" s="107"/>
      <c r="M802" s="109"/>
      <c r="N802" s="11" t="str">
        <f t="shared" si="26"/>
        <v/>
      </c>
      <c r="O802" s="32" t="str">
        <f t="shared" si="27"/>
        <v/>
      </c>
    </row>
    <row r="803" spans="2:15" ht="15" customHeight="1" x14ac:dyDescent="0.4">
      <c r="B803" s="10">
        <v>1127</v>
      </c>
      <c r="C803" s="34"/>
      <c r="D803" s="77"/>
      <c r="E803" s="77"/>
      <c r="F803" s="77"/>
      <c r="G803" s="77"/>
      <c r="H803" s="91"/>
      <c r="I803" s="89"/>
      <c r="J803" s="77"/>
      <c r="K803" s="110"/>
      <c r="L803" s="107"/>
      <c r="M803" s="109"/>
      <c r="N803" s="11" t="str">
        <f t="shared" si="26"/>
        <v/>
      </c>
      <c r="O803" s="32" t="str">
        <f t="shared" si="27"/>
        <v/>
      </c>
    </row>
    <row r="804" spans="2:15" ht="15" customHeight="1" x14ac:dyDescent="0.4">
      <c r="B804" s="10">
        <v>1128</v>
      </c>
      <c r="C804" s="34"/>
      <c r="D804" s="77"/>
      <c r="E804" s="77"/>
      <c r="F804" s="77"/>
      <c r="G804" s="77"/>
      <c r="H804" s="91"/>
      <c r="I804" s="89"/>
      <c r="J804" s="77"/>
      <c r="K804" s="110"/>
      <c r="L804" s="107"/>
      <c r="M804" s="109"/>
      <c r="N804" s="11" t="str">
        <f t="shared" si="26"/>
        <v/>
      </c>
      <c r="O804" s="32" t="str">
        <f t="shared" si="27"/>
        <v/>
      </c>
    </row>
    <row r="805" spans="2:15" ht="15" customHeight="1" x14ac:dyDescent="0.4">
      <c r="B805" s="10">
        <v>1129</v>
      </c>
      <c r="C805" s="34"/>
      <c r="D805" s="77"/>
      <c r="E805" s="77"/>
      <c r="F805" s="77"/>
      <c r="G805" s="77"/>
      <c r="H805" s="91"/>
      <c r="I805" s="89"/>
      <c r="J805" s="77"/>
      <c r="K805" s="110"/>
      <c r="L805" s="107"/>
      <c r="M805" s="109"/>
      <c r="N805" s="11" t="str">
        <f t="shared" si="26"/>
        <v/>
      </c>
      <c r="O805" s="32" t="str">
        <f t="shared" si="27"/>
        <v/>
      </c>
    </row>
    <row r="806" spans="2:15" ht="15" customHeight="1" x14ac:dyDescent="0.4">
      <c r="B806" s="10">
        <v>1130</v>
      </c>
      <c r="C806" s="34"/>
      <c r="D806" s="77"/>
      <c r="E806" s="77"/>
      <c r="F806" s="77"/>
      <c r="G806" s="77"/>
      <c r="H806" s="91"/>
      <c r="I806" s="89"/>
      <c r="J806" s="77"/>
      <c r="K806" s="110"/>
      <c r="L806" s="107"/>
      <c r="M806" s="109"/>
      <c r="N806" s="11" t="str">
        <f t="shared" si="26"/>
        <v/>
      </c>
      <c r="O806" s="32" t="str">
        <f t="shared" si="27"/>
        <v/>
      </c>
    </row>
    <row r="807" spans="2:15" ht="15" customHeight="1" x14ac:dyDescent="0.4">
      <c r="B807" s="10">
        <v>1131</v>
      </c>
      <c r="C807" s="34"/>
      <c r="D807" s="77"/>
      <c r="E807" s="77"/>
      <c r="F807" s="77"/>
      <c r="G807" s="77"/>
      <c r="H807" s="91"/>
      <c r="I807" s="89"/>
      <c r="J807" s="77"/>
      <c r="K807" s="110"/>
      <c r="L807" s="107"/>
      <c r="M807" s="109"/>
      <c r="N807" s="11" t="str">
        <f t="shared" si="26"/>
        <v/>
      </c>
      <c r="O807" s="32" t="str">
        <f t="shared" si="27"/>
        <v/>
      </c>
    </row>
    <row r="808" spans="2:15" ht="15" customHeight="1" x14ac:dyDescent="0.4">
      <c r="B808" s="10">
        <v>1132</v>
      </c>
      <c r="C808" s="34"/>
      <c r="D808" s="77"/>
      <c r="E808" s="77"/>
      <c r="F808" s="77"/>
      <c r="G808" s="77"/>
      <c r="H808" s="91"/>
      <c r="I808" s="89"/>
      <c r="J808" s="77"/>
      <c r="K808" s="110"/>
      <c r="L808" s="107"/>
      <c r="M808" s="109"/>
      <c r="N808" s="11" t="str">
        <f t="shared" si="26"/>
        <v/>
      </c>
      <c r="O808" s="32" t="str">
        <f t="shared" si="27"/>
        <v/>
      </c>
    </row>
    <row r="809" spans="2:15" ht="15" customHeight="1" x14ac:dyDescent="0.4">
      <c r="B809" s="10">
        <v>1133</v>
      </c>
      <c r="C809" s="34"/>
      <c r="D809" s="77"/>
      <c r="E809" s="77"/>
      <c r="F809" s="77"/>
      <c r="G809" s="77"/>
      <c r="H809" s="91"/>
      <c r="I809" s="89"/>
      <c r="J809" s="77"/>
      <c r="K809" s="110"/>
      <c r="L809" s="107"/>
      <c r="M809" s="109"/>
      <c r="N809" s="11" t="str">
        <f t="shared" si="26"/>
        <v/>
      </c>
      <c r="O809" s="32" t="str">
        <f t="shared" si="27"/>
        <v/>
      </c>
    </row>
    <row r="810" spans="2:15" ht="15" customHeight="1" x14ac:dyDescent="0.4">
      <c r="B810" s="10">
        <v>1134</v>
      </c>
      <c r="C810" s="34"/>
      <c r="D810" s="77"/>
      <c r="E810" s="77"/>
      <c r="F810" s="77"/>
      <c r="G810" s="77"/>
      <c r="H810" s="91"/>
      <c r="I810" s="89"/>
      <c r="J810" s="77"/>
      <c r="K810" s="110"/>
      <c r="L810" s="107"/>
      <c r="M810" s="109"/>
      <c r="N810" s="11" t="str">
        <f t="shared" si="26"/>
        <v/>
      </c>
      <c r="O810" s="32" t="str">
        <f t="shared" si="27"/>
        <v/>
      </c>
    </row>
    <row r="811" spans="2:15" ht="15" customHeight="1" x14ac:dyDescent="0.4">
      <c r="B811" s="10">
        <v>1135</v>
      </c>
      <c r="C811" s="34"/>
      <c r="D811" s="77"/>
      <c r="E811" s="77"/>
      <c r="F811" s="77"/>
      <c r="G811" s="77"/>
      <c r="H811" s="91"/>
      <c r="I811" s="89"/>
      <c r="J811" s="77"/>
      <c r="K811" s="110"/>
      <c r="L811" s="107"/>
      <c r="M811" s="109"/>
      <c r="N811" s="11" t="str">
        <f t="shared" si="26"/>
        <v/>
      </c>
      <c r="O811" s="32" t="str">
        <f t="shared" si="27"/>
        <v/>
      </c>
    </row>
    <row r="812" spans="2:15" ht="15" customHeight="1" x14ac:dyDescent="0.4">
      <c r="B812" s="10">
        <v>1136</v>
      </c>
      <c r="C812" s="34"/>
      <c r="D812" s="77"/>
      <c r="E812" s="77"/>
      <c r="F812" s="77"/>
      <c r="G812" s="77"/>
      <c r="H812" s="91"/>
      <c r="I812" s="89"/>
      <c r="J812" s="77"/>
      <c r="K812" s="110"/>
      <c r="L812" s="107"/>
      <c r="M812" s="109"/>
      <c r="N812" s="11" t="str">
        <f t="shared" si="26"/>
        <v/>
      </c>
      <c r="O812" s="32" t="str">
        <f t="shared" si="27"/>
        <v/>
      </c>
    </row>
    <row r="813" spans="2:15" ht="15" customHeight="1" x14ac:dyDescent="0.4">
      <c r="B813" s="10">
        <v>1137</v>
      </c>
      <c r="C813" s="34"/>
      <c r="D813" s="77"/>
      <c r="E813" s="77"/>
      <c r="F813" s="77"/>
      <c r="G813" s="77"/>
      <c r="H813" s="91"/>
      <c r="I813" s="89"/>
      <c r="J813" s="77"/>
      <c r="K813" s="110"/>
      <c r="L813" s="107"/>
      <c r="M813" s="109"/>
      <c r="N813" s="11" t="str">
        <f t="shared" si="26"/>
        <v/>
      </c>
      <c r="O813" s="32" t="str">
        <f t="shared" si="27"/>
        <v/>
      </c>
    </row>
    <row r="814" spans="2:15" ht="15" customHeight="1" x14ac:dyDescent="0.4">
      <c r="B814" s="10">
        <v>1138</v>
      </c>
      <c r="C814" s="34"/>
      <c r="D814" s="77"/>
      <c r="E814" s="77"/>
      <c r="F814" s="77"/>
      <c r="G814" s="77"/>
      <c r="H814" s="91"/>
      <c r="I814" s="89"/>
      <c r="J814" s="77"/>
      <c r="K814" s="110"/>
      <c r="L814" s="107"/>
      <c r="M814" s="109"/>
      <c r="N814" s="11" t="str">
        <f t="shared" si="26"/>
        <v/>
      </c>
      <c r="O814" s="32" t="str">
        <f t="shared" si="27"/>
        <v/>
      </c>
    </row>
    <row r="815" spans="2:15" ht="15" customHeight="1" x14ac:dyDescent="0.4">
      <c r="B815" s="10">
        <v>1139</v>
      </c>
      <c r="C815" s="34"/>
      <c r="D815" s="77"/>
      <c r="E815" s="77"/>
      <c r="F815" s="77"/>
      <c r="G815" s="77"/>
      <c r="H815" s="91"/>
      <c r="I815" s="89"/>
      <c r="J815" s="77"/>
      <c r="K815" s="110"/>
      <c r="L815" s="107"/>
      <c r="M815" s="109"/>
      <c r="N815" s="11" t="str">
        <f t="shared" si="26"/>
        <v/>
      </c>
      <c r="O815" s="32" t="str">
        <f t="shared" si="27"/>
        <v/>
      </c>
    </row>
    <row r="816" spans="2:15" ht="15" customHeight="1" x14ac:dyDescent="0.4">
      <c r="B816" s="10">
        <v>1140</v>
      </c>
      <c r="C816" s="34"/>
      <c r="D816" s="77"/>
      <c r="E816" s="77"/>
      <c r="F816" s="77"/>
      <c r="G816" s="77"/>
      <c r="H816" s="91"/>
      <c r="I816" s="89"/>
      <c r="J816" s="77"/>
      <c r="K816" s="110"/>
      <c r="L816" s="107"/>
      <c r="M816" s="109"/>
      <c r="N816" s="11" t="str">
        <f t="shared" si="26"/>
        <v/>
      </c>
      <c r="O816" s="32" t="str">
        <f t="shared" si="27"/>
        <v/>
      </c>
    </row>
    <row r="817" spans="2:15" ht="15" customHeight="1" x14ac:dyDescent="0.4">
      <c r="B817" s="10">
        <v>1141</v>
      </c>
      <c r="C817" s="34"/>
      <c r="D817" s="77"/>
      <c r="E817" s="77"/>
      <c r="F817" s="77"/>
      <c r="G817" s="77"/>
      <c r="H817" s="91"/>
      <c r="I817" s="89"/>
      <c r="J817" s="77"/>
      <c r="K817" s="110"/>
      <c r="L817" s="107"/>
      <c r="M817" s="109"/>
      <c r="N817" s="11" t="str">
        <f t="shared" si="26"/>
        <v/>
      </c>
      <c r="O817" s="32" t="str">
        <f t="shared" si="27"/>
        <v/>
      </c>
    </row>
    <row r="818" spans="2:15" ht="15" customHeight="1" x14ac:dyDescent="0.4">
      <c r="B818" s="10">
        <v>1142</v>
      </c>
      <c r="C818" s="34"/>
      <c r="D818" s="77"/>
      <c r="E818" s="77"/>
      <c r="F818" s="77"/>
      <c r="G818" s="77"/>
      <c r="H818" s="91"/>
      <c r="I818" s="89"/>
      <c r="J818" s="77"/>
      <c r="K818" s="110"/>
      <c r="L818" s="107"/>
      <c r="M818" s="109"/>
      <c r="N818" s="11" t="str">
        <f t="shared" si="26"/>
        <v/>
      </c>
      <c r="O818" s="32" t="str">
        <f t="shared" si="27"/>
        <v/>
      </c>
    </row>
    <row r="819" spans="2:15" ht="15" customHeight="1" x14ac:dyDescent="0.4">
      <c r="B819" s="10">
        <v>1143</v>
      </c>
      <c r="C819" s="34"/>
      <c r="D819" s="77"/>
      <c r="E819" s="77"/>
      <c r="F819" s="77"/>
      <c r="G819" s="77"/>
      <c r="H819" s="91"/>
      <c r="I819" s="89"/>
      <c r="J819" s="77"/>
      <c r="K819" s="110"/>
      <c r="L819" s="107"/>
      <c r="M819" s="109"/>
      <c r="N819" s="11" t="str">
        <f t="shared" si="26"/>
        <v/>
      </c>
      <c r="O819" s="32" t="str">
        <f t="shared" si="27"/>
        <v/>
      </c>
    </row>
    <row r="820" spans="2:15" ht="15" customHeight="1" x14ac:dyDescent="0.4">
      <c r="B820" s="10">
        <v>1144</v>
      </c>
      <c r="C820" s="34"/>
      <c r="D820" s="77"/>
      <c r="E820" s="77"/>
      <c r="F820" s="77"/>
      <c r="G820" s="77"/>
      <c r="H820" s="91"/>
      <c r="I820" s="89"/>
      <c r="J820" s="77"/>
      <c r="K820" s="110"/>
      <c r="L820" s="107"/>
      <c r="M820" s="109"/>
      <c r="N820" s="11" t="str">
        <f t="shared" si="26"/>
        <v/>
      </c>
      <c r="O820" s="32" t="str">
        <f t="shared" si="27"/>
        <v/>
      </c>
    </row>
    <row r="821" spans="2:15" ht="15" customHeight="1" x14ac:dyDescent="0.4">
      <c r="B821" s="10">
        <v>1145</v>
      </c>
      <c r="C821" s="34"/>
      <c r="D821" s="77"/>
      <c r="E821" s="77"/>
      <c r="F821" s="77"/>
      <c r="G821" s="77"/>
      <c r="H821" s="91"/>
      <c r="I821" s="89"/>
      <c r="J821" s="77"/>
      <c r="K821" s="110"/>
      <c r="L821" s="107"/>
      <c r="M821" s="109"/>
      <c r="N821" s="11" t="str">
        <f t="shared" si="26"/>
        <v/>
      </c>
      <c r="O821" s="32" t="str">
        <f t="shared" si="27"/>
        <v/>
      </c>
    </row>
    <row r="822" spans="2:15" ht="15" customHeight="1" x14ac:dyDescent="0.4">
      <c r="B822" s="10">
        <v>1146</v>
      </c>
      <c r="C822" s="34"/>
      <c r="D822" s="77"/>
      <c r="E822" s="77"/>
      <c r="F822" s="77"/>
      <c r="G822" s="77"/>
      <c r="H822" s="91"/>
      <c r="I822" s="89"/>
      <c r="J822" s="77"/>
      <c r="K822" s="110"/>
      <c r="L822" s="107"/>
      <c r="M822" s="109"/>
      <c r="N822" s="11" t="str">
        <f t="shared" si="26"/>
        <v/>
      </c>
      <c r="O822" s="32" t="str">
        <f t="shared" si="27"/>
        <v/>
      </c>
    </row>
    <row r="823" spans="2:15" ht="15" customHeight="1" x14ac:dyDescent="0.4">
      <c r="B823" s="10">
        <v>1147</v>
      </c>
      <c r="C823" s="34"/>
      <c r="D823" s="77"/>
      <c r="E823" s="77"/>
      <c r="F823" s="77"/>
      <c r="G823" s="77"/>
      <c r="H823" s="91"/>
      <c r="I823" s="89"/>
      <c r="J823" s="77"/>
      <c r="K823" s="110"/>
      <c r="L823" s="107"/>
      <c r="M823" s="109"/>
      <c r="N823" s="11" t="str">
        <f t="shared" si="26"/>
        <v/>
      </c>
      <c r="O823" s="32" t="str">
        <f t="shared" si="27"/>
        <v/>
      </c>
    </row>
    <row r="824" spans="2:15" ht="15" customHeight="1" x14ac:dyDescent="0.4">
      <c r="B824" s="10">
        <v>1148</v>
      </c>
      <c r="C824" s="34"/>
      <c r="D824" s="77"/>
      <c r="E824" s="77"/>
      <c r="F824" s="77"/>
      <c r="G824" s="77"/>
      <c r="H824" s="91"/>
      <c r="I824" s="89"/>
      <c r="J824" s="77"/>
      <c r="K824" s="110"/>
      <c r="L824" s="107"/>
      <c r="M824" s="109"/>
      <c r="N824" s="11" t="str">
        <f t="shared" si="26"/>
        <v/>
      </c>
      <c r="O824" s="32" t="str">
        <f t="shared" si="27"/>
        <v/>
      </c>
    </row>
    <row r="825" spans="2:15" ht="15" customHeight="1" x14ac:dyDescent="0.4">
      <c r="B825" s="10">
        <v>1149</v>
      </c>
      <c r="C825" s="34"/>
      <c r="D825" s="77"/>
      <c r="E825" s="77"/>
      <c r="F825" s="77"/>
      <c r="G825" s="77"/>
      <c r="H825" s="91"/>
      <c r="I825" s="89"/>
      <c r="J825" s="77"/>
      <c r="K825" s="110"/>
      <c r="L825" s="107"/>
      <c r="M825" s="109"/>
      <c r="N825" s="11" t="str">
        <f t="shared" si="26"/>
        <v/>
      </c>
      <c r="O825" s="32" t="str">
        <f t="shared" si="27"/>
        <v/>
      </c>
    </row>
    <row r="826" spans="2:15" ht="15" customHeight="1" x14ac:dyDescent="0.4">
      <c r="B826" s="10">
        <v>1150</v>
      </c>
      <c r="C826" s="34"/>
      <c r="D826" s="77"/>
      <c r="E826" s="77"/>
      <c r="F826" s="77"/>
      <c r="G826" s="77"/>
      <c r="H826" s="91"/>
      <c r="I826" s="89"/>
      <c r="J826" s="77"/>
      <c r="K826" s="110"/>
      <c r="L826" s="107"/>
      <c r="M826" s="109"/>
      <c r="N826" s="11" t="str">
        <f t="shared" si="26"/>
        <v/>
      </c>
      <c r="O826" s="32" t="str">
        <f t="shared" si="27"/>
        <v/>
      </c>
    </row>
    <row r="827" spans="2:15" ht="15" customHeight="1" x14ac:dyDescent="0.4">
      <c r="B827" s="10">
        <v>1151</v>
      </c>
      <c r="C827" s="34"/>
      <c r="D827" s="77"/>
      <c r="E827" s="77"/>
      <c r="F827" s="77"/>
      <c r="G827" s="77"/>
      <c r="H827" s="91"/>
      <c r="I827" s="89"/>
      <c r="J827" s="77"/>
      <c r="K827" s="110"/>
      <c r="L827" s="107"/>
      <c r="M827" s="109"/>
      <c r="N827" s="11" t="str">
        <f t="shared" si="26"/>
        <v/>
      </c>
      <c r="O827" s="32" t="str">
        <f t="shared" si="27"/>
        <v/>
      </c>
    </row>
    <row r="828" spans="2:15" ht="15" customHeight="1" x14ac:dyDescent="0.4">
      <c r="B828" s="10">
        <v>1152</v>
      </c>
      <c r="C828" s="34"/>
      <c r="D828" s="77"/>
      <c r="E828" s="77"/>
      <c r="F828" s="77"/>
      <c r="G828" s="77"/>
      <c r="H828" s="91"/>
      <c r="I828" s="89"/>
      <c r="J828" s="77"/>
      <c r="K828" s="110"/>
      <c r="L828" s="107"/>
      <c r="M828" s="109"/>
      <c r="N828" s="11" t="str">
        <f t="shared" si="26"/>
        <v/>
      </c>
      <c r="O828" s="32" t="str">
        <f t="shared" si="27"/>
        <v/>
      </c>
    </row>
    <row r="829" spans="2:15" ht="15" customHeight="1" x14ac:dyDescent="0.4">
      <c r="B829" s="10">
        <v>1153</v>
      </c>
      <c r="C829" s="34"/>
      <c r="D829" s="77"/>
      <c r="E829" s="77"/>
      <c r="F829" s="77"/>
      <c r="G829" s="77"/>
      <c r="H829" s="91"/>
      <c r="I829" s="89"/>
      <c r="J829" s="77"/>
      <c r="K829" s="110"/>
      <c r="L829" s="107"/>
      <c r="M829" s="109"/>
      <c r="N829" s="11" t="str">
        <f t="shared" si="26"/>
        <v/>
      </c>
      <c r="O829" s="32" t="str">
        <f t="shared" si="27"/>
        <v/>
      </c>
    </row>
    <row r="830" spans="2:15" ht="15" customHeight="1" x14ac:dyDescent="0.4">
      <c r="B830" s="10">
        <v>1154</v>
      </c>
      <c r="C830" s="34"/>
      <c r="D830" s="77"/>
      <c r="E830" s="77"/>
      <c r="F830" s="77"/>
      <c r="G830" s="77"/>
      <c r="H830" s="91"/>
      <c r="I830" s="89"/>
      <c r="J830" s="77"/>
      <c r="K830" s="110"/>
      <c r="L830" s="107"/>
      <c r="M830" s="109"/>
      <c r="N830" s="11" t="str">
        <f t="shared" si="26"/>
        <v/>
      </c>
      <c r="O830" s="32" t="str">
        <f t="shared" si="27"/>
        <v/>
      </c>
    </row>
    <row r="831" spans="2:15" ht="15" customHeight="1" x14ac:dyDescent="0.4">
      <c r="B831" s="10">
        <v>1155</v>
      </c>
      <c r="C831" s="34"/>
      <c r="D831" s="77"/>
      <c r="E831" s="77"/>
      <c r="F831" s="77"/>
      <c r="G831" s="77"/>
      <c r="H831" s="91"/>
      <c r="I831" s="89"/>
      <c r="J831" s="77"/>
      <c r="K831" s="110"/>
      <c r="L831" s="107"/>
      <c r="M831" s="109"/>
      <c r="N831" s="11" t="str">
        <f t="shared" si="26"/>
        <v/>
      </c>
      <c r="O831" s="32" t="str">
        <f t="shared" si="27"/>
        <v/>
      </c>
    </row>
    <row r="832" spans="2:15" ht="15" customHeight="1" x14ac:dyDescent="0.4">
      <c r="B832" s="10">
        <v>1156</v>
      </c>
      <c r="C832" s="34"/>
      <c r="D832" s="77"/>
      <c r="E832" s="77"/>
      <c r="F832" s="77"/>
      <c r="G832" s="77"/>
      <c r="H832" s="91"/>
      <c r="I832" s="89"/>
      <c r="J832" s="77"/>
      <c r="K832" s="110"/>
      <c r="L832" s="107"/>
      <c r="M832" s="109"/>
      <c r="N832" s="11" t="str">
        <f t="shared" si="26"/>
        <v/>
      </c>
      <c r="O832" s="32" t="str">
        <f t="shared" si="27"/>
        <v/>
      </c>
    </row>
    <row r="833" spans="2:15" ht="15" customHeight="1" x14ac:dyDescent="0.4">
      <c r="B833" s="10">
        <v>1157</v>
      </c>
      <c r="C833" s="34"/>
      <c r="D833" s="77"/>
      <c r="E833" s="77"/>
      <c r="F833" s="77"/>
      <c r="G833" s="77"/>
      <c r="H833" s="91"/>
      <c r="I833" s="89"/>
      <c r="J833" s="77"/>
      <c r="K833" s="110"/>
      <c r="L833" s="107"/>
      <c r="M833" s="109"/>
      <c r="N833" s="11" t="str">
        <f t="shared" si="26"/>
        <v/>
      </c>
      <c r="O833" s="32" t="str">
        <f t="shared" si="27"/>
        <v/>
      </c>
    </row>
    <row r="834" spans="2:15" ht="15" customHeight="1" x14ac:dyDescent="0.4">
      <c r="B834" s="10">
        <v>1158</v>
      </c>
      <c r="C834" s="34"/>
      <c r="D834" s="77"/>
      <c r="E834" s="77"/>
      <c r="F834" s="77"/>
      <c r="G834" s="77"/>
      <c r="H834" s="91"/>
      <c r="I834" s="89"/>
      <c r="J834" s="77"/>
      <c r="K834" s="110"/>
      <c r="L834" s="107"/>
      <c r="M834" s="109"/>
      <c r="N834" s="11" t="str">
        <f t="shared" si="26"/>
        <v/>
      </c>
      <c r="O834" s="32" t="str">
        <f t="shared" si="27"/>
        <v/>
      </c>
    </row>
    <row r="835" spans="2:15" ht="15" customHeight="1" x14ac:dyDescent="0.4">
      <c r="B835" s="10">
        <v>1159</v>
      </c>
      <c r="C835" s="34"/>
      <c r="D835" s="77"/>
      <c r="E835" s="77"/>
      <c r="F835" s="77"/>
      <c r="G835" s="77"/>
      <c r="H835" s="91"/>
      <c r="I835" s="89"/>
      <c r="J835" s="77"/>
      <c r="K835" s="110"/>
      <c r="L835" s="107"/>
      <c r="M835" s="109"/>
      <c r="N835" s="11" t="str">
        <f t="shared" si="26"/>
        <v/>
      </c>
      <c r="O835" s="32" t="str">
        <f t="shared" si="27"/>
        <v/>
      </c>
    </row>
    <row r="836" spans="2:15" ht="15" customHeight="1" x14ac:dyDescent="0.4">
      <c r="B836" s="10">
        <v>1160</v>
      </c>
      <c r="C836" s="34"/>
      <c r="D836" s="77"/>
      <c r="E836" s="77"/>
      <c r="F836" s="77"/>
      <c r="G836" s="77"/>
      <c r="H836" s="91"/>
      <c r="I836" s="89"/>
      <c r="J836" s="77"/>
      <c r="K836" s="110"/>
      <c r="L836" s="107"/>
      <c r="M836" s="109"/>
      <c r="N836" s="11" t="str">
        <f t="shared" si="26"/>
        <v/>
      </c>
      <c r="O836" s="32" t="str">
        <f t="shared" si="27"/>
        <v/>
      </c>
    </row>
    <row r="837" spans="2:15" ht="15" customHeight="1" x14ac:dyDescent="0.4">
      <c r="B837" s="10">
        <v>1161</v>
      </c>
      <c r="C837" s="34"/>
      <c r="D837" s="77"/>
      <c r="E837" s="77"/>
      <c r="F837" s="77"/>
      <c r="G837" s="77"/>
      <c r="H837" s="91"/>
      <c r="I837" s="89"/>
      <c r="J837" s="77"/>
      <c r="K837" s="110"/>
      <c r="L837" s="107"/>
      <c r="M837" s="109"/>
      <c r="N837" s="11" t="str">
        <f t="shared" si="26"/>
        <v/>
      </c>
      <c r="O837" s="32" t="str">
        <f t="shared" si="27"/>
        <v/>
      </c>
    </row>
    <row r="838" spans="2:15" ht="15" customHeight="1" x14ac:dyDescent="0.4">
      <c r="B838" s="10">
        <v>1162</v>
      </c>
      <c r="C838" s="34"/>
      <c r="D838" s="77"/>
      <c r="E838" s="77"/>
      <c r="F838" s="77"/>
      <c r="G838" s="77"/>
      <c r="H838" s="91"/>
      <c r="I838" s="89"/>
      <c r="J838" s="77"/>
      <c r="K838" s="110"/>
      <c r="L838" s="107"/>
      <c r="M838" s="109"/>
      <c r="N838" s="11" t="str">
        <f t="shared" si="26"/>
        <v/>
      </c>
      <c r="O838" s="32" t="str">
        <f t="shared" si="27"/>
        <v/>
      </c>
    </row>
    <row r="839" spans="2:15" ht="15" customHeight="1" x14ac:dyDescent="0.4">
      <c r="B839" s="10">
        <v>1163</v>
      </c>
      <c r="C839" s="34"/>
      <c r="D839" s="77"/>
      <c r="E839" s="77"/>
      <c r="F839" s="77"/>
      <c r="G839" s="77"/>
      <c r="H839" s="91"/>
      <c r="I839" s="89"/>
      <c r="J839" s="77"/>
      <c r="K839" s="110"/>
      <c r="L839" s="107"/>
      <c r="M839" s="109"/>
      <c r="N839" s="11" t="str">
        <f t="shared" si="26"/>
        <v/>
      </c>
      <c r="O839" s="32" t="str">
        <f t="shared" si="27"/>
        <v/>
      </c>
    </row>
    <row r="840" spans="2:15" ht="15" customHeight="1" x14ac:dyDescent="0.4">
      <c r="B840" s="10">
        <v>1164</v>
      </c>
      <c r="C840" s="34"/>
      <c r="D840" s="77"/>
      <c r="E840" s="77"/>
      <c r="F840" s="77"/>
      <c r="G840" s="77"/>
      <c r="H840" s="91"/>
      <c r="I840" s="89"/>
      <c r="J840" s="77"/>
      <c r="K840" s="110"/>
      <c r="L840" s="107"/>
      <c r="M840" s="109"/>
      <c r="N840" s="11" t="str">
        <f t="shared" si="26"/>
        <v/>
      </c>
      <c r="O840" s="32" t="str">
        <f t="shared" si="27"/>
        <v/>
      </c>
    </row>
    <row r="841" spans="2:15" ht="15" customHeight="1" x14ac:dyDescent="0.4">
      <c r="B841" s="10">
        <v>1165</v>
      </c>
      <c r="C841" s="34"/>
      <c r="D841" s="77"/>
      <c r="E841" s="77"/>
      <c r="F841" s="77"/>
      <c r="G841" s="77"/>
      <c r="H841" s="91"/>
      <c r="I841" s="89"/>
      <c r="J841" s="77"/>
      <c r="K841" s="110"/>
      <c r="L841" s="107"/>
      <c r="M841" s="109"/>
      <c r="N841" s="11" t="str">
        <f t="shared" si="26"/>
        <v/>
      </c>
      <c r="O841" s="32" t="str">
        <f t="shared" si="27"/>
        <v/>
      </c>
    </row>
    <row r="842" spans="2:15" ht="15" customHeight="1" x14ac:dyDescent="0.4">
      <c r="B842" s="10">
        <v>1166</v>
      </c>
      <c r="C842" s="34"/>
      <c r="D842" s="77"/>
      <c r="E842" s="77"/>
      <c r="F842" s="77"/>
      <c r="G842" s="77"/>
      <c r="H842" s="91"/>
      <c r="I842" s="89"/>
      <c r="J842" s="77"/>
      <c r="K842" s="110"/>
      <c r="L842" s="107"/>
      <c r="M842" s="109"/>
      <c r="N842" s="11" t="str">
        <f t="shared" si="26"/>
        <v/>
      </c>
      <c r="O842" s="32" t="str">
        <f t="shared" si="27"/>
        <v/>
      </c>
    </row>
    <row r="843" spans="2:15" ht="15" customHeight="1" x14ac:dyDescent="0.4">
      <c r="B843" s="10">
        <v>1167</v>
      </c>
      <c r="C843" s="34"/>
      <c r="D843" s="77"/>
      <c r="E843" s="77"/>
      <c r="F843" s="77"/>
      <c r="G843" s="77"/>
      <c r="H843" s="91"/>
      <c r="I843" s="89"/>
      <c r="J843" s="77"/>
      <c r="K843" s="110"/>
      <c r="L843" s="107"/>
      <c r="M843" s="109"/>
      <c r="N843" s="11" t="str">
        <f t="shared" si="26"/>
        <v/>
      </c>
      <c r="O843" s="32" t="str">
        <f t="shared" si="27"/>
        <v/>
      </c>
    </row>
    <row r="844" spans="2:15" ht="15" customHeight="1" x14ac:dyDescent="0.4">
      <c r="B844" s="10">
        <v>1168</v>
      </c>
      <c r="C844" s="34"/>
      <c r="D844" s="77"/>
      <c r="E844" s="77"/>
      <c r="F844" s="77"/>
      <c r="G844" s="77"/>
      <c r="H844" s="91"/>
      <c r="I844" s="89"/>
      <c r="J844" s="77"/>
      <c r="K844" s="110"/>
      <c r="L844" s="107"/>
      <c r="M844" s="109"/>
      <c r="N844" s="11" t="str">
        <f t="shared" si="26"/>
        <v/>
      </c>
      <c r="O844" s="32" t="str">
        <f t="shared" si="27"/>
        <v/>
      </c>
    </row>
    <row r="845" spans="2:15" ht="15" customHeight="1" x14ac:dyDescent="0.4">
      <c r="B845" s="10">
        <v>1169</v>
      </c>
      <c r="C845" s="34"/>
      <c r="D845" s="77"/>
      <c r="E845" s="77"/>
      <c r="F845" s="77"/>
      <c r="G845" s="77"/>
      <c r="H845" s="91"/>
      <c r="I845" s="89"/>
      <c r="J845" s="77"/>
      <c r="K845" s="110"/>
      <c r="L845" s="107"/>
      <c r="M845" s="109"/>
      <c r="N845" s="11" t="str">
        <f t="shared" si="26"/>
        <v/>
      </c>
      <c r="O845" s="32" t="str">
        <f t="shared" si="27"/>
        <v/>
      </c>
    </row>
    <row r="846" spans="2:15" ht="15" customHeight="1" x14ac:dyDescent="0.4">
      <c r="B846" s="10">
        <v>1170</v>
      </c>
      <c r="C846" s="34"/>
      <c r="D846" s="77"/>
      <c r="E846" s="77"/>
      <c r="F846" s="77"/>
      <c r="G846" s="77"/>
      <c r="H846" s="91"/>
      <c r="I846" s="89"/>
      <c r="J846" s="77"/>
      <c r="K846" s="110"/>
      <c r="L846" s="107"/>
      <c r="M846" s="109"/>
      <c r="N846" s="11" t="str">
        <f t="shared" si="26"/>
        <v/>
      </c>
      <c r="O846" s="32" t="str">
        <f t="shared" si="27"/>
        <v/>
      </c>
    </row>
    <row r="847" spans="2:15" ht="15" customHeight="1" x14ac:dyDescent="0.4">
      <c r="B847" s="10">
        <v>1171</v>
      </c>
      <c r="C847" s="34"/>
      <c r="D847" s="77"/>
      <c r="E847" s="77"/>
      <c r="F847" s="77"/>
      <c r="G847" s="77"/>
      <c r="H847" s="91"/>
      <c r="I847" s="89"/>
      <c r="J847" s="77"/>
      <c r="K847" s="110"/>
      <c r="L847" s="107"/>
      <c r="M847" s="109"/>
      <c r="N847" s="11" t="str">
        <f t="shared" si="26"/>
        <v/>
      </c>
      <c r="O847" s="32" t="str">
        <f t="shared" si="27"/>
        <v/>
      </c>
    </row>
    <row r="848" spans="2:15" ht="15" customHeight="1" x14ac:dyDescent="0.4">
      <c r="B848" s="10">
        <v>1172</v>
      </c>
      <c r="C848" s="34"/>
      <c r="D848" s="77"/>
      <c r="E848" s="77"/>
      <c r="F848" s="77"/>
      <c r="G848" s="77"/>
      <c r="H848" s="91"/>
      <c r="I848" s="89"/>
      <c r="J848" s="77"/>
      <c r="K848" s="110"/>
      <c r="L848" s="107"/>
      <c r="M848" s="109"/>
      <c r="N848" s="11" t="str">
        <f t="shared" si="26"/>
        <v/>
      </c>
      <c r="O848" s="32" t="str">
        <f t="shared" si="27"/>
        <v/>
      </c>
    </row>
    <row r="849" spans="2:15" ht="15" customHeight="1" x14ac:dyDescent="0.4">
      <c r="B849" s="10">
        <v>1173</v>
      </c>
      <c r="C849" s="34"/>
      <c r="D849" s="77"/>
      <c r="E849" s="77"/>
      <c r="F849" s="77"/>
      <c r="G849" s="77"/>
      <c r="H849" s="91"/>
      <c r="I849" s="89"/>
      <c r="J849" s="77"/>
      <c r="K849" s="110"/>
      <c r="L849" s="107"/>
      <c r="M849" s="109"/>
      <c r="N849" s="11" t="str">
        <f t="shared" si="26"/>
        <v/>
      </c>
      <c r="O849" s="32" t="str">
        <f t="shared" si="27"/>
        <v/>
      </c>
    </row>
    <row r="850" spans="2:15" ht="15" customHeight="1" x14ac:dyDescent="0.4">
      <c r="B850" s="10">
        <v>1174</v>
      </c>
      <c r="C850" s="34"/>
      <c r="D850" s="77"/>
      <c r="E850" s="77"/>
      <c r="F850" s="77"/>
      <c r="G850" s="77"/>
      <c r="H850" s="91"/>
      <c r="I850" s="89"/>
      <c r="J850" s="77"/>
      <c r="K850" s="110"/>
      <c r="L850" s="107"/>
      <c r="M850" s="109"/>
      <c r="N850" s="11" t="str">
        <f t="shared" si="26"/>
        <v/>
      </c>
      <c r="O850" s="32" t="str">
        <f t="shared" si="27"/>
        <v/>
      </c>
    </row>
    <row r="851" spans="2:15" ht="15" customHeight="1" x14ac:dyDescent="0.4">
      <c r="B851" s="10">
        <v>1175</v>
      </c>
      <c r="C851" s="34"/>
      <c r="D851" s="77"/>
      <c r="E851" s="77"/>
      <c r="F851" s="77"/>
      <c r="G851" s="77"/>
      <c r="H851" s="91"/>
      <c r="I851" s="89"/>
      <c r="J851" s="77"/>
      <c r="K851" s="110"/>
      <c r="L851" s="107"/>
      <c r="M851" s="109"/>
      <c r="N851" s="11" t="str">
        <f t="shared" si="26"/>
        <v/>
      </c>
      <c r="O851" s="32" t="str">
        <f t="shared" si="27"/>
        <v/>
      </c>
    </row>
    <row r="852" spans="2:15" ht="15" customHeight="1" x14ac:dyDescent="0.4">
      <c r="B852" s="10">
        <v>1176</v>
      </c>
      <c r="C852" s="34"/>
      <c r="D852" s="77"/>
      <c r="E852" s="77"/>
      <c r="F852" s="77"/>
      <c r="G852" s="77"/>
      <c r="H852" s="91"/>
      <c r="I852" s="89"/>
      <c r="J852" s="77"/>
      <c r="K852" s="110"/>
      <c r="L852" s="107"/>
      <c r="M852" s="109"/>
      <c r="N852" s="11" t="str">
        <f t="shared" ref="N852:N899" si="28">IF(OR(M852="", K852=""),"", M852- K852)</f>
        <v/>
      </c>
      <c r="O852" s="32" t="str">
        <f t="shared" ref="O852:O899" si="29">IF(OR(M852="", K852="", L852=""), "", IF((M852 - K852) &gt; L852, "No", "Yes"))</f>
        <v/>
      </c>
    </row>
    <row r="853" spans="2:15" ht="15" customHeight="1" x14ac:dyDescent="0.4">
      <c r="B853" s="10">
        <v>1177</v>
      </c>
      <c r="C853" s="34"/>
      <c r="D853" s="77"/>
      <c r="E853" s="77"/>
      <c r="F853" s="77"/>
      <c r="G853" s="77"/>
      <c r="H853" s="91"/>
      <c r="I853" s="89"/>
      <c r="J853" s="77"/>
      <c r="K853" s="110"/>
      <c r="L853" s="107"/>
      <c r="M853" s="109"/>
      <c r="N853" s="11" t="str">
        <f t="shared" si="28"/>
        <v/>
      </c>
      <c r="O853" s="32" t="str">
        <f t="shared" si="29"/>
        <v/>
      </c>
    </row>
    <row r="854" spans="2:15" ht="15" customHeight="1" x14ac:dyDescent="0.4">
      <c r="B854" s="10">
        <v>1178</v>
      </c>
      <c r="C854" s="34"/>
      <c r="D854" s="77"/>
      <c r="E854" s="77"/>
      <c r="F854" s="77"/>
      <c r="G854" s="77"/>
      <c r="H854" s="91"/>
      <c r="I854" s="89"/>
      <c r="J854" s="77"/>
      <c r="K854" s="110"/>
      <c r="L854" s="107"/>
      <c r="M854" s="109"/>
      <c r="N854" s="11" t="str">
        <f t="shared" si="28"/>
        <v/>
      </c>
      <c r="O854" s="32" t="str">
        <f t="shared" si="29"/>
        <v/>
      </c>
    </row>
    <row r="855" spans="2:15" ht="15" customHeight="1" x14ac:dyDescent="0.4">
      <c r="B855" s="10">
        <v>1179</v>
      </c>
      <c r="C855" s="34"/>
      <c r="D855" s="77"/>
      <c r="E855" s="77"/>
      <c r="F855" s="77"/>
      <c r="G855" s="77"/>
      <c r="H855" s="91"/>
      <c r="I855" s="89"/>
      <c r="J855" s="77"/>
      <c r="K855" s="110"/>
      <c r="L855" s="107"/>
      <c r="M855" s="109"/>
      <c r="N855" s="11" t="str">
        <f t="shared" si="28"/>
        <v/>
      </c>
      <c r="O855" s="32" t="str">
        <f t="shared" si="29"/>
        <v/>
      </c>
    </row>
    <row r="856" spans="2:15" ht="15" customHeight="1" x14ac:dyDescent="0.4">
      <c r="B856" s="10">
        <v>1180</v>
      </c>
      <c r="C856" s="34"/>
      <c r="D856" s="77"/>
      <c r="E856" s="77"/>
      <c r="F856" s="77"/>
      <c r="G856" s="77"/>
      <c r="H856" s="91"/>
      <c r="I856" s="89"/>
      <c r="J856" s="77"/>
      <c r="K856" s="110"/>
      <c r="L856" s="107"/>
      <c r="M856" s="109"/>
      <c r="N856" s="11" t="str">
        <f t="shared" si="28"/>
        <v/>
      </c>
      <c r="O856" s="32" t="str">
        <f t="shared" si="29"/>
        <v/>
      </c>
    </row>
    <row r="857" spans="2:15" ht="15" customHeight="1" x14ac:dyDescent="0.4">
      <c r="B857" s="10">
        <v>1181</v>
      </c>
      <c r="C857" s="34"/>
      <c r="D857" s="77"/>
      <c r="E857" s="77"/>
      <c r="F857" s="77"/>
      <c r="G857" s="77"/>
      <c r="H857" s="91"/>
      <c r="I857" s="89"/>
      <c r="J857" s="77"/>
      <c r="K857" s="110"/>
      <c r="L857" s="107"/>
      <c r="M857" s="109"/>
      <c r="N857" s="11" t="str">
        <f t="shared" si="28"/>
        <v/>
      </c>
      <c r="O857" s="32" t="str">
        <f t="shared" si="29"/>
        <v/>
      </c>
    </row>
    <row r="858" spans="2:15" ht="15" customHeight="1" x14ac:dyDescent="0.4">
      <c r="B858" s="10">
        <v>1182</v>
      </c>
      <c r="C858" s="34"/>
      <c r="D858" s="77"/>
      <c r="E858" s="77"/>
      <c r="F858" s="77"/>
      <c r="G858" s="77"/>
      <c r="H858" s="91"/>
      <c r="I858" s="89"/>
      <c r="J858" s="77"/>
      <c r="K858" s="110"/>
      <c r="L858" s="107"/>
      <c r="M858" s="109"/>
      <c r="N858" s="11" t="str">
        <f t="shared" si="28"/>
        <v/>
      </c>
      <c r="O858" s="32" t="str">
        <f t="shared" si="29"/>
        <v/>
      </c>
    </row>
    <row r="859" spans="2:15" ht="15" customHeight="1" x14ac:dyDescent="0.4">
      <c r="B859" s="10">
        <v>1183</v>
      </c>
      <c r="C859" s="34"/>
      <c r="D859" s="77"/>
      <c r="E859" s="77"/>
      <c r="F859" s="77"/>
      <c r="G859" s="77"/>
      <c r="H859" s="91"/>
      <c r="I859" s="89"/>
      <c r="J859" s="77"/>
      <c r="K859" s="110"/>
      <c r="L859" s="107"/>
      <c r="M859" s="109"/>
      <c r="N859" s="11" t="str">
        <f t="shared" si="28"/>
        <v/>
      </c>
      <c r="O859" s="32" t="str">
        <f t="shared" si="29"/>
        <v/>
      </c>
    </row>
    <row r="860" spans="2:15" ht="15" customHeight="1" x14ac:dyDescent="0.4">
      <c r="B860" s="10">
        <v>1184</v>
      </c>
      <c r="C860" s="34"/>
      <c r="D860" s="77"/>
      <c r="E860" s="77"/>
      <c r="F860" s="77"/>
      <c r="G860" s="77"/>
      <c r="H860" s="91"/>
      <c r="I860" s="89"/>
      <c r="J860" s="77"/>
      <c r="K860" s="110"/>
      <c r="L860" s="107"/>
      <c r="M860" s="109"/>
      <c r="N860" s="11" t="str">
        <f t="shared" si="28"/>
        <v/>
      </c>
      <c r="O860" s="32" t="str">
        <f t="shared" si="29"/>
        <v/>
      </c>
    </row>
    <row r="861" spans="2:15" ht="15" customHeight="1" x14ac:dyDescent="0.4">
      <c r="B861" s="10">
        <v>1185</v>
      </c>
      <c r="C861" s="34"/>
      <c r="D861" s="77"/>
      <c r="E861" s="77"/>
      <c r="F861" s="77"/>
      <c r="G861" s="77"/>
      <c r="H861" s="91"/>
      <c r="I861" s="89"/>
      <c r="J861" s="77"/>
      <c r="K861" s="110"/>
      <c r="L861" s="107"/>
      <c r="M861" s="109"/>
      <c r="N861" s="11" t="str">
        <f t="shared" si="28"/>
        <v/>
      </c>
      <c r="O861" s="32" t="str">
        <f t="shared" si="29"/>
        <v/>
      </c>
    </row>
    <row r="862" spans="2:15" ht="15" customHeight="1" x14ac:dyDescent="0.4">
      <c r="B862" s="10">
        <v>1186</v>
      </c>
      <c r="C862" s="34"/>
      <c r="D862" s="77"/>
      <c r="E862" s="77"/>
      <c r="F862" s="77"/>
      <c r="G862" s="77"/>
      <c r="H862" s="91"/>
      <c r="I862" s="89"/>
      <c r="J862" s="77"/>
      <c r="K862" s="110"/>
      <c r="L862" s="107"/>
      <c r="M862" s="109"/>
      <c r="N862" s="11" t="str">
        <f t="shared" si="28"/>
        <v/>
      </c>
      <c r="O862" s="32" t="str">
        <f t="shared" si="29"/>
        <v/>
      </c>
    </row>
    <row r="863" spans="2:15" ht="15" customHeight="1" x14ac:dyDescent="0.4">
      <c r="B863" s="10">
        <v>1187</v>
      </c>
      <c r="C863" s="34"/>
      <c r="D863" s="77"/>
      <c r="E863" s="77"/>
      <c r="F863" s="77"/>
      <c r="G863" s="77"/>
      <c r="H863" s="91"/>
      <c r="I863" s="89"/>
      <c r="J863" s="77"/>
      <c r="K863" s="110"/>
      <c r="L863" s="107"/>
      <c r="M863" s="109"/>
      <c r="N863" s="11" t="str">
        <f t="shared" si="28"/>
        <v/>
      </c>
      <c r="O863" s="32" t="str">
        <f t="shared" si="29"/>
        <v/>
      </c>
    </row>
    <row r="864" spans="2:15" ht="15" customHeight="1" x14ac:dyDescent="0.4">
      <c r="B864" s="10">
        <v>1188</v>
      </c>
      <c r="C864" s="34"/>
      <c r="D864" s="77"/>
      <c r="E864" s="77"/>
      <c r="F864" s="77"/>
      <c r="G864" s="77"/>
      <c r="H864" s="91"/>
      <c r="I864" s="89"/>
      <c r="J864" s="77"/>
      <c r="K864" s="110"/>
      <c r="L864" s="107"/>
      <c r="M864" s="109"/>
      <c r="N864" s="11" t="str">
        <f t="shared" si="28"/>
        <v/>
      </c>
      <c r="O864" s="32" t="str">
        <f t="shared" si="29"/>
        <v/>
      </c>
    </row>
    <row r="865" spans="2:15" ht="15" customHeight="1" x14ac:dyDescent="0.4">
      <c r="B865" s="10">
        <v>1189</v>
      </c>
      <c r="C865" s="34"/>
      <c r="D865" s="77"/>
      <c r="E865" s="77"/>
      <c r="F865" s="77"/>
      <c r="G865" s="77"/>
      <c r="H865" s="91"/>
      <c r="I865" s="89"/>
      <c r="J865" s="77"/>
      <c r="K865" s="110"/>
      <c r="L865" s="107"/>
      <c r="M865" s="109"/>
      <c r="N865" s="11" t="str">
        <f t="shared" si="28"/>
        <v/>
      </c>
      <c r="O865" s="32" t="str">
        <f t="shared" si="29"/>
        <v/>
      </c>
    </row>
    <row r="866" spans="2:15" ht="15" customHeight="1" x14ac:dyDescent="0.4">
      <c r="B866" s="10">
        <v>1190</v>
      </c>
      <c r="C866" s="34"/>
      <c r="D866" s="77"/>
      <c r="E866" s="77"/>
      <c r="F866" s="77"/>
      <c r="G866" s="77"/>
      <c r="H866" s="91"/>
      <c r="I866" s="89"/>
      <c r="J866" s="77"/>
      <c r="K866" s="110"/>
      <c r="L866" s="107"/>
      <c r="M866" s="109"/>
      <c r="N866" s="11" t="str">
        <f t="shared" si="28"/>
        <v/>
      </c>
      <c r="O866" s="32" t="str">
        <f t="shared" si="29"/>
        <v/>
      </c>
    </row>
    <row r="867" spans="2:15" ht="15" customHeight="1" x14ac:dyDescent="0.4">
      <c r="B867" s="10">
        <v>1191</v>
      </c>
      <c r="C867" s="34"/>
      <c r="D867" s="77"/>
      <c r="E867" s="77"/>
      <c r="F867" s="77"/>
      <c r="G867" s="77"/>
      <c r="H867" s="91"/>
      <c r="I867" s="89"/>
      <c r="J867" s="77"/>
      <c r="K867" s="110"/>
      <c r="L867" s="107"/>
      <c r="M867" s="109"/>
      <c r="N867" s="11" t="str">
        <f t="shared" si="28"/>
        <v/>
      </c>
      <c r="O867" s="32" t="str">
        <f t="shared" si="29"/>
        <v/>
      </c>
    </row>
    <row r="868" spans="2:15" ht="15" customHeight="1" x14ac:dyDescent="0.4">
      <c r="B868" s="10">
        <v>1192</v>
      </c>
      <c r="C868" s="34"/>
      <c r="D868" s="77"/>
      <c r="E868" s="77"/>
      <c r="F868" s="77"/>
      <c r="G868" s="77"/>
      <c r="H868" s="91"/>
      <c r="I868" s="89"/>
      <c r="J868" s="77"/>
      <c r="K868" s="110"/>
      <c r="L868" s="107"/>
      <c r="M868" s="109"/>
      <c r="N868" s="11" t="str">
        <f t="shared" si="28"/>
        <v/>
      </c>
      <c r="O868" s="32" t="str">
        <f t="shared" si="29"/>
        <v/>
      </c>
    </row>
    <row r="869" spans="2:15" ht="15" customHeight="1" x14ac:dyDescent="0.4">
      <c r="B869" s="10">
        <v>1193</v>
      </c>
      <c r="C869" s="34"/>
      <c r="D869" s="77"/>
      <c r="E869" s="77"/>
      <c r="F869" s="77"/>
      <c r="G869" s="77"/>
      <c r="H869" s="91"/>
      <c r="I869" s="89"/>
      <c r="J869" s="77"/>
      <c r="K869" s="110"/>
      <c r="L869" s="107"/>
      <c r="M869" s="109"/>
      <c r="N869" s="11" t="str">
        <f t="shared" si="28"/>
        <v/>
      </c>
      <c r="O869" s="32" t="str">
        <f t="shared" si="29"/>
        <v/>
      </c>
    </row>
    <row r="870" spans="2:15" ht="15" customHeight="1" x14ac:dyDescent="0.4">
      <c r="B870" s="10">
        <v>1194</v>
      </c>
      <c r="C870" s="34"/>
      <c r="D870" s="77"/>
      <c r="E870" s="77"/>
      <c r="F870" s="77"/>
      <c r="G870" s="77"/>
      <c r="H870" s="91"/>
      <c r="I870" s="89"/>
      <c r="J870" s="77"/>
      <c r="K870" s="110"/>
      <c r="L870" s="107"/>
      <c r="M870" s="109"/>
      <c r="N870" s="11" t="str">
        <f t="shared" si="28"/>
        <v/>
      </c>
      <c r="O870" s="32" t="str">
        <f t="shared" si="29"/>
        <v/>
      </c>
    </row>
    <row r="871" spans="2:15" ht="15" customHeight="1" x14ac:dyDescent="0.4">
      <c r="B871" s="10">
        <v>1195</v>
      </c>
      <c r="C871" s="34"/>
      <c r="D871" s="77"/>
      <c r="E871" s="77"/>
      <c r="F871" s="77"/>
      <c r="G871" s="77"/>
      <c r="H871" s="91"/>
      <c r="I871" s="89"/>
      <c r="J871" s="77"/>
      <c r="K871" s="110"/>
      <c r="L871" s="107"/>
      <c r="M871" s="109"/>
      <c r="N871" s="11" t="str">
        <f t="shared" si="28"/>
        <v/>
      </c>
      <c r="O871" s="32" t="str">
        <f t="shared" si="29"/>
        <v/>
      </c>
    </row>
    <row r="872" spans="2:15" ht="15" customHeight="1" x14ac:dyDescent="0.4">
      <c r="B872" s="10">
        <v>1196</v>
      </c>
      <c r="C872" s="34"/>
      <c r="D872" s="77"/>
      <c r="E872" s="77"/>
      <c r="F872" s="77"/>
      <c r="G872" s="77"/>
      <c r="H872" s="91"/>
      <c r="I872" s="89"/>
      <c r="J872" s="77"/>
      <c r="K872" s="110"/>
      <c r="L872" s="107"/>
      <c r="M872" s="109"/>
      <c r="N872" s="11" t="str">
        <f t="shared" si="28"/>
        <v/>
      </c>
      <c r="O872" s="32" t="str">
        <f t="shared" si="29"/>
        <v/>
      </c>
    </row>
    <row r="873" spans="2:15" ht="15" customHeight="1" x14ac:dyDescent="0.4">
      <c r="B873" s="10">
        <v>1197</v>
      </c>
      <c r="C873" s="34"/>
      <c r="D873" s="77"/>
      <c r="E873" s="77"/>
      <c r="F873" s="77"/>
      <c r="G873" s="77"/>
      <c r="H873" s="91"/>
      <c r="I873" s="89"/>
      <c r="J873" s="77"/>
      <c r="K873" s="110"/>
      <c r="L873" s="107"/>
      <c r="M873" s="109"/>
      <c r="N873" s="11" t="str">
        <f t="shared" si="28"/>
        <v/>
      </c>
      <c r="O873" s="32" t="str">
        <f t="shared" si="29"/>
        <v/>
      </c>
    </row>
    <row r="874" spans="2:15" ht="15" customHeight="1" x14ac:dyDescent="0.4">
      <c r="B874" s="10">
        <v>1198</v>
      </c>
      <c r="C874" s="34"/>
      <c r="D874" s="77"/>
      <c r="E874" s="77"/>
      <c r="F874" s="77"/>
      <c r="G874" s="77"/>
      <c r="H874" s="91"/>
      <c r="I874" s="89"/>
      <c r="J874" s="77"/>
      <c r="K874" s="110"/>
      <c r="L874" s="107"/>
      <c r="M874" s="109"/>
      <c r="N874" s="11" t="str">
        <f t="shared" si="28"/>
        <v/>
      </c>
      <c r="O874" s="32" t="str">
        <f t="shared" si="29"/>
        <v/>
      </c>
    </row>
    <row r="875" spans="2:15" ht="15" customHeight="1" x14ac:dyDescent="0.4">
      <c r="B875" s="10">
        <v>1199</v>
      </c>
      <c r="C875" s="34"/>
      <c r="D875" s="77"/>
      <c r="E875" s="77"/>
      <c r="F875" s="77"/>
      <c r="G875" s="77"/>
      <c r="H875" s="91"/>
      <c r="I875" s="89"/>
      <c r="J875" s="77"/>
      <c r="K875" s="110"/>
      <c r="L875" s="107"/>
      <c r="M875" s="109"/>
      <c r="N875" s="11" t="str">
        <f t="shared" si="28"/>
        <v/>
      </c>
      <c r="O875" s="32" t="str">
        <f t="shared" si="29"/>
        <v/>
      </c>
    </row>
    <row r="876" spans="2:15" ht="15" customHeight="1" x14ac:dyDescent="0.4">
      <c r="B876" s="10">
        <v>1200</v>
      </c>
      <c r="C876" s="34"/>
      <c r="D876" s="77"/>
      <c r="E876" s="77"/>
      <c r="F876" s="77"/>
      <c r="G876" s="77"/>
      <c r="H876" s="91"/>
      <c r="I876" s="89"/>
      <c r="J876" s="77"/>
      <c r="K876" s="110"/>
      <c r="L876" s="107"/>
      <c r="M876" s="109"/>
      <c r="N876" s="11" t="str">
        <f t="shared" si="28"/>
        <v/>
      </c>
      <c r="O876" s="32" t="str">
        <f t="shared" si="29"/>
        <v/>
      </c>
    </row>
    <row r="877" spans="2:15" ht="15" customHeight="1" x14ac:dyDescent="0.4">
      <c r="B877" s="10">
        <v>1201</v>
      </c>
      <c r="C877" s="34"/>
      <c r="D877" s="77"/>
      <c r="E877" s="77"/>
      <c r="F877" s="77"/>
      <c r="G877" s="77"/>
      <c r="H877" s="91"/>
      <c r="I877" s="89"/>
      <c r="J877" s="77"/>
      <c r="K877" s="110"/>
      <c r="L877" s="107"/>
      <c r="M877" s="109"/>
      <c r="N877" s="11" t="str">
        <f t="shared" si="28"/>
        <v/>
      </c>
      <c r="O877" s="32" t="str">
        <f t="shared" si="29"/>
        <v/>
      </c>
    </row>
    <row r="878" spans="2:15" ht="15" customHeight="1" x14ac:dyDescent="0.4">
      <c r="B878" s="10">
        <v>1202</v>
      </c>
      <c r="C878" s="34"/>
      <c r="D878" s="77"/>
      <c r="E878" s="77"/>
      <c r="F878" s="77"/>
      <c r="G878" s="77"/>
      <c r="H878" s="91"/>
      <c r="I878" s="89"/>
      <c r="J878" s="77"/>
      <c r="K878" s="110"/>
      <c r="L878" s="107"/>
      <c r="M878" s="109"/>
      <c r="N878" s="11" t="str">
        <f t="shared" si="28"/>
        <v/>
      </c>
      <c r="O878" s="32" t="str">
        <f t="shared" si="29"/>
        <v/>
      </c>
    </row>
    <row r="879" spans="2:15" ht="15" customHeight="1" x14ac:dyDescent="0.4">
      <c r="B879" s="10">
        <v>1203</v>
      </c>
      <c r="C879" s="34"/>
      <c r="D879" s="77"/>
      <c r="E879" s="77"/>
      <c r="F879" s="77"/>
      <c r="G879" s="77"/>
      <c r="H879" s="91"/>
      <c r="I879" s="89"/>
      <c r="J879" s="77"/>
      <c r="K879" s="110"/>
      <c r="L879" s="107"/>
      <c r="M879" s="109"/>
      <c r="N879" s="11" t="str">
        <f t="shared" si="28"/>
        <v/>
      </c>
      <c r="O879" s="32" t="str">
        <f t="shared" si="29"/>
        <v/>
      </c>
    </row>
    <row r="880" spans="2:15" ht="15" customHeight="1" x14ac:dyDescent="0.4">
      <c r="B880" s="10">
        <v>1204</v>
      </c>
      <c r="C880" s="34"/>
      <c r="D880" s="77"/>
      <c r="E880" s="77"/>
      <c r="F880" s="77"/>
      <c r="G880" s="77"/>
      <c r="H880" s="91"/>
      <c r="I880" s="89"/>
      <c r="J880" s="77"/>
      <c r="K880" s="110"/>
      <c r="L880" s="107"/>
      <c r="M880" s="109"/>
      <c r="N880" s="11" t="str">
        <f t="shared" si="28"/>
        <v/>
      </c>
      <c r="O880" s="32" t="str">
        <f t="shared" si="29"/>
        <v/>
      </c>
    </row>
    <row r="881" spans="2:15" ht="15" customHeight="1" x14ac:dyDescent="0.4">
      <c r="B881" s="10">
        <v>1205</v>
      </c>
      <c r="C881" s="34"/>
      <c r="D881" s="77"/>
      <c r="E881" s="77"/>
      <c r="F881" s="77"/>
      <c r="G881" s="77"/>
      <c r="H881" s="91"/>
      <c r="I881" s="89"/>
      <c r="J881" s="77"/>
      <c r="K881" s="110"/>
      <c r="L881" s="107"/>
      <c r="M881" s="109"/>
      <c r="N881" s="11" t="str">
        <f t="shared" si="28"/>
        <v/>
      </c>
      <c r="O881" s="32" t="str">
        <f t="shared" si="29"/>
        <v/>
      </c>
    </row>
    <row r="882" spans="2:15" ht="15" customHeight="1" x14ac:dyDescent="0.4">
      <c r="B882" s="10">
        <v>1206</v>
      </c>
      <c r="C882" s="34"/>
      <c r="D882" s="77"/>
      <c r="E882" s="77"/>
      <c r="F882" s="77"/>
      <c r="G882" s="77"/>
      <c r="H882" s="91"/>
      <c r="I882" s="89"/>
      <c r="J882" s="77"/>
      <c r="K882" s="110"/>
      <c r="L882" s="107"/>
      <c r="M882" s="109"/>
      <c r="N882" s="11" t="str">
        <f t="shared" si="28"/>
        <v/>
      </c>
      <c r="O882" s="32" t="str">
        <f t="shared" si="29"/>
        <v/>
      </c>
    </row>
    <row r="883" spans="2:15" ht="15" customHeight="1" x14ac:dyDescent="0.4">
      <c r="B883" s="10">
        <v>1207</v>
      </c>
      <c r="C883" s="34"/>
      <c r="D883" s="77"/>
      <c r="E883" s="77"/>
      <c r="F883" s="77"/>
      <c r="G883" s="77"/>
      <c r="H883" s="91"/>
      <c r="I883" s="89"/>
      <c r="J883" s="77"/>
      <c r="K883" s="110"/>
      <c r="L883" s="107"/>
      <c r="M883" s="109"/>
      <c r="N883" s="11" t="str">
        <f t="shared" si="28"/>
        <v/>
      </c>
      <c r="O883" s="32" t="str">
        <f t="shared" si="29"/>
        <v/>
      </c>
    </row>
    <row r="884" spans="2:15" ht="15" customHeight="1" x14ac:dyDescent="0.4">
      <c r="B884" s="10">
        <v>1208</v>
      </c>
      <c r="C884" s="34"/>
      <c r="D884" s="77"/>
      <c r="E884" s="77"/>
      <c r="F884" s="77"/>
      <c r="G884" s="77"/>
      <c r="H884" s="91"/>
      <c r="I884" s="89"/>
      <c r="J884" s="77"/>
      <c r="K884" s="110"/>
      <c r="L884" s="107"/>
      <c r="M884" s="109"/>
      <c r="N884" s="11" t="str">
        <f t="shared" si="28"/>
        <v/>
      </c>
      <c r="O884" s="32" t="str">
        <f t="shared" si="29"/>
        <v/>
      </c>
    </row>
    <row r="885" spans="2:15" ht="15" customHeight="1" x14ac:dyDescent="0.4">
      <c r="B885" s="10">
        <v>1209</v>
      </c>
      <c r="C885" s="34"/>
      <c r="D885" s="77"/>
      <c r="E885" s="77"/>
      <c r="F885" s="77"/>
      <c r="G885" s="77"/>
      <c r="H885" s="91"/>
      <c r="I885" s="89"/>
      <c r="J885" s="77"/>
      <c r="K885" s="110"/>
      <c r="L885" s="107"/>
      <c r="M885" s="109"/>
      <c r="N885" s="11" t="str">
        <f t="shared" si="28"/>
        <v/>
      </c>
      <c r="O885" s="32" t="str">
        <f t="shared" si="29"/>
        <v/>
      </c>
    </row>
    <row r="886" spans="2:15" ht="15" customHeight="1" x14ac:dyDescent="0.4">
      <c r="B886" s="10">
        <v>1210</v>
      </c>
      <c r="C886" s="34"/>
      <c r="D886" s="77"/>
      <c r="E886" s="77"/>
      <c r="F886" s="77"/>
      <c r="G886" s="77"/>
      <c r="H886" s="91"/>
      <c r="I886" s="89"/>
      <c r="J886" s="77"/>
      <c r="K886" s="110"/>
      <c r="L886" s="107"/>
      <c r="M886" s="109"/>
      <c r="N886" s="11" t="str">
        <f t="shared" si="28"/>
        <v/>
      </c>
      <c r="O886" s="32" t="str">
        <f t="shared" si="29"/>
        <v/>
      </c>
    </row>
    <row r="887" spans="2:15" ht="15" customHeight="1" x14ac:dyDescent="0.4">
      <c r="B887" s="10">
        <v>1211</v>
      </c>
      <c r="C887" s="34"/>
      <c r="D887" s="77"/>
      <c r="E887" s="77"/>
      <c r="F887" s="77"/>
      <c r="G887" s="77"/>
      <c r="H887" s="91"/>
      <c r="I887" s="89"/>
      <c r="J887" s="77"/>
      <c r="K887" s="110"/>
      <c r="L887" s="107"/>
      <c r="M887" s="109"/>
      <c r="N887" s="11" t="str">
        <f t="shared" si="28"/>
        <v/>
      </c>
      <c r="O887" s="32" t="str">
        <f t="shared" si="29"/>
        <v/>
      </c>
    </row>
    <row r="888" spans="2:15" ht="15" customHeight="1" x14ac:dyDescent="0.4">
      <c r="B888" s="10">
        <v>1212</v>
      </c>
      <c r="C888" s="34"/>
      <c r="D888" s="77"/>
      <c r="E888" s="77"/>
      <c r="F888" s="77"/>
      <c r="G888" s="77"/>
      <c r="H888" s="91"/>
      <c r="I888" s="89"/>
      <c r="J888" s="77"/>
      <c r="K888" s="110"/>
      <c r="L888" s="107"/>
      <c r="M888" s="109"/>
      <c r="N888" s="11" t="str">
        <f t="shared" si="28"/>
        <v/>
      </c>
      <c r="O888" s="32" t="str">
        <f t="shared" si="29"/>
        <v/>
      </c>
    </row>
    <row r="889" spans="2:15" ht="15" customHeight="1" x14ac:dyDescent="0.4">
      <c r="B889" s="10">
        <v>1213</v>
      </c>
      <c r="C889" s="34"/>
      <c r="D889" s="77"/>
      <c r="E889" s="77"/>
      <c r="F889" s="77"/>
      <c r="G889" s="77"/>
      <c r="H889" s="91"/>
      <c r="I889" s="89"/>
      <c r="J889" s="77"/>
      <c r="K889" s="110"/>
      <c r="L889" s="107"/>
      <c r="M889" s="109"/>
      <c r="N889" s="11" t="str">
        <f t="shared" si="28"/>
        <v/>
      </c>
      <c r="O889" s="32" t="str">
        <f t="shared" si="29"/>
        <v/>
      </c>
    </row>
    <row r="890" spans="2:15" ht="15" customHeight="1" x14ac:dyDescent="0.4">
      <c r="B890" s="10">
        <v>1214</v>
      </c>
      <c r="C890" s="34"/>
      <c r="D890" s="77"/>
      <c r="E890" s="77"/>
      <c r="F890" s="77"/>
      <c r="G890" s="77"/>
      <c r="H890" s="91"/>
      <c r="I890" s="89"/>
      <c r="J890" s="77"/>
      <c r="K890" s="110"/>
      <c r="L890" s="107"/>
      <c r="M890" s="109"/>
      <c r="N890" s="11" t="str">
        <f t="shared" si="28"/>
        <v/>
      </c>
      <c r="O890" s="32" t="str">
        <f t="shared" si="29"/>
        <v/>
      </c>
    </row>
    <row r="891" spans="2:15" ht="15" customHeight="1" x14ac:dyDescent="0.4">
      <c r="B891" s="10">
        <v>1215</v>
      </c>
      <c r="C891" s="34"/>
      <c r="D891" s="77"/>
      <c r="E891" s="77"/>
      <c r="F891" s="77"/>
      <c r="G891" s="77"/>
      <c r="H891" s="91"/>
      <c r="I891" s="89"/>
      <c r="J891" s="77"/>
      <c r="K891" s="110"/>
      <c r="L891" s="107"/>
      <c r="M891" s="109"/>
      <c r="N891" s="11" t="str">
        <f t="shared" si="28"/>
        <v/>
      </c>
      <c r="O891" s="32" t="str">
        <f t="shared" si="29"/>
        <v/>
      </c>
    </row>
    <row r="892" spans="2:15" ht="15" customHeight="1" x14ac:dyDescent="0.4">
      <c r="B892" s="10">
        <v>1216</v>
      </c>
      <c r="C892" s="34"/>
      <c r="D892" s="77"/>
      <c r="E892" s="77"/>
      <c r="F892" s="77"/>
      <c r="G892" s="77"/>
      <c r="H892" s="91"/>
      <c r="I892" s="89"/>
      <c r="J892" s="77"/>
      <c r="K892" s="110"/>
      <c r="L892" s="107"/>
      <c r="M892" s="109"/>
      <c r="N892" s="11" t="str">
        <f t="shared" si="28"/>
        <v/>
      </c>
      <c r="O892" s="32" t="str">
        <f t="shared" si="29"/>
        <v/>
      </c>
    </row>
    <row r="893" spans="2:15" ht="15" customHeight="1" x14ac:dyDescent="0.4">
      <c r="B893" s="10">
        <v>1217</v>
      </c>
      <c r="C893" s="34"/>
      <c r="D893" s="77"/>
      <c r="E893" s="77"/>
      <c r="F893" s="77"/>
      <c r="G893" s="77"/>
      <c r="H893" s="91"/>
      <c r="I893" s="89"/>
      <c r="J893" s="77"/>
      <c r="K893" s="110"/>
      <c r="L893" s="107"/>
      <c r="M893" s="109"/>
      <c r="N893" s="11" t="str">
        <f t="shared" si="28"/>
        <v/>
      </c>
      <c r="O893" s="32" t="str">
        <f t="shared" si="29"/>
        <v/>
      </c>
    </row>
    <row r="894" spans="2:15" ht="15" customHeight="1" x14ac:dyDescent="0.4">
      <c r="B894" s="10">
        <v>1218</v>
      </c>
      <c r="C894" s="34"/>
      <c r="D894" s="77"/>
      <c r="E894" s="77"/>
      <c r="F894" s="77"/>
      <c r="G894" s="77"/>
      <c r="H894" s="91"/>
      <c r="I894" s="89"/>
      <c r="J894" s="77"/>
      <c r="K894" s="110"/>
      <c r="L894" s="107"/>
      <c r="M894" s="109"/>
      <c r="N894" s="11" t="str">
        <f t="shared" si="28"/>
        <v/>
      </c>
      <c r="O894" s="32" t="str">
        <f t="shared" si="29"/>
        <v/>
      </c>
    </row>
    <row r="895" spans="2:15" ht="15" customHeight="1" x14ac:dyDescent="0.4">
      <c r="B895" s="10">
        <v>1219</v>
      </c>
      <c r="C895" s="34"/>
      <c r="D895" s="77"/>
      <c r="E895" s="77"/>
      <c r="F895" s="77"/>
      <c r="G895" s="77"/>
      <c r="H895" s="91"/>
      <c r="I895" s="89"/>
      <c r="J895" s="77"/>
      <c r="K895" s="110"/>
      <c r="L895" s="107"/>
      <c r="M895" s="109"/>
      <c r="N895" s="11" t="str">
        <f t="shared" si="28"/>
        <v/>
      </c>
      <c r="O895" s="32" t="str">
        <f t="shared" si="29"/>
        <v/>
      </c>
    </row>
    <row r="896" spans="2:15" ht="15" customHeight="1" x14ac:dyDescent="0.4">
      <c r="B896" s="10">
        <v>1220</v>
      </c>
      <c r="C896" s="34"/>
      <c r="D896" s="77"/>
      <c r="E896" s="77"/>
      <c r="F896" s="77"/>
      <c r="G896" s="77"/>
      <c r="H896" s="91"/>
      <c r="I896" s="89"/>
      <c r="J896" s="77"/>
      <c r="K896" s="110"/>
      <c r="L896" s="107"/>
      <c r="M896" s="109"/>
      <c r="N896" s="11" t="str">
        <f t="shared" si="28"/>
        <v/>
      </c>
      <c r="O896" s="32" t="str">
        <f t="shared" si="29"/>
        <v/>
      </c>
    </row>
    <row r="897" spans="2:15" ht="15" customHeight="1" x14ac:dyDescent="0.4">
      <c r="B897" s="10">
        <v>1221</v>
      </c>
      <c r="C897" s="34"/>
      <c r="D897" s="77"/>
      <c r="E897" s="77"/>
      <c r="F897" s="77"/>
      <c r="G897" s="77"/>
      <c r="H897" s="91"/>
      <c r="I897" s="89"/>
      <c r="J897" s="77"/>
      <c r="K897" s="110"/>
      <c r="L897" s="107"/>
      <c r="M897" s="109"/>
      <c r="N897" s="11" t="str">
        <f t="shared" si="28"/>
        <v/>
      </c>
      <c r="O897" s="32" t="str">
        <f t="shared" si="29"/>
        <v/>
      </c>
    </row>
    <row r="898" spans="2:15" ht="15" customHeight="1" x14ac:dyDescent="0.4">
      <c r="B898" s="10">
        <v>1222</v>
      </c>
      <c r="C898" s="34"/>
      <c r="D898" s="77"/>
      <c r="E898" s="77"/>
      <c r="F898" s="77"/>
      <c r="G898" s="77"/>
      <c r="H898" s="91"/>
      <c r="I898" s="89"/>
      <c r="J898" s="77"/>
      <c r="K898" s="110"/>
      <c r="L898" s="107"/>
      <c r="M898" s="109"/>
      <c r="N898" s="11" t="str">
        <f t="shared" si="28"/>
        <v/>
      </c>
      <c r="O898" s="32" t="str">
        <f t="shared" si="29"/>
        <v/>
      </c>
    </row>
    <row r="899" spans="2:15" ht="15" customHeight="1" x14ac:dyDescent="0.4">
      <c r="B899" s="10">
        <v>1223</v>
      </c>
      <c r="C899" s="34"/>
      <c r="D899" s="77"/>
      <c r="E899" s="77"/>
      <c r="F899" s="77"/>
      <c r="G899" s="77"/>
      <c r="H899" s="91"/>
      <c r="I899" s="89"/>
      <c r="J899" s="77"/>
      <c r="K899" s="110"/>
      <c r="L899" s="107"/>
      <c r="M899" s="109"/>
      <c r="N899" s="11" t="str">
        <f t="shared" si="28"/>
        <v/>
      </c>
      <c r="O899" s="32" t="str">
        <f t="shared" si="29"/>
        <v/>
      </c>
    </row>
    <row r="900" spans="2:15" ht="15" customHeight="1" x14ac:dyDescent="0.4">
      <c r="B900" s="10">
        <v>1224</v>
      </c>
      <c r="C900" s="34"/>
      <c r="D900" s="77"/>
      <c r="E900" s="77"/>
      <c r="F900" s="77"/>
      <c r="G900" s="77"/>
      <c r="H900" s="91"/>
      <c r="I900" s="89"/>
      <c r="J900" s="77"/>
      <c r="K900" s="110"/>
      <c r="L900" s="107"/>
      <c r="M900" s="109"/>
      <c r="N900" s="11" t="str">
        <f t="shared" ref="N900:N963" si="30">IF(OR(M900="", K900=""),"", M900- K900)</f>
        <v/>
      </c>
      <c r="O900" s="32" t="str">
        <f t="shared" ref="O900:O963" si="31">IF(OR(M900="", K900="", L900=""), "", IF((M900 - K900) &gt; L900, "No", "Yes"))</f>
        <v/>
      </c>
    </row>
    <row r="901" spans="2:15" ht="15" customHeight="1" x14ac:dyDescent="0.4">
      <c r="B901" s="10">
        <v>1225</v>
      </c>
      <c r="C901" s="34"/>
      <c r="D901" s="77"/>
      <c r="E901" s="77"/>
      <c r="F901" s="77"/>
      <c r="G901" s="77"/>
      <c r="H901" s="91"/>
      <c r="I901" s="89"/>
      <c r="J901" s="77"/>
      <c r="K901" s="110"/>
      <c r="L901" s="107"/>
      <c r="M901" s="109"/>
      <c r="N901" s="11" t="str">
        <f t="shared" si="30"/>
        <v/>
      </c>
      <c r="O901" s="32" t="str">
        <f t="shared" si="31"/>
        <v/>
      </c>
    </row>
    <row r="902" spans="2:15" ht="15" customHeight="1" x14ac:dyDescent="0.4">
      <c r="B902" s="10">
        <v>1226</v>
      </c>
      <c r="C902" s="34"/>
      <c r="D902" s="77"/>
      <c r="E902" s="77"/>
      <c r="F902" s="77"/>
      <c r="G902" s="77"/>
      <c r="H902" s="91"/>
      <c r="I902" s="89"/>
      <c r="J902" s="77"/>
      <c r="K902" s="110"/>
      <c r="L902" s="107"/>
      <c r="M902" s="109"/>
      <c r="N902" s="11" t="str">
        <f t="shared" si="30"/>
        <v/>
      </c>
      <c r="O902" s="32" t="str">
        <f t="shared" si="31"/>
        <v/>
      </c>
    </row>
    <row r="903" spans="2:15" ht="15" customHeight="1" x14ac:dyDescent="0.4">
      <c r="B903" s="10">
        <v>1227</v>
      </c>
      <c r="C903" s="34"/>
      <c r="D903" s="77"/>
      <c r="E903" s="77"/>
      <c r="F903" s="77"/>
      <c r="G903" s="77"/>
      <c r="H903" s="91"/>
      <c r="I903" s="89"/>
      <c r="J903" s="77"/>
      <c r="K903" s="110"/>
      <c r="L903" s="107"/>
      <c r="M903" s="109"/>
      <c r="N903" s="11" t="str">
        <f t="shared" si="30"/>
        <v/>
      </c>
      <c r="O903" s="32" t="str">
        <f t="shared" si="31"/>
        <v/>
      </c>
    </row>
    <row r="904" spans="2:15" ht="15" customHeight="1" x14ac:dyDescent="0.4">
      <c r="B904" s="10">
        <v>1228</v>
      </c>
      <c r="C904" s="34"/>
      <c r="D904" s="77"/>
      <c r="E904" s="77"/>
      <c r="F904" s="77"/>
      <c r="G904" s="77"/>
      <c r="H904" s="91"/>
      <c r="I904" s="89"/>
      <c r="J904" s="77"/>
      <c r="K904" s="110"/>
      <c r="L904" s="107"/>
      <c r="M904" s="109"/>
      <c r="N904" s="11" t="str">
        <f t="shared" si="30"/>
        <v/>
      </c>
      <c r="O904" s="32" t="str">
        <f t="shared" si="31"/>
        <v/>
      </c>
    </row>
    <row r="905" spans="2:15" ht="15" customHeight="1" x14ac:dyDescent="0.4">
      <c r="B905" s="10">
        <v>1229</v>
      </c>
      <c r="C905" s="34"/>
      <c r="D905" s="77"/>
      <c r="E905" s="77"/>
      <c r="F905" s="77"/>
      <c r="G905" s="77"/>
      <c r="H905" s="91"/>
      <c r="I905" s="89"/>
      <c r="J905" s="77"/>
      <c r="K905" s="110"/>
      <c r="L905" s="107"/>
      <c r="M905" s="109"/>
      <c r="N905" s="11" t="str">
        <f t="shared" si="30"/>
        <v/>
      </c>
      <c r="O905" s="32" t="str">
        <f t="shared" si="31"/>
        <v/>
      </c>
    </row>
    <row r="906" spans="2:15" ht="15" customHeight="1" x14ac:dyDescent="0.4">
      <c r="B906" s="10">
        <v>1230</v>
      </c>
      <c r="C906" s="34"/>
      <c r="D906" s="77"/>
      <c r="E906" s="77"/>
      <c r="F906" s="77"/>
      <c r="G906" s="77"/>
      <c r="H906" s="91"/>
      <c r="I906" s="89"/>
      <c r="J906" s="77"/>
      <c r="K906" s="110"/>
      <c r="L906" s="107"/>
      <c r="M906" s="109"/>
      <c r="N906" s="11" t="str">
        <f t="shared" si="30"/>
        <v/>
      </c>
      <c r="O906" s="32" t="str">
        <f t="shared" si="31"/>
        <v/>
      </c>
    </row>
    <row r="907" spans="2:15" ht="15" customHeight="1" x14ac:dyDescent="0.4">
      <c r="B907" s="10">
        <v>1231</v>
      </c>
      <c r="C907" s="34"/>
      <c r="D907" s="77"/>
      <c r="E907" s="77"/>
      <c r="F907" s="77"/>
      <c r="G907" s="77"/>
      <c r="H907" s="91"/>
      <c r="I907" s="89"/>
      <c r="J907" s="77"/>
      <c r="K907" s="110"/>
      <c r="L907" s="107"/>
      <c r="M907" s="109"/>
      <c r="N907" s="11" t="str">
        <f t="shared" si="30"/>
        <v/>
      </c>
      <c r="O907" s="32" t="str">
        <f t="shared" si="31"/>
        <v/>
      </c>
    </row>
    <row r="908" spans="2:15" ht="15" customHeight="1" x14ac:dyDescent="0.4">
      <c r="B908" s="10">
        <v>1232</v>
      </c>
      <c r="C908" s="34"/>
      <c r="D908" s="77"/>
      <c r="E908" s="77"/>
      <c r="F908" s="77"/>
      <c r="G908" s="77"/>
      <c r="H908" s="91"/>
      <c r="I908" s="89"/>
      <c r="J908" s="77"/>
      <c r="K908" s="110"/>
      <c r="L908" s="107"/>
      <c r="M908" s="109"/>
      <c r="N908" s="11" t="str">
        <f t="shared" si="30"/>
        <v/>
      </c>
      <c r="O908" s="32" t="str">
        <f t="shared" si="31"/>
        <v/>
      </c>
    </row>
    <row r="909" spans="2:15" ht="15" customHeight="1" x14ac:dyDescent="0.4">
      <c r="B909" s="10">
        <v>1233</v>
      </c>
      <c r="C909" s="34"/>
      <c r="D909" s="77"/>
      <c r="E909" s="77"/>
      <c r="F909" s="77"/>
      <c r="G909" s="77"/>
      <c r="H909" s="91"/>
      <c r="I909" s="89"/>
      <c r="J909" s="77"/>
      <c r="K909" s="110"/>
      <c r="L909" s="107"/>
      <c r="M909" s="109"/>
      <c r="N909" s="11" t="str">
        <f t="shared" si="30"/>
        <v/>
      </c>
      <c r="O909" s="32" t="str">
        <f t="shared" si="31"/>
        <v/>
      </c>
    </row>
    <row r="910" spans="2:15" ht="15" customHeight="1" x14ac:dyDescent="0.4">
      <c r="B910" s="10">
        <v>1234</v>
      </c>
      <c r="C910" s="34"/>
      <c r="D910" s="77"/>
      <c r="E910" s="77"/>
      <c r="F910" s="77"/>
      <c r="G910" s="77"/>
      <c r="H910" s="91"/>
      <c r="I910" s="89"/>
      <c r="J910" s="77"/>
      <c r="K910" s="110"/>
      <c r="L910" s="107"/>
      <c r="M910" s="109"/>
      <c r="N910" s="11" t="str">
        <f t="shared" si="30"/>
        <v/>
      </c>
      <c r="O910" s="32" t="str">
        <f t="shared" si="31"/>
        <v/>
      </c>
    </row>
    <row r="911" spans="2:15" ht="15" customHeight="1" x14ac:dyDescent="0.4">
      <c r="B911" s="10">
        <v>1235</v>
      </c>
      <c r="C911" s="34"/>
      <c r="D911" s="77"/>
      <c r="E911" s="77"/>
      <c r="F911" s="77"/>
      <c r="G911" s="77"/>
      <c r="H911" s="91"/>
      <c r="I911" s="89"/>
      <c r="J911" s="77"/>
      <c r="K911" s="110"/>
      <c r="L911" s="107"/>
      <c r="M911" s="109"/>
      <c r="N911" s="11" t="str">
        <f t="shared" si="30"/>
        <v/>
      </c>
      <c r="O911" s="32" t="str">
        <f t="shared" si="31"/>
        <v/>
      </c>
    </row>
    <row r="912" spans="2:15" ht="15" customHeight="1" x14ac:dyDescent="0.4">
      <c r="B912" s="10">
        <v>1236</v>
      </c>
      <c r="C912" s="34"/>
      <c r="D912" s="77"/>
      <c r="E912" s="77"/>
      <c r="F912" s="77"/>
      <c r="G912" s="77"/>
      <c r="H912" s="91"/>
      <c r="I912" s="89"/>
      <c r="J912" s="77"/>
      <c r="K912" s="110"/>
      <c r="L912" s="107"/>
      <c r="M912" s="109"/>
      <c r="N912" s="11" t="str">
        <f t="shared" si="30"/>
        <v/>
      </c>
      <c r="O912" s="32" t="str">
        <f t="shared" si="31"/>
        <v/>
      </c>
    </row>
    <row r="913" spans="2:15" ht="15" customHeight="1" x14ac:dyDescent="0.4">
      <c r="B913" s="10">
        <v>1237</v>
      </c>
      <c r="C913" s="34"/>
      <c r="D913" s="77"/>
      <c r="E913" s="77"/>
      <c r="F913" s="77"/>
      <c r="G913" s="77"/>
      <c r="H913" s="91"/>
      <c r="I913" s="89"/>
      <c r="J913" s="77"/>
      <c r="K913" s="110"/>
      <c r="L913" s="107"/>
      <c r="M913" s="109"/>
      <c r="N913" s="11" t="str">
        <f t="shared" si="30"/>
        <v/>
      </c>
      <c r="O913" s="32" t="str">
        <f t="shared" si="31"/>
        <v/>
      </c>
    </row>
    <row r="914" spans="2:15" ht="15" customHeight="1" x14ac:dyDescent="0.4">
      <c r="B914" s="10">
        <v>1238</v>
      </c>
      <c r="C914" s="34"/>
      <c r="D914" s="77"/>
      <c r="E914" s="77"/>
      <c r="F914" s="77"/>
      <c r="G914" s="77"/>
      <c r="H914" s="91"/>
      <c r="I914" s="89"/>
      <c r="J914" s="77"/>
      <c r="K914" s="110"/>
      <c r="L914" s="107"/>
      <c r="M914" s="109"/>
      <c r="N914" s="11" t="str">
        <f t="shared" si="30"/>
        <v/>
      </c>
      <c r="O914" s="32" t="str">
        <f t="shared" si="31"/>
        <v/>
      </c>
    </row>
    <row r="915" spans="2:15" ht="15" customHeight="1" x14ac:dyDescent="0.4">
      <c r="B915" s="10">
        <v>1239</v>
      </c>
      <c r="C915" s="34"/>
      <c r="D915" s="77"/>
      <c r="E915" s="77"/>
      <c r="F915" s="77"/>
      <c r="G915" s="77"/>
      <c r="H915" s="91"/>
      <c r="I915" s="89"/>
      <c r="J915" s="77"/>
      <c r="K915" s="110"/>
      <c r="L915" s="107"/>
      <c r="M915" s="109"/>
      <c r="N915" s="11" t="str">
        <f t="shared" si="30"/>
        <v/>
      </c>
      <c r="O915" s="32" t="str">
        <f t="shared" si="31"/>
        <v/>
      </c>
    </row>
    <row r="916" spans="2:15" ht="15" customHeight="1" x14ac:dyDescent="0.4">
      <c r="B916" s="10">
        <v>1240</v>
      </c>
      <c r="C916" s="34"/>
      <c r="D916" s="77"/>
      <c r="E916" s="77"/>
      <c r="F916" s="77"/>
      <c r="G916" s="77"/>
      <c r="H916" s="91"/>
      <c r="I916" s="89"/>
      <c r="J916" s="77"/>
      <c r="K916" s="110"/>
      <c r="L916" s="107"/>
      <c r="M916" s="109"/>
      <c r="N916" s="11" t="str">
        <f t="shared" si="30"/>
        <v/>
      </c>
      <c r="O916" s="32" t="str">
        <f t="shared" si="31"/>
        <v/>
      </c>
    </row>
    <row r="917" spans="2:15" ht="15" customHeight="1" x14ac:dyDescent="0.4">
      <c r="B917" s="10">
        <v>1241</v>
      </c>
      <c r="C917" s="34"/>
      <c r="D917" s="77"/>
      <c r="E917" s="77"/>
      <c r="F917" s="77"/>
      <c r="G917" s="77"/>
      <c r="H917" s="91"/>
      <c r="I917" s="89"/>
      <c r="J917" s="77"/>
      <c r="K917" s="110"/>
      <c r="L917" s="107"/>
      <c r="M917" s="109"/>
      <c r="N917" s="11" t="str">
        <f t="shared" si="30"/>
        <v/>
      </c>
      <c r="O917" s="32" t="str">
        <f t="shared" si="31"/>
        <v/>
      </c>
    </row>
    <row r="918" spans="2:15" ht="15" customHeight="1" x14ac:dyDescent="0.4">
      <c r="B918" s="10">
        <v>1242</v>
      </c>
      <c r="C918" s="34"/>
      <c r="D918" s="77"/>
      <c r="E918" s="77"/>
      <c r="F918" s="77"/>
      <c r="G918" s="77"/>
      <c r="H918" s="91"/>
      <c r="I918" s="89"/>
      <c r="J918" s="77"/>
      <c r="K918" s="110"/>
      <c r="L918" s="107"/>
      <c r="M918" s="109"/>
      <c r="N918" s="11" t="str">
        <f t="shared" si="30"/>
        <v/>
      </c>
      <c r="O918" s="32" t="str">
        <f t="shared" si="31"/>
        <v/>
      </c>
    </row>
    <row r="919" spans="2:15" ht="15" customHeight="1" x14ac:dyDescent="0.4">
      <c r="B919" s="10">
        <v>1243</v>
      </c>
      <c r="C919" s="34"/>
      <c r="D919" s="77"/>
      <c r="E919" s="77"/>
      <c r="F919" s="77"/>
      <c r="G919" s="77"/>
      <c r="H919" s="91"/>
      <c r="I919" s="89"/>
      <c r="J919" s="77"/>
      <c r="K919" s="110"/>
      <c r="L919" s="107"/>
      <c r="M919" s="109"/>
      <c r="N919" s="11" t="str">
        <f t="shared" si="30"/>
        <v/>
      </c>
      <c r="O919" s="32" t="str">
        <f t="shared" si="31"/>
        <v/>
      </c>
    </row>
    <row r="920" spans="2:15" ht="15" customHeight="1" x14ac:dyDescent="0.4">
      <c r="B920" s="10">
        <v>1244</v>
      </c>
      <c r="C920" s="34"/>
      <c r="D920" s="77"/>
      <c r="E920" s="77"/>
      <c r="F920" s="77"/>
      <c r="G920" s="77"/>
      <c r="H920" s="91"/>
      <c r="I920" s="89"/>
      <c r="J920" s="77"/>
      <c r="K920" s="110"/>
      <c r="L920" s="107"/>
      <c r="M920" s="109"/>
      <c r="N920" s="11" t="str">
        <f t="shared" si="30"/>
        <v/>
      </c>
      <c r="O920" s="32" t="str">
        <f t="shared" si="31"/>
        <v/>
      </c>
    </row>
    <row r="921" spans="2:15" ht="15" customHeight="1" x14ac:dyDescent="0.4">
      <c r="B921" s="10">
        <v>1245</v>
      </c>
      <c r="C921" s="34"/>
      <c r="D921" s="77"/>
      <c r="E921" s="77"/>
      <c r="F921" s="77"/>
      <c r="G921" s="77"/>
      <c r="H921" s="91"/>
      <c r="I921" s="89"/>
      <c r="J921" s="77"/>
      <c r="K921" s="110"/>
      <c r="L921" s="107"/>
      <c r="M921" s="109"/>
      <c r="N921" s="11" t="str">
        <f t="shared" si="30"/>
        <v/>
      </c>
      <c r="O921" s="32" t="str">
        <f t="shared" si="31"/>
        <v/>
      </c>
    </row>
    <row r="922" spans="2:15" ht="15" customHeight="1" x14ac:dyDescent="0.4">
      <c r="B922" s="10">
        <v>1246</v>
      </c>
      <c r="C922" s="34"/>
      <c r="D922" s="77"/>
      <c r="E922" s="77"/>
      <c r="F922" s="77"/>
      <c r="G922" s="77"/>
      <c r="H922" s="91"/>
      <c r="I922" s="89"/>
      <c r="J922" s="77"/>
      <c r="K922" s="110"/>
      <c r="L922" s="107"/>
      <c r="M922" s="109"/>
      <c r="N922" s="11" t="str">
        <f t="shared" si="30"/>
        <v/>
      </c>
      <c r="O922" s="32" t="str">
        <f t="shared" si="31"/>
        <v/>
      </c>
    </row>
    <row r="923" spans="2:15" ht="15" customHeight="1" x14ac:dyDescent="0.4">
      <c r="B923" s="10">
        <v>1247</v>
      </c>
      <c r="C923" s="34"/>
      <c r="D923" s="77"/>
      <c r="E923" s="77"/>
      <c r="F923" s="77"/>
      <c r="G923" s="77"/>
      <c r="H923" s="91"/>
      <c r="I923" s="89"/>
      <c r="J923" s="77"/>
      <c r="K923" s="110"/>
      <c r="L923" s="107"/>
      <c r="M923" s="109"/>
      <c r="N923" s="11" t="str">
        <f t="shared" si="30"/>
        <v/>
      </c>
      <c r="O923" s="32" t="str">
        <f t="shared" si="31"/>
        <v/>
      </c>
    </row>
    <row r="924" spans="2:15" ht="15" customHeight="1" x14ac:dyDescent="0.4">
      <c r="B924" s="10">
        <v>1248</v>
      </c>
      <c r="C924" s="34"/>
      <c r="D924" s="77"/>
      <c r="E924" s="77"/>
      <c r="F924" s="77"/>
      <c r="G924" s="77"/>
      <c r="H924" s="91"/>
      <c r="I924" s="89"/>
      <c r="J924" s="77"/>
      <c r="K924" s="110"/>
      <c r="L924" s="107"/>
      <c r="M924" s="109"/>
      <c r="N924" s="11" t="str">
        <f t="shared" si="30"/>
        <v/>
      </c>
      <c r="O924" s="32" t="str">
        <f t="shared" si="31"/>
        <v/>
      </c>
    </row>
    <row r="925" spans="2:15" ht="15" customHeight="1" x14ac:dyDescent="0.4">
      <c r="B925" s="10">
        <v>1249</v>
      </c>
      <c r="C925" s="34"/>
      <c r="D925" s="77"/>
      <c r="E925" s="77"/>
      <c r="F925" s="77"/>
      <c r="G925" s="77"/>
      <c r="H925" s="91"/>
      <c r="I925" s="89"/>
      <c r="J925" s="77"/>
      <c r="K925" s="110"/>
      <c r="L925" s="107"/>
      <c r="M925" s="109"/>
      <c r="N925" s="11" t="str">
        <f t="shared" si="30"/>
        <v/>
      </c>
      <c r="O925" s="32" t="str">
        <f t="shared" si="31"/>
        <v/>
      </c>
    </row>
    <row r="926" spans="2:15" ht="15" customHeight="1" x14ac:dyDescent="0.4">
      <c r="B926" s="10">
        <v>1250</v>
      </c>
      <c r="C926" s="34"/>
      <c r="D926" s="77"/>
      <c r="E926" s="77"/>
      <c r="F926" s="77"/>
      <c r="G926" s="77"/>
      <c r="H926" s="91"/>
      <c r="I926" s="89"/>
      <c r="J926" s="77"/>
      <c r="K926" s="110"/>
      <c r="L926" s="107"/>
      <c r="M926" s="109"/>
      <c r="N926" s="11" t="str">
        <f t="shared" si="30"/>
        <v/>
      </c>
      <c r="O926" s="32" t="str">
        <f t="shared" si="31"/>
        <v/>
      </c>
    </row>
    <row r="927" spans="2:15" ht="15" customHeight="1" x14ac:dyDescent="0.4">
      <c r="B927" s="10">
        <v>1251</v>
      </c>
      <c r="C927" s="34"/>
      <c r="D927" s="77"/>
      <c r="E927" s="77"/>
      <c r="F927" s="77"/>
      <c r="G927" s="77"/>
      <c r="H927" s="91"/>
      <c r="I927" s="89"/>
      <c r="J927" s="77"/>
      <c r="K927" s="110"/>
      <c r="L927" s="107"/>
      <c r="M927" s="109"/>
      <c r="N927" s="11" t="str">
        <f t="shared" si="30"/>
        <v/>
      </c>
      <c r="O927" s="32" t="str">
        <f t="shared" si="31"/>
        <v/>
      </c>
    </row>
    <row r="928" spans="2:15" ht="15" customHeight="1" x14ac:dyDescent="0.4">
      <c r="B928" s="10">
        <v>1252</v>
      </c>
      <c r="C928" s="34"/>
      <c r="D928" s="77"/>
      <c r="E928" s="77"/>
      <c r="F928" s="77"/>
      <c r="G928" s="77"/>
      <c r="H928" s="91"/>
      <c r="I928" s="89"/>
      <c r="J928" s="77"/>
      <c r="K928" s="110"/>
      <c r="L928" s="107"/>
      <c r="M928" s="109"/>
      <c r="N928" s="11" t="str">
        <f t="shared" si="30"/>
        <v/>
      </c>
      <c r="O928" s="32" t="str">
        <f t="shared" si="31"/>
        <v/>
      </c>
    </row>
    <row r="929" spans="2:15" ht="15" customHeight="1" x14ac:dyDescent="0.4">
      <c r="B929" s="10">
        <v>1253</v>
      </c>
      <c r="C929" s="34"/>
      <c r="D929" s="77"/>
      <c r="E929" s="77"/>
      <c r="F929" s="77"/>
      <c r="G929" s="77"/>
      <c r="H929" s="91"/>
      <c r="I929" s="89"/>
      <c r="J929" s="77"/>
      <c r="K929" s="110"/>
      <c r="L929" s="107"/>
      <c r="M929" s="109"/>
      <c r="N929" s="11" t="str">
        <f t="shared" si="30"/>
        <v/>
      </c>
      <c r="O929" s="32" t="str">
        <f t="shared" si="31"/>
        <v/>
      </c>
    </row>
    <row r="930" spans="2:15" ht="15" customHeight="1" x14ac:dyDescent="0.4">
      <c r="B930" s="10">
        <v>1254</v>
      </c>
      <c r="C930" s="34"/>
      <c r="D930" s="77"/>
      <c r="E930" s="77"/>
      <c r="F930" s="77"/>
      <c r="G930" s="77"/>
      <c r="H930" s="91"/>
      <c r="I930" s="89"/>
      <c r="J930" s="77"/>
      <c r="K930" s="110"/>
      <c r="L930" s="107"/>
      <c r="M930" s="109"/>
      <c r="N930" s="11" t="str">
        <f t="shared" si="30"/>
        <v/>
      </c>
      <c r="O930" s="32" t="str">
        <f t="shared" si="31"/>
        <v/>
      </c>
    </row>
    <row r="931" spans="2:15" ht="15" customHeight="1" x14ac:dyDescent="0.4">
      <c r="B931" s="10">
        <v>1255</v>
      </c>
      <c r="C931" s="34"/>
      <c r="D931" s="77"/>
      <c r="E931" s="77"/>
      <c r="F931" s="77"/>
      <c r="G931" s="77"/>
      <c r="H931" s="91"/>
      <c r="I931" s="89"/>
      <c r="J931" s="77"/>
      <c r="K931" s="110"/>
      <c r="L931" s="107"/>
      <c r="M931" s="109"/>
      <c r="N931" s="11" t="str">
        <f t="shared" si="30"/>
        <v/>
      </c>
      <c r="O931" s="32" t="str">
        <f t="shared" si="31"/>
        <v/>
      </c>
    </row>
    <row r="932" spans="2:15" ht="15" customHeight="1" x14ac:dyDescent="0.4">
      <c r="B932" s="10">
        <v>1256</v>
      </c>
      <c r="C932" s="34"/>
      <c r="D932" s="77"/>
      <c r="E932" s="77"/>
      <c r="F932" s="77"/>
      <c r="G932" s="77"/>
      <c r="H932" s="91"/>
      <c r="I932" s="89"/>
      <c r="J932" s="77"/>
      <c r="K932" s="110"/>
      <c r="L932" s="107"/>
      <c r="M932" s="109"/>
      <c r="N932" s="11" t="str">
        <f t="shared" si="30"/>
        <v/>
      </c>
      <c r="O932" s="32" t="str">
        <f t="shared" si="31"/>
        <v/>
      </c>
    </row>
    <row r="933" spans="2:15" ht="15" customHeight="1" x14ac:dyDescent="0.4">
      <c r="B933" s="10">
        <v>1257</v>
      </c>
      <c r="C933" s="34"/>
      <c r="D933" s="77"/>
      <c r="E933" s="77"/>
      <c r="F933" s="77"/>
      <c r="G933" s="77"/>
      <c r="H933" s="91"/>
      <c r="I933" s="89"/>
      <c r="J933" s="77"/>
      <c r="K933" s="110"/>
      <c r="L933" s="107"/>
      <c r="M933" s="109"/>
      <c r="N933" s="11" t="str">
        <f t="shared" si="30"/>
        <v/>
      </c>
      <c r="O933" s="32" t="str">
        <f t="shared" si="31"/>
        <v/>
      </c>
    </row>
    <row r="934" spans="2:15" ht="15" customHeight="1" x14ac:dyDescent="0.4">
      <c r="B934" s="10">
        <v>1258</v>
      </c>
      <c r="C934" s="34"/>
      <c r="D934" s="77"/>
      <c r="E934" s="77"/>
      <c r="F934" s="77"/>
      <c r="G934" s="77"/>
      <c r="H934" s="91"/>
      <c r="I934" s="89"/>
      <c r="J934" s="77"/>
      <c r="K934" s="110"/>
      <c r="L934" s="107"/>
      <c r="M934" s="109"/>
      <c r="N934" s="11" t="str">
        <f t="shared" si="30"/>
        <v/>
      </c>
      <c r="O934" s="32" t="str">
        <f t="shared" si="31"/>
        <v/>
      </c>
    </row>
    <row r="935" spans="2:15" ht="15" customHeight="1" x14ac:dyDescent="0.4">
      <c r="B935" s="10">
        <v>1259</v>
      </c>
      <c r="C935" s="34"/>
      <c r="D935" s="77"/>
      <c r="E935" s="77"/>
      <c r="F935" s="77"/>
      <c r="G935" s="77"/>
      <c r="H935" s="91"/>
      <c r="I935" s="89"/>
      <c r="J935" s="77"/>
      <c r="K935" s="110"/>
      <c r="L935" s="107"/>
      <c r="M935" s="109"/>
      <c r="N935" s="11" t="str">
        <f t="shared" si="30"/>
        <v/>
      </c>
      <c r="O935" s="32" t="str">
        <f t="shared" si="31"/>
        <v/>
      </c>
    </row>
    <row r="936" spans="2:15" ht="15" customHeight="1" x14ac:dyDescent="0.4">
      <c r="B936" s="10">
        <v>1260</v>
      </c>
      <c r="C936" s="34"/>
      <c r="D936" s="77"/>
      <c r="E936" s="77"/>
      <c r="F936" s="77"/>
      <c r="G936" s="77"/>
      <c r="H936" s="91"/>
      <c r="I936" s="89"/>
      <c r="J936" s="77"/>
      <c r="K936" s="110"/>
      <c r="L936" s="107"/>
      <c r="M936" s="109"/>
      <c r="N936" s="11" t="str">
        <f t="shared" si="30"/>
        <v/>
      </c>
      <c r="O936" s="32" t="str">
        <f t="shared" si="31"/>
        <v/>
      </c>
    </row>
    <row r="937" spans="2:15" ht="15" customHeight="1" x14ac:dyDescent="0.4">
      <c r="B937" s="10">
        <v>1261</v>
      </c>
      <c r="C937" s="34"/>
      <c r="D937" s="77"/>
      <c r="E937" s="77"/>
      <c r="F937" s="77"/>
      <c r="G937" s="77"/>
      <c r="H937" s="91"/>
      <c r="I937" s="89"/>
      <c r="J937" s="77"/>
      <c r="K937" s="110"/>
      <c r="L937" s="107"/>
      <c r="M937" s="109"/>
      <c r="N937" s="11" t="str">
        <f t="shared" si="30"/>
        <v/>
      </c>
      <c r="O937" s="32" t="str">
        <f t="shared" si="31"/>
        <v/>
      </c>
    </row>
    <row r="938" spans="2:15" ht="15" customHeight="1" x14ac:dyDescent="0.4">
      <c r="B938" s="10">
        <v>1262</v>
      </c>
      <c r="C938" s="34"/>
      <c r="D938" s="77"/>
      <c r="E938" s="77"/>
      <c r="F938" s="77"/>
      <c r="G938" s="77"/>
      <c r="H938" s="91"/>
      <c r="I938" s="89"/>
      <c r="J938" s="77"/>
      <c r="K938" s="110"/>
      <c r="L938" s="107"/>
      <c r="M938" s="109"/>
      <c r="N938" s="11" t="str">
        <f t="shared" si="30"/>
        <v/>
      </c>
      <c r="O938" s="32" t="str">
        <f t="shared" si="31"/>
        <v/>
      </c>
    </row>
    <row r="939" spans="2:15" ht="15" customHeight="1" x14ac:dyDescent="0.4">
      <c r="B939" s="10">
        <v>1263</v>
      </c>
      <c r="C939" s="34"/>
      <c r="D939" s="77"/>
      <c r="E939" s="77"/>
      <c r="F939" s="77"/>
      <c r="G939" s="77"/>
      <c r="H939" s="91"/>
      <c r="I939" s="89"/>
      <c r="J939" s="77"/>
      <c r="K939" s="110"/>
      <c r="L939" s="107"/>
      <c r="M939" s="109"/>
      <c r="N939" s="11" t="str">
        <f t="shared" si="30"/>
        <v/>
      </c>
      <c r="O939" s="32" t="str">
        <f t="shared" si="31"/>
        <v/>
      </c>
    </row>
    <row r="940" spans="2:15" ht="15" customHeight="1" x14ac:dyDescent="0.4">
      <c r="B940" s="10">
        <v>1264</v>
      </c>
      <c r="C940" s="34"/>
      <c r="D940" s="77"/>
      <c r="E940" s="77"/>
      <c r="F940" s="77"/>
      <c r="G940" s="77"/>
      <c r="H940" s="91"/>
      <c r="I940" s="89"/>
      <c r="J940" s="77"/>
      <c r="K940" s="110"/>
      <c r="L940" s="107"/>
      <c r="M940" s="109"/>
      <c r="N940" s="11" t="str">
        <f t="shared" si="30"/>
        <v/>
      </c>
      <c r="O940" s="32" t="str">
        <f t="shared" si="31"/>
        <v/>
      </c>
    </row>
    <row r="941" spans="2:15" ht="15" customHeight="1" x14ac:dyDescent="0.4">
      <c r="B941" s="10">
        <v>1265</v>
      </c>
      <c r="C941" s="34"/>
      <c r="D941" s="77"/>
      <c r="E941" s="77"/>
      <c r="F941" s="77"/>
      <c r="G941" s="77"/>
      <c r="H941" s="91"/>
      <c r="I941" s="89"/>
      <c r="J941" s="77"/>
      <c r="K941" s="110"/>
      <c r="L941" s="107"/>
      <c r="M941" s="109"/>
      <c r="N941" s="11" t="str">
        <f t="shared" si="30"/>
        <v/>
      </c>
      <c r="O941" s="32" t="str">
        <f t="shared" si="31"/>
        <v/>
      </c>
    </row>
    <row r="942" spans="2:15" ht="15" customHeight="1" x14ac:dyDescent="0.4">
      <c r="B942" s="10">
        <v>1266</v>
      </c>
      <c r="C942" s="34"/>
      <c r="D942" s="77"/>
      <c r="E942" s="77"/>
      <c r="F942" s="77"/>
      <c r="G942" s="77"/>
      <c r="H942" s="91"/>
      <c r="I942" s="89"/>
      <c r="J942" s="77"/>
      <c r="K942" s="110"/>
      <c r="L942" s="107"/>
      <c r="M942" s="109"/>
      <c r="N942" s="11" t="str">
        <f t="shared" si="30"/>
        <v/>
      </c>
      <c r="O942" s="32" t="str">
        <f t="shared" si="31"/>
        <v/>
      </c>
    </row>
    <row r="943" spans="2:15" ht="15" customHeight="1" x14ac:dyDescent="0.4">
      <c r="B943" s="10">
        <v>1267</v>
      </c>
      <c r="C943" s="34"/>
      <c r="D943" s="77"/>
      <c r="E943" s="77"/>
      <c r="F943" s="77"/>
      <c r="G943" s="77"/>
      <c r="H943" s="91"/>
      <c r="I943" s="89"/>
      <c r="J943" s="77"/>
      <c r="K943" s="110"/>
      <c r="L943" s="107"/>
      <c r="M943" s="109"/>
      <c r="N943" s="11" t="str">
        <f t="shared" si="30"/>
        <v/>
      </c>
      <c r="O943" s="32" t="str">
        <f t="shared" si="31"/>
        <v/>
      </c>
    </row>
    <row r="944" spans="2:15" ht="15" customHeight="1" x14ac:dyDescent="0.4">
      <c r="B944" s="10">
        <v>1268</v>
      </c>
      <c r="C944" s="34"/>
      <c r="D944" s="77"/>
      <c r="E944" s="77"/>
      <c r="F944" s="77"/>
      <c r="G944" s="77"/>
      <c r="H944" s="91"/>
      <c r="I944" s="89"/>
      <c r="J944" s="77"/>
      <c r="K944" s="110"/>
      <c r="L944" s="107"/>
      <c r="M944" s="109"/>
      <c r="N944" s="11" t="str">
        <f t="shared" si="30"/>
        <v/>
      </c>
      <c r="O944" s="32" t="str">
        <f t="shared" si="31"/>
        <v/>
      </c>
    </row>
    <row r="945" spans="2:15" ht="15" customHeight="1" x14ac:dyDescent="0.4">
      <c r="B945" s="10">
        <v>1269</v>
      </c>
      <c r="C945" s="34"/>
      <c r="D945" s="77"/>
      <c r="E945" s="77"/>
      <c r="F945" s="77"/>
      <c r="G945" s="77"/>
      <c r="H945" s="91"/>
      <c r="I945" s="89"/>
      <c r="J945" s="77"/>
      <c r="K945" s="110"/>
      <c r="L945" s="107"/>
      <c r="M945" s="109"/>
      <c r="N945" s="11" t="str">
        <f t="shared" si="30"/>
        <v/>
      </c>
      <c r="O945" s="32" t="str">
        <f t="shared" si="31"/>
        <v/>
      </c>
    </row>
    <row r="946" spans="2:15" ht="15" customHeight="1" x14ac:dyDescent="0.4">
      <c r="B946" s="10">
        <v>1270</v>
      </c>
      <c r="C946" s="34"/>
      <c r="D946" s="77"/>
      <c r="E946" s="77"/>
      <c r="F946" s="77"/>
      <c r="G946" s="77"/>
      <c r="H946" s="91"/>
      <c r="I946" s="89"/>
      <c r="J946" s="77"/>
      <c r="K946" s="110"/>
      <c r="L946" s="107"/>
      <c r="M946" s="109"/>
      <c r="N946" s="11" t="str">
        <f t="shared" si="30"/>
        <v/>
      </c>
      <c r="O946" s="32" t="str">
        <f t="shared" si="31"/>
        <v/>
      </c>
    </row>
    <row r="947" spans="2:15" ht="15" customHeight="1" x14ac:dyDescent="0.4">
      <c r="B947" s="10">
        <v>1271</v>
      </c>
      <c r="C947" s="34"/>
      <c r="D947" s="77"/>
      <c r="E947" s="77"/>
      <c r="F947" s="77"/>
      <c r="G947" s="77"/>
      <c r="H947" s="91"/>
      <c r="I947" s="89"/>
      <c r="J947" s="77"/>
      <c r="K947" s="110"/>
      <c r="L947" s="107"/>
      <c r="M947" s="109"/>
      <c r="N947" s="11" t="str">
        <f t="shared" si="30"/>
        <v/>
      </c>
      <c r="O947" s="32" t="str">
        <f t="shared" si="31"/>
        <v/>
      </c>
    </row>
    <row r="948" spans="2:15" ht="15" customHeight="1" x14ac:dyDescent="0.4">
      <c r="B948" s="10">
        <v>1272</v>
      </c>
      <c r="C948" s="34"/>
      <c r="D948" s="77"/>
      <c r="E948" s="77"/>
      <c r="F948" s="77"/>
      <c r="G948" s="77"/>
      <c r="H948" s="91"/>
      <c r="I948" s="89"/>
      <c r="J948" s="77"/>
      <c r="K948" s="110"/>
      <c r="L948" s="107"/>
      <c r="M948" s="109"/>
      <c r="N948" s="11" t="str">
        <f t="shared" si="30"/>
        <v/>
      </c>
      <c r="O948" s="32" t="str">
        <f t="shared" si="31"/>
        <v/>
      </c>
    </row>
    <row r="949" spans="2:15" ht="15" customHeight="1" x14ac:dyDescent="0.4">
      <c r="B949" s="10">
        <v>1273</v>
      </c>
      <c r="C949" s="34"/>
      <c r="D949" s="77"/>
      <c r="E949" s="77"/>
      <c r="F949" s="77"/>
      <c r="G949" s="77"/>
      <c r="H949" s="91"/>
      <c r="I949" s="89"/>
      <c r="J949" s="77"/>
      <c r="K949" s="110"/>
      <c r="L949" s="107"/>
      <c r="M949" s="109"/>
      <c r="N949" s="11" t="str">
        <f t="shared" si="30"/>
        <v/>
      </c>
      <c r="O949" s="32" t="str">
        <f t="shared" si="31"/>
        <v/>
      </c>
    </row>
    <row r="950" spans="2:15" ht="15" customHeight="1" x14ac:dyDescent="0.4">
      <c r="B950" s="10">
        <v>1274</v>
      </c>
      <c r="C950" s="34"/>
      <c r="D950" s="77"/>
      <c r="E950" s="77"/>
      <c r="F950" s="77"/>
      <c r="G950" s="77"/>
      <c r="H950" s="91"/>
      <c r="I950" s="89"/>
      <c r="J950" s="77"/>
      <c r="K950" s="110"/>
      <c r="L950" s="107"/>
      <c r="M950" s="109"/>
      <c r="N950" s="11" t="str">
        <f t="shared" si="30"/>
        <v/>
      </c>
      <c r="O950" s="32" t="str">
        <f t="shared" si="31"/>
        <v/>
      </c>
    </row>
    <row r="951" spans="2:15" ht="15" customHeight="1" x14ac:dyDescent="0.4">
      <c r="B951" s="10">
        <v>1275</v>
      </c>
      <c r="C951" s="34"/>
      <c r="D951" s="77"/>
      <c r="E951" s="77"/>
      <c r="F951" s="77"/>
      <c r="G951" s="77"/>
      <c r="H951" s="91"/>
      <c r="I951" s="89"/>
      <c r="J951" s="77"/>
      <c r="K951" s="110"/>
      <c r="L951" s="107"/>
      <c r="M951" s="109"/>
      <c r="N951" s="11" t="str">
        <f t="shared" si="30"/>
        <v/>
      </c>
      <c r="O951" s="32" t="str">
        <f t="shared" si="31"/>
        <v/>
      </c>
    </row>
    <row r="952" spans="2:15" ht="15" customHeight="1" x14ac:dyDescent="0.4">
      <c r="B952" s="10">
        <v>1276</v>
      </c>
      <c r="C952" s="34"/>
      <c r="D952" s="77"/>
      <c r="E952" s="77"/>
      <c r="F952" s="77"/>
      <c r="G952" s="77"/>
      <c r="H952" s="91"/>
      <c r="I952" s="89"/>
      <c r="J952" s="77"/>
      <c r="K952" s="110"/>
      <c r="L952" s="107"/>
      <c r="M952" s="109"/>
      <c r="N952" s="11" t="str">
        <f t="shared" si="30"/>
        <v/>
      </c>
      <c r="O952" s="32" t="str">
        <f t="shared" si="31"/>
        <v/>
      </c>
    </row>
    <row r="953" spans="2:15" ht="15" customHeight="1" x14ac:dyDescent="0.4">
      <c r="B953" s="10">
        <v>1277</v>
      </c>
      <c r="C953" s="34"/>
      <c r="D953" s="77"/>
      <c r="E953" s="77"/>
      <c r="F953" s="77"/>
      <c r="G953" s="77"/>
      <c r="H953" s="91"/>
      <c r="I953" s="89"/>
      <c r="J953" s="77"/>
      <c r="K953" s="110"/>
      <c r="L953" s="107"/>
      <c r="M953" s="109"/>
      <c r="N953" s="11" t="str">
        <f t="shared" si="30"/>
        <v/>
      </c>
      <c r="O953" s="32" t="str">
        <f t="shared" si="31"/>
        <v/>
      </c>
    </row>
    <row r="954" spans="2:15" ht="15" customHeight="1" x14ac:dyDescent="0.4">
      <c r="B954" s="10">
        <v>1278</v>
      </c>
      <c r="C954" s="34"/>
      <c r="D954" s="77"/>
      <c r="E954" s="77"/>
      <c r="F954" s="77"/>
      <c r="G954" s="77"/>
      <c r="H954" s="91"/>
      <c r="I954" s="89"/>
      <c r="J954" s="77"/>
      <c r="K954" s="110"/>
      <c r="L954" s="107"/>
      <c r="M954" s="109"/>
      <c r="N954" s="11" t="str">
        <f t="shared" si="30"/>
        <v/>
      </c>
      <c r="O954" s="32" t="str">
        <f t="shared" si="31"/>
        <v/>
      </c>
    </row>
    <row r="955" spans="2:15" ht="15" customHeight="1" x14ac:dyDescent="0.4">
      <c r="B955" s="10">
        <v>1279</v>
      </c>
      <c r="C955" s="34"/>
      <c r="D955" s="77"/>
      <c r="E955" s="77"/>
      <c r="F955" s="77"/>
      <c r="G955" s="77"/>
      <c r="H955" s="91"/>
      <c r="I955" s="89"/>
      <c r="J955" s="77"/>
      <c r="K955" s="110"/>
      <c r="L955" s="107"/>
      <c r="M955" s="109"/>
      <c r="N955" s="11" t="str">
        <f t="shared" si="30"/>
        <v/>
      </c>
      <c r="O955" s="32" t="str">
        <f t="shared" si="31"/>
        <v/>
      </c>
    </row>
    <row r="956" spans="2:15" ht="15" customHeight="1" x14ac:dyDescent="0.4">
      <c r="B956" s="10">
        <v>1280</v>
      </c>
      <c r="C956" s="34"/>
      <c r="D956" s="77"/>
      <c r="E956" s="77"/>
      <c r="F956" s="77"/>
      <c r="G956" s="77"/>
      <c r="H956" s="91"/>
      <c r="I956" s="89"/>
      <c r="J956" s="77"/>
      <c r="K956" s="110"/>
      <c r="L956" s="107"/>
      <c r="M956" s="109"/>
      <c r="N956" s="11" t="str">
        <f t="shared" si="30"/>
        <v/>
      </c>
      <c r="O956" s="32" t="str">
        <f t="shared" si="31"/>
        <v/>
      </c>
    </row>
    <row r="957" spans="2:15" ht="15" customHeight="1" x14ac:dyDescent="0.4">
      <c r="B957" s="10">
        <v>1281</v>
      </c>
      <c r="C957" s="34"/>
      <c r="D957" s="77"/>
      <c r="E957" s="77"/>
      <c r="F957" s="77"/>
      <c r="G957" s="77"/>
      <c r="H957" s="91"/>
      <c r="I957" s="89"/>
      <c r="J957" s="77"/>
      <c r="K957" s="110"/>
      <c r="L957" s="107"/>
      <c r="M957" s="109"/>
      <c r="N957" s="11" t="str">
        <f t="shared" si="30"/>
        <v/>
      </c>
      <c r="O957" s="32" t="str">
        <f t="shared" si="31"/>
        <v/>
      </c>
    </row>
    <row r="958" spans="2:15" ht="15" customHeight="1" x14ac:dyDescent="0.4">
      <c r="B958" s="10">
        <v>1282</v>
      </c>
      <c r="C958" s="34"/>
      <c r="D958" s="77"/>
      <c r="E958" s="77"/>
      <c r="F958" s="77"/>
      <c r="G958" s="77"/>
      <c r="H958" s="91"/>
      <c r="I958" s="89"/>
      <c r="J958" s="77"/>
      <c r="K958" s="110"/>
      <c r="L958" s="107"/>
      <c r="M958" s="109"/>
      <c r="N958" s="11" t="str">
        <f t="shared" si="30"/>
        <v/>
      </c>
      <c r="O958" s="32" t="str">
        <f t="shared" si="31"/>
        <v/>
      </c>
    </row>
    <row r="959" spans="2:15" ht="15" customHeight="1" x14ac:dyDescent="0.4">
      <c r="B959" s="10">
        <v>1283</v>
      </c>
      <c r="C959" s="34"/>
      <c r="D959" s="77"/>
      <c r="E959" s="77"/>
      <c r="F959" s="77"/>
      <c r="G959" s="77"/>
      <c r="H959" s="91"/>
      <c r="I959" s="89"/>
      <c r="J959" s="77"/>
      <c r="K959" s="110"/>
      <c r="L959" s="107"/>
      <c r="M959" s="109"/>
      <c r="N959" s="11" t="str">
        <f t="shared" si="30"/>
        <v/>
      </c>
      <c r="O959" s="32" t="str">
        <f t="shared" si="31"/>
        <v/>
      </c>
    </row>
    <row r="960" spans="2:15" ht="15" customHeight="1" x14ac:dyDescent="0.4">
      <c r="B960" s="10">
        <v>1284</v>
      </c>
      <c r="C960" s="34"/>
      <c r="D960" s="77"/>
      <c r="E960" s="77"/>
      <c r="F960" s="77"/>
      <c r="G960" s="77"/>
      <c r="H960" s="91"/>
      <c r="I960" s="89"/>
      <c r="J960" s="77"/>
      <c r="K960" s="110"/>
      <c r="L960" s="107"/>
      <c r="M960" s="109"/>
      <c r="N960" s="11" t="str">
        <f t="shared" si="30"/>
        <v/>
      </c>
      <c r="O960" s="32" t="str">
        <f t="shared" si="31"/>
        <v/>
      </c>
    </row>
    <row r="961" spans="2:15" ht="15" customHeight="1" x14ac:dyDescent="0.4">
      <c r="B961" s="10">
        <v>1285</v>
      </c>
      <c r="C961" s="34"/>
      <c r="D961" s="77"/>
      <c r="E961" s="77"/>
      <c r="F961" s="77"/>
      <c r="G961" s="77"/>
      <c r="H961" s="91"/>
      <c r="I961" s="89"/>
      <c r="J961" s="77"/>
      <c r="K961" s="110"/>
      <c r="L961" s="107"/>
      <c r="M961" s="109"/>
      <c r="N961" s="11" t="str">
        <f t="shared" si="30"/>
        <v/>
      </c>
      <c r="O961" s="32" t="str">
        <f t="shared" si="31"/>
        <v/>
      </c>
    </row>
    <row r="962" spans="2:15" ht="15" customHeight="1" x14ac:dyDescent="0.4">
      <c r="B962" s="10">
        <v>1286</v>
      </c>
      <c r="C962" s="34"/>
      <c r="D962" s="77"/>
      <c r="E962" s="77"/>
      <c r="F962" s="77"/>
      <c r="G962" s="77"/>
      <c r="H962" s="91"/>
      <c r="I962" s="89"/>
      <c r="J962" s="77"/>
      <c r="K962" s="110"/>
      <c r="L962" s="107"/>
      <c r="M962" s="109"/>
      <c r="N962" s="11" t="str">
        <f t="shared" si="30"/>
        <v/>
      </c>
      <c r="O962" s="32" t="str">
        <f t="shared" si="31"/>
        <v/>
      </c>
    </row>
    <row r="963" spans="2:15" ht="15" customHeight="1" x14ac:dyDescent="0.4">
      <c r="B963" s="10">
        <v>1287</v>
      </c>
      <c r="C963" s="34"/>
      <c r="D963" s="77"/>
      <c r="E963" s="77"/>
      <c r="F963" s="77"/>
      <c r="G963" s="77"/>
      <c r="H963" s="91"/>
      <c r="I963" s="89"/>
      <c r="J963" s="77"/>
      <c r="K963" s="110"/>
      <c r="L963" s="107"/>
      <c r="M963" s="109"/>
      <c r="N963" s="11" t="str">
        <f t="shared" si="30"/>
        <v/>
      </c>
      <c r="O963" s="32" t="str">
        <f t="shared" si="31"/>
        <v/>
      </c>
    </row>
    <row r="964" spans="2:15" ht="15" customHeight="1" x14ac:dyDescent="0.4">
      <c r="B964" s="10">
        <v>1288</v>
      </c>
      <c r="C964" s="34"/>
      <c r="D964" s="77"/>
      <c r="E964" s="77"/>
      <c r="F964" s="77"/>
      <c r="G964" s="77"/>
      <c r="H964" s="91"/>
      <c r="I964" s="89"/>
      <c r="J964" s="77"/>
      <c r="K964" s="110"/>
      <c r="L964" s="107"/>
      <c r="M964" s="109"/>
      <c r="N964" s="11" t="str">
        <f t="shared" ref="N964:N1027" si="32">IF(OR(M964="", K964=""),"", M964- K964)</f>
        <v/>
      </c>
      <c r="O964" s="32" t="str">
        <f t="shared" ref="O964:O1027" si="33">IF(OR(M964="", K964="", L964=""), "", IF((M964 - K964) &gt; L964, "No", "Yes"))</f>
        <v/>
      </c>
    </row>
    <row r="965" spans="2:15" ht="15" customHeight="1" x14ac:dyDescent="0.4">
      <c r="B965" s="10">
        <v>1289</v>
      </c>
      <c r="C965" s="34"/>
      <c r="D965" s="77"/>
      <c r="E965" s="77"/>
      <c r="F965" s="77"/>
      <c r="G965" s="77"/>
      <c r="H965" s="91"/>
      <c r="I965" s="89"/>
      <c r="J965" s="77"/>
      <c r="K965" s="110"/>
      <c r="L965" s="107"/>
      <c r="M965" s="109"/>
      <c r="N965" s="11" t="str">
        <f t="shared" si="32"/>
        <v/>
      </c>
      <c r="O965" s="32" t="str">
        <f t="shared" si="33"/>
        <v/>
      </c>
    </row>
    <row r="966" spans="2:15" ht="15" customHeight="1" x14ac:dyDescent="0.4">
      <c r="B966" s="10">
        <v>1290</v>
      </c>
      <c r="C966" s="34"/>
      <c r="D966" s="77"/>
      <c r="E966" s="77"/>
      <c r="F966" s="77"/>
      <c r="G966" s="77"/>
      <c r="H966" s="91"/>
      <c r="I966" s="89"/>
      <c r="J966" s="77"/>
      <c r="K966" s="110"/>
      <c r="L966" s="107"/>
      <c r="M966" s="109"/>
      <c r="N966" s="11" t="str">
        <f t="shared" si="32"/>
        <v/>
      </c>
      <c r="O966" s="32" t="str">
        <f t="shared" si="33"/>
        <v/>
      </c>
    </row>
    <row r="967" spans="2:15" ht="15" customHeight="1" x14ac:dyDescent="0.4">
      <c r="B967" s="10">
        <v>1291</v>
      </c>
      <c r="C967" s="34"/>
      <c r="D967" s="77"/>
      <c r="E967" s="77"/>
      <c r="F967" s="77"/>
      <c r="G967" s="77"/>
      <c r="H967" s="91"/>
      <c r="I967" s="89"/>
      <c r="J967" s="77"/>
      <c r="K967" s="110"/>
      <c r="L967" s="107"/>
      <c r="M967" s="109"/>
      <c r="N967" s="11" t="str">
        <f t="shared" si="32"/>
        <v/>
      </c>
      <c r="O967" s="32" t="str">
        <f t="shared" si="33"/>
        <v/>
      </c>
    </row>
    <row r="968" spans="2:15" ht="15" customHeight="1" x14ac:dyDescent="0.4">
      <c r="B968" s="10">
        <v>1292</v>
      </c>
      <c r="C968" s="34"/>
      <c r="D968" s="77"/>
      <c r="E968" s="77"/>
      <c r="F968" s="77"/>
      <c r="G968" s="77"/>
      <c r="H968" s="91"/>
      <c r="I968" s="89"/>
      <c r="J968" s="77"/>
      <c r="K968" s="110"/>
      <c r="L968" s="107"/>
      <c r="M968" s="109"/>
      <c r="N968" s="11" t="str">
        <f t="shared" si="32"/>
        <v/>
      </c>
      <c r="O968" s="32" t="str">
        <f t="shared" si="33"/>
        <v/>
      </c>
    </row>
    <row r="969" spans="2:15" ht="15" customHeight="1" x14ac:dyDescent="0.4">
      <c r="B969" s="10">
        <v>1293</v>
      </c>
      <c r="C969" s="34"/>
      <c r="D969" s="77"/>
      <c r="E969" s="77"/>
      <c r="F969" s="77"/>
      <c r="G969" s="77"/>
      <c r="H969" s="91"/>
      <c r="I969" s="89"/>
      <c r="J969" s="77"/>
      <c r="K969" s="110"/>
      <c r="L969" s="107"/>
      <c r="M969" s="109"/>
      <c r="N969" s="11" t="str">
        <f t="shared" si="32"/>
        <v/>
      </c>
      <c r="O969" s="32" t="str">
        <f t="shared" si="33"/>
        <v/>
      </c>
    </row>
    <row r="970" spans="2:15" ht="15" customHeight="1" x14ac:dyDescent="0.4">
      <c r="B970" s="10">
        <v>1294</v>
      </c>
      <c r="C970" s="34"/>
      <c r="D970" s="77"/>
      <c r="E970" s="77"/>
      <c r="F970" s="77"/>
      <c r="G970" s="77"/>
      <c r="H970" s="91"/>
      <c r="I970" s="89"/>
      <c r="J970" s="77"/>
      <c r="K970" s="110"/>
      <c r="L970" s="107"/>
      <c r="M970" s="109"/>
      <c r="N970" s="11" t="str">
        <f t="shared" si="32"/>
        <v/>
      </c>
      <c r="O970" s="32" t="str">
        <f t="shared" si="33"/>
        <v/>
      </c>
    </row>
    <row r="971" spans="2:15" ht="15" customHeight="1" x14ac:dyDescent="0.4">
      <c r="B971" s="10">
        <v>1295</v>
      </c>
      <c r="C971" s="34"/>
      <c r="D971" s="77"/>
      <c r="E971" s="77"/>
      <c r="F971" s="77"/>
      <c r="G971" s="77"/>
      <c r="H971" s="91"/>
      <c r="I971" s="89"/>
      <c r="J971" s="77"/>
      <c r="K971" s="110"/>
      <c r="L971" s="107"/>
      <c r="M971" s="109"/>
      <c r="N971" s="11" t="str">
        <f t="shared" si="32"/>
        <v/>
      </c>
      <c r="O971" s="32" t="str">
        <f t="shared" si="33"/>
        <v/>
      </c>
    </row>
    <row r="972" spans="2:15" ht="15" customHeight="1" x14ac:dyDescent="0.4">
      <c r="B972" s="10">
        <v>1296</v>
      </c>
      <c r="C972" s="34"/>
      <c r="D972" s="77"/>
      <c r="E972" s="77"/>
      <c r="F972" s="77"/>
      <c r="G972" s="77"/>
      <c r="H972" s="91"/>
      <c r="I972" s="89"/>
      <c r="J972" s="77"/>
      <c r="K972" s="110"/>
      <c r="L972" s="107"/>
      <c r="M972" s="109"/>
      <c r="N972" s="11" t="str">
        <f t="shared" si="32"/>
        <v/>
      </c>
      <c r="O972" s="32" t="str">
        <f t="shared" si="33"/>
        <v/>
      </c>
    </row>
    <row r="973" spans="2:15" ht="15" customHeight="1" x14ac:dyDescent="0.4">
      <c r="B973" s="10">
        <v>1297</v>
      </c>
      <c r="C973" s="34"/>
      <c r="D973" s="77"/>
      <c r="E973" s="77"/>
      <c r="F973" s="77"/>
      <c r="G973" s="77"/>
      <c r="H973" s="91"/>
      <c r="I973" s="89"/>
      <c r="J973" s="77"/>
      <c r="K973" s="110"/>
      <c r="L973" s="107"/>
      <c r="M973" s="109"/>
      <c r="N973" s="11" t="str">
        <f t="shared" si="32"/>
        <v/>
      </c>
      <c r="O973" s="32" t="str">
        <f t="shared" si="33"/>
        <v/>
      </c>
    </row>
    <row r="974" spans="2:15" ht="15" customHeight="1" x14ac:dyDescent="0.4">
      <c r="B974" s="10">
        <v>1298</v>
      </c>
      <c r="C974" s="34"/>
      <c r="D974" s="77"/>
      <c r="E974" s="77"/>
      <c r="F974" s="77"/>
      <c r="G974" s="77"/>
      <c r="H974" s="91"/>
      <c r="I974" s="89"/>
      <c r="J974" s="77"/>
      <c r="K974" s="110"/>
      <c r="L974" s="107"/>
      <c r="M974" s="109"/>
      <c r="N974" s="11" t="str">
        <f t="shared" si="32"/>
        <v/>
      </c>
      <c r="O974" s="32" t="str">
        <f t="shared" si="33"/>
        <v/>
      </c>
    </row>
    <row r="975" spans="2:15" ht="15" customHeight="1" x14ac:dyDescent="0.4">
      <c r="B975" s="10">
        <v>1299</v>
      </c>
      <c r="C975" s="34"/>
      <c r="D975" s="77"/>
      <c r="E975" s="77"/>
      <c r="F975" s="77"/>
      <c r="G975" s="77"/>
      <c r="H975" s="91"/>
      <c r="I975" s="89"/>
      <c r="J975" s="77"/>
      <c r="K975" s="110"/>
      <c r="L975" s="107"/>
      <c r="M975" s="109"/>
      <c r="N975" s="11" t="str">
        <f t="shared" si="32"/>
        <v/>
      </c>
      <c r="O975" s="32" t="str">
        <f t="shared" si="33"/>
        <v/>
      </c>
    </row>
    <row r="976" spans="2:15" ht="15" customHeight="1" x14ac:dyDescent="0.4">
      <c r="B976" s="10">
        <v>1300</v>
      </c>
      <c r="C976" s="34"/>
      <c r="D976" s="77"/>
      <c r="E976" s="77"/>
      <c r="F976" s="77"/>
      <c r="G976" s="77"/>
      <c r="H976" s="91"/>
      <c r="I976" s="89"/>
      <c r="J976" s="77"/>
      <c r="K976" s="110"/>
      <c r="L976" s="107"/>
      <c r="M976" s="109"/>
      <c r="N976" s="11" t="str">
        <f t="shared" si="32"/>
        <v/>
      </c>
      <c r="O976" s="32" t="str">
        <f t="shared" si="33"/>
        <v/>
      </c>
    </row>
    <row r="977" spans="2:15" ht="15" customHeight="1" x14ac:dyDescent="0.4">
      <c r="B977" s="10">
        <v>1301</v>
      </c>
      <c r="C977" s="34"/>
      <c r="D977" s="77"/>
      <c r="E977" s="77"/>
      <c r="F977" s="77"/>
      <c r="G977" s="77"/>
      <c r="H977" s="91"/>
      <c r="I977" s="89"/>
      <c r="J977" s="77"/>
      <c r="K977" s="110"/>
      <c r="L977" s="107"/>
      <c r="M977" s="109"/>
      <c r="N977" s="11" t="str">
        <f t="shared" si="32"/>
        <v/>
      </c>
      <c r="O977" s="32" t="str">
        <f t="shared" si="33"/>
        <v/>
      </c>
    </row>
    <row r="978" spans="2:15" ht="15" customHeight="1" x14ac:dyDescent="0.4">
      <c r="B978" s="10">
        <v>1302</v>
      </c>
      <c r="C978" s="34"/>
      <c r="D978" s="77"/>
      <c r="E978" s="77"/>
      <c r="F978" s="77"/>
      <c r="G978" s="77"/>
      <c r="H978" s="91"/>
      <c r="I978" s="89"/>
      <c r="J978" s="77"/>
      <c r="K978" s="110"/>
      <c r="L978" s="107"/>
      <c r="M978" s="109"/>
      <c r="N978" s="11" t="str">
        <f t="shared" si="32"/>
        <v/>
      </c>
      <c r="O978" s="32" t="str">
        <f t="shared" si="33"/>
        <v/>
      </c>
    </row>
    <row r="979" spans="2:15" ht="15" customHeight="1" x14ac:dyDescent="0.4">
      <c r="B979" s="10">
        <v>1303</v>
      </c>
      <c r="C979" s="34"/>
      <c r="D979" s="77"/>
      <c r="E979" s="77"/>
      <c r="F979" s="77"/>
      <c r="G979" s="77"/>
      <c r="H979" s="91"/>
      <c r="I979" s="89"/>
      <c r="J979" s="77"/>
      <c r="K979" s="110"/>
      <c r="L979" s="107"/>
      <c r="M979" s="109"/>
      <c r="N979" s="11" t="str">
        <f t="shared" si="32"/>
        <v/>
      </c>
      <c r="O979" s="32" t="str">
        <f t="shared" si="33"/>
        <v/>
      </c>
    </row>
    <row r="980" spans="2:15" ht="15" customHeight="1" x14ac:dyDescent="0.4">
      <c r="B980" s="10">
        <v>1304</v>
      </c>
      <c r="C980" s="34"/>
      <c r="D980" s="77"/>
      <c r="E980" s="77"/>
      <c r="F980" s="77"/>
      <c r="G980" s="77"/>
      <c r="H980" s="91"/>
      <c r="I980" s="89"/>
      <c r="J980" s="77"/>
      <c r="K980" s="110"/>
      <c r="L980" s="107"/>
      <c r="M980" s="109"/>
      <c r="N980" s="11" t="str">
        <f t="shared" si="32"/>
        <v/>
      </c>
      <c r="O980" s="32" t="str">
        <f t="shared" si="33"/>
        <v/>
      </c>
    </row>
    <row r="981" spans="2:15" ht="15" customHeight="1" x14ac:dyDescent="0.4">
      <c r="B981" s="10">
        <v>1305</v>
      </c>
      <c r="C981" s="34"/>
      <c r="D981" s="77"/>
      <c r="E981" s="77"/>
      <c r="F981" s="77"/>
      <c r="G981" s="77"/>
      <c r="H981" s="91"/>
      <c r="I981" s="89"/>
      <c r="J981" s="77"/>
      <c r="K981" s="110"/>
      <c r="L981" s="107"/>
      <c r="M981" s="109"/>
      <c r="N981" s="11" t="str">
        <f t="shared" si="32"/>
        <v/>
      </c>
      <c r="O981" s="32" t="str">
        <f t="shared" si="33"/>
        <v/>
      </c>
    </row>
    <row r="982" spans="2:15" ht="15" customHeight="1" x14ac:dyDescent="0.4">
      <c r="B982" s="10">
        <v>1306</v>
      </c>
      <c r="C982" s="34"/>
      <c r="D982" s="77"/>
      <c r="E982" s="77"/>
      <c r="F982" s="77"/>
      <c r="G982" s="77"/>
      <c r="H982" s="91"/>
      <c r="I982" s="89"/>
      <c r="J982" s="77"/>
      <c r="K982" s="110"/>
      <c r="L982" s="107"/>
      <c r="M982" s="109"/>
      <c r="N982" s="11" t="str">
        <f t="shared" si="32"/>
        <v/>
      </c>
      <c r="O982" s="32" t="str">
        <f t="shared" si="33"/>
        <v/>
      </c>
    </row>
    <row r="983" spans="2:15" ht="15" customHeight="1" x14ac:dyDescent="0.4">
      <c r="B983" s="10">
        <v>1307</v>
      </c>
      <c r="C983" s="34"/>
      <c r="D983" s="77"/>
      <c r="E983" s="77"/>
      <c r="F983" s="77"/>
      <c r="G983" s="77"/>
      <c r="H983" s="91"/>
      <c r="I983" s="89"/>
      <c r="J983" s="77"/>
      <c r="K983" s="110"/>
      <c r="L983" s="107"/>
      <c r="M983" s="109"/>
      <c r="N983" s="11" t="str">
        <f t="shared" si="32"/>
        <v/>
      </c>
      <c r="O983" s="32" t="str">
        <f t="shared" si="33"/>
        <v/>
      </c>
    </row>
    <row r="984" spans="2:15" ht="15" customHeight="1" x14ac:dyDescent="0.4">
      <c r="B984" s="10">
        <v>1308</v>
      </c>
      <c r="C984" s="34"/>
      <c r="D984" s="77"/>
      <c r="E984" s="77"/>
      <c r="F984" s="77"/>
      <c r="G984" s="77"/>
      <c r="H984" s="91"/>
      <c r="I984" s="89"/>
      <c r="J984" s="77"/>
      <c r="K984" s="110"/>
      <c r="L984" s="107"/>
      <c r="M984" s="109"/>
      <c r="N984" s="11" t="str">
        <f t="shared" si="32"/>
        <v/>
      </c>
      <c r="O984" s="32" t="str">
        <f t="shared" si="33"/>
        <v/>
      </c>
    </row>
    <row r="985" spans="2:15" ht="15" customHeight="1" x14ac:dyDescent="0.4">
      <c r="B985" s="10">
        <v>1309</v>
      </c>
      <c r="C985" s="34"/>
      <c r="D985" s="77"/>
      <c r="E985" s="77"/>
      <c r="F985" s="77"/>
      <c r="G985" s="77"/>
      <c r="H985" s="91"/>
      <c r="I985" s="89"/>
      <c r="J985" s="77"/>
      <c r="K985" s="110"/>
      <c r="L985" s="107"/>
      <c r="M985" s="109"/>
      <c r="N985" s="11" t="str">
        <f t="shared" si="32"/>
        <v/>
      </c>
      <c r="O985" s="32" t="str">
        <f t="shared" si="33"/>
        <v/>
      </c>
    </row>
    <row r="986" spans="2:15" ht="15" customHeight="1" x14ac:dyDescent="0.4">
      <c r="B986" s="10">
        <v>1310</v>
      </c>
      <c r="C986" s="34"/>
      <c r="D986" s="77"/>
      <c r="E986" s="77"/>
      <c r="F986" s="77"/>
      <c r="G986" s="77"/>
      <c r="H986" s="91"/>
      <c r="I986" s="89"/>
      <c r="J986" s="77"/>
      <c r="K986" s="110"/>
      <c r="L986" s="107"/>
      <c r="M986" s="109"/>
      <c r="N986" s="11" t="str">
        <f t="shared" si="32"/>
        <v/>
      </c>
      <c r="O986" s="32" t="str">
        <f t="shared" si="33"/>
        <v/>
      </c>
    </row>
    <row r="987" spans="2:15" ht="15" customHeight="1" x14ac:dyDescent="0.4">
      <c r="B987" s="10">
        <v>1311</v>
      </c>
      <c r="C987" s="34"/>
      <c r="D987" s="77"/>
      <c r="E987" s="77"/>
      <c r="F987" s="77"/>
      <c r="G987" s="77"/>
      <c r="H987" s="91"/>
      <c r="I987" s="89"/>
      <c r="J987" s="77"/>
      <c r="K987" s="110"/>
      <c r="L987" s="107"/>
      <c r="M987" s="109"/>
      <c r="N987" s="11" t="str">
        <f t="shared" si="32"/>
        <v/>
      </c>
      <c r="O987" s="32" t="str">
        <f t="shared" si="33"/>
        <v/>
      </c>
    </row>
    <row r="988" spans="2:15" ht="15" customHeight="1" x14ac:dyDescent="0.4">
      <c r="B988" s="10">
        <v>1312</v>
      </c>
      <c r="C988" s="34"/>
      <c r="D988" s="77"/>
      <c r="E988" s="77"/>
      <c r="F988" s="77"/>
      <c r="G988" s="77"/>
      <c r="H988" s="91"/>
      <c r="I988" s="89"/>
      <c r="J988" s="77"/>
      <c r="K988" s="110"/>
      <c r="L988" s="107"/>
      <c r="M988" s="109"/>
      <c r="N988" s="11" t="str">
        <f t="shared" si="32"/>
        <v/>
      </c>
      <c r="O988" s="32" t="str">
        <f t="shared" si="33"/>
        <v/>
      </c>
    </row>
    <row r="989" spans="2:15" ht="15" customHeight="1" x14ac:dyDescent="0.4">
      <c r="B989" s="10">
        <v>1313</v>
      </c>
      <c r="C989" s="34"/>
      <c r="D989" s="77"/>
      <c r="E989" s="77"/>
      <c r="F989" s="77"/>
      <c r="G989" s="77"/>
      <c r="H989" s="91"/>
      <c r="I989" s="89"/>
      <c r="J989" s="77"/>
      <c r="K989" s="110"/>
      <c r="L989" s="107"/>
      <c r="M989" s="109"/>
      <c r="N989" s="11" t="str">
        <f t="shared" si="32"/>
        <v/>
      </c>
      <c r="O989" s="32" t="str">
        <f t="shared" si="33"/>
        <v/>
      </c>
    </row>
    <row r="990" spans="2:15" ht="15" customHeight="1" x14ac:dyDescent="0.4">
      <c r="B990" s="10">
        <v>1314</v>
      </c>
      <c r="C990" s="34"/>
      <c r="D990" s="77"/>
      <c r="E990" s="77"/>
      <c r="F990" s="77"/>
      <c r="G990" s="77"/>
      <c r="H990" s="91"/>
      <c r="I990" s="89"/>
      <c r="J990" s="77"/>
      <c r="K990" s="110"/>
      <c r="L990" s="107"/>
      <c r="M990" s="109"/>
      <c r="N990" s="11" t="str">
        <f t="shared" si="32"/>
        <v/>
      </c>
      <c r="O990" s="32" t="str">
        <f t="shared" si="33"/>
        <v/>
      </c>
    </row>
    <row r="991" spans="2:15" ht="15" customHeight="1" x14ac:dyDescent="0.4">
      <c r="B991" s="10">
        <v>1315</v>
      </c>
      <c r="C991" s="34"/>
      <c r="D991" s="77"/>
      <c r="E991" s="77"/>
      <c r="F991" s="77"/>
      <c r="G991" s="77"/>
      <c r="H991" s="91"/>
      <c r="I991" s="89"/>
      <c r="J991" s="77"/>
      <c r="K991" s="110"/>
      <c r="L991" s="107"/>
      <c r="M991" s="109"/>
      <c r="N991" s="11" t="str">
        <f t="shared" si="32"/>
        <v/>
      </c>
      <c r="O991" s="32" t="str">
        <f t="shared" si="33"/>
        <v/>
      </c>
    </row>
    <row r="992" spans="2:15" ht="15" customHeight="1" x14ac:dyDescent="0.4">
      <c r="B992" s="10">
        <v>1316</v>
      </c>
      <c r="C992" s="34"/>
      <c r="D992" s="77"/>
      <c r="E992" s="77"/>
      <c r="F992" s="77"/>
      <c r="G992" s="77"/>
      <c r="H992" s="91"/>
      <c r="I992" s="89"/>
      <c r="J992" s="77"/>
      <c r="K992" s="110"/>
      <c r="L992" s="107"/>
      <c r="M992" s="109"/>
      <c r="N992" s="11" t="str">
        <f t="shared" si="32"/>
        <v/>
      </c>
      <c r="O992" s="32" t="str">
        <f t="shared" si="33"/>
        <v/>
      </c>
    </row>
    <row r="993" spans="2:15" ht="15" customHeight="1" x14ac:dyDescent="0.4">
      <c r="B993" s="10">
        <v>1317</v>
      </c>
      <c r="C993" s="34"/>
      <c r="D993" s="77"/>
      <c r="E993" s="77"/>
      <c r="F993" s="77"/>
      <c r="G993" s="77"/>
      <c r="H993" s="91"/>
      <c r="I993" s="89"/>
      <c r="J993" s="77"/>
      <c r="K993" s="110"/>
      <c r="L993" s="107"/>
      <c r="M993" s="109"/>
      <c r="N993" s="11" t="str">
        <f t="shared" si="32"/>
        <v/>
      </c>
      <c r="O993" s="32" t="str">
        <f t="shared" si="33"/>
        <v/>
      </c>
    </row>
    <row r="994" spans="2:15" ht="15" customHeight="1" x14ac:dyDescent="0.4">
      <c r="B994" s="10">
        <v>1318</v>
      </c>
      <c r="C994" s="34"/>
      <c r="D994" s="77"/>
      <c r="E994" s="77"/>
      <c r="F994" s="77"/>
      <c r="G994" s="77"/>
      <c r="H994" s="91"/>
      <c r="I994" s="89"/>
      <c r="J994" s="77"/>
      <c r="K994" s="110"/>
      <c r="L994" s="107"/>
      <c r="M994" s="109"/>
      <c r="N994" s="11" t="str">
        <f t="shared" si="32"/>
        <v/>
      </c>
      <c r="O994" s="32" t="str">
        <f t="shared" si="33"/>
        <v/>
      </c>
    </row>
    <row r="995" spans="2:15" ht="15" customHeight="1" x14ac:dyDescent="0.4">
      <c r="B995" s="10">
        <v>1319</v>
      </c>
      <c r="C995" s="34"/>
      <c r="D995" s="77"/>
      <c r="E995" s="77"/>
      <c r="F995" s="77"/>
      <c r="G995" s="77"/>
      <c r="H995" s="91"/>
      <c r="I995" s="89"/>
      <c r="J995" s="77"/>
      <c r="K995" s="110"/>
      <c r="L995" s="107"/>
      <c r="M995" s="109"/>
      <c r="N995" s="11" t="str">
        <f t="shared" si="32"/>
        <v/>
      </c>
      <c r="O995" s="32" t="str">
        <f t="shared" si="33"/>
        <v/>
      </c>
    </row>
    <row r="996" spans="2:15" ht="15" customHeight="1" x14ac:dyDescent="0.4">
      <c r="B996" s="10">
        <v>1320</v>
      </c>
      <c r="C996" s="34"/>
      <c r="D996" s="77"/>
      <c r="E996" s="77"/>
      <c r="F996" s="77"/>
      <c r="G996" s="77"/>
      <c r="H996" s="91"/>
      <c r="I996" s="89"/>
      <c r="J996" s="77"/>
      <c r="K996" s="110"/>
      <c r="L996" s="107"/>
      <c r="M996" s="109"/>
      <c r="N996" s="11" t="str">
        <f t="shared" si="32"/>
        <v/>
      </c>
      <c r="O996" s="32" t="str">
        <f t="shared" si="33"/>
        <v/>
      </c>
    </row>
    <row r="997" spans="2:15" ht="15" customHeight="1" x14ac:dyDescent="0.4">
      <c r="B997" s="10">
        <v>1321</v>
      </c>
      <c r="C997" s="34"/>
      <c r="D997" s="77"/>
      <c r="E997" s="77"/>
      <c r="F997" s="77"/>
      <c r="G997" s="77"/>
      <c r="H997" s="91"/>
      <c r="I997" s="89"/>
      <c r="J997" s="77"/>
      <c r="K997" s="110"/>
      <c r="L997" s="107"/>
      <c r="M997" s="109"/>
      <c r="N997" s="11" t="str">
        <f t="shared" si="32"/>
        <v/>
      </c>
      <c r="O997" s="32" t="str">
        <f t="shared" si="33"/>
        <v/>
      </c>
    </row>
    <row r="998" spans="2:15" ht="15" customHeight="1" x14ac:dyDescent="0.4">
      <c r="B998" s="10">
        <v>1322</v>
      </c>
      <c r="C998" s="34"/>
      <c r="D998" s="77"/>
      <c r="E998" s="77"/>
      <c r="F998" s="77"/>
      <c r="G998" s="77"/>
      <c r="H998" s="91"/>
      <c r="I998" s="89"/>
      <c r="J998" s="77"/>
      <c r="K998" s="110"/>
      <c r="L998" s="107"/>
      <c r="M998" s="109"/>
      <c r="N998" s="11" t="str">
        <f t="shared" si="32"/>
        <v/>
      </c>
      <c r="O998" s="32" t="str">
        <f t="shared" si="33"/>
        <v/>
      </c>
    </row>
    <row r="999" spans="2:15" ht="15" customHeight="1" x14ac:dyDescent="0.4">
      <c r="B999" s="10">
        <v>1323</v>
      </c>
      <c r="C999" s="34"/>
      <c r="D999" s="77"/>
      <c r="E999" s="77"/>
      <c r="F999" s="77"/>
      <c r="G999" s="77"/>
      <c r="H999" s="91"/>
      <c r="I999" s="89"/>
      <c r="J999" s="77"/>
      <c r="K999" s="110"/>
      <c r="L999" s="107"/>
      <c r="M999" s="109"/>
      <c r="N999" s="11" t="str">
        <f t="shared" si="32"/>
        <v/>
      </c>
      <c r="O999" s="32" t="str">
        <f t="shared" si="33"/>
        <v/>
      </c>
    </row>
    <row r="1000" spans="2:15" ht="15" customHeight="1" x14ac:dyDescent="0.4">
      <c r="B1000" s="10">
        <v>1324</v>
      </c>
      <c r="C1000" s="34"/>
      <c r="D1000" s="77"/>
      <c r="E1000" s="77"/>
      <c r="F1000" s="77"/>
      <c r="G1000" s="77"/>
      <c r="H1000" s="91"/>
      <c r="I1000" s="89"/>
      <c r="J1000" s="77"/>
      <c r="K1000" s="110"/>
      <c r="L1000" s="107"/>
      <c r="M1000" s="109"/>
      <c r="N1000" s="11" t="str">
        <f t="shared" si="32"/>
        <v/>
      </c>
      <c r="O1000" s="32" t="str">
        <f t="shared" si="33"/>
        <v/>
      </c>
    </row>
    <row r="1001" spans="2:15" ht="15" customHeight="1" x14ac:dyDescent="0.4">
      <c r="B1001" s="10">
        <v>1325</v>
      </c>
      <c r="C1001" s="34"/>
      <c r="D1001" s="77"/>
      <c r="E1001" s="77"/>
      <c r="F1001" s="77"/>
      <c r="G1001" s="77"/>
      <c r="H1001" s="91"/>
      <c r="I1001" s="89"/>
      <c r="J1001" s="77"/>
      <c r="K1001" s="110"/>
      <c r="L1001" s="107"/>
      <c r="M1001" s="109"/>
      <c r="N1001" s="11" t="str">
        <f t="shared" si="32"/>
        <v/>
      </c>
      <c r="O1001" s="32" t="str">
        <f t="shared" si="33"/>
        <v/>
      </c>
    </row>
    <row r="1002" spans="2:15" ht="15" customHeight="1" x14ac:dyDescent="0.4">
      <c r="B1002" s="10">
        <v>1326</v>
      </c>
      <c r="C1002" s="34"/>
      <c r="D1002" s="77"/>
      <c r="E1002" s="77"/>
      <c r="F1002" s="77"/>
      <c r="G1002" s="77"/>
      <c r="H1002" s="91"/>
      <c r="I1002" s="89"/>
      <c r="J1002" s="77"/>
      <c r="K1002" s="110"/>
      <c r="L1002" s="107"/>
      <c r="M1002" s="109"/>
      <c r="N1002" s="11" t="str">
        <f t="shared" si="32"/>
        <v/>
      </c>
      <c r="O1002" s="32" t="str">
        <f t="shared" si="33"/>
        <v/>
      </c>
    </row>
    <row r="1003" spans="2:15" ht="15" customHeight="1" x14ac:dyDescent="0.4">
      <c r="B1003" s="10">
        <v>1327</v>
      </c>
      <c r="C1003" s="34"/>
      <c r="D1003" s="77"/>
      <c r="E1003" s="77"/>
      <c r="F1003" s="77"/>
      <c r="G1003" s="77"/>
      <c r="H1003" s="91"/>
      <c r="I1003" s="89"/>
      <c r="J1003" s="77"/>
      <c r="K1003" s="110"/>
      <c r="L1003" s="107"/>
      <c r="M1003" s="109"/>
      <c r="N1003" s="11" t="str">
        <f t="shared" si="32"/>
        <v/>
      </c>
      <c r="O1003" s="32" t="str">
        <f t="shared" si="33"/>
        <v/>
      </c>
    </row>
    <row r="1004" spans="2:15" ht="15" customHeight="1" x14ac:dyDescent="0.4">
      <c r="B1004" s="10">
        <v>1328</v>
      </c>
      <c r="C1004" s="34"/>
      <c r="D1004" s="77"/>
      <c r="E1004" s="77"/>
      <c r="F1004" s="77"/>
      <c r="G1004" s="77"/>
      <c r="H1004" s="91"/>
      <c r="I1004" s="89"/>
      <c r="J1004" s="77"/>
      <c r="K1004" s="110"/>
      <c r="L1004" s="107"/>
      <c r="M1004" s="109"/>
      <c r="N1004" s="11" t="str">
        <f t="shared" si="32"/>
        <v/>
      </c>
      <c r="O1004" s="32" t="str">
        <f t="shared" si="33"/>
        <v/>
      </c>
    </row>
    <row r="1005" spans="2:15" ht="15" customHeight="1" x14ac:dyDescent="0.4">
      <c r="B1005" s="10">
        <v>1329</v>
      </c>
      <c r="C1005" s="34"/>
      <c r="D1005" s="77"/>
      <c r="E1005" s="77"/>
      <c r="F1005" s="77"/>
      <c r="G1005" s="77"/>
      <c r="H1005" s="91"/>
      <c r="I1005" s="89"/>
      <c r="J1005" s="77"/>
      <c r="K1005" s="110"/>
      <c r="L1005" s="107"/>
      <c r="M1005" s="109"/>
      <c r="N1005" s="11" t="str">
        <f t="shared" si="32"/>
        <v/>
      </c>
      <c r="O1005" s="32" t="str">
        <f t="shared" si="33"/>
        <v/>
      </c>
    </row>
    <row r="1006" spans="2:15" ht="15" customHeight="1" x14ac:dyDescent="0.4">
      <c r="B1006" s="10">
        <v>1330</v>
      </c>
      <c r="C1006" s="34"/>
      <c r="D1006" s="77"/>
      <c r="E1006" s="77"/>
      <c r="F1006" s="77"/>
      <c r="G1006" s="77"/>
      <c r="H1006" s="91"/>
      <c r="I1006" s="89"/>
      <c r="J1006" s="77"/>
      <c r="K1006" s="110"/>
      <c r="L1006" s="107"/>
      <c r="M1006" s="109"/>
      <c r="N1006" s="11" t="str">
        <f t="shared" si="32"/>
        <v/>
      </c>
      <c r="O1006" s="32" t="str">
        <f t="shared" si="33"/>
        <v/>
      </c>
    </row>
    <row r="1007" spans="2:15" ht="15" customHeight="1" x14ac:dyDescent="0.4">
      <c r="B1007" s="10">
        <v>1331</v>
      </c>
      <c r="C1007" s="34"/>
      <c r="D1007" s="77"/>
      <c r="E1007" s="77"/>
      <c r="F1007" s="77"/>
      <c r="G1007" s="77"/>
      <c r="H1007" s="91"/>
      <c r="I1007" s="89"/>
      <c r="J1007" s="77"/>
      <c r="K1007" s="110"/>
      <c r="L1007" s="107"/>
      <c r="M1007" s="109"/>
      <c r="N1007" s="11" t="str">
        <f t="shared" si="32"/>
        <v/>
      </c>
      <c r="O1007" s="32" t="str">
        <f t="shared" si="33"/>
        <v/>
      </c>
    </row>
    <row r="1008" spans="2:15" ht="15" customHeight="1" x14ac:dyDescent="0.4">
      <c r="B1008" s="10">
        <v>1332</v>
      </c>
      <c r="C1008" s="34"/>
      <c r="D1008" s="77"/>
      <c r="E1008" s="77"/>
      <c r="F1008" s="77"/>
      <c r="G1008" s="77"/>
      <c r="H1008" s="91"/>
      <c r="I1008" s="89"/>
      <c r="J1008" s="77"/>
      <c r="K1008" s="110"/>
      <c r="L1008" s="107"/>
      <c r="M1008" s="109"/>
      <c r="N1008" s="11" t="str">
        <f t="shared" si="32"/>
        <v/>
      </c>
      <c r="O1008" s="32" t="str">
        <f t="shared" si="33"/>
        <v/>
      </c>
    </row>
    <row r="1009" spans="2:15" ht="15" customHeight="1" x14ac:dyDescent="0.4">
      <c r="B1009" s="10">
        <v>1333</v>
      </c>
      <c r="C1009" s="34"/>
      <c r="D1009" s="77"/>
      <c r="E1009" s="77"/>
      <c r="F1009" s="77"/>
      <c r="G1009" s="77"/>
      <c r="H1009" s="91"/>
      <c r="I1009" s="89"/>
      <c r="J1009" s="77"/>
      <c r="K1009" s="110"/>
      <c r="L1009" s="107"/>
      <c r="M1009" s="109"/>
      <c r="N1009" s="11" t="str">
        <f t="shared" si="32"/>
        <v/>
      </c>
      <c r="O1009" s="32" t="str">
        <f t="shared" si="33"/>
        <v/>
      </c>
    </row>
    <row r="1010" spans="2:15" ht="15" customHeight="1" x14ac:dyDescent="0.4">
      <c r="B1010" s="10">
        <v>1334</v>
      </c>
      <c r="C1010" s="34"/>
      <c r="D1010" s="77"/>
      <c r="E1010" s="77"/>
      <c r="F1010" s="77"/>
      <c r="G1010" s="77"/>
      <c r="H1010" s="91"/>
      <c r="I1010" s="89"/>
      <c r="J1010" s="77"/>
      <c r="K1010" s="110"/>
      <c r="L1010" s="107"/>
      <c r="M1010" s="109"/>
      <c r="N1010" s="11" t="str">
        <f t="shared" si="32"/>
        <v/>
      </c>
      <c r="O1010" s="32" t="str">
        <f t="shared" si="33"/>
        <v/>
      </c>
    </row>
    <row r="1011" spans="2:15" ht="15" customHeight="1" x14ac:dyDescent="0.4">
      <c r="B1011" s="10">
        <v>1335</v>
      </c>
      <c r="C1011" s="34"/>
      <c r="D1011" s="77"/>
      <c r="E1011" s="77"/>
      <c r="F1011" s="77"/>
      <c r="G1011" s="77"/>
      <c r="H1011" s="91"/>
      <c r="I1011" s="89"/>
      <c r="J1011" s="77"/>
      <c r="K1011" s="110"/>
      <c r="L1011" s="107"/>
      <c r="M1011" s="109"/>
      <c r="N1011" s="11" t="str">
        <f t="shared" si="32"/>
        <v/>
      </c>
      <c r="O1011" s="32" t="str">
        <f t="shared" si="33"/>
        <v/>
      </c>
    </row>
    <row r="1012" spans="2:15" ht="15" customHeight="1" x14ac:dyDescent="0.4">
      <c r="B1012" s="10">
        <v>1336</v>
      </c>
      <c r="C1012" s="34"/>
      <c r="D1012" s="77"/>
      <c r="E1012" s="77"/>
      <c r="F1012" s="77"/>
      <c r="G1012" s="77"/>
      <c r="H1012" s="91"/>
      <c r="I1012" s="89"/>
      <c r="J1012" s="77"/>
      <c r="K1012" s="110"/>
      <c r="L1012" s="107"/>
      <c r="M1012" s="109"/>
      <c r="N1012" s="11" t="str">
        <f t="shared" si="32"/>
        <v/>
      </c>
      <c r="O1012" s="32" t="str">
        <f t="shared" si="33"/>
        <v/>
      </c>
    </row>
    <row r="1013" spans="2:15" ht="15" customHeight="1" x14ac:dyDescent="0.4">
      <c r="B1013" s="10">
        <v>1337</v>
      </c>
      <c r="C1013" s="34"/>
      <c r="D1013" s="77"/>
      <c r="E1013" s="77"/>
      <c r="F1013" s="77"/>
      <c r="G1013" s="77"/>
      <c r="H1013" s="91"/>
      <c r="I1013" s="89"/>
      <c r="J1013" s="77"/>
      <c r="K1013" s="110"/>
      <c r="L1013" s="107"/>
      <c r="M1013" s="109"/>
      <c r="N1013" s="11" t="str">
        <f t="shared" si="32"/>
        <v/>
      </c>
      <c r="O1013" s="32" t="str">
        <f t="shared" si="33"/>
        <v/>
      </c>
    </row>
    <row r="1014" spans="2:15" ht="15" customHeight="1" x14ac:dyDescent="0.4">
      <c r="B1014" s="10">
        <v>1338</v>
      </c>
      <c r="C1014" s="34"/>
      <c r="D1014" s="77"/>
      <c r="E1014" s="77"/>
      <c r="F1014" s="77"/>
      <c r="G1014" s="77"/>
      <c r="H1014" s="91"/>
      <c r="I1014" s="89"/>
      <c r="J1014" s="77"/>
      <c r="K1014" s="110"/>
      <c r="L1014" s="107"/>
      <c r="M1014" s="109"/>
      <c r="N1014" s="11" t="str">
        <f t="shared" si="32"/>
        <v/>
      </c>
      <c r="O1014" s="32" t="str">
        <f t="shared" si="33"/>
        <v/>
      </c>
    </row>
    <row r="1015" spans="2:15" ht="15" customHeight="1" x14ac:dyDescent="0.4">
      <c r="B1015" s="10">
        <v>1339</v>
      </c>
      <c r="C1015" s="34"/>
      <c r="D1015" s="77"/>
      <c r="E1015" s="77"/>
      <c r="F1015" s="77"/>
      <c r="G1015" s="77"/>
      <c r="H1015" s="91"/>
      <c r="I1015" s="89"/>
      <c r="J1015" s="77"/>
      <c r="K1015" s="110"/>
      <c r="L1015" s="107"/>
      <c r="M1015" s="109"/>
      <c r="N1015" s="11" t="str">
        <f t="shared" si="32"/>
        <v/>
      </c>
      <c r="O1015" s="32" t="str">
        <f t="shared" si="33"/>
        <v/>
      </c>
    </row>
    <row r="1016" spans="2:15" ht="15" customHeight="1" x14ac:dyDescent="0.4">
      <c r="B1016" s="10">
        <v>1340</v>
      </c>
      <c r="C1016" s="34"/>
      <c r="D1016" s="77"/>
      <c r="E1016" s="77"/>
      <c r="F1016" s="77"/>
      <c r="G1016" s="77"/>
      <c r="H1016" s="91"/>
      <c r="I1016" s="89"/>
      <c r="J1016" s="77"/>
      <c r="K1016" s="110"/>
      <c r="L1016" s="107"/>
      <c r="M1016" s="109"/>
      <c r="N1016" s="11" t="str">
        <f t="shared" si="32"/>
        <v/>
      </c>
      <c r="O1016" s="32" t="str">
        <f t="shared" si="33"/>
        <v/>
      </c>
    </row>
    <row r="1017" spans="2:15" ht="15" customHeight="1" x14ac:dyDescent="0.4">
      <c r="B1017" s="10">
        <v>1341</v>
      </c>
      <c r="C1017" s="34"/>
      <c r="D1017" s="77"/>
      <c r="E1017" s="77"/>
      <c r="F1017" s="77"/>
      <c r="G1017" s="77"/>
      <c r="H1017" s="91"/>
      <c r="I1017" s="89"/>
      <c r="J1017" s="77"/>
      <c r="K1017" s="110"/>
      <c r="L1017" s="107"/>
      <c r="M1017" s="109"/>
      <c r="N1017" s="11" t="str">
        <f t="shared" si="32"/>
        <v/>
      </c>
      <c r="O1017" s="32" t="str">
        <f t="shared" si="33"/>
        <v/>
      </c>
    </row>
    <row r="1018" spans="2:15" ht="15" customHeight="1" x14ac:dyDescent="0.4">
      <c r="B1018" s="10">
        <v>1342</v>
      </c>
      <c r="C1018" s="34"/>
      <c r="D1018" s="77"/>
      <c r="E1018" s="77"/>
      <c r="F1018" s="77"/>
      <c r="G1018" s="77"/>
      <c r="H1018" s="91"/>
      <c r="I1018" s="89"/>
      <c r="J1018" s="77"/>
      <c r="K1018" s="110"/>
      <c r="L1018" s="107"/>
      <c r="M1018" s="109"/>
      <c r="N1018" s="11" t="str">
        <f t="shared" si="32"/>
        <v/>
      </c>
      <c r="O1018" s="32" t="str">
        <f t="shared" si="33"/>
        <v/>
      </c>
    </row>
    <row r="1019" spans="2:15" ht="15" customHeight="1" x14ac:dyDescent="0.4">
      <c r="B1019" s="10">
        <v>1343</v>
      </c>
      <c r="C1019" s="34"/>
      <c r="D1019" s="77"/>
      <c r="E1019" s="77"/>
      <c r="F1019" s="77"/>
      <c r="G1019" s="77"/>
      <c r="H1019" s="91"/>
      <c r="I1019" s="89"/>
      <c r="J1019" s="77"/>
      <c r="K1019" s="110"/>
      <c r="L1019" s="107"/>
      <c r="M1019" s="109"/>
      <c r="N1019" s="11" t="str">
        <f t="shared" si="32"/>
        <v/>
      </c>
      <c r="O1019" s="32" t="str">
        <f t="shared" si="33"/>
        <v/>
      </c>
    </row>
    <row r="1020" spans="2:15" ht="15" customHeight="1" x14ac:dyDescent="0.4">
      <c r="B1020" s="10">
        <v>1344</v>
      </c>
      <c r="C1020" s="34"/>
      <c r="D1020" s="77"/>
      <c r="E1020" s="77"/>
      <c r="F1020" s="77"/>
      <c r="G1020" s="77"/>
      <c r="H1020" s="91"/>
      <c r="I1020" s="89"/>
      <c r="J1020" s="77"/>
      <c r="K1020" s="110"/>
      <c r="L1020" s="107"/>
      <c r="M1020" s="109"/>
      <c r="N1020" s="11" t="str">
        <f t="shared" si="32"/>
        <v/>
      </c>
      <c r="O1020" s="32" t="str">
        <f t="shared" si="33"/>
        <v/>
      </c>
    </row>
    <row r="1021" spans="2:15" ht="15" customHeight="1" x14ac:dyDescent="0.4">
      <c r="B1021" s="10">
        <v>1345</v>
      </c>
      <c r="C1021" s="34"/>
      <c r="D1021" s="77"/>
      <c r="E1021" s="77"/>
      <c r="F1021" s="77"/>
      <c r="G1021" s="77"/>
      <c r="H1021" s="91"/>
      <c r="I1021" s="89"/>
      <c r="J1021" s="77"/>
      <c r="K1021" s="110"/>
      <c r="L1021" s="107"/>
      <c r="M1021" s="109"/>
      <c r="N1021" s="11" t="str">
        <f t="shared" si="32"/>
        <v/>
      </c>
      <c r="O1021" s="32" t="str">
        <f t="shared" si="33"/>
        <v/>
      </c>
    </row>
    <row r="1022" spans="2:15" ht="15" customHeight="1" x14ac:dyDescent="0.4">
      <c r="B1022" s="10">
        <v>1346</v>
      </c>
      <c r="C1022" s="34"/>
      <c r="D1022" s="77"/>
      <c r="E1022" s="77"/>
      <c r="F1022" s="77"/>
      <c r="G1022" s="77"/>
      <c r="H1022" s="91"/>
      <c r="I1022" s="89"/>
      <c r="J1022" s="77"/>
      <c r="K1022" s="110"/>
      <c r="L1022" s="107"/>
      <c r="M1022" s="109"/>
      <c r="N1022" s="11" t="str">
        <f t="shared" si="32"/>
        <v/>
      </c>
      <c r="O1022" s="32" t="str">
        <f t="shared" si="33"/>
        <v/>
      </c>
    </row>
    <row r="1023" spans="2:15" ht="15" customHeight="1" x14ac:dyDescent="0.4">
      <c r="B1023" s="10">
        <v>1347</v>
      </c>
      <c r="C1023" s="34"/>
      <c r="D1023" s="77"/>
      <c r="E1023" s="77"/>
      <c r="F1023" s="77"/>
      <c r="G1023" s="77"/>
      <c r="H1023" s="91"/>
      <c r="I1023" s="89"/>
      <c r="J1023" s="77"/>
      <c r="K1023" s="110"/>
      <c r="L1023" s="107"/>
      <c r="M1023" s="109"/>
      <c r="N1023" s="11" t="str">
        <f t="shared" si="32"/>
        <v/>
      </c>
      <c r="O1023" s="32" t="str">
        <f t="shared" si="33"/>
        <v/>
      </c>
    </row>
    <row r="1024" spans="2:15" ht="15" customHeight="1" x14ac:dyDescent="0.4">
      <c r="B1024" s="10">
        <v>1348</v>
      </c>
      <c r="C1024" s="34"/>
      <c r="D1024" s="77"/>
      <c r="E1024" s="77"/>
      <c r="F1024" s="77"/>
      <c r="G1024" s="77"/>
      <c r="H1024" s="91"/>
      <c r="I1024" s="89"/>
      <c r="J1024" s="77"/>
      <c r="K1024" s="110"/>
      <c r="L1024" s="107"/>
      <c r="M1024" s="109"/>
      <c r="N1024" s="11" t="str">
        <f t="shared" si="32"/>
        <v/>
      </c>
      <c r="O1024" s="32" t="str">
        <f t="shared" si="33"/>
        <v/>
      </c>
    </row>
    <row r="1025" spans="2:15" ht="15" customHeight="1" x14ac:dyDescent="0.4">
      <c r="B1025" s="10">
        <v>1349</v>
      </c>
      <c r="C1025" s="34"/>
      <c r="D1025" s="77"/>
      <c r="E1025" s="77"/>
      <c r="F1025" s="77"/>
      <c r="G1025" s="77"/>
      <c r="H1025" s="91"/>
      <c r="I1025" s="89"/>
      <c r="J1025" s="77"/>
      <c r="K1025" s="110"/>
      <c r="L1025" s="107"/>
      <c r="M1025" s="109"/>
      <c r="N1025" s="11" t="str">
        <f t="shared" si="32"/>
        <v/>
      </c>
      <c r="O1025" s="32" t="str">
        <f t="shared" si="33"/>
        <v/>
      </c>
    </row>
    <row r="1026" spans="2:15" ht="15" customHeight="1" x14ac:dyDescent="0.4">
      <c r="B1026" s="10">
        <v>1350</v>
      </c>
      <c r="C1026" s="34"/>
      <c r="D1026" s="77"/>
      <c r="E1026" s="77"/>
      <c r="F1026" s="77"/>
      <c r="G1026" s="77"/>
      <c r="H1026" s="91"/>
      <c r="I1026" s="89"/>
      <c r="J1026" s="77"/>
      <c r="K1026" s="110"/>
      <c r="L1026" s="107"/>
      <c r="M1026" s="109"/>
      <c r="N1026" s="11" t="str">
        <f t="shared" si="32"/>
        <v/>
      </c>
      <c r="O1026" s="32" t="str">
        <f t="shared" si="33"/>
        <v/>
      </c>
    </row>
    <row r="1027" spans="2:15" ht="15" customHeight="1" x14ac:dyDescent="0.4">
      <c r="B1027" s="10">
        <v>1351</v>
      </c>
      <c r="C1027" s="34"/>
      <c r="D1027" s="77"/>
      <c r="E1027" s="77"/>
      <c r="F1027" s="77"/>
      <c r="G1027" s="77"/>
      <c r="H1027" s="91"/>
      <c r="I1027" s="89"/>
      <c r="J1027" s="77"/>
      <c r="K1027" s="110"/>
      <c r="L1027" s="107"/>
      <c r="M1027" s="109"/>
      <c r="N1027" s="11" t="str">
        <f t="shared" si="32"/>
        <v/>
      </c>
      <c r="O1027" s="32" t="str">
        <f t="shared" si="33"/>
        <v/>
      </c>
    </row>
    <row r="1028" spans="2:15" ht="15" customHeight="1" x14ac:dyDescent="0.4">
      <c r="B1028" s="10">
        <v>1352</v>
      </c>
      <c r="C1028" s="34"/>
      <c r="D1028" s="77"/>
      <c r="E1028" s="77"/>
      <c r="F1028" s="77"/>
      <c r="G1028" s="77"/>
      <c r="H1028" s="91"/>
      <c r="I1028" s="89"/>
      <c r="J1028" s="77"/>
      <c r="K1028" s="110"/>
      <c r="L1028" s="107"/>
      <c r="M1028" s="109"/>
      <c r="N1028" s="11" t="str">
        <f t="shared" ref="N1028:N1091" si="34">IF(OR(M1028="", K1028=""),"", M1028- K1028)</f>
        <v/>
      </c>
      <c r="O1028" s="32" t="str">
        <f t="shared" ref="O1028:O1091" si="35">IF(OR(M1028="", K1028="", L1028=""), "", IF((M1028 - K1028) &gt; L1028, "No", "Yes"))</f>
        <v/>
      </c>
    </row>
    <row r="1029" spans="2:15" ht="15" customHeight="1" x14ac:dyDescent="0.4">
      <c r="B1029" s="10">
        <v>1353</v>
      </c>
      <c r="C1029" s="34"/>
      <c r="D1029" s="77"/>
      <c r="E1029" s="77"/>
      <c r="F1029" s="77"/>
      <c r="G1029" s="77"/>
      <c r="H1029" s="91"/>
      <c r="I1029" s="89"/>
      <c r="J1029" s="77"/>
      <c r="K1029" s="110"/>
      <c r="L1029" s="107"/>
      <c r="M1029" s="109"/>
      <c r="N1029" s="11" t="str">
        <f t="shared" si="34"/>
        <v/>
      </c>
      <c r="O1029" s="32" t="str">
        <f t="shared" si="35"/>
        <v/>
      </c>
    </row>
    <row r="1030" spans="2:15" ht="15" customHeight="1" x14ac:dyDescent="0.4">
      <c r="B1030" s="10">
        <v>1354</v>
      </c>
      <c r="C1030" s="34"/>
      <c r="D1030" s="77"/>
      <c r="E1030" s="77"/>
      <c r="F1030" s="77"/>
      <c r="G1030" s="77"/>
      <c r="H1030" s="91"/>
      <c r="I1030" s="89"/>
      <c r="J1030" s="77"/>
      <c r="K1030" s="110"/>
      <c r="L1030" s="107"/>
      <c r="M1030" s="109"/>
      <c r="N1030" s="11" t="str">
        <f t="shared" si="34"/>
        <v/>
      </c>
      <c r="O1030" s="32" t="str">
        <f t="shared" si="35"/>
        <v/>
      </c>
    </row>
    <row r="1031" spans="2:15" ht="15" customHeight="1" x14ac:dyDescent="0.4">
      <c r="B1031" s="10">
        <v>1355</v>
      </c>
      <c r="C1031" s="34"/>
      <c r="D1031" s="77"/>
      <c r="E1031" s="77"/>
      <c r="F1031" s="77"/>
      <c r="G1031" s="77"/>
      <c r="H1031" s="91"/>
      <c r="I1031" s="89"/>
      <c r="J1031" s="77"/>
      <c r="K1031" s="110"/>
      <c r="L1031" s="107"/>
      <c r="M1031" s="109"/>
      <c r="N1031" s="11" t="str">
        <f t="shared" si="34"/>
        <v/>
      </c>
      <c r="O1031" s="32" t="str">
        <f t="shared" si="35"/>
        <v/>
      </c>
    </row>
    <row r="1032" spans="2:15" ht="15" customHeight="1" x14ac:dyDescent="0.4">
      <c r="B1032" s="10">
        <v>1356</v>
      </c>
      <c r="C1032" s="34"/>
      <c r="D1032" s="77"/>
      <c r="E1032" s="77"/>
      <c r="F1032" s="77"/>
      <c r="G1032" s="77"/>
      <c r="H1032" s="91"/>
      <c r="I1032" s="89"/>
      <c r="J1032" s="77"/>
      <c r="K1032" s="110"/>
      <c r="L1032" s="107"/>
      <c r="M1032" s="109"/>
      <c r="N1032" s="11" t="str">
        <f t="shared" si="34"/>
        <v/>
      </c>
      <c r="O1032" s="32" t="str">
        <f t="shared" si="35"/>
        <v/>
      </c>
    </row>
    <row r="1033" spans="2:15" ht="15" customHeight="1" x14ac:dyDescent="0.4">
      <c r="B1033" s="10">
        <v>1357</v>
      </c>
      <c r="C1033" s="34"/>
      <c r="D1033" s="77"/>
      <c r="E1033" s="77"/>
      <c r="F1033" s="77"/>
      <c r="G1033" s="77"/>
      <c r="H1033" s="91"/>
      <c r="I1033" s="89"/>
      <c r="J1033" s="77"/>
      <c r="K1033" s="110"/>
      <c r="L1033" s="107"/>
      <c r="M1033" s="109"/>
      <c r="N1033" s="11" t="str">
        <f t="shared" si="34"/>
        <v/>
      </c>
      <c r="O1033" s="32" t="str">
        <f t="shared" si="35"/>
        <v/>
      </c>
    </row>
    <row r="1034" spans="2:15" ht="15" customHeight="1" x14ac:dyDescent="0.4">
      <c r="B1034" s="10">
        <v>1358</v>
      </c>
      <c r="C1034" s="34"/>
      <c r="D1034" s="77"/>
      <c r="E1034" s="77"/>
      <c r="F1034" s="77"/>
      <c r="G1034" s="77"/>
      <c r="H1034" s="91"/>
      <c r="I1034" s="89"/>
      <c r="J1034" s="77"/>
      <c r="K1034" s="110"/>
      <c r="L1034" s="107"/>
      <c r="M1034" s="109"/>
      <c r="N1034" s="11" t="str">
        <f t="shared" si="34"/>
        <v/>
      </c>
      <c r="O1034" s="32" t="str">
        <f t="shared" si="35"/>
        <v/>
      </c>
    </row>
    <row r="1035" spans="2:15" ht="15" customHeight="1" x14ac:dyDescent="0.4">
      <c r="B1035" s="10">
        <v>1359</v>
      </c>
      <c r="C1035" s="34"/>
      <c r="D1035" s="77"/>
      <c r="E1035" s="77"/>
      <c r="F1035" s="77"/>
      <c r="G1035" s="77"/>
      <c r="H1035" s="91"/>
      <c r="I1035" s="89"/>
      <c r="J1035" s="77"/>
      <c r="K1035" s="110"/>
      <c r="L1035" s="107"/>
      <c r="M1035" s="109"/>
      <c r="N1035" s="11" t="str">
        <f t="shared" si="34"/>
        <v/>
      </c>
      <c r="O1035" s="32" t="str">
        <f t="shared" si="35"/>
        <v/>
      </c>
    </row>
    <row r="1036" spans="2:15" ht="15" customHeight="1" x14ac:dyDescent="0.4">
      <c r="B1036" s="10">
        <v>1360</v>
      </c>
      <c r="C1036" s="34"/>
      <c r="D1036" s="77"/>
      <c r="E1036" s="77"/>
      <c r="F1036" s="77"/>
      <c r="G1036" s="77"/>
      <c r="H1036" s="91"/>
      <c r="I1036" s="89"/>
      <c r="J1036" s="77"/>
      <c r="K1036" s="110"/>
      <c r="L1036" s="107"/>
      <c r="M1036" s="109"/>
      <c r="N1036" s="11" t="str">
        <f t="shared" si="34"/>
        <v/>
      </c>
      <c r="O1036" s="32" t="str">
        <f t="shared" si="35"/>
        <v/>
      </c>
    </row>
    <row r="1037" spans="2:15" ht="15" customHeight="1" x14ac:dyDescent="0.4">
      <c r="B1037" s="10">
        <v>1361</v>
      </c>
      <c r="C1037" s="34"/>
      <c r="D1037" s="77"/>
      <c r="E1037" s="77"/>
      <c r="F1037" s="77"/>
      <c r="G1037" s="77"/>
      <c r="H1037" s="91"/>
      <c r="I1037" s="89"/>
      <c r="J1037" s="77"/>
      <c r="K1037" s="110"/>
      <c r="L1037" s="107"/>
      <c r="M1037" s="109"/>
      <c r="N1037" s="11" t="str">
        <f t="shared" si="34"/>
        <v/>
      </c>
      <c r="O1037" s="32" t="str">
        <f t="shared" si="35"/>
        <v/>
      </c>
    </row>
    <row r="1038" spans="2:15" ht="15" customHeight="1" x14ac:dyDescent="0.4">
      <c r="B1038" s="10">
        <v>1362</v>
      </c>
      <c r="C1038" s="34"/>
      <c r="D1038" s="77"/>
      <c r="E1038" s="77"/>
      <c r="F1038" s="77"/>
      <c r="G1038" s="77"/>
      <c r="H1038" s="91"/>
      <c r="I1038" s="89"/>
      <c r="J1038" s="77"/>
      <c r="K1038" s="110"/>
      <c r="L1038" s="107"/>
      <c r="M1038" s="109"/>
      <c r="N1038" s="11" t="str">
        <f t="shared" si="34"/>
        <v/>
      </c>
      <c r="O1038" s="32" t="str">
        <f t="shared" si="35"/>
        <v/>
      </c>
    </row>
    <row r="1039" spans="2:15" ht="15" customHeight="1" x14ac:dyDescent="0.4">
      <c r="B1039" s="10">
        <v>1363</v>
      </c>
      <c r="C1039" s="34"/>
      <c r="D1039" s="77"/>
      <c r="E1039" s="77"/>
      <c r="F1039" s="77"/>
      <c r="G1039" s="77"/>
      <c r="H1039" s="91"/>
      <c r="I1039" s="89"/>
      <c r="J1039" s="77"/>
      <c r="K1039" s="110"/>
      <c r="L1039" s="107"/>
      <c r="M1039" s="109"/>
      <c r="N1039" s="11" t="str">
        <f t="shared" si="34"/>
        <v/>
      </c>
      <c r="O1039" s="32" t="str">
        <f t="shared" si="35"/>
        <v/>
      </c>
    </row>
    <row r="1040" spans="2:15" ht="15" customHeight="1" x14ac:dyDescent="0.4">
      <c r="B1040" s="10">
        <v>1364</v>
      </c>
      <c r="C1040" s="34"/>
      <c r="D1040" s="77"/>
      <c r="E1040" s="77"/>
      <c r="F1040" s="77"/>
      <c r="G1040" s="77"/>
      <c r="H1040" s="91"/>
      <c r="I1040" s="89"/>
      <c r="J1040" s="77"/>
      <c r="K1040" s="110"/>
      <c r="L1040" s="107"/>
      <c r="M1040" s="109"/>
      <c r="N1040" s="11" t="str">
        <f t="shared" si="34"/>
        <v/>
      </c>
      <c r="O1040" s="32" t="str">
        <f t="shared" si="35"/>
        <v/>
      </c>
    </row>
    <row r="1041" spans="2:15" ht="15" customHeight="1" x14ac:dyDescent="0.4">
      <c r="B1041" s="10">
        <v>1365</v>
      </c>
      <c r="C1041" s="34"/>
      <c r="D1041" s="77"/>
      <c r="E1041" s="77"/>
      <c r="F1041" s="77"/>
      <c r="G1041" s="77"/>
      <c r="H1041" s="91"/>
      <c r="I1041" s="89"/>
      <c r="J1041" s="77"/>
      <c r="K1041" s="110"/>
      <c r="L1041" s="107"/>
      <c r="M1041" s="109"/>
      <c r="N1041" s="11" t="str">
        <f t="shared" si="34"/>
        <v/>
      </c>
      <c r="O1041" s="32" t="str">
        <f t="shared" si="35"/>
        <v/>
      </c>
    </row>
    <row r="1042" spans="2:15" ht="15" customHeight="1" x14ac:dyDescent="0.4">
      <c r="B1042" s="10">
        <v>1366</v>
      </c>
      <c r="C1042" s="34"/>
      <c r="D1042" s="77"/>
      <c r="E1042" s="77"/>
      <c r="F1042" s="77"/>
      <c r="G1042" s="77"/>
      <c r="H1042" s="91"/>
      <c r="I1042" s="89"/>
      <c r="J1042" s="77"/>
      <c r="K1042" s="110"/>
      <c r="L1042" s="107"/>
      <c r="M1042" s="109"/>
      <c r="N1042" s="11" t="str">
        <f t="shared" si="34"/>
        <v/>
      </c>
      <c r="O1042" s="32" t="str">
        <f t="shared" si="35"/>
        <v/>
      </c>
    </row>
    <row r="1043" spans="2:15" ht="15" customHeight="1" x14ac:dyDescent="0.4">
      <c r="B1043" s="10">
        <v>1367</v>
      </c>
      <c r="C1043" s="34"/>
      <c r="D1043" s="77"/>
      <c r="E1043" s="77"/>
      <c r="F1043" s="77"/>
      <c r="G1043" s="77"/>
      <c r="H1043" s="91"/>
      <c r="I1043" s="89"/>
      <c r="J1043" s="77"/>
      <c r="K1043" s="110"/>
      <c r="L1043" s="107"/>
      <c r="M1043" s="109"/>
      <c r="N1043" s="11" t="str">
        <f t="shared" si="34"/>
        <v/>
      </c>
      <c r="O1043" s="32" t="str">
        <f t="shared" si="35"/>
        <v/>
      </c>
    </row>
    <row r="1044" spans="2:15" ht="15" customHeight="1" x14ac:dyDescent="0.4">
      <c r="B1044" s="10">
        <v>1368</v>
      </c>
      <c r="C1044" s="34"/>
      <c r="D1044" s="77"/>
      <c r="E1044" s="77"/>
      <c r="F1044" s="77"/>
      <c r="G1044" s="77"/>
      <c r="H1044" s="91"/>
      <c r="I1044" s="89"/>
      <c r="J1044" s="77"/>
      <c r="K1044" s="110"/>
      <c r="L1044" s="107"/>
      <c r="M1044" s="109"/>
      <c r="N1044" s="11" t="str">
        <f t="shared" si="34"/>
        <v/>
      </c>
      <c r="O1044" s="32" t="str">
        <f t="shared" si="35"/>
        <v/>
      </c>
    </row>
    <row r="1045" spans="2:15" ht="15" customHeight="1" x14ac:dyDescent="0.4">
      <c r="B1045" s="10">
        <v>1369</v>
      </c>
      <c r="C1045" s="34"/>
      <c r="D1045" s="77"/>
      <c r="E1045" s="77"/>
      <c r="F1045" s="77"/>
      <c r="G1045" s="77"/>
      <c r="H1045" s="91"/>
      <c r="I1045" s="89"/>
      <c r="J1045" s="77"/>
      <c r="K1045" s="110"/>
      <c r="L1045" s="107"/>
      <c r="M1045" s="109"/>
      <c r="N1045" s="11" t="str">
        <f t="shared" si="34"/>
        <v/>
      </c>
      <c r="O1045" s="32" t="str">
        <f t="shared" si="35"/>
        <v/>
      </c>
    </row>
    <row r="1046" spans="2:15" ht="15" customHeight="1" x14ac:dyDescent="0.4">
      <c r="B1046" s="10">
        <v>1370</v>
      </c>
      <c r="C1046" s="34"/>
      <c r="D1046" s="77"/>
      <c r="E1046" s="77"/>
      <c r="F1046" s="77"/>
      <c r="G1046" s="77"/>
      <c r="H1046" s="91"/>
      <c r="I1046" s="89"/>
      <c r="J1046" s="77"/>
      <c r="K1046" s="110"/>
      <c r="L1046" s="107"/>
      <c r="M1046" s="109"/>
      <c r="N1046" s="11" t="str">
        <f t="shared" si="34"/>
        <v/>
      </c>
      <c r="O1046" s="32" t="str">
        <f t="shared" si="35"/>
        <v/>
      </c>
    </row>
    <row r="1047" spans="2:15" ht="15" customHeight="1" x14ac:dyDescent="0.4">
      <c r="B1047" s="10">
        <v>1371</v>
      </c>
      <c r="C1047" s="34"/>
      <c r="D1047" s="77"/>
      <c r="E1047" s="77"/>
      <c r="F1047" s="77"/>
      <c r="G1047" s="77"/>
      <c r="H1047" s="91"/>
      <c r="I1047" s="89"/>
      <c r="J1047" s="77"/>
      <c r="K1047" s="110"/>
      <c r="L1047" s="107"/>
      <c r="M1047" s="109"/>
      <c r="N1047" s="11" t="str">
        <f t="shared" si="34"/>
        <v/>
      </c>
      <c r="O1047" s="32" t="str">
        <f t="shared" si="35"/>
        <v/>
      </c>
    </row>
    <row r="1048" spans="2:15" ht="15" customHeight="1" x14ac:dyDescent="0.4">
      <c r="B1048" s="10">
        <v>1372</v>
      </c>
      <c r="C1048" s="34"/>
      <c r="D1048" s="77"/>
      <c r="E1048" s="77"/>
      <c r="F1048" s="77"/>
      <c r="G1048" s="77"/>
      <c r="H1048" s="91"/>
      <c r="I1048" s="89"/>
      <c r="J1048" s="77"/>
      <c r="K1048" s="110"/>
      <c r="L1048" s="107"/>
      <c r="M1048" s="109"/>
      <c r="N1048" s="11" t="str">
        <f t="shared" si="34"/>
        <v/>
      </c>
      <c r="O1048" s="32" t="str">
        <f t="shared" si="35"/>
        <v/>
      </c>
    </row>
    <row r="1049" spans="2:15" ht="15" customHeight="1" x14ac:dyDescent="0.4">
      <c r="B1049" s="10">
        <v>1373</v>
      </c>
      <c r="C1049" s="34"/>
      <c r="D1049" s="77"/>
      <c r="E1049" s="77"/>
      <c r="F1049" s="77"/>
      <c r="G1049" s="77"/>
      <c r="H1049" s="91"/>
      <c r="I1049" s="89"/>
      <c r="J1049" s="77"/>
      <c r="K1049" s="110"/>
      <c r="L1049" s="107"/>
      <c r="M1049" s="109"/>
      <c r="N1049" s="11" t="str">
        <f t="shared" si="34"/>
        <v/>
      </c>
      <c r="O1049" s="32" t="str">
        <f t="shared" si="35"/>
        <v/>
      </c>
    </row>
    <row r="1050" spans="2:15" ht="15" customHeight="1" x14ac:dyDescent="0.4">
      <c r="B1050" s="10">
        <v>1374</v>
      </c>
      <c r="C1050" s="34"/>
      <c r="D1050" s="77"/>
      <c r="E1050" s="77"/>
      <c r="F1050" s="77"/>
      <c r="G1050" s="77"/>
      <c r="H1050" s="91"/>
      <c r="I1050" s="89"/>
      <c r="J1050" s="77"/>
      <c r="K1050" s="110"/>
      <c r="L1050" s="107"/>
      <c r="M1050" s="109"/>
      <c r="N1050" s="11" t="str">
        <f t="shared" si="34"/>
        <v/>
      </c>
      <c r="O1050" s="32" t="str">
        <f t="shared" si="35"/>
        <v/>
      </c>
    </row>
    <row r="1051" spans="2:15" ht="15" customHeight="1" x14ac:dyDescent="0.4">
      <c r="B1051" s="10">
        <v>1375</v>
      </c>
      <c r="C1051" s="34"/>
      <c r="D1051" s="77"/>
      <c r="E1051" s="77"/>
      <c r="F1051" s="77"/>
      <c r="G1051" s="77"/>
      <c r="H1051" s="91"/>
      <c r="I1051" s="89"/>
      <c r="J1051" s="77"/>
      <c r="K1051" s="110"/>
      <c r="L1051" s="107"/>
      <c r="M1051" s="109"/>
      <c r="N1051" s="11" t="str">
        <f t="shared" si="34"/>
        <v/>
      </c>
      <c r="O1051" s="32" t="str">
        <f t="shared" si="35"/>
        <v/>
      </c>
    </row>
    <row r="1052" spans="2:15" ht="15" customHeight="1" x14ac:dyDescent="0.4">
      <c r="B1052" s="10">
        <v>1376</v>
      </c>
      <c r="C1052" s="34"/>
      <c r="D1052" s="77"/>
      <c r="E1052" s="77"/>
      <c r="F1052" s="77"/>
      <c r="G1052" s="77"/>
      <c r="H1052" s="91"/>
      <c r="I1052" s="89"/>
      <c r="J1052" s="77"/>
      <c r="K1052" s="110"/>
      <c r="L1052" s="107"/>
      <c r="M1052" s="109"/>
      <c r="N1052" s="11" t="str">
        <f t="shared" si="34"/>
        <v/>
      </c>
      <c r="O1052" s="32" t="str">
        <f t="shared" si="35"/>
        <v/>
      </c>
    </row>
    <row r="1053" spans="2:15" ht="15" customHeight="1" x14ac:dyDescent="0.4">
      <c r="B1053" s="10">
        <v>1377</v>
      </c>
      <c r="C1053" s="34"/>
      <c r="D1053" s="77"/>
      <c r="E1053" s="77"/>
      <c r="F1053" s="77"/>
      <c r="G1053" s="77"/>
      <c r="H1053" s="91"/>
      <c r="I1053" s="89"/>
      <c r="J1053" s="77"/>
      <c r="K1053" s="110"/>
      <c r="L1053" s="107"/>
      <c r="M1053" s="109"/>
      <c r="N1053" s="11" t="str">
        <f t="shared" si="34"/>
        <v/>
      </c>
      <c r="O1053" s="32" t="str">
        <f t="shared" si="35"/>
        <v/>
      </c>
    </row>
    <row r="1054" spans="2:15" ht="15" customHeight="1" x14ac:dyDescent="0.4">
      <c r="B1054" s="10">
        <v>1378</v>
      </c>
      <c r="C1054" s="34"/>
      <c r="D1054" s="77"/>
      <c r="E1054" s="77"/>
      <c r="F1054" s="77"/>
      <c r="G1054" s="77"/>
      <c r="H1054" s="91"/>
      <c r="I1054" s="89"/>
      <c r="J1054" s="77"/>
      <c r="K1054" s="110"/>
      <c r="L1054" s="107"/>
      <c r="M1054" s="109"/>
      <c r="N1054" s="11" t="str">
        <f t="shared" si="34"/>
        <v/>
      </c>
      <c r="O1054" s="32" t="str">
        <f t="shared" si="35"/>
        <v/>
      </c>
    </row>
    <row r="1055" spans="2:15" ht="15" customHeight="1" x14ac:dyDescent="0.4">
      <c r="B1055" s="10">
        <v>1379</v>
      </c>
      <c r="C1055" s="34"/>
      <c r="D1055" s="77"/>
      <c r="E1055" s="77"/>
      <c r="F1055" s="77"/>
      <c r="G1055" s="77"/>
      <c r="H1055" s="91"/>
      <c r="I1055" s="89"/>
      <c r="J1055" s="77"/>
      <c r="K1055" s="110"/>
      <c r="L1055" s="107"/>
      <c r="M1055" s="109"/>
      <c r="N1055" s="11" t="str">
        <f t="shared" si="34"/>
        <v/>
      </c>
      <c r="O1055" s="32" t="str">
        <f t="shared" si="35"/>
        <v/>
      </c>
    </row>
    <row r="1056" spans="2:15" ht="15" customHeight="1" x14ac:dyDescent="0.4">
      <c r="B1056" s="10">
        <v>1380</v>
      </c>
      <c r="C1056" s="34"/>
      <c r="D1056" s="77"/>
      <c r="E1056" s="77"/>
      <c r="F1056" s="77"/>
      <c r="G1056" s="77"/>
      <c r="H1056" s="91"/>
      <c r="I1056" s="89"/>
      <c r="J1056" s="77"/>
      <c r="K1056" s="110"/>
      <c r="L1056" s="107"/>
      <c r="M1056" s="109"/>
      <c r="N1056" s="11" t="str">
        <f t="shared" si="34"/>
        <v/>
      </c>
      <c r="O1056" s="32" t="str">
        <f t="shared" si="35"/>
        <v/>
      </c>
    </row>
    <row r="1057" spans="2:15" ht="15" customHeight="1" x14ac:dyDescent="0.4">
      <c r="B1057" s="10">
        <v>1381</v>
      </c>
      <c r="C1057" s="34"/>
      <c r="D1057" s="77"/>
      <c r="E1057" s="77"/>
      <c r="F1057" s="77"/>
      <c r="G1057" s="77"/>
      <c r="H1057" s="91"/>
      <c r="I1057" s="89"/>
      <c r="J1057" s="77"/>
      <c r="K1057" s="110"/>
      <c r="L1057" s="107"/>
      <c r="M1057" s="109"/>
      <c r="N1057" s="11" t="str">
        <f t="shared" si="34"/>
        <v/>
      </c>
      <c r="O1057" s="32" t="str">
        <f t="shared" si="35"/>
        <v/>
      </c>
    </row>
    <row r="1058" spans="2:15" ht="15" customHeight="1" x14ac:dyDescent="0.4">
      <c r="B1058" s="10">
        <v>1382</v>
      </c>
      <c r="C1058" s="34"/>
      <c r="D1058" s="77"/>
      <c r="E1058" s="77"/>
      <c r="F1058" s="77"/>
      <c r="G1058" s="77"/>
      <c r="H1058" s="91"/>
      <c r="I1058" s="89"/>
      <c r="J1058" s="77"/>
      <c r="K1058" s="110"/>
      <c r="L1058" s="107"/>
      <c r="M1058" s="109"/>
      <c r="N1058" s="11" t="str">
        <f t="shared" si="34"/>
        <v/>
      </c>
      <c r="O1058" s="32" t="str">
        <f t="shared" si="35"/>
        <v/>
      </c>
    </row>
    <row r="1059" spans="2:15" ht="15" customHeight="1" x14ac:dyDescent="0.4">
      <c r="B1059" s="10">
        <v>1383</v>
      </c>
      <c r="C1059" s="34"/>
      <c r="D1059" s="77"/>
      <c r="E1059" s="77"/>
      <c r="F1059" s="77"/>
      <c r="G1059" s="77"/>
      <c r="H1059" s="91"/>
      <c r="I1059" s="89"/>
      <c r="J1059" s="77"/>
      <c r="K1059" s="110"/>
      <c r="L1059" s="107"/>
      <c r="M1059" s="109"/>
      <c r="N1059" s="11" t="str">
        <f t="shared" si="34"/>
        <v/>
      </c>
      <c r="O1059" s="32" t="str">
        <f t="shared" si="35"/>
        <v/>
      </c>
    </row>
    <row r="1060" spans="2:15" ht="15" customHeight="1" x14ac:dyDescent="0.4">
      <c r="B1060" s="10">
        <v>1384</v>
      </c>
      <c r="C1060" s="34"/>
      <c r="D1060" s="77"/>
      <c r="E1060" s="77"/>
      <c r="F1060" s="77"/>
      <c r="G1060" s="77"/>
      <c r="H1060" s="91"/>
      <c r="I1060" s="89"/>
      <c r="J1060" s="77"/>
      <c r="K1060" s="110"/>
      <c r="L1060" s="107"/>
      <c r="M1060" s="109"/>
      <c r="N1060" s="11" t="str">
        <f t="shared" si="34"/>
        <v/>
      </c>
      <c r="O1060" s="32" t="str">
        <f t="shared" si="35"/>
        <v/>
      </c>
    </row>
    <row r="1061" spans="2:15" ht="15" customHeight="1" x14ac:dyDescent="0.4">
      <c r="B1061" s="10">
        <v>1385</v>
      </c>
      <c r="C1061" s="34"/>
      <c r="D1061" s="77"/>
      <c r="E1061" s="77"/>
      <c r="F1061" s="77"/>
      <c r="G1061" s="77"/>
      <c r="H1061" s="91"/>
      <c r="I1061" s="89"/>
      <c r="J1061" s="77"/>
      <c r="K1061" s="110"/>
      <c r="L1061" s="107"/>
      <c r="M1061" s="109"/>
      <c r="N1061" s="11" t="str">
        <f t="shared" si="34"/>
        <v/>
      </c>
      <c r="O1061" s="32" t="str">
        <f t="shared" si="35"/>
        <v/>
      </c>
    </row>
    <row r="1062" spans="2:15" ht="15" customHeight="1" x14ac:dyDescent="0.4">
      <c r="B1062" s="10">
        <v>1386</v>
      </c>
      <c r="C1062" s="34"/>
      <c r="D1062" s="77"/>
      <c r="E1062" s="77"/>
      <c r="F1062" s="77"/>
      <c r="G1062" s="77"/>
      <c r="H1062" s="91"/>
      <c r="I1062" s="89"/>
      <c r="J1062" s="77"/>
      <c r="K1062" s="110"/>
      <c r="L1062" s="107"/>
      <c r="M1062" s="109"/>
      <c r="N1062" s="11" t="str">
        <f t="shared" si="34"/>
        <v/>
      </c>
      <c r="O1062" s="32" t="str">
        <f t="shared" si="35"/>
        <v/>
      </c>
    </row>
    <row r="1063" spans="2:15" ht="15" customHeight="1" x14ac:dyDescent="0.4">
      <c r="B1063" s="10">
        <v>1387</v>
      </c>
      <c r="C1063" s="34"/>
      <c r="D1063" s="77"/>
      <c r="E1063" s="77"/>
      <c r="F1063" s="77"/>
      <c r="G1063" s="77"/>
      <c r="H1063" s="91"/>
      <c r="I1063" s="89"/>
      <c r="J1063" s="77"/>
      <c r="K1063" s="110"/>
      <c r="L1063" s="107"/>
      <c r="M1063" s="109"/>
      <c r="N1063" s="11" t="str">
        <f t="shared" si="34"/>
        <v/>
      </c>
      <c r="O1063" s="32" t="str">
        <f t="shared" si="35"/>
        <v/>
      </c>
    </row>
    <row r="1064" spans="2:15" ht="15" customHeight="1" x14ac:dyDescent="0.4">
      <c r="B1064" s="10">
        <v>1388</v>
      </c>
      <c r="C1064" s="34"/>
      <c r="D1064" s="77"/>
      <c r="E1064" s="77"/>
      <c r="F1064" s="77"/>
      <c r="G1064" s="77"/>
      <c r="H1064" s="91"/>
      <c r="I1064" s="89"/>
      <c r="J1064" s="77"/>
      <c r="K1064" s="110"/>
      <c r="L1064" s="107"/>
      <c r="M1064" s="109"/>
      <c r="N1064" s="11" t="str">
        <f t="shared" si="34"/>
        <v/>
      </c>
      <c r="O1064" s="32" t="str">
        <f t="shared" si="35"/>
        <v/>
      </c>
    </row>
    <row r="1065" spans="2:15" ht="15" customHeight="1" x14ac:dyDescent="0.4">
      <c r="B1065" s="10">
        <v>1389</v>
      </c>
      <c r="C1065" s="34"/>
      <c r="D1065" s="77"/>
      <c r="E1065" s="77"/>
      <c r="F1065" s="77"/>
      <c r="G1065" s="77"/>
      <c r="H1065" s="91"/>
      <c r="I1065" s="89"/>
      <c r="J1065" s="77"/>
      <c r="K1065" s="110"/>
      <c r="L1065" s="107"/>
      <c r="M1065" s="109"/>
      <c r="N1065" s="11" t="str">
        <f t="shared" si="34"/>
        <v/>
      </c>
      <c r="O1065" s="32" t="str">
        <f t="shared" si="35"/>
        <v/>
      </c>
    </row>
    <row r="1066" spans="2:15" ht="15" customHeight="1" x14ac:dyDescent="0.4">
      <c r="B1066" s="10">
        <v>1390</v>
      </c>
      <c r="C1066" s="34"/>
      <c r="D1066" s="77"/>
      <c r="E1066" s="77"/>
      <c r="F1066" s="77"/>
      <c r="G1066" s="77"/>
      <c r="H1066" s="91"/>
      <c r="I1066" s="89"/>
      <c r="J1066" s="77"/>
      <c r="K1066" s="110"/>
      <c r="L1066" s="107"/>
      <c r="M1066" s="109"/>
      <c r="N1066" s="11" t="str">
        <f t="shared" si="34"/>
        <v/>
      </c>
      <c r="O1066" s="32" t="str">
        <f t="shared" si="35"/>
        <v/>
      </c>
    </row>
    <row r="1067" spans="2:15" ht="15" customHeight="1" x14ac:dyDescent="0.4">
      <c r="B1067" s="10">
        <v>1391</v>
      </c>
      <c r="C1067" s="34"/>
      <c r="D1067" s="77"/>
      <c r="E1067" s="77"/>
      <c r="F1067" s="77"/>
      <c r="G1067" s="77"/>
      <c r="H1067" s="91"/>
      <c r="I1067" s="89"/>
      <c r="J1067" s="77"/>
      <c r="K1067" s="110"/>
      <c r="L1067" s="107"/>
      <c r="M1067" s="109"/>
      <c r="N1067" s="11" t="str">
        <f t="shared" si="34"/>
        <v/>
      </c>
      <c r="O1067" s="32" t="str">
        <f t="shared" si="35"/>
        <v/>
      </c>
    </row>
    <row r="1068" spans="2:15" ht="15" customHeight="1" x14ac:dyDescent="0.4">
      <c r="B1068" s="10">
        <v>1392</v>
      </c>
      <c r="C1068" s="34"/>
      <c r="D1068" s="77"/>
      <c r="E1068" s="77"/>
      <c r="F1068" s="77"/>
      <c r="G1068" s="77"/>
      <c r="H1068" s="91"/>
      <c r="I1068" s="89"/>
      <c r="J1068" s="77"/>
      <c r="K1068" s="110"/>
      <c r="L1068" s="107"/>
      <c r="M1068" s="109"/>
      <c r="N1068" s="11" t="str">
        <f t="shared" si="34"/>
        <v/>
      </c>
      <c r="O1068" s="32" t="str">
        <f t="shared" si="35"/>
        <v/>
      </c>
    </row>
    <row r="1069" spans="2:15" ht="15" customHeight="1" x14ac:dyDescent="0.4">
      <c r="B1069" s="10">
        <v>1393</v>
      </c>
      <c r="C1069" s="34"/>
      <c r="D1069" s="77"/>
      <c r="E1069" s="77"/>
      <c r="F1069" s="77"/>
      <c r="G1069" s="77"/>
      <c r="H1069" s="91"/>
      <c r="I1069" s="89"/>
      <c r="J1069" s="77"/>
      <c r="K1069" s="110"/>
      <c r="L1069" s="107"/>
      <c r="M1069" s="109"/>
      <c r="N1069" s="11" t="str">
        <f t="shared" si="34"/>
        <v/>
      </c>
      <c r="O1069" s="32" t="str">
        <f t="shared" si="35"/>
        <v/>
      </c>
    </row>
    <row r="1070" spans="2:15" ht="15" customHeight="1" x14ac:dyDescent="0.4">
      <c r="B1070" s="10">
        <v>1394</v>
      </c>
      <c r="C1070" s="34"/>
      <c r="D1070" s="77"/>
      <c r="E1070" s="77"/>
      <c r="F1070" s="77"/>
      <c r="G1070" s="77"/>
      <c r="H1070" s="91"/>
      <c r="I1070" s="89"/>
      <c r="J1070" s="77"/>
      <c r="K1070" s="110"/>
      <c r="L1070" s="107"/>
      <c r="M1070" s="109"/>
      <c r="N1070" s="11" t="str">
        <f t="shared" si="34"/>
        <v/>
      </c>
      <c r="O1070" s="32" t="str">
        <f t="shared" si="35"/>
        <v/>
      </c>
    </row>
    <row r="1071" spans="2:15" ht="15" customHeight="1" x14ac:dyDescent="0.4">
      <c r="B1071" s="10">
        <v>1395</v>
      </c>
      <c r="C1071" s="34"/>
      <c r="D1071" s="77"/>
      <c r="E1071" s="77"/>
      <c r="F1071" s="77"/>
      <c r="G1071" s="77"/>
      <c r="H1071" s="91"/>
      <c r="I1071" s="89"/>
      <c r="J1071" s="77"/>
      <c r="K1071" s="110"/>
      <c r="L1071" s="107"/>
      <c r="M1071" s="109"/>
      <c r="N1071" s="11" t="str">
        <f t="shared" si="34"/>
        <v/>
      </c>
      <c r="O1071" s="32" t="str">
        <f t="shared" si="35"/>
        <v/>
      </c>
    </row>
    <row r="1072" spans="2:15" ht="15" customHeight="1" x14ac:dyDescent="0.4">
      <c r="B1072" s="10">
        <v>1396</v>
      </c>
      <c r="C1072" s="34"/>
      <c r="D1072" s="77"/>
      <c r="E1072" s="77"/>
      <c r="F1072" s="77"/>
      <c r="G1072" s="77"/>
      <c r="H1072" s="91"/>
      <c r="I1072" s="89"/>
      <c r="J1072" s="77"/>
      <c r="K1072" s="110"/>
      <c r="L1072" s="107"/>
      <c r="M1072" s="109"/>
      <c r="N1072" s="11" t="str">
        <f t="shared" si="34"/>
        <v/>
      </c>
      <c r="O1072" s="32" t="str">
        <f t="shared" si="35"/>
        <v/>
      </c>
    </row>
    <row r="1073" spans="2:15" ht="15" customHeight="1" x14ac:dyDescent="0.4">
      <c r="B1073" s="10">
        <v>1397</v>
      </c>
      <c r="C1073" s="34"/>
      <c r="D1073" s="77"/>
      <c r="E1073" s="77"/>
      <c r="F1073" s="77"/>
      <c r="G1073" s="77"/>
      <c r="H1073" s="91"/>
      <c r="I1073" s="89"/>
      <c r="J1073" s="77"/>
      <c r="K1073" s="110"/>
      <c r="L1073" s="107"/>
      <c r="M1073" s="109"/>
      <c r="N1073" s="11" t="str">
        <f t="shared" si="34"/>
        <v/>
      </c>
      <c r="O1073" s="32" t="str">
        <f t="shared" si="35"/>
        <v/>
      </c>
    </row>
    <row r="1074" spans="2:15" ht="15" customHeight="1" x14ac:dyDescent="0.4">
      <c r="B1074" s="10">
        <v>1398</v>
      </c>
      <c r="C1074" s="34"/>
      <c r="D1074" s="77"/>
      <c r="E1074" s="77"/>
      <c r="F1074" s="77"/>
      <c r="G1074" s="77"/>
      <c r="H1074" s="91"/>
      <c r="I1074" s="89"/>
      <c r="J1074" s="77"/>
      <c r="K1074" s="110"/>
      <c r="L1074" s="107"/>
      <c r="M1074" s="109"/>
      <c r="N1074" s="11" t="str">
        <f t="shared" si="34"/>
        <v/>
      </c>
      <c r="O1074" s="32" t="str">
        <f t="shared" si="35"/>
        <v/>
      </c>
    </row>
    <row r="1075" spans="2:15" ht="15" customHeight="1" x14ac:dyDescent="0.4">
      <c r="B1075" s="10">
        <v>1399</v>
      </c>
      <c r="C1075" s="34"/>
      <c r="D1075" s="77"/>
      <c r="E1075" s="77"/>
      <c r="F1075" s="77"/>
      <c r="G1075" s="77"/>
      <c r="H1075" s="91"/>
      <c r="I1075" s="89"/>
      <c r="J1075" s="77"/>
      <c r="K1075" s="110"/>
      <c r="L1075" s="107"/>
      <c r="M1075" s="109"/>
      <c r="N1075" s="11" t="str">
        <f t="shared" si="34"/>
        <v/>
      </c>
      <c r="O1075" s="32" t="str">
        <f t="shared" si="35"/>
        <v/>
      </c>
    </row>
    <row r="1076" spans="2:15" ht="15" customHeight="1" x14ac:dyDescent="0.4">
      <c r="B1076" s="10">
        <v>1400</v>
      </c>
      <c r="C1076" s="34"/>
      <c r="D1076" s="77"/>
      <c r="E1076" s="77"/>
      <c r="F1076" s="77"/>
      <c r="G1076" s="77"/>
      <c r="H1076" s="91"/>
      <c r="I1076" s="89"/>
      <c r="J1076" s="77"/>
      <c r="K1076" s="110"/>
      <c r="L1076" s="107"/>
      <c r="M1076" s="109"/>
      <c r="N1076" s="11" t="str">
        <f t="shared" si="34"/>
        <v/>
      </c>
      <c r="O1076" s="32" t="str">
        <f t="shared" si="35"/>
        <v/>
      </c>
    </row>
    <row r="1077" spans="2:15" ht="15" customHeight="1" x14ac:dyDescent="0.4">
      <c r="B1077" s="10">
        <v>1401</v>
      </c>
      <c r="C1077" s="34"/>
      <c r="D1077" s="77"/>
      <c r="E1077" s="77"/>
      <c r="F1077" s="77"/>
      <c r="G1077" s="77"/>
      <c r="H1077" s="91"/>
      <c r="I1077" s="89"/>
      <c r="J1077" s="77"/>
      <c r="K1077" s="110"/>
      <c r="L1077" s="107"/>
      <c r="M1077" s="109"/>
      <c r="N1077" s="11" t="str">
        <f t="shared" si="34"/>
        <v/>
      </c>
      <c r="O1077" s="32" t="str">
        <f t="shared" si="35"/>
        <v/>
      </c>
    </row>
    <row r="1078" spans="2:15" ht="15" customHeight="1" x14ac:dyDescent="0.4">
      <c r="B1078" s="10">
        <v>1402</v>
      </c>
      <c r="C1078" s="34"/>
      <c r="D1078" s="77"/>
      <c r="E1078" s="77"/>
      <c r="F1078" s="77"/>
      <c r="G1078" s="77"/>
      <c r="H1078" s="91"/>
      <c r="I1078" s="89"/>
      <c r="J1078" s="77"/>
      <c r="K1078" s="110"/>
      <c r="L1078" s="107"/>
      <c r="M1078" s="109"/>
      <c r="N1078" s="11" t="str">
        <f t="shared" si="34"/>
        <v/>
      </c>
      <c r="O1078" s="32" t="str">
        <f t="shared" si="35"/>
        <v/>
      </c>
    </row>
    <row r="1079" spans="2:15" ht="15" customHeight="1" x14ac:dyDescent="0.4">
      <c r="B1079" s="10">
        <v>1403</v>
      </c>
      <c r="C1079" s="34"/>
      <c r="D1079" s="77"/>
      <c r="E1079" s="77"/>
      <c r="F1079" s="77"/>
      <c r="G1079" s="77"/>
      <c r="H1079" s="91"/>
      <c r="I1079" s="89"/>
      <c r="J1079" s="77"/>
      <c r="K1079" s="110"/>
      <c r="L1079" s="107"/>
      <c r="M1079" s="109"/>
      <c r="N1079" s="11" t="str">
        <f t="shared" si="34"/>
        <v/>
      </c>
      <c r="O1079" s="32" t="str">
        <f t="shared" si="35"/>
        <v/>
      </c>
    </row>
    <row r="1080" spans="2:15" ht="15" customHeight="1" x14ac:dyDescent="0.4">
      <c r="B1080" s="10">
        <v>1404</v>
      </c>
      <c r="C1080" s="34"/>
      <c r="D1080" s="77"/>
      <c r="E1080" s="77"/>
      <c r="F1080" s="77"/>
      <c r="G1080" s="77"/>
      <c r="H1080" s="91"/>
      <c r="I1080" s="89"/>
      <c r="J1080" s="77"/>
      <c r="K1080" s="110"/>
      <c r="L1080" s="107"/>
      <c r="M1080" s="109"/>
      <c r="N1080" s="11" t="str">
        <f t="shared" si="34"/>
        <v/>
      </c>
      <c r="O1080" s="32" t="str">
        <f t="shared" si="35"/>
        <v/>
      </c>
    </row>
    <row r="1081" spans="2:15" ht="15" customHeight="1" x14ac:dyDescent="0.4">
      <c r="B1081" s="10">
        <v>1405</v>
      </c>
      <c r="C1081" s="34"/>
      <c r="D1081" s="77"/>
      <c r="E1081" s="77"/>
      <c r="F1081" s="77"/>
      <c r="G1081" s="77"/>
      <c r="H1081" s="91"/>
      <c r="I1081" s="89"/>
      <c r="J1081" s="77"/>
      <c r="K1081" s="110"/>
      <c r="L1081" s="107"/>
      <c r="M1081" s="109"/>
      <c r="N1081" s="11" t="str">
        <f t="shared" si="34"/>
        <v/>
      </c>
      <c r="O1081" s="32" t="str">
        <f t="shared" si="35"/>
        <v/>
      </c>
    </row>
    <row r="1082" spans="2:15" ht="15" customHeight="1" x14ac:dyDescent="0.4">
      <c r="B1082" s="10">
        <v>1406</v>
      </c>
      <c r="C1082" s="34"/>
      <c r="D1082" s="77"/>
      <c r="E1082" s="77"/>
      <c r="F1082" s="77"/>
      <c r="G1082" s="77"/>
      <c r="H1082" s="91"/>
      <c r="I1082" s="89"/>
      <c r="J1082" s="77"/>
      <c r="K1082" s="110"/>
      <c r="L1082" s="107"/>
      <c r="M1082" s="109"/>
      <c r="N1082" s="11" t="str">
        <f t="shared" si="34"/>
        <v/>
      </c>
      <c r="O1082" s="32" t="str">
        <f t="shared" si="35"/>
        <v/>
      </c>
    </row>
    <row r="1083" spans="2:15" ht="15" customHeight="1" x14ac:dyDescent="0.4">
      <c r="B1083" s="10">
        <v>1407</v>
      </c>
      <c r="C1083" s="34"/>
      <c r="D1083" s="77"/>
      <c r="E1083" s="77"/>
      <c r="F1083" s="77"/>
      <c r="G1083" s="77"/>
      <c r="H1083" s="91"/>
      <c r="I1083" s="89"/>
      <c r="J1083" s="77"/>
      <c r="K1083" s="110"/>
      <c r="L1083" s="107"/>
      <c r="M1083" s="109"/>
      <c r="N1083" s="11" t="str">
        <f t="shared" si="34"/>
        <v/>
      </c>
      <c r="O1083" s="32" t="str">
        <f t="shared" si="35"/>
        <v/>
      </c>
    </row>
    <row r="1084" spans="2:15" ht="15" customHeight="1" x14ac:dyDescent="0.4">
      <c r="B1084" s="10">
        <v>1408</v>
      </c>
      <c r="C1084" s="34"/>
      <c r="D1084" s="77"/>
      <c r="E1084" s="77"/>
      <c r="F1084" s="77"/>
      <c r="G1084" s="77"/>
      <c r="H1084" s="91"/>
      <c r="I1084" s="89"/>
      <c r="J1084" s="77"/>
      <c r="K1084" s="110"/>
      <c r="L1084" s="107"/>
      <c r="M1084" s="109"/>
      <c r="N1084" s="11" t="str">
        <f t="shared" si="34"/>
        <v/>
      </c>
      <c r="O1084" s="32" t="str">
        <f t="shared" si="35"/>
        <v/>
      </c>
    </row>
    <row r="1085" spans="2:15" ht="15" customHeight="1" x14ac:dyDescent="0.4">
      <c r="B1085" s="10">
        <v>1409</v>
      </c>
      <c r="C1085" s="34"/>
      <c r="D1085" s="77"/>
      <c r="E1085" s="77"/>
      <c r="F1085" s="77"/>
      <c r="G1085" s="77"/>
      <c r="H1085" s="91"/>
      <c r="I1085" s="89"/>
      <c r="J1085" s="77"/>
      <c r="K1085" s="110"/>
      <c r="L1085" s="107"/>
      <c r="M1085" s="109"/>
      <c r="N1085" s="11" t="str">
        <f t="shared" si="34"/>
        <v/>
      </c>
      <c r="O1085" s="32" t="str">
        <f t="shared" si="35"/>
        <v/>
      </c>
    </row>
    <row r="1086" spans="2:15" ht="15" customHeight="1" x14ac:dyDescent="0.4">
      <c r="B1086" s="10">
        <v>1410</v>
      </c>
      <c r="C1086" s="34"/>
      <c r="D1086" s="77"/>
      <c r="E1086" s="77"/>
      <c r="F1086" s="77"/>
      <c r="G1086" s="77"/>
      <c r="H1086" s="91"/>
      <c r="I1086" s="89"/>
      <c r="J1086" s="77"/>
      <c r="K1086" s="110"/>
      <c r="L1086" s="107"/>
      <c r="M1086" s="109"/>
      <c r="N1086" s="11" t="str">
        <f t="shared" si="34"/>
        <v/>
      </c>
      <c r="O1086" s="32" t="str">
        <f t="shared" si="35"/>
        <v/>
      </c>
    </row>
    <row r="1087" spans="2:15" ht="15" customHeight="1" x14ac:dyDescent="0.4">
      <c r="B1087" s="10">
        <v>1411</v>
      </c>
      <c r="C1087" s="34"/>
      <c r="D1087" s="77"/>
      <c r="E1087" s="77"/>
      <c r="F1087" s="77"/>
      <c r="G1087" s="77"/>
      <c r="H1087" s="91"/>
      <c r="I1087" s="89"/>
      <c r="J1087" s="77"/>
      <c r="K1087" s="110"/>
      <c r="L1087" s="107"/>
      <c r="M1087" s="109"/>
      <c r="N1087" s="11" t="str">
        <f t="shared" si="34"/>
        <v/>
      </c>
      <c r="O1087" s="32" t="str">
        <f t="shared" si="35"/>
        <v/>
      </c>
    </row>
    <row r="1088" spans="2:15" ht="15" customHeight="1" x14ac:dyDescent="0.4">
      <c r="B1088" s="10">
        <v>1412</v>
      </c>
      <c r="C1088" s="34"/>
      <c r="D1088" s="77"/>
      <c r="E1088" s="77"/>
      <c r="F1088" s="77"/>
      <c r="G1088" s="77"/>
      <c r="H1088" s="91"/>
      <c r="I1088" s="89"/>
      <c r="J1088" s="77"/>
      <c r="K1088" s="110"/>
      <c r="L1088" s="107"/>
      <c r="M1088" s="109"/>
      <c r="N1088" s="11" t="str">
        <f t="shared" si="34"/>
        <v/>
      </c>
      <c r="O1088" s="32" t="str">
        <f t="shared" si="35"/>
        <v/>
      </c>
    </row>
    <row r="1089" spans="2:15" ht="15" customHeight="1" x14ac:dyDescent="0.4">
      <c r="B1089" s="10">
        <v>1413</v>
      </c>
      <c r="C1089" s="34"/>
      <c r="D1089" s="77"/>
      <c r="E1089" s="77"/>
      <c r="F1089" s="77"/>
      <c r="G1089" s="77"/>
      <c r="H1089" s="91"/>
      <c r="I1089" s="89"/>
      <c r="J1089" s="77"/>
      <c r="K1089" s="110"/>
      <c r="L1089" s="107"/>
      <c r="M1089" s="109"/>
      <c r="N1089" s="11" t="str">
        <f t="shared" si="34"/>
        <v/>
      </c>
      <c r="O1089" s="32" t="str">
        <f t="shared" si="35"/>
        <v/>
      </c>
    </row>
    <row r="1090" spans="2:15" ht="15" customHeight="1" x14ac:dyDescent="0.4">
      <c r="B1090" s="10">
        <v>1414</v>
      </c>
      <c r="C1090" s="34"/>
      <c r="D1090" s="77"/>
      <c r="E1090" s="77"/>
      <c r="F1090" s="77"/>
      <c r="G1090" s="77"/>
      <c r="H1090" s="91"/>
      <c r="I1090" s="89"/>
      <c r="J1090" s="77"/>
      <c r="K1090" s="110"/>
      <c r="L1090" s="107"/>
      <c r="M1090" s="109"/>
      <c r="N1090" s="11" t="str">
        <f t="shared" si="34"/>
        <v/>
      </c>
      <c r="O1090" s="32" t="str">
        <f t="shared" si="35"/>
        <v/>
      </c>
    </row>
    <row r="1091" spans="2:15" ht="15" customHeight="1" x14ac:dyDescent="0.4">
      <c r="B1091" s="10">
        <v>1415</v>
      </c>
      <c r="C1091" s="34"/>
      <c r="D1091" s="77"/>
      <c r="E1091" s="77"/>
      <c r="F1091" s="77"/>
      <c r="G1091" s="77"/>
      <c r="H1091" s="91"/>
      <c r="I1091" s="89"/>
      <c r="J1091" s="77"/>
      <c r="K1091" s="110"/>
      <c r="L1091" s="107"/>
      <c r="M1091" s="109"/>
      <c r="N1091" s="11" t="str">
        <f t="shared" si="34"/>
        <v/>
      </c>
      <c r="O1091" s="32" t="str">
        <f t="shared" si="35"/>
        <v/>
      </c>
    </row>
    <row r="1092" spans="2:15" ht="15" customHeight="1" x14ac:dyDescent="0.4">
      <c r="B1092" s="10">
        <v>1416</v>
      </c>
      <c r="C1092" s="34"/>
      <c r="D1092" s="77"/>
      <c r="E1092" s="77"/>
      <c r="F1092" s="77"/>
      <c r="G1092" s="77"/>
      <c r="H1092" s="91"/>
      <c r="I1092" s="89"/>
      <c r="J1092" s="77"/>
      <c r="K1092" s="110"/>
      <c r="L1092" s="107"/>
      <c r="M1092" s="109"/>
      <c r="N1092" s="11" t="str">
        <f t="shared" ref="N1092:N1155" si="36">IF(OR(M1092="", K1092=""),"", M1092- K1092)</f>
        <v/>
      </c>
      <c r="O1092" s="32" t="str">
        <f t="shared" ref="O1092:O1155" si="37">IF(OR(M1092="", K1092="", L1092=""), "", IF((M1092 - K1092) &gt; L1092, "No", "Yes"))</f>
        <v/>
      </c>
    </row>
    <row r="1093" spans="2:15" ht="15" customHeight="1" x14ac:dyDescent="0.4">
      <c r="B1093" s="10">
        <v>1417</v>
      </c>
      <c r="C1093" s="34"/>
      <c r="D1093" s="77"/>
      <c r="E1093" s="77"/>
      <c r="F1093" s="77"/>
      <c r="G1093" s="77"/>
      <c r="H1093" s="91"/>
      <c r="I1093" s="89"/>
      <c r="J1093" s="77"/>
      <c r="K1093" s="110"/>
      <c r="L1093" s="107"/>
      <c r="M1093" s="109"/>
      <c r="N1093" s="11" t="str">
        <f t="shared" si="36"/>
        <v/>
      </c>
      <c r="O1093" s="32" t="str">
        <f t="shared" si="37"/>
        <v/>
      </c>
    </row>
    <row r="1094" spans="2:15" ht="15" customHeight="1" x14ac:dyDescent="0.4">
      <c r="B1094" s="10">
        <v>1418</v>
      </c>
      <c r="C1094" s="34"/>
      <c r="D1094" s="77"/>
      <c r="E1094" s="77"/>
      <c r="F1094" s="77"/>
      <c r="G1094" s="77"/>
      <c r="H1094" s="91"/>
      <c r="I1094" s="89"/>
      <c r="J1094" s="77"/>
      <c r="K1094" s="110"/>
      <c r="L1094" s="107"/>
      <c r="M1094" s="109"/>
      <c r="N1094" s="11" t="str">
        <f t="shared" si="36"/>
        <v/>
      </c>
      <c r="O1094" s="32" t="str">
        <f t="shared" si="37"/>
        <v/>
      </c>
    </row>
    <row r="1095" spans="2:15" ht="15" customHeight="1" x14ac:dyDescent="0.4">
      <c r="B1095" s="10">
        <v>1419</v>
      </c>
      <c r="C1095" s="34"/>
      <c r="D1095" s="77"/>
      <c r="E1095" s="77"/>
      <c r="F1095" s="77"/>
      <c r="G1095" s="77"/>
      <c r="H1095" s="91"/>
      <c r="I1095" s="89"/>
      <c r="J1095" s="77"/>
      <c r="K1095" s="110"/>
      <c r="L1095" s="107"/>
      <c r="M1095" s="109"/>
      <c r="N1095" s="11" t="str">
        <f t="shared" si="36"/>
        <v/>
      </c>
      <c r="O1095" s="32" t="str">
        <f t="shared" si="37"/>
        <v/>
      </c>
    </row>
    <row r="1096" spans="2:15" ht="15" customHeight="1" x14ac:dyDescent="0.4">
      <c r="B1096" s="10">
        <v>1420</v>
      </c>
      <c r="C1096" s="34"/>
      <c r="D1096" s="77"/>
      <c r="E1096" s="77"/>
      <c r="F1096" s="77"/>
      <c r="G1096" s="77"/>
      <c r="H1096" s="91"/>
      <c r="I1096" s="89"/>
      <c r="J1096" s="77"/>
      <c r="K1096" s="110"/>
      <c r="L1096" s="107"/>
      <c r="M1096" s="109"/>
      <c r="N1096" s="11" t="str">
        <f t="shared" si="36"/>
        <v/>
      </c>
      <c r="O1096" s="32" t="str">
        <f t="shared" si="37"/>
        <v/>
      </c>
    </row>
    <row r="1097" spans="2:15" ht="15" customHeight="1" x14ac:dyDescent="0.4">
      <c r="B1097" s="10">
        <v>1421</v>
      </c>
      <c r="C1097" s="34"/>
      <c r="D1097" s="77"/>
      <c r="E1097" s="77"/>
      <c r="F1097" s="77"/>
      <c r="G1097" s="77"/>
      <c r="H1097" s="91"/>
      <c r="I1097" s="89"/>
      <c r="J1097" s="77"/>
      <c r="K1097" s="110"/>
      <c r="L1097" s="107"/>
      <c r="M1097" s="109"/>
      <c r="N1097" s="11" t="str">
        <f t="shared" si="36"/>
        <v/>
      </c>
      <c r="O1097" s="32" t="str">
        <f t="shared" si="37"/>
        <v/>
      </c>
    </row>
    <row r="1098" spans="2:15" ht="15" customHeight="1" x14ac:dyDescent="0.4">
      <c r="B1098" s="10">
        <v>1422</v>
      </c>
      <c r="C1098" s="34"/>
      <c r="D1098" s="77"/>
      <c r="E1098" s="77"/>
      <c r="F1098" s="77"/>
      <c r="G1098" s="77"/>
      <c r="H1098" s="91"/>
      <c r="I1098" s="89"/>
      <c r="J1098" s="77"/>
      <c r="K1098" s="110"/>
      <c r="L1098" s="107"/>
      <c r="M1098" s="109"/>
      <c r="N1098" s="11" t="str">
        <f t="shared" si="36"/>
        <v/>
      </c>
      <c r="O1098" s="32" t="str">
        <f t="shared" si="37"/>
        <v/>
      </c>
    </row>
    <row r="1099" spans="2:15" ht="15" customHeight="1" x14ac:dyDescent="0.4">
      <c r="B1099" s="10">
        <v>1423</v>
      </c>
      <c r="C1099" s="34"/>
      <c r="D1099" s="77"/>
      <c r="E1099" s="77"/>
      <c r="F1099" s="77"/>
      <c r="G1099" s="77"/>
      <c r="H1099" s="91"/>
      <c r="I1099" s="89"/>
      <c r="J1099" s="77"/>
      <c r="K1099" s="110"/>
      <c r="L1099" s="107"/>
      <c r="M1099" s="109"/>
      <c r="N1099" s="11" t="str">
        <f t="shared" si="36"/>
        <v/>
      </c>
      <c r="O1099" s="32" t="str">
        <f t="shared" si="37"/>
        <v/>
      </c>
    </row>
    <row r="1100" spans="2:15" ht="15" customHeight="1" x14ac:dyDescent="0.4">
      <c r="B1100" s="10">
        <v>1424</v>
      </c>
      <c r="C1100" s="34"/>
      <c r="D1100" s="77"/>
      <c r="E1100" s="77"/>
      <c r="F1100" s="77"/>
      <c r="G1100" s="77"/>
      <c r="H1100" s="91"/>
      <c r="I1100" s="89"/>
      <c r="J1100" s="77"/>
      <c r="K1100" s="110"/>
      <c r="L1100" s="107"/>
      <c r="M1100" s="109"/>
      <c r="N1100" s="11" t="str">
        <f t="shared" si="36"/>
        <v/>
      </c>
      <c r="O1100" s="32" t="str">
        <f t="shared" si="37"/>
        <v/>
      </c>
    </row>
    <row r="1101" spans="2:15" ht="15" customHeight="1" x14ac:dyDescent="0.4">
      <c r="B1101" s="10">
        <v>1425</v>
      </c>
      <c r="C1101" s="34"/>
      <c r="D1101" s="77"/>
      <c r="E1101" s="77"/>
      <c r="F1101" s="77"/>
      <c r="G1101" s="77"/>
      <c r="H1101" s="91"/>
      <c r="I1101" s="89"/>
      <c r="J1101" s="77"/>
      <c r="K1101" s="110"/>
      <c r="L1101" s="107"/>
      <c r="M1101" s="109"/>
      <c r="N1101" s="11" t="str">
        <f t="shared" si="36"/>
        <v/>
      </c>
      <c r="O1101" s="32" t="str">
        <f t="shared" si="37"/>
        <v/>
      </c>
    </row>
    <row r="1102" spans="2:15" ht="15" customHeight="1" x14ac:dyDescent="0.4">
      <c r="B1102" s="10">
        <v>1426</v>
      </c>
      <c r="C1102" s="34"/>
      <c r="D1102" s="77"/>
      <c r="E1102" s="77"/>
      <c r="F1102" s="77"/>
      <c r="G1102" s="77"/>
      <c r="H1102" s="91"/>
      <c r="I1102" s="89"/>
      <c r="J1102" s="77"/>
      <c r="K1102" s="110"/>
      <c r="L1102" s="107"/>
      <c r="M1102" s="109"/>
      <c r="N1102" s="11" t="str">
        <f t="shared" si="36"/>
        <v/>
      </c>
      <c r="O1102" s="32" t="str">
        <f t="shared" si="37"/>
        <v/>
      </c>
    </row>
    <row r="1103" spans="2:15" ht="15" customHeight="1" x14ac:dyDescent="0.4">
      <c r="B1103" s="10">
        <v>1427</v>
      </c>
      <c r="C1103" s="34"/>
      <c r="D1103" s="77"/>
      <c r="E1103" s="77"/>
      <c r="F1103" s="77"/>
      <c r="G1103" s="77"/>
      <c r="H1103" s="91"/>
      <c r="I1103" s="89"/>
      <c r="J1103" s="77"/>
      <c r="K1103" s="110"/>
      <c r="L1103" s="107"/>
      <c r="M1103" s="109"/>
      <c r="N1103" s="11" t="str">
        <f t="shared" si="36"/>
        <v/>
      </c>
      <c r="O1103" s="32" t="str">
        <f t="shared" si="37"/>
        <v/>
      </c>
    </row>
    <row r="1104" spans="2:15" ht="15" customHeight="1" x14ac:dyDescent="0.4">
      <c r="B1104" s="10">
        <v>1428</v>
      </c>
      <c r="C1104" s="34"/>
      <c r="D1104" s="77"/>
      <c r="E1104" s="77"/>
      <c r="F1104" s="77"/>
      <c r="G1104" s="77"/>
      <c r="H1104" s="91"/>
      <c r="I1104" s="89"/>
      <c r="J1104" s="77"/>
      <c r="K1104" s="110"/>
      <c r="L1104" s="107"/>
      <c r="M1104" s="109"/>
      <c r="N1104" s="11" t="str">
        <f t="shared" si="36"/>
        <v/>
      </c>
      <c r="O1104" s="32" t="str">
        <f t="shared" si="37"/>
        <v/>
      </c>
    </row>
    <row r="1105" spans="2:15" ht="15" customHeight="1" x14ac:dyDescent="0.4">
      <c r="B1105" s="10">
        <v>1429</v>
      </c>
      <c r="C1105" s="34"/>
      <c r="D1105" s="77"/>
      <c r="E1105" s="77"/>
      <c r="F1105" s="77"/>
      <c r="G1105" s="77"/>
      <c r="H1105" s="91"/>
      <c r="I1105" s="89"/>
      <c r="J1105" s="77"/>
      <c r="K1105" s="110"/>
      <c r="L1105" s="107"/>
      <c r="M1105" s="109"/>
      <c r="N1105" s="11" t="str">
        <f t="shared" si="36"/>
        <v/>
      </c>
      <c r="O1105" s="32" t="str">
        <f t="shared" si="37"/>
        <v/>
      </c>
    </row>
    <row r="1106" spans="2:15" ht="15" customHeight="1" x14ac:dyDescent="0.4">
      <c r="B1106" s="10">
        <v>1430</v>
      </c>
      <c r="C1106" s="34"/>
      <c r="D1106" s="77"/>
      <c r="E1106" s="77"/>
      <c r="F1106" s="77"/>
      <c r="G1106" s="77"/>
      <c r="H1106" s="91"/>
      <c r="I1106" s="89"/>
      <c r="J1106" s="77"/>
      <c r="K1106" s="110"/>
      <c r="L1106" s="107"/>
      <c r="M1106" s="109"/>
      <c r="N1106" s="11" t="str">
        <f t="shared" si="36"/>
        <v/>
      </c>
      <c r="O1106" s="32" t="str">
        <f t="shared" si="37"/>
        <v/>
      </c>
    </row>
    <row r="1107" spans="2:15" ht="15" customHeight="1" x14ac:dyDescent="0.4">
      <c r="B1107" s="10">
        <v>1431</v>
      </c>
      <c r="C1107" s="34"/>
      <c r="D1107" s="77"/>
      <c r="E1107" s="77"/>
      <c r="F1107" s="77"/>
      <c r="G1107" s="77"/>
      <c r="H1107" s="91"/>
      <c r="I1107" s="89"/>
      <c r="J1107" s="77"/>
      <c r="K1107" s="110"/>
      <c r="L1107" s="107"/>
      <c r="M1107" s="109"/>
      <c r="N1107" s="11" t="str">
        <f t="shared" si="36"/>
        <v/>
      </c>
      <c r="O1107" s="32" t="str">
        <f t="shared" si="37"/>
        <v/>
      </c>
    </row>
    <row r="1108" spans="2:15" ht="15" customHeight="1" x14ac:dyDescent="0.4">
      <c r="B1108" s="10">
        <v>1432</v>
      </c>
      <c r="C1108" s="34"/>
      <c r="D1108" s="77"/>
      <c r="E1108" s="77"/>
      <c r="F1108" s="77"/>
      <c r="G1108" s="77"/>
      <c r="H1108" s="91"/>
      <c r="I1108" s="89"/>
      <c r="J1108" s="77"/>
      <c r="K1108" s="110"/>
      <c r="L1108" s="107"/>
      <c r="M1108" s="109"/>
      <c r="N1108" s="11" t="str">
        <f t="shared" si="36"/>
        <v/>
      </c>
      <c r="O1108" s="32" t="str">
        <f t="shared" si="37"/>
        <v/>
      </c>
    </row>
    <row r="1109" spans="2:15" ht="15" customHeight="1" x14ac:dyDescent="0.4">
      <c r="B1109" s="10">
        <v>1433</v>
      </c>
      <c r="C1109" s="34"/>
      <c r="D1109" s="77"/>
      <c r="E1109" s="77"/>
      <c r="F1109" s="77"/>
      <c r="G1109" s="77"/>
      <c r="H1109" s="91"/>
      <c r="I1109" s="89"/>
      <c r="J1109" s="77"/>
      <c r="K1109" s="110"/>
      <c r="L1109" s="107"/>
      <c r="M1109" s="109"/>
      <c r="N1109" s="11" t="str">
        <f t="shared" si="36"/>
        <v/>
      </c>
      <c r="O1109" s="32" t="str">
        <f t="shared" si="37"/>
        <v/>
      </c>
    </row>
    <row r="1110" spans="2:15" ht="15" customHeight="1" x14ac:dyDescent="0.4">
      <c r="B1110" s="10">
        <v>1434</v>
      </c>
      <c r="C1110" s="34"/>
      <c r="D1110" s="77"/>
      <c r="E1110" s="77"/>
      <c r="F1110" s="77"/>
      <c r="G1110" s="77"/>
      <c r="H1110" s="91"/>
      <c r="I1110" s="89"/>
      <c r="J1110" s="77"/>
      <c r="K1110" s="110"/>
      <c r="L1110" s="107"/>
      <c r="M1110" s="109"/>
      <c r="N1110" s="11" t="str">
        <f t="shared" si="36"/>
        <v/>
      </c>
      <c r="O1110" s="32" t="str">
        <f t="shared" si="37"/>
        <v/>
      </c>
    </row>
    <row r="1111" spans="2:15" ht="15" customHeight="1" x14ac:dyDescent="0.4">
      <c r="B1111" s="10">
        <v>1435</v>
      </c>
      <c r="C1111" s="34"/>
      <c r="D1111" s="77"/>
      <c r="E1111" s="77"/>
      <c r="F1111" s="77"/>
      <c r="G1111" s="77"/>
      <c r="H1111" s="91"/>
      <c r="I1111" s="89"/>
      <c r="J1111" s="77"/>
      <c r="K1111" s="110"/>
      <c r="L1111" s="107"/>
      <c r="M1111" s="109"/>
      <c r="N1111" s="11" t="str">
        <f t="shared" si="36"/>
        <v/>
      </c>
      <c r="O1111" s="32" t="str">
        <f t="shared" si="37"/>
        <v/>
      </c>
    </row>
    <row r="1112" spans="2:15" ht="15" customHeight="1" x14ac:dyDescent="0.4">
      <c r="B1112" s="10">
        <v>1436</v>
      </c>
      <c r="C1112" s="34"/>
      <c r="D1112" s="77"/>
      <c r="E1112" s="77"/>
      <c r="F1112" s="77"/>
      <c r="G1112" s="77"/>
      <c r="H1112" s="91"/>
      <c r="I1112" s="89"/>
      <c r="J1112" s="77"/>
      <c r="K1112" s="110"/>
      <c r="L1112" s="107"/>
      <c r="M1112" s="109"/>
      <c r="N1112" s="11" t="str">
        <f t="shared" si="36"/>
        <v/>
      </c>
      <c r="O1112" s="32" t="str">
        <f t="shared" si="37"/>
        <v/>
      </c>
    </row>
    <row r="1113" spans="2:15" ht="15" customHeight="1" x14ac:dyDescent="0.4">
      <c r="B1113" s="10">
        <v>1437</v>
      </c>
      <c r="C1113" s="34"/>
      <c r="D1113" s="77"/>
      <c r="E1113" s="77"/>
      <c r="F1113" s="77"/>
      <c r="G1113" s="77"/>
      <c r="H1113" s="91"/>
      <c r="I1113" s="89"/>
      <c r="J1113" s="77"/>
      <c r="K1113" s="110"/>
      <c r="L1113" s="107"/>
      <c r="M1113" s="109"/>
      <c r="N1113" s="11" t="str">
        <f t="shared" si="36"/>
        <v/>
      </c>
      <c r="O1113" s="32" t="str">
        <f t="shared" si="37"/>
        <v/>
      </c>
    </row>
    <row r="1114" spans="2:15" ht="15" customHeight="1" x14ac:dyDescent="0.4">
      <c r="B1114" s="10">
        <v>1438</v>
      </c>
      <c r="C1114" s="34"/>
      <c r="D1114" s="77"/>
      <c r="E1114" s="77"/>
      <c r="F1114" s="77"/>
      <c r="G1114" s="77"/>
      <c r="H1114" s="91"/>
      <c r="I1114" s="89"/>
      <c r="J1114" s="77"/>
      <c r="K1114" s="110"/>
      <c r="L1114" s="107"/>
      <c r="M1114" s="109"/>
      <c r="N1114" s="11" t="str">
        <f t="shared" si="36"/>
        <v/>
      </c>
      <c r="O1114" s="32" t="str">
        <f t="shared" si="37"/>
        <v/>
      </c>
    </row>
    <row r="1115" spans="2:15" ht="15" customHeight="1" x14ac:dyDescent="0.4">
      <c r="B1115" s="10">
        <v>1439</v>
      </c>
      <c r="C1115" s="34"/>
      <c r="D1115" s="77"/>
      <c r="E1115" s="77"/>
      <c r="F1115" s="77"/>
      <c r="G1115" s="77"/>
      <c r="H1115" s="91"/>
      <c r="I1115" s="89"/>
      <c r="J1115" s="77"/>
      <c r="K1115" s="110"/>
      <c r="L1115" s="107"/>
      <c r="M1115" s="109"/>
      <c r="N1115" s="11" t="str">
        <f t="shared" si="36"/>
        <v/>
      </c>
      <c r="O1115" s="32" t="str">
        <f t="shared" si="37"/>
        <v/>
      </c>
    </row>
    <row r="1116" spans="2:15" ht="15" customHeight="1" x14ac:dyDescent="0.4">
      <c r="B1116" s="10">
        <v>1440</v>
      </c>
      <c r="C1116" s="34"/>
      <c r="D1116" s="77"/>
      <c r="E1116" s="77"/>
      <c r="F1116" s="77"/>
      <c r="G1116" s="77"/>
      <c r="H1116" s="91"/>
      <c r="I1116" s="89"/>
      <c r="J1116" s="77"/>
      <c r="K1116" s="110"/>
      <c r="L1116" s="107"/>
      <c r="M1116" s="109"/>
      <c r="N1116" s="11" t="str">
        <f t="shared" si="36"/>
        <v/>
      </c>
      <c r="O1116" s="32" t="str">
        <f t="shared" si="37"/>
        <v/>
      </c>
    </row>
    <row r="1117" spans="2:15" ht="15" customHeight="1" x14ac:dyDescent="0.4">
      <c r="B1117" s="10">
        <v>1441</v>
      </c>
      <c r="C1117" s="34"/>
      <c r="D1117" s="77"/>
      <c r="E1117" s="77"/>
      <c r="F1117" s="77"/>
      <c r="G1117" s="77"/>
      <c r="H1117" s="91"/>
      <c r="I1117" s="89"/>
      <c r="J1117" s="77"/>
      <c r="K1117" s="110"/>
      <c r="L1117" s="107"/>
      <c r="M1117" s="109"/>
      <c r="N1117" s="11" t="str">
        <f t="shared" si="36"/>
        <v/>
      </c>
      <c r="O1117" s="32" t="str">
        <f t="shared" si="37"/>
        <v/>
      </c>
    </row>
    <row r="1118" spans="2:15" ht="15" customHeight="1" x14ac:dyDescent="0.4">
      <c r="B1118" s="10">
        <v>1442</v>
      </c>
      <c r="C1118" s="34"/>
      <c r="D1118" s="77"/>
      <c r="E1118" s="77"/>
      <c r="F1118" s="77"/>
      <c r="G1118" s="77"/>
      <c r="H1118" s="91"/>
      <c r="I1118" s="89"/>
      <c r="J1118" s="77"/>
      <c r="K1118" s="110"/>
      <c r="L1118" s="107"/>
      <c r="M1118" s="109"/>
      <c r="N1118" s="11" t="str">
        <f t="shared" si="36"/>
        <v/>
      </c>
      <c r="O1118" s="32" t="str">
        <f t="shared" si="37"/>
        <v/>
      </c>
    </row>
    <row r="1119" spans="2:15" ht="15" customHeight="1" x14ac:dyDescent="0.4">
      <c r="B1119" s="10">
        <v>1443</v>
      </c>
      <c r="C1119" s="34"/>
      <c r="D1119" s="77"/>
      <c r="E1119" s="77"/>
      <c r="F1119" s="77"/>
      <c r="G1119" s="77"/>
      <c r="H1119" s="91"/>
      <c r="I1119" s="89"/>
      <c r="J1119" s="77"/>
      <c r="K1119" s="110"/>
      <c r="L1119" s="107"/>
      <c r="M1119" s="109"/>
      <c r="N1119" s="11" t="str">
        <f t="shared" si="36"/>
        <v/>
      </c>
      <c r="O1119" s="32" t="str">
        <f t="shared" si="37"/>
        <v/>
      </c>
    </row>
    <row r="1120" spans="2:15" ht="15" customHeight="1" x14ac:dyDescent="0.4">
      <c r="B1120" s="10">
        <v>1444</v>
      </c>
      <c r="C1120" s="34"/>
      <c r="D1120" s="77"/>
      <c r="E1120" s="77"/>
      <c r="F1120" s="77"/>
      <c r="G1120" s="77"/>
      <c r="H1120" s="91"/>
      <c r="I1120" s="89"/>
      <c r="J1120" s="77"/>
      <c r="K1120" s="110"/>
      <c r="L1120" s="107"/>
      <c r="M1120" s="109"/>
      <c r="N1120" s="11" t="str">
        <f t="shared" si="36"/>
        <v/>
      </c>
      <c r="O1120" s="32" t="str">
        <f t="shared" si="37"/>
        <v/>
      </c>
    </row>
    <row r="1121" spans="2:15" ht="15" customHeight="1" x14ac:dyDescent="0.4">
      <c r="B1121" s="10">
        <v>1445</v>
      </c>
      <c r="C1121" s="34"/>
      <c r="D1121" s="77"/>
      <c r="E1121" s="77"/>
      <c r="F1121" s="77"/>
      <c r="G1121" s="77"/>
      <c r="H1121" s="91"/>
      <c r="I1121" s="89"/>
      <c r="J1121" s="77"/>
      <c r="K1121" s="110"/>
      <c r="L1121" s="107"/>
      <c r="M1121" s="109"/>
      <c r="N1121" s="11" t="str">
        <f t="shared" si="36"/>
        <v/>
      </c>
      <c r="O1121" s="32" t="str">
        <f t="shared" si="37"/>
        <v/>
      </c>
    </row>
    <row r="1122" spans="2:15" ht="15" customHeight="1" x14ac:dyDescent="0.4">
      <c r="B1122" s="10">
        <v>1446</v>
      </c>
      <c r="C1122" s="34"/>
      <c r="D1122" s="77"/>
      <c r="E1122" s="77"/>
      <c r="F1122" s="77"/>
      <c r="G1122" s="77"/>
      <c r="H1122" s="91"/>
      <c r="I1122" s="89"/>
      <c r="J1122" s="77"/>
      <c r="K1122" s="110"/>
      <c r="L1122" s="107"/>
      <c r="M1122" s="109"/>
      <c r="N1122" s="11" t="str">
        <f t="shared" si="36"/>
        <v/>
      </c>
      <c r="O1122" s="32" t="str">
        <f t="shared" si="37"/>
        <v/>
      </c>
    </row>
    <row r="1123" spans="2:15" ht="15" customHeight="1" x14ac:dyDescent="0.4">
      <c r="B1123" s="10">
        <v>1447</v>
      </c>
      <c r="C1123" s="34"/>
      <c r="D1123" s="77"/>
      <c r="E1123" s="77"/>
      <c r="F1123" s="77"/>
      <c r="G1123" s="77"/>
      <c r="H1123" s="91"/>
      <c r="I1123" s="89"/>
      <c r="J1123" s="77"/>
      <c r="K1123" s="110"/>
      <c r="L1123" s="107"/>
      <c r="M1123" s="109"/>
      <c r="N1123" s="11" t="str">
        <f t="shared" si="36"/>
        <v/>
      </c>
      <c r="O1123" s="32" t="str">
        <f t="shared" si="37"/>
        <v/>
      </c>
    </row>
    <row r="1124" spans="2:15" ht="15" customHeight="1" x14ac:dyDescent="0.4">
      <c r="B1124" s="10">
        <v>1448</v>
      </c>
      <c r="C1124" s="34"/>
      <c r="D1124" s="77"/>
      <c r="E1124" s="77"/>
      <c r="F1124" s="77"/>
      <c r="G1124" s="77"/>
      <c r="H1124" s="91"/>
      <c r="I1124" s="89"/>
      <c r="J1124" s="77"/>
      <c r="K1124" s="110"/>
      <c r="L1124" s="107"/>
      <c r="M1124" s="109"/>
      <c r="N1124" s="11" t="str">
        <f t="shared" si="36"/>
        <v/>
      </c>
      <c r="O1124" s="32" t="str">
        <f t="shared" si="37"/>
        <v/>
      </c>
    </row>
    <row r="1125" spans="2:15" ht="15" customHeight="1" x14ac:dyDescent="0.4">
      <c r="B1125" s="10">
        <v>1449</v>
      </c>
      <c r="C1125" s="34"/>
      <c r="D1125" s="77"/>
      <c r="E1125" s="77"/>
      <c r="F1125" s="77"/>
      <c r="G1125" s="77"/>
      <c r="H1125" s="91"/>
      <c r="I1125" s="89"/>
      <c r="J1125" s="77"/>
      <c r="K1125" s="110"/>
      <c r="L1125" s="107"/>
      <c r="M1125" s="109"/>
      <c r="N1125" s="11" t="str">
        <f t="shared" si="36"/>
        <v/>
      </c>
      <c r="O1125" s="32" t="str">
        <f t="shared" si="37"/>
        <v/>
      </c>
    </row>
    <row r="1126" spans="2:15" ht="15" customHeight="1" x14ac:dyDescent="0.4">
      <c r="B1126" s="10">
        <v>1450</v>
      </c>
      <c r="C1126" s="34"/>
      <c r="D1126" s="77"/>
      <c r="E1126" s="77"/>
      <c r="F1126" s="77"/>
      <c r="G1126" s="77"/>
      <c r="H1126" s="91"/>
      <c r="I1126" s="89"/>
      <c r="J1126" s="77"/>
      <c r="K1126" s="110"/>
      <c r="L1126" s="107"/>
      <c r="M1126" s="109"/>
      <c r="N1126" s="11" t="str">
        <f t="shared" si="36"/>
        <v/>
      </c>
      <c r="O1126" s="32" t="str">
        <f t="shared" si="37"/>
        <v/>
      </c>
    </row>
    <row r="1127" spans="2:15" ht="15" customHeight="1" x14ac:dyDescent="0.4">
      <c r="B1127" s="10">
        <v>1451</v>
      </c>
      <c r="C1127" s="34"/>
      <c r="D1127" s="77"/>
      <c r="E1127" s="77"/>
      <c r="F1127" s="77"/>
      <c r="G1127" s="77"/>
      <c r="H1127" s="91"/>
      <c r="I1127" s="89"/>
      <c r="J1127" s="77"/>
      <c r="K1127" s="110"/>
      <c r="L1127" s="107"/>
      <c r="M1127" s="109"/>
      <c r="N1127" s="11" t="str">
        <f t="shared" si="36"/>
        <v/>
      </c>
      <c r="O1127" s="32" t="str">
        <f t="shared" si="37"/>
        <v/>
      </c>
    </row>
    <row r="1128" spans="2:15" ht="15" customHeight="1" x14ac:dyDescent="0.4">
      <c r="B1128" s="10">
        <v>1452</v>
      </c>
      <c r="C1128" s="34"/>
      <c r="D1128" s="77"/>
      <c r="E1128" s="77"/>
      <c r="F1128" s="77"/>
      <c r="G1128" s="77"/>
      <c r="H1128" s="91"/>
      <c r="I1128" s="89"/>
      <c r="J1128" s="77"/>
      <c r="K1128" s="110"/>
      <c r="L1128" s="107"/>
      <c r="M1128" s="109"/>
      <c r="N1128" s="11" t="str">
        <f t="shared" si="36"/>
        <v/>
      </c>
      <c r="O1128" s="32" t="str">
        <f t="shared" si="37"/>
        <v/>
      </c>
    </row>
    <row r="1129" spans="2:15" ht="15" customHeight="1" x14ac:dyDescent="0.4">
      <c r="B1129" s="10">
        <v>1453</v>
      </c>
      <c r="C1129" s="34"/>
      <c r="D1129" s="77"/>
      <c r="E1129" s="77"/>
      <c r="F1129" s="77"/>
      <c r="G1129" s="77"/>
      <c r="H1129" s="91"/>
      <c r="I1129" s="89"/>
      <c r="J1129" s="77"/>
      <c r="K1129" s="110"/>
      <c r="L1129" s="107"/>
      <c r="M1129" s="109"/>
      <c r="N1129" s="11" t="str">
        <f t="shared" si="36"/>
        <v/>
      </c>
      <c r="O1129" s="32" t="str">
        <f t="shared" si="37"/>
        <v/>
      </c>
    </row>
    <row r="1130" spans="2:15" ht="15" customHeight="1" x14ac:dyDescent="0.4">
      <c r="B1130" s="10">
        <v>1454</v>
      </c>
      <c r="C1130" s="34"/>
      <c r="D1130" s="77"/>
      <c r="E1130" s="77"/>
      <c r="F1130" s="77"/>
      <c r="G1130" s="77"/>
      <c r="H1130" s="91"/>
      <c r="I1130" s="89"/>
      <c r="J1130" s="77"/>
      <c r="K1130" s="110"/>
      <c r="L1130" s="107"/>
      <c r="M1130" s="109"/>
      <c r="N1130" s="11" t="str">
        <f t="shared" si="36"/>
        <v/>
      </c>
      <c r="O1130" s="32" t="str">
        <f t="shared" si="37"/>
        <v/>
      </c>
    </row>
    <row r="1131" spans="2:15" ht="15" customHeight="1" x14ac:dyDescent="0.4">
      <c r="B1131" s="10">
        <v>1455</v>
      </c>
      <c r="C1131" s="34"/>
      <c r="D1131" s="77"/>
      <c r="E1131" s="77"/>
      <c r="F1131" s="77"/>
      <c r="G1131" s="77"/>
      <c r="H1131" s="91"/>
      <c r="I1131" s="89"/>
      <c r="J1131" s="77"/>
      <c r="K1131" s="110"/>
      <c r="L1131" s="107"/>
      <c r="M1131" s="109"/>
      <c r="N1131" s="11" t="str">
        <f t="shared" si="36"/>
        <v/>
      </c>
      <c r="O1131" s="32" t="str">
        <f t="shared" si="37"/>
        <v/>
      </c>
    </row>
    <row r="1132" spans="2:15" ht="15" customHeight="1" x14ac:dyDescent="0.4">
      <c r="B1132" s="10">
        <v>1456</v>
      </c>
      <c r="C1132" s="34"/>
      <c r="D1132" s="77"/>
      <c r="E1132" s="77"/>
      <c r="F1132" s="77"/>
      <c r="G1132" s="77"/>
      <c r="H1132" s="91"/>
      <c r="I1132" s="89"/>
      <c r="J1132" s="77"/>
      <c r="K1132" s="110"/>
      <c r="L1132" s="107"/>
      <c r="M1132" s="109"/>
      <c r="N1132" s="11" t="str">
        <f t="shared" si="36"/>
        <v/>
      </c>
      <c r="O1132" s="32" t="str">
        <f t="shared" si="37"/>
        <v/>
      </c>
    </row>
    <row r="1133" spans="2:15" ht="15" customHeight="1" x14ac:dyDescent="0.4">
      <c r="B1133" s="10">
        <v>1457</v>
      </c>
      <c r="C1133" s="34"/>
      <c r="D1133" s="77"/>
      <c r="E1133" s="77"/>
      <c r="F1133" s="77"/>
      <c r="G1133" s="77"/>
      <c r="H1133" s="91"/>
      <c r="I1133" s="89"/>
      <c r="J1133" s="77"/>
      <c r="K1133" s="110"/>
      <c r="L1133" s="107"/>
      <c r="M1133" s="109"/>
      <c r="N1133" s="11" t="str">
        <f t="shared" si="36"/>
        <v/>
      </c>
      <c r="O1133" s="32" t="str">
        <f t="shared" si="37"/>
        <v/>
      </c>
    </row>
    <row r="1134" spans="2:15" ht="15" customHeight="1" x14ac:dyDescent="0.4">
      <c r="B1134" s="10">
        <v>1458</v>
      </c>
      <c r="C1134" s="34"/>
      <c r="D1134" s="77"/>
      <c r="E1134" s="77"/>
      <c r="F1134" s="77"/>
      <c r="G1134" s="77"/>
      <c r="H1134" s="91"/>
      <c r="I1134" s="89"/>
      <c r="J1134" s="77"/>
      <c r="K1134" s="110"/>
      <c r="L1134" s="107"/>
      <c r="M1134" s="109"/>
      <c r="N1134" s="11" t="str">
        <f t="shared" si="36"/>
        <v/>
      </c>
      <c r="O1134" s="32" t="str">
        <f t="shared" si="37"/>
        <v/>
      </c>
    </row>
    <row r="1135" spans="2:15" ht="15" customHeight="1" x14ac:dyDescent="0.4">
      <c r="B1135" s="10">
        <v>1459</v>
      </c>
      <c r="C1135" s="34"/>
      <c r="D1135" s="77"/>
      <c r="E1135" s="77"/>
      <c r="F1135" s="77"/>
      <c r="G1135" s="77"/>
      <c r="H1135" s="91"/>
      <c r="I1135" s="89"/>
      <c r="J1135" s="77"/>
      <c r="K1135" s="110"/>
      <c r="L1135" s="107"/>
      <c r="M1135" s="109"/>
      <c r="N1135" s="11" t="str">
        <f t="shared" si="36"/>
        <v/>
      </c>
      <c r="O1135" s="32" t="str">
        <f t="shared" si="37"/>
        <v/>
      </c>
    </row>
    <row r="1136" spans="2:15" ht="15" customHeight="1" x14ac:dyDescent="0.4">
      <c r="B1136" s="10">
        <v>1460</v>
      </c>
      <c r="C1136" s="34"/>
      <c r="D1136" s="77"/>
      <c r="E1136" s="77"/>
      <c r="F1136" s="77"/>
      <c r="G1136" s="77"/>
      <c r="H1136" s="91"/>
      <c r="I1136" s="89"/>
      <c r="J1136" s="77"/>
      <c r="K1136" s="110"/>
      <c r="L1136" s="107"/>
      <c r="M1136" s="109"/>
      <c r="N1136" s="11" t="str">
        <f t="shared" si="36"/>
        <v/>
      </c>
      <c r="O1136" s="32" t="str">
        <f t="shared" si="37"/>
        <v/>
      </c>
    </row>
    <row r="1137" spans="2:15" ht="15" customHeight="1" x14ac:dyDescent="0.4">
      <c r="B1137" s="213">
        <v>1461</v>
      </c>
      <c r="C1137" s="214"/>
      <c r="D1137" s="215"/>
      <c r="E1137" s="215"/>
      <c r="F1137" s="215"/>
      <c r="G1137" s="215"/>
      <c r="H1137" s="216"/>
      <c r="I1137" s="217"/>
      <c r="J1137" s="215"/>
      <c r="K1137" s="218"/>
      <c r="L1137" s="107"/>
      <c r="M1137" s="109"/>
      <c r="N1137" s="11" t="str">
        <f t="shared" si="36"/>
        <v/>
      </c>
      <c r="O1137" s="32" t="str">
        <f t="shared" si="37"/>
        <v/>
      </c>
    </row>
    <row r="1138" spans="2:15" ht="15" customHeight="1" x14ac:dyDescent="0.4">
      <c r="B1138" s="10">
        <v>1462</v>
      </c>
      <c r="C1138" s="34"/>
      <c r="D1138" s="77"/>
      <c r="E1138" s="77"/>
      <c r="F1138" s="77"/>
      <c r="G1138" s="77"/>
      <c r="H1138" s="91"/>
      <c r="I1138" s="89"/>
      <c r="J1138" s="77"/>
      <c r="K1138" s="110"/>
      <c r="L1138" s="107"/>
      <c r="M1138" s="109"/>
      <c r="N1138" s="11" t="str">
        <f t="shared" si="36"/>
        <v/>
      </c>
      <c r="O1138" s="32" t="str">
        <f t="shared" si="37"/>
        <v/>
      </c>
    </row>
    <row r="1139" spans="2:15" ht="15" customHeight="1" x14ac:dyDescent="0.4">
      <c r="B1139" s="10">
        <v>1463</v>
      </c>
      <c r="C1139" s="34"/>
      <c r="D1139" s="77"/>
      <c r="E1139" s="77"/>
      <c r="F1139" s="77"/>
      <c r="G1139" s="77"/>
      <c r="H1139" s="91"/>
      <c r="I1139" s="89"/>
      <c r="J1139" s="77"/>
      <c r="K1139" s="110"/>
      <c r="L1139" s="107"/>
      <c r="M1139" s="109"/>
      <c r="N1139" s="11" t="str">
        <f t="shared" si="36"/>
        <v/>
      </c>
      <c r="O1139" s="32" t="str">
        <f t="shared" si="37"/>
        <v/>
      </c>
    </row>
    <row r="1140" spans="2:15" ht="15" customHeight="1" x14ac:dyDescent="0.4">
      <c r="B1140" s="10">
        <v>1464</v>
      </c>
      <c r="C1140" s="34"/>
      <c r="D1140" s="77"/>
      <c r="E1140" s="77"/>
      <c r="F1140" s="77"/>
      <c r="G1140" s="77"/>
      <c r="H1140" s="91"/>
      <c r="I1140" s="89"/>
      <c r="J1140" s="77"/>
      <c r="K1140" s="110"/>
      <c r="L1140" s="107"/>
      <c r="M1140" s="109"/>
      <c r="N1140" s="11" t="str">
        <f t="shared" si="36"/>
        <v/>
      </c>
      <c r="O1140" s="32" t="str">
        <f t="shared" si="37"/>
        <v/>
      </c>
    </row>
    <row r="1141" spans="2:15" ht="15" customHeight="1" x14ac:dyDescent="0.4">
      <c r="B1141" s="10">
        <v>1465</v>
      </c>
      <c r="C1141" s="34"/>
      <c r="D1141" s="77"/>
      <c r="E1141" s="77"/>
      <c r="F1141" s="77"/>
      <c r="G1141" s="77"/>
      <c r="H1141" s="91"/>
      <c r="I1141" s="89"/>
      <c r="J1141" s="77"/>
      <c r="K1141" s="110"/>
      <c r="L1141" s="107"/>
      <c r="M1141" s="109"/>
      <c r="N1141" s="11" t="str">
        <f t="shared" si="36"/>
        <v/>
      </c>
      <c r="O1141" s="32" t="str">
        <f t="shared" si="37"/>
        <v/>
      </c>
    </row>
    <row r="1142" spans="2:15" ht="15" customHeight="1" x14ac:dyDescent="0.4">
      <c r="B1142" s="10">
        <v>1466</v>
      </c>
      <c r="C1142" s="34"/>
      <c r="D1142" s="77"/>
      <c r="E1142" s="77"/>
      <c r="F1142" s="77"/>
      <c r="G1142" s="77"/>
      <c r="H1142" s="91"/>
      <c r="I1142" s="89"/>
      <c r="J1142" s="77"/>
      <c r="K1142" s="110"/>
      <c r="L1142" s="107"/>
      <c r="M1142" s="109"/>
      <c r="N1142" s="11" t="str">
        <f t="shared" si="36"/>
        <v/>
      </c>
      <c r="O1142" s="32" t="str">
        <f t="shared" si="37"/>
        <v/>
      </c>
    </row>
    <row r="1143" spans="2:15" ht="15" customHeight="1" x14ac:dyDescent="0.4">
      <c r="B1143" s="10">
        <v>1467</v>
      </c>
      <c r="C1143" s="34"/>
      <c r="D1143" s="77"/>
      <c r="E1143" s="77"/>
      <c r="F1143" s="77"/>
      <c r="G1143" s="77"/>
      <c r="H1143" s="91"/>
      <c r="I1143" s="89"/>
      <c r="J1143" s="77"/>
      <c r="K1143" s="110"/>
      <c r="L1143" s="107"/>
      <c r="M1143" s="109"/>
      <c r="N1143" s="11" t="str">
        <f t="shared" si="36"/>
        <v/>
      </c>
      <c r="O1143" s="32" t="str">
        <f t="shared" si="37"/>
        <v/>
      </c>
    </row>
    <row r="1144" spans="2:15" ht="15" customHeight="1" x14ac:dyDescent="0.4">
      <c r="B1144" s="10">
        <v>1468</v>
      </c>
      <c r="C1144" s="34"/>
      <c r="D1144" s="77"/>
      <c r="E1144" s="77"/>
      <c r="F1144" s="77"/>
      <c r="G1144" s="77"/>
      <c r="H1144" s="91"/>
      <c r="I1144" s="89"/>
      <c r="J1144" s="77"/>
      <c r="K1144" s="110"/>
      <c r="L1144" s="107"/>
      <c r="M1144" s="109"/>
      <c r="N1144" s="11" t="str">
        <f t="shared" si="36"/>
        <v/>
      </c>
      <c r="O1144" s="32" t="str">
        <f t="shared" si="37"/>
        <v/>
      </c>
    </row>
    <row r="1145" spans="2:15" ht="15" customHeight="1" x14ac:dyDescent="0.4">
      <c r="B1145" s="10">
        <v>1469</v>
      </c>
      <c r="C1145" s="34"/>
      <c r="D1145" s="77"/>
      <c r="E1145" s="77"/>
      <c r="F1145" s="77"/>
      <c r="G1145" s="77"/>
      <c r="H1145" s="91"/>
      <c r="I1145" s="89"/>
      <c r="J1145" s="77"/>
      <c r="K1145" s="110"/>
      <c r="L1145" s="107"/>
      <c r="M1145" s="109"/>
      <c r="N1145" s="11" t="str">
        <f t="shared" si="36"/>
        <v/>
      </c>
      <c r="O1145" s="32" t="str">
        <f t="shared" si="37"/>
        <v/>
      </c>
    </row>
    <row r="1146" spans="2:15" ht="15" customHeight="1" x14ac:dyDescent="0.4">
      <c r="B1146" s="10">
        <v>1470</v>
      </c>
      <c r="C1146" s="34"/>
      <c r="D1146" s="77"/>
      <c r="E1146" s="77"/>
      <c r="F1146" s="77"/>
      <c r="G1146" s="77"/>
      <c r="H1146" s="91"/>
      <c r="I1146" s="89"/>
      <c r="J1146" s="77"/>
      <c r="K1146" s="110"/>
      <c r="L1146" s="107"/>
      <c r="M1146" s="109"/>
      <c r="N1146" s="11" t="str">
        <f t="shared" si="36"/>
        <v/>
      </c>
      <c r="O1146" s="32" t="str">
        <f t="shared" si="37"/>
        <v/>
      </c>
    </row>
    <row r="1147" spans="2:15" ht="15" customHeight="1" x14ac:dyDescent="0.4">
      <c r="B1147" s="10">
        <v>1471</v>
      </c>
      <c r="C1147" s="34"/>
      <c r="D1147" s="77"/>
      <c r="E1147" s="77"/>
      <c r="F1147" s="77"/>
      <c r="G1147" s="77"/>
      <c r="H1147" s="91"/>
      <c r="I1147" s="89"/>
      <c r="J1147" s="77"/>
      <c r="K1147" s="110"/>
      <c r="L1147" s="107"/>
      <c r="M1147" s="109"/>
      <c r="N1147" s="11" t="str">
        <f t="shared" si="36"/>
        <v/>
      </c>
      <c r="O1147" s="32" t="str">
        <f t="shared" si="37"/>
        <v/>
      </c>
    </row>
    <row r="1148" spans="2:15" ht="15" customHeight="1" x14ac:dyDescent="0.4">
      <c r="B1148" s="10">
        <v>1472</v>
      </c>
      <c r="C1148" s="34"/>
      <c r="D1148" s="77"/>
      <c r="E1148" s="77"/>
      <c r="F1148" s="77"/>
      <c r="G1148" s="77"/>
      <c r="H1148" s="91"/>
      <c r="I1148" s="89"/>
      <c r="J1148" s="77"/>
      <c r="K1148" s="110"/>
      <c r="L1148" s="107"/>
      <c r="M1148" s="109"/>
      <c r="N1148" s="11" t="str">
        <f t="shared" si="36"/>
        <v/>
      </c>
      <c r="O1148" s="32" t="str">
        <f t="shared" si="37"/>
        <v/>
      </c>
    </row>
    <row r="1149" spans="2:15" ht="15" customHeight="1" x14ac:dyDescent="0.4">
      <c r="B1149" s="10">
        <v>1473</v>
      </c>
      <c r="C1149" s="34"/>
      <c r="D1149" s="77"/>
      <c r="E1149" s="77"/>
      <c r="F1149" s="77"/>
      <c r="G1149" s="77"/>
      <c r="H1149" s="91"/>
      <c r="I1149" s="89"/>
      <c r="J1149" s="77"/>
      <c r="K1149" s="110"/>
      <c r="L1149" s="107"/>
      <c r="M1149" s="109"/>
      <c r="N1149" s="11" t="str">
        <f t="shared" si="36"/>
        <v/>
      </c>
      <c r="O1149" s="32" t="str">
        <f t="shared" si="37"/>
        <v/>
      </c>
    </row>
    <row r="1150" spans="2:15" ht="15" customHeight="1" x14ac:dyDescent="0.4">
      <c r="B1150" s="10">
        <v>1474</v>
      </c>
      <c r="C1150" s="34"/>
      <c r="D1150" s="77"/>
      <c r="E1150" s="77"/>
      <c r="F1150" s="77"/>
      <c r="G1150" s="77"/>
      <c r="H1150" s="91"/>
      <c r="I1150" s="89"/>
      <c r="J1150" s="77"/>
      <c r="K1150" s="110"/>
      <c r="L1150" s="107"/>
      <c r="M1150" s="109"/>
      <c r="N1150" s="11" t="str">
        <f t="shared" si="36"/>
        <v/>
      </c>
      <c r="O1150" s="32" t="str">
        <f t="shared" si="37"/>
        <v/>
      </c>
    </row>
    <row r="1151" spans="2:15" ht="15" customHeight="1" x14ac:dyDescent="0.4">
      <c r="B1151" s="10">
        <v>1475</v>
      </c>
      <c r="C1151" s="34"/>
      <c r="D1151" s="77"/>
      <c r="E1151" s="77"/>
      <c r="F1151" s="77"/>
      <c r="G1151" s="77"/>
      <c r="H1151" s="91"/>
      <c r="I1151" s="89"/>
      <c r="J1151" s="77"/>
      <c r="K1151" s="110"/>
      <c r="L1151" s="107"/>
      <c r="M1151" s="109"/>
      <c r="N1151" s="11" t="str">
        <f t="shared" si="36"/>
        <v/>
      </c>
      <c r="O1151" s="32" t="str">
        <f t="shared" si="37"/>
        <v/>
      </c>
    </row>
    <row r="1152" spans="2:15" ht="15" customHeight="1" x14ac:dyDescent="0.4">
      <c r="B1152" s="10">
        <v>1476</v>
      </c>
      <c r="C1152" s="34"/>
      <c r="D1152" s="77"/>
      <c r="E1152" s="77"/>
      <c r="F1152" s="77"/>
      <c r="G1152" s="77"/>
      <c r="H1152" s="91"/>
      <c r="I1152" s="89"/>
      <c r="J1152" s="77"/>
      <c r="K1152" s="110"/>
      <c r="L1152" s="107"/>
      <c r="M1152" s="109"/>
      <c r="N1152" s="11" t="str">
        <f t="shared" si="36"/>
        <v/>
      </c>
      <c r="O1152" s="32" t="str">
        <f t="shared" si="37"/>
        <v/>
      </c>
    </row>
    <row r="1153" spans="2:15" ht="15" customHeight="1" x14ac:dyDescent="0.4">
      <c r="B1153" s="10">
        <v>1477</v>
      </c>
      <c r="C1153" s="34"/>
      <c r="D1153" s="77"/>
      <c r="E1153" s="77"/>
      <c r="F1153" s="77"/>
      <c r="G1153" s="77"/>
      <c r="H1153" s="91"/>
      <c r="I1153" s="89"/>
      <c r="J1153" s="77"/>
      <c r="K1153" s="110"/>
      <c r="L1153" s="107"/>
      <c r="M1153" s="109"/>
      <c r="N1153" s="11" t="str">
        <f t="shared" si="36"/>
        <v/>
      </c>
      <c r="O1153" s="32" t="str">
        <f t="shared" si="37"/>
        <v/>
      </c>
    </row>
    <row r="1154" spans="2:15" ht="15" customHeight="1" x14ac:dyDescent="0.4">
      <c r="B1154" s="10">
        <v>1478</v>
      </c>
      <c r="C1154" s="34"/>
      <c r="D1154" s="77"/>
      <c r="E1154" s="77"/>
      <c r="F1154" s="77"/>
      <c r="G1154" s="77"/>
      <c r="H1154" s="91"/>
      <c r="I1154" s="89"/>
      <c r="J1154" s="77"/>
      <c r="K1154" s="110"/>
      <c r="L1154" s="107"/>
      <c r="M1154" s="109"/>
      <c r="N1154" s="11" t="str">
        <f t="shared" si="36"/>
        <v/>
      </c>
      <c r="O1154" s="32" t="str">
        <f t="shared" si="37"/>
        <v/>
      </c>
    </row>
    <row r="1155" spans="2:15" ht="15" customHeight="1" x14ac:dyDescent="0.4">
      <c r="B1155" s="10">
        <v>1479</v>
      </c>
      <c r="C1155" s="34"/>
      <c r="D1155" s="77"/>
      <c r="E1155" s="77"/>
      <c r="F1155" s="77"/>
      <c r="G1155" s="77"/>
      <c r="H1155" s="91"/>
      <c r="I1155" s="89"/>
      <c r="J1155" s="77"/>
      <c r="K1155" s="110"/>
      <c r="L1155" s="107"/>
      <c r="M1155" s="109"/>
      <c r="N1155" s="11" t="str">
        <f t="shared" si="36"/>
        <v/>
      </c>
      <c r="O1155" s="32" t="str">
        <f t="shared" si="37"/>
        <v/>
      </c>
    </row>
    <row r="1156" spans="2:15" ht="15" customHeight="1" x14ac:dyDescent="0.4">
      <c r="B1156" s="10">
        <v>1480</v>
      </c>
      <c r="C1156" s="34"/>
      <c r="D1156" s="77"/>
      <c r="E1156" s="77"/>
      <c r="F1156" s="77"/>
      <c r="G1156" s="77"/>
      <c r="H1156" s="91"/>
      <c r="I1156" s="89"/>
      <c r="J1156" s="77"/>
      <c r="K1156" s="110"/>
      <c r="L1156" s="107"/>
      <c r="M1156" s="109"/>
      <c r="N1156" s="11" t="str">
        <f t="shared" ref="N1156:N1219" si="38">IF(OR(M1156="", K1156=""),"", M1156- K1156)</f>
        <v/>
      </c>
      <c r="O1156" s="32" t="str">
        <f t="shared" ref="O1156:O1219" si="39">IF(OR(M1156="", K1156="", L1156=""), "", IF((M1156 - K1156) &gt; L1156, "No", "Yes"))</f>
        <v/>
      </c>
    </row>
    <row r="1157" spans="2:15" ht="15" customHeight="1" x14ac:dyDescent="0.4">
      <c r="B1157" s="10">
        <v>1481</v>
      </c>
      <c r="C1157" s="34"/>
      <c r="D1157" s="77"/>
      <c r="E1157" s="77"/>
      <c r="F1157" s="77"/>
      <c r="G1157" s="77"/>
      <c r="H1157" s="91"/>
      <c r="I1157" s="89"/>
      <c r="J1157" s="77"/>
      <c r="K1157" s="110"/>
      <c r="L1157" s="107"/>
      <c r="M1157" s="109"/>
      <c r="N1157" s="11" t="str">
        <f t="shared" si="38"/>
        <v/>
      </c>
      <c r="O1157" s="32" t="str">
        <f t="shared" si="39"/>
        <v/>
      </c>
    </row>
    <row r="1158" spans="2:15" ht="15" customHeight="1" x14ac:dyDescent="0.4">
      <c r="B1158" s="10">
        <v>1482</v>
      </c>
      <c r="C1158" s="34"/>
      <c r="D1158" s="77"/>
      <c r="E1158" s="77"/>
      <c r="F1158" s="77"/>
      <c r="G1158" s="77"/>
      <c r="H1158" s="91"/>
      <c r="I1158" s="89"/>
      <c r="J1158" s="77"/>
      <c r="K1158" s="110"/>
      <c r="L1158" s="107"/>
      <c r="M1158" s="109"/>
      <c r="N1158" s="11" t="str">
        <f t="shared" si="38"/>
        <v/>
      </c>
      <c r="O1158" s="32" t="str">
        <f t="shared" si="39"/>
        <v/>
      </c>
    </row>
    <row r="1159" spans="2:15" ht="15" customHeight="1" x14ac:dyDescent="0.4">
      <c r="B1159" s="10">
        <v>1483</v>
      </c>
      <c r="C1159" s="34"/>
      <c r="D1159" s="77"/>
      <c r="E1159" s="77"/>
      <c r="F1159" s="77"/>
      <c r="G1159" s="77"/>
      <c r="H1159" s="91"/>
      <c r="I1159" s="89"/>
      <c r="J1159" s="77"/>
      <c r="K1159" s="110"/>
      <c r="L1159" s="107"/>
      <c r="M1159" s="109"/>
      <c r="N1159" s="11" t="str">
        <f t="shared" si="38"/>
        <v/>
      </c>
      <c r="O1159" s="32" t="str">
        <f t="shared" si="39"/>
        <v/>
      </c>
    </row>
    <row r="1160" spans="2:15" ht="15" customHeight="1" x14ac:dyDescent="0.4">
      <c r="B1160" s="10">
        <v>1484</v>
      </c>
      <c r="C1160" s="34"/>
      <c r="D1160" s="77"/>
      <c r="E1160" s="77"/>
      <c r="F1160" s="77"/>
      <c r="G1160" s="77"/>
      <c r="H1160" s="91"/>
      <c r="I1160" s="89"/>
      <c r="J1160" s="77"/>
      <c r="K1160" s="110"/>
      <c r="L1160" s="107"/>
      <c r="M1160" s="109"/>
      <c r="N1160" s="11" t="str">
        <f t="shared" si="38"/>
        <v/>
      </c>
      <c r="O1160" s="32" t="str">
        <f t="shared" si="39"/>
        <v/>
      </c>
    </row>
    <row r="1161" spans="2:15" ht="15" customHeight="1" x14ac:dyDescent="0.4">
      <c r="B1161" s="10">
        <v>1485</v>
      </c>
      <c r="C1161" s="34"/>
      <c r="D1161" s="77"/>
      <c r="E1161" s="77"/>
      <c r="F1161" s="77"/>
      <c r="G1161" s="77"/>
      <c r="H1161" s="91"/>
      <c r="I1161" s="89"/>
      <c r="J1161" s="77"/>
      <c r="K1161" s="110"/>
      <c r="L1161" s="107"/>
      <c r="M1161" s="109"/>
      <c r="N1161" s="11" t="str">
        <f t="shared" si="38"/>
        <v/>
      </c>
      <c r="O1161" s="32" t="str">
        <f t="shared" si="39"/>
        <v/>
      </c>
    </row>
    <row r="1162" spans="2:15" ht="15" customHeight="1" x14ac:dyDescent="0.4">
      <c r="B1162" s="10">
        <v>1486</v>
      </c>
      <c r="C1162" s="34"/>
      <c r="D1162" s="77"/>
      <c r="E1162" s="77"/>
      <c r="F1162" s="77"/>
      <c r="G1162" s="77"/>
      <c r="H1162" s="91"/>
      <c r="I1162" s="89"/>
      <c r="J1162" s="77"/>
      <c r="K1162" s="110"/>
      <c r="L1162" s="107"/>
      <c r="M1162" s="109"/>
      <c r="N1162" s="11" t="str">
        <f t="shared" si="38"/>
        <v/>
      </c>
      <c r="O1162" s="32" t="str">
        <f t="shared" si="39"/>
        <v/>
      </c>
    </row>
    <row r="1163" spans="2:15" ht="15" customHeight="1" x14ac:dyDescent="0.4">
      <c r="B1163" s="10">
        <v>1487</v>
      </c>
      <c r="C1163" s="34"/>
      <c r="D1163" s="77"/>
      <c r="E1163" s="77"/>
      <c r="F1163" s="77"/>
      <c r="G1163" s="77"/>
      <c r="H1163" s="91"/>
      <c r="I1163" s="89"/>
      <c r="J1163" s="77"/>
      <c r="K1163" s="110"/>
      <c r="L1163" s="107"/>
      <c r="M1163" s="109"/>
      <c r="N1163" s="11" t="str">
        <f t="shared" si="38"/>
        <v/>
      </c>
      <c r="O1163" s="32" t="str">
        <f t="shared" si="39"/>
        <v/>
      </c>
    </row>
    <row r="1164" spans="2:15" ht="15" customHeight="1" x14ac:dyDescent="0.4">
      <c r="B1164" s="10">
        <v>1488</v>
      </c>
      <c r="C1164" s="34"/>
      <c r="D1164" s="77"/>
      <c r="E1164" s="77"/>
      <c r="F1164" s="77"/>
      <c r="G1164" s="77"/>
      <c r="H1164" s="91"/>
      <c r="I1164" s="89"/>
      <c r="J1164" s="77"/>
      <c r="K1164" s="110"/>
      <c r="L1164" s="107"/>
      <c r="M1164" s="109"/>
      <c r="N1164" s="11" t="str">
        <f t="shared" si="38"/>
        <v/>
      </c>
      <c r="O1164" s="32" t="str">
        <f t="shared" si="39"/>
        <v/>
      </c>
    </row>
    <row r="1165" spans="2:15" ht="15" customHeight="1" x14ac:dyDescent="0.4">
      <c r="B1165" s="10">
        <v>1489</v>
      </c>
      <c r="C1165" s="34"/>
      <c r="D1165" s="77"/>
      <c r="E1165" s="77"/>
      <c r="F1165" s="77"/>
      <c r="G1165" s="77"/>
      <c r="H1165" s="91"/>
      <c r="I1165" s="89"/>
      <c r="J1165" s="77"/>
      <c r="K1165" s="110"/>
      <c r="L1165" s="107"/>
      <c r="M1165" s="109"/>
      <c r="N1165" s="11" t="str">
        <f t="shared" si="38"/>
        <v/>
      </c>
      <c r="O1165" s="32" t="str">
        <f t="shared" si="39"/>
        <v/>
      </c>
    </row>
    <row r="1166" spans="2:15" ht="15" customHeight="1" x14ac:dyDescent="0.4">
      <c r="B1166" s="10">
        <v>1490</v>
      </c>
      <c r="C1166" s="34"/>
      <c r="D1166" s="77"/>
      <c r="E1166" s="77"/>
      <c r="F1166" s="77"/>
      <c r="G1166" s="77"/>
      <c r="H1166" s="91"/>
      <c r="I1166" s="89"/>
      <c r="J1166" s="77"/>
      <c r="K1166" s="110"/>
      <c r="L1166" s="107"/>
      <c r="M1166" s="109"/>
      <c r="N1166" s="11" t="str">
        <f t="shared" si="38"/>
        <v/>
      </c>
      <c r="O1166" s="32" t="str">
        <f t="shared" si="39"/>
        <v/>
      </c>
    </row>
    <row r="1167" spans="2:15" ht="15" customHeight="1" x14ac:dyDescent="0.4">
      <c r="B1167" s="10">
        <v>1491</v>
      </c>
      <c r="C1167" s="34"/>
      <c r="D1167" s="77"/>
      <c r="E1167" s="77"/>
      <c r="F1167" s="77"/>
      <c r="G1167" s="77"/>
      <c r="H1167" s="91"/>
      <c r="I1167" s="89"/>
      <c r="J1167" s="77"/>
      <c r="K1167" s="110"/>
      <c r="L1167" s="107"/>
      <c r="M1167" s="109"/>
      <c r="N1167" s="11" t="str">
        <f t="shared" si="38"/>
        <v/>
      </c>
      <c r="O1167" s="32" t="str">
        <f t="shared" si="39"/>
        <v/>
      </c>
    </row>
    <row r="1168" spans="2:15" ht="15" customHeight="1" x14ac:dyDescent="0.4">
      <c r="B1168" s="10">
        <v>1492</v>
      </c>
      <c r="C1168" s="34"/>
      <c r="D1168" s="77"/>
      <c r="E1168" s="77"/>
      <c r="F1168" s="77"/>
      <c r="G1168" s="77"/>
      <c r="H1168" s="91"/>
      <c r="I1168" s="89"/>
      <c r="J1168" s="77"/>
      <c r="K1168" s="110"/>
      <c r="L1168" s="107"/>
      <c r="M1168" s="109"/>
      <c r="N1168" s="11" t="str">
        <f t="shared" si="38"/>
        <v/>
      </c>
      <c r="O1168" s="32" t="str">
        <f t="shared" si="39"/>
        <v/>
      </c>
    </row>
    <row r="1169" spans="2:15" ht="15" customHeight="1" x14ac:dyDescent="0.4">
      <c r="B1169" s="10">
        <v>1493</v>
      </c>
      <c r="C1169" s="34"/>
      <c r="D1169" s="77"/>
      <c r="E1169" s="77"/>
      <c r="F1169" s="77"/>
      <c r="G1169" s="77"/>
      <c r="H1169" s="91"/>
      <c r="I1169" s="89"/>
      <c r="J1169" s="77"/>
      <c r="K1169" s="110"/>
      <c r="L1169" s="107"/>
      <c r="M1169" s="109"/>
      <c r="N1169" s="11" t="str">
        <f t="shared" si="38"/>
        <v/>
      </c>
      <c r="O1169" s="32" t="str">
        <f t="shared" si="39"/>
        <v/>
      </c>
    </row>
    <row r="1170" spans="2:15" ht="15" customHeight="1" x14ac:dyDescent="0.4">
      <c r="B1170" s="10">
        <v>1494</v>
      </c>
      <c r="C1170" s="34"/>
      <c r="D1170" s="77"/>
      <c r="E1170" s="77"/>
      <c r="F1170" s="77"/>
      <c r="G1170" s="77"/>
      <c r="H1170" s="91"/>
      <c r="I1170" s="89"/>
      <c r="J1170" s="77"/>
      <c r="K1170" s="110"/>
      <c r="L1170" s="107"/>
      <c r="M1170" s="109"/>
      <c r="N1170" s="11" t="str">
        <f t="shared" si="38"/>
        <v/>
      </c>
      <c r="O1170" s="32" t="str">
        <f t="shared" si="39"/>
        <v/>
      </c>
    </row>
    <row r="1171" spans="2:15" ht="15" customHeight="1" x14ac:dyDescent="0.4">
      <c r="B1171" s="10">
        <v>1495</v>
      </c>
      <c r="C1171" s="34"/>
      <c r="D1171" s="77"/>
      <c r="E1171" s="77"/>
      <c r="F1171" s="77"/>
      <c r="G1171" s="77"/>
      <c r="H1171" s="91"/>
      <c r="I1171" s="89"/>
      <c r="J1171" s="77"/>
      <c r="K1171" s="110"/>
      <c r="L1171" s="107"/>
      <c r="M1171" s="109"/>
      <c r="N1171" s="11" t="str">
        <f t="shared" si="38"/>
        <v/>
      </c>
      <c r="O1171" s="32" t="str">
        <f t="shared" si="39"/>
        <v/>
      </c>
    </row>
    <row r="1172" spans="2:15" ht="15" customHeight="1" x14ac:dyDescent="0.4">
      <c r="B1172" s="10">
        <v>1496</v>
      </c>
      <c r="C1172" s="34"/>
      <c r="D1172" s="77"/>
      <c r="E1172" s="77"/>
      <c r="F1172" s="77"/>
      <c r="G1172" s="77"/>
      <c r="H1172" s="91"/>
      <c r="I1172" s="89"/>
      <c r="J1172" s="77"/>
      <c r="K1172" s="110"/>
      <c r="L1172" s="107"/>
      <c r="M1172" s="109"/>
      <c r="N1172" s="11" t="str">
        <f t="shared" si="38"/>
        <v/>
      </c>
      <c r="O1172" s="32" t="str">
        <f t="shared" si="39"/>
        <v/>
      </c>
    </row>
    <row r="1173" spans="2:15" ht="15" customHeight="1" x14ac:dyDescent="0.4">
      <c r="B1173" s="10">
        <v>1497</v>
      </c>
      <c r="C1173" s="34"/>
      <c r="D1173" s="77"/>
      <c r="E1173" s="77"/>
      <c r="F1173" s="77"/>
      <c r="G1173" s="77"/>
      <c r="H1173" s="91"/>
      <c r="I1173" s="89"/>
      <c r="J1173" s="77"/>
      <c r="K1173" s="110"/>
      <c r="L1173" s="107"/>
      <c r="M1173" s="109"/>
      <c r="N1173" s="11" t="str">
        <f t="shared" si="38"/>
        <v/>
      </c>
      <c r="O1173" s="32" t="str">
        <f t="shared" si="39"/>
        <v/>
      </c>
    </row>
    <row r="1174" spans="2:15" ht="15" customHeight="1" x14ac:dyDescent="0.4">
      <c r="B1174" s="10">
        <v>1498</v>
      </c>
      <c r="C1174" s="34"/>
      <c r="D1174" s="77"/>
      <c r="E1174" s="77"/>
      <c r="F1174" s="77"/>
      <c r="G1174" s="77"/>
      <c r="H1174" s="91"/>
      <c r="I1174" s="89"/>
      <c r="J1174" s="77"/>
      <c r="K1174" s="110"/>
      <c r="L1174" s="107"/>
      <c r="M1174" s="109"/>
      <c r="N1174" s="11" t="str">
        <f t="shared" si="38"/>
        <v/>
      </c>
      <c r="O1174" s="32" t="str">
        <f t="shared" si="39"/>
        <v/>
      </c>
    </row>
    <row r="1175" spans="2:15" ht="15" customHeight="1" x14ac:dyDescent="0.4">
      <c r="B1175" s="10">
        <v>1499</v>
      </c>
      <c r="C1175" s="34"/>
      <c r="D1175" s="77"/>
      <c r="E1175" s="77"/>
      <c r="F1175" s="77"/>
      <c r="G1175" s="77"/>
      <c r="H1175" s="91"/>
      <c r="I1175" s="89"/>
      <c r="J1175" s="77"/>
      <c r="K1175" s="110"/>
      <c r="L1175" s="107"/>
      <c r="M1175" s="109"/>
      <c r="N1175" s="11" t="str">
        <f t="shared" si="38"/>
        <v/>
      </c>
      <c r="O1175" s="32" t="str">
        <f t="shared" si="39"/>
        <v/>
      </c>
    </row>
    <row r="1176" spans="2:15" ht="15" customHeight="1" x14ac:dyDescent="0.4">
      <c r="B1176" s="10">
        <v>1500</v>
      </c>
      <c r="C1176" s="34"/>
      <c r="D1176" s="77"/>
      <c r="E1176" s="77"/>
      <c r="F1176" s="77"/>
      <c r="G1176" s="77"/>
      <c r="H1176" s="91"/>
      <c r="I1176" s="89"/>
      <c r="J1176" s="77"/>
      <c r="K1176" s="110"/>
      <c r="L1176" s="107"/>
      <c r="M1176" s="109"/>
      <c r="N1176" s="11" t="str">
        <f t="shared" si="38"/>
        <v/>
      </c>
      <c r="O1176" s="32" t="str">
        <f t="shared" si="39"/>
        <v/>
      </c>
    </row>
    <row r="1177" spans="2:15" ht="15" customHeight="1" x14ac:dyDescent="0.4">
      <c r="B1177" s="10">
        <v>1501</v>
      </c>
      <c r="C1177" s="34"/>
      <c r="D1177" s="77"/>
      <c r="E1177" s="77"/>
      <c r="F1177" s="77"/>
      <c r="G1177" s="77"/>
      <c r="H1177" s="91"/>
      <c r="I1177" s="89"/>
      <c r="J1177" s="77"/>
      <c r="K1177" s="110"/>
      <c r="L1177" s="107"/>
      <c r="M1177" s="109"/>
      <c r="N1177" s="11" t="str">
        <f t="shared" si="38"/>
        <v/>
      </c>
      <c r="O1177" s="32" t="str">
        <f t="shared" si="39"/>
        <v/>
      </c>
    </row>
    <row r="1178" spans="2:15" ht="15" customHeight="1" x14ac:dyDescent="0.4">
      <c r="B1178" s="10">
        <v>1502</v>
      </c>
      <c r="C1178" s="34"/>
      <c r="D1178" s="77"/>
      <c r="E1178" s="77"/>
      <c r="F1178" s="77"/>
      <c r="G1178" s="77"/>
      <c r="H1178" s="91"/>
      <c r="I1178" s="89"/>
      <c r="J1178" s="77"/>
      <c r="K1178" s="110"/>
      <c r="L1178" s="107"/>
      <c r="M1178" s="109"/>
      <c r="N1178" s="11" t="str">
        <f t="shared" si="38"/>
        <v/>
      </c>
      <c r="O1178" s="32" t="str">
        <f t="shared" si="39"/>
        <v/>
      </c>
    </row>
    <row r="1179" spans="2:15" ht="15" customHeight="1" x14ac:dyDescent="0.4">
      <c r="B1179" s="10">
        <v>1503</v>
      </c>
      <c r="C1179" s="34"/>
      <c r="D1179" s="77"/>
      <c r="E1179" s="77"/>
      <c r="F1179" s="77"/>
      <c r="G1179" s="77"/>
      <c r="H1179" s="91"/>
      <c r="I1179" s="89"/>
      <c r="J1179" s="77"/>
      <c r="K1179" s="110"/>
      <c r="L1179" s="107"/>
      <c r="M1179" s="109"/>
      <c r="N1179" s="11" t="str">
        <f t="shared" si="38"/>
        <v/>
      </c>
      <c r="O1179" s="32" t="str">
        <f t="shared" si="39"/>
        <v/>
      </c>
    </row>
    <row r="1180" spans="2:15" ht="15" customHeight="1" x14ac:dyDescent="0.4">
      <c r="B1180" s="10">
        <v>1504</v>
      </c>
      <c r="C1180" s="34"/>
      <c r="D1180" s="77"/>
      <c r="E1180" s="77"/>
      <c r="F1180" s="77"/>
      <c r="G1180" s="77"/>
      <c r="H1180" s="91"/>
      <c r="I1180" s="89"/>
      <c r="J1180" s="77"/>
      <c r="K1180" s="110"/>
      <c r="L1180" s="107"/>
      <c r="M1180" s="109"/>
      <c r="N1180" s="11" t="str">
        <f t="shared" si="38"/>
        <v/>
      </c>
      <c r="O1180" s="32" t="str">
        <f t="shared" si="39"/>
        <v/>
      </c>
    </row>
    <row r="1181" spans="2:15" ht="15" customHeight="1" x14ac:dyDescent="0.4">
      <c r="B1181" s="10">
        <v>1505</v>
      </c>
      <c r="C1181" s="34"/>
      <c r="D1181" s="77"/>
      <c r="E1181" s="77"/>
      <c r="F1181" s="77"/>
      <c r="G1181" s="77"/>
      <c r="H1181" s="91"/>
      <c r="I1181" s="89"/>
      <c r="J1181" s="77"/>
      <c r="K1181" s="110"/>
      <c r="L1181" s="107"/>
      <c r="M1181" s="109"/>
      <c r="N1181" s="11" t="str">
        <f t="shared" si="38"/>
        <v/>
      </c>
      <c r="O1181" s="32" t="str">
        <f t="shared" si="39"/>
        <v/>
      </c>
    </row>
    <row r="1182" spans="2:15" ht="15" customHeight="1" x14ac:dyDescent="0.4">
      <c r="B1182" s="10">
        <v>1506</v>
      </c>
      <c r="C1182" s="34"/>
      <c r="D1182" s="77"/>
      <c r="E1182" s="77"/>
      <c r="F1182" s="77"/>
      <c r="G1182" s="77"/>
      <c r="H1182" s="91"/>
      <c r="I1182" s="89"/>
      <c r="J1182" s="77"/>
      <c r="K1182" s="110"/>
      <c r="L1182" s="107"/>
      <c r="M1182" s="109"/>
      <c r="N1182" s="11" t="str">
        <f t="shared" si="38"/>
        <v/>
      </c>
      <c r="O1182" s="32" t="str">
        <f t="shared" si="39"/>
        <v/>
      </c>
    </row>
    <row r="1183" spans="2:15" ht="15" customHeight="1" x14ac:dyDescent="0.4">
      <c r="B1183" s="10">
        <v>1507</v>
      </c>
      <c r="C1183" s="34"/>
      <c r="D1183" s="77"/>
      <c r="E1183" s="77"/>
      <c r="F1183" s="77"/>
      <c r="G1183" s="77"/>
      <c r="H1183" s="91"/>
      <c r="I1183" s="89"/>
      <c r="J1183" s="77"/>
      <c r="K1183" s="110"/>
      <c r="L1183" s="107"/>
      <c r="M1183" s="109"/>
      <c r="N1183" s="11" t="str">
        <f t="shared" si="38"/>
        <v/>
      </c>
      <c r="O1183" s="32" t="str">
        <f t="shared" si="39"/>
        <v/>
      </c>
    </row>
    <row r="1184" spans="2:15" ht="15" customHeight="1" x14ac:dyDescent="0.4">
      <c r="B1184" s="10">
        <v>1508</v>
      </c>
      <c r="C1184" s="34"/>
      <c r="D1184" s="77"/>
      <c r="E1184" s="77"/>
      <c r="F1184" s="77"/>
      <c r="G1184" s="77"/>
      <c r="H1184" s="91"/>
      <c r="I1184" s="89"/>
      <c r="J1184" s="77"/>
      <c r="K1184" s="110"/>
      <c r="L1184" s="107"/>
      <c r="M1184" s="109"/>
      <c r="N1184" s="11" t="str">
        <f t="shared" si="38"/>
        <v/>
      </c>
      <c r="O1184" s="32" t="str">
        <f t="shared" si="39"/>
        <v/>
      </c>
    </row>
    <row r="1185" spans="2:15" ht="15" customHeight="1" x14ac:dyDescent="0.4">
      <c r="B1185" s="10">
        <v>1509</v>
      </c>
      <c r="C1185" s="34"/>
      <c r="D1185" s="77"/>
      <c r="E1185" s="77"/>
      <c r="F1185" s="77"/>
      <c r="G1185" s="77"/>
      <c r="H1185" s="91"/>
      <c r="I1185" s="89"/>
      <c r="J1185" s="77"/>
      <c r="K1185" s="110"/>
      <c r="L1185" s="107"/>
      <c r="M1185" s="109"/>
      <c r="N1185" s="11" t="str">
        <f t="shared" si="38"/>
        <v/>
      </c>
      <c r="O1185" s="32" t="str">
        <f t="shared" si="39"/>
        <v/>
      </c>
    </row>
    <row r="1186" spans="2:15" ht="15" customHeight="1" x14ac:dyDescent="0.4">
      <c r="B1186" s="10">
        <v>1510</v>
      </c>
      <c r="C1186" s="34"/>
      <c r="D1186" s="77"/>
      <c r="E1186" s="77"/>
      <c r="F1186" s="77"/>
      <c r="G1186" s="77"/>
      <c r="H1186" s="91"/>
      <c r="I1186" s="89"/>
      <c r="J1186" s="77"/>
      <c r="K1186" s="110"/>
      <c r="L1186" s="107"/>
      <c r="M1186" s="109"/>
      <c r="N1186" s="11" t="str">
        <f t="shared" si="38"/>
        <v/>
      </c>
      <c r="O1186" s="32" t="str">
        <f t="shared" si="39"/>
        <v/>
      </c>
    </row>
    <row r="1187" spans="2:15" ht="15" customHeight="1" x14ac:dyDescent="0.4">
      <c r="B1187" s="10">
        <v>1511</v>
      </c>
      <c r="C1187" s="34"/>
      <c r="D1187" s="77"/>
      <c r="E1187" s="77"/>
      <c r="F1187" s="77"/>
      <c r="G1187" s="77"/>
      <c r="H1187" s="91"/>
      <c r="I1187" s="89"/>
      <c r="J1187" s="77"/>
      <c r="K1187" s="110"/>
      <c r="L1187" s="107"/>
      <c r="M1187" s="109"/>
      <c r="N1187" s="11" t="str">
        <f t="shared" si="38"/>
        <v/>
      </c>
      <c r="O1187" s="32" t="str">
        <f t="shared" si="39"/>
        <v/>
      </c>
    </row>
    <row r="1188" spans="2:15" ht="15" customHeight="1" x14ac:dyDescent="0.4">
      <c r="B1188" s="10">
        <v>1512</v>
      </c>
      <c r="C1188" s="34"/>
      <c r="D1188" s="77"/>
      <c r="E1188" s="77"/>
      <c r="F1188" s="77"/>
      <c r="G1188" s="77"/>
      <c r="H1188" s="91"/>
      <c r="I1188" s="89"/>
      <c r="J1188" s="77"/>
      <c r="K1188" s="110"/>
      <c r="L1188" s="107"/>
      <c r="M1188" s="109"/>
      <c r="N1188" s="11" t="str">
        <f t="shared" si="38"/>
        <v/>
      </c>
      <c r="O1188" s="32" t="str">
        <f t="shared" si="39"/>
        <v/>
      </c>
    </row>
    <row r="1189" spans="2:15" ht="15" customHeight="1" x14ac:dyDescent="0.4">
      <c r="B1189" s="10">
        <v>1513</v>
      </c>
      <c r="C1189" s="34"/>
      <c r="D1189" s="77"/>
      <c r="E1189" s="77"/>
      <c r="F1189" s="77"/>
      <c r="G1189" s="77"/>
      <c r="H1189" s="91"/>
      <c r="I1189" s="89"/>
      <c r="J1189" s="77"/>
      <c r="K1189" s="110"/>
      <c r="L1189" s="107"/>
      <c r="M1189" s="109"/>
      <c r="N1189" s="11" t="str">
        <f t="shared" si="38"/>
        <v/>
      </c>
      <c r="O1189" s="32" t="str">
        <f t="shared" si="39"/>
        <v/>
      </c>
    </row>
    <row r="1190" spans="2:15" ht="15" customHeight="1" x14ac:dyDescent="0.4">
      <c r="B1190" s="10">
        <v>1514</v>
      </c>
      <c r="C1190" s="34"/>
      <c r="D1190" s="77"/>
      <c r="E1190" s="77"/>
      <c r="F1190" s="77"/>
      <c r="G1190" s="77"/>
      <c r="H1190" s="91"/>
      <c r="I1190" s="89"/>
      <c r="J1190" s="77"/>
      <c r="K1190" s="110"/>
      <c r="L1190" s="107"/>
      <c r="M1190" s="109"/>
      <c r="N1190" s="11" t="str">
        <f t="shared" si="38"/>
        <v/>
      </c>
      <c r="O1190" s="32" t="str">
        <f t="shared" si="39"/>
        <v/>
      </c>
    </row>
    <row r="1191" spans="2:15" ht="15" customHeight="1" x14ac:dyDescent="0.4">
      <c r="B1191" s="10">
        <v>1515</v>
      </c>
      <c r="C1191" s="34"/>
      <c r="D1191" s="77"/>
      <c r="E1191" s="77"/>
      <c r="F1191" s="77"/>
      <c r="G1191" s="77"/>
      <c r="H1191" s="91"/>
      <c r="I1191" s="89"/>
      <c r="J1191" s="77"/>
      <c r="K1191" s="110"/>
      <c r="L1191" s="107"/>
      <c r="M1191" s="109"/>
      <c r="N1191" s="11" t="str">
        <f t="shared" si="38"/>
        <v/>
      </c>
      <c r="O1191" s="32" t="str">
        <f t="shared" si="39"/>
        <v/>
      </c>
    </row>
    <row r="1192" spans="2:15" ht="15" customHeight="1" x14ac:dyDescent="0.4">
      <c r="B1192" s="10">
        <v>1516</v>
      </c>
      <c r="C1192" s="34"/>
      <c r="D1192" s="77"/>
      <c r="E1192" s="77"/>
      <c r="F1192" s="77"/>
      <c r="G1192" s="77"/>
      <c r="H1192" s="91"/>
      <c r="I1192" s="89"/>
      <c r="J1192" s="77"/>
      <c r="K1192" s="110"/>
      <c r="L1192" s="107"/>
      <c r="M1192" s="109"/>
      <c r="N1192" s="11" t="str">
        <f t="shared" si="38"/>
        <v/>
      </c>
      <c r="O1192" s="32" t="str">
        <f t="shared" si="39"/>
        <v/>
      </c>
    </row>
    <row r="1193" spans="2:15" ht="15" customHeight="1" x14ac:dyDescent="0.4">
      <c r="B1193" s="10">
        <v>1517</v>
      </c>
      <c r="C1193" s="34"/>
      <c r="D1193" s="77"/>
      <c r="E1193" s="77"/>
      <c r="F1193" s="77"/>
      <c r="G1193" s="77"/>
      <c r="H1193" s="91"/>
      <c r="I1193" s="89"/>
      <c r="J1193" s="77"/>
      <c r="K1193" s="110"/>
      <c r="L1193" s="107"/>
      <c r="M1193" s="109"/>
      <c r="N1193" s="11" t="str">
        <f t="shared" si="38"/>
        <v/>
      </c>
      <c r="O1193" s="32" t="str">
        <f t="shared" si="39"/>
        <v/>
      </c>
    </row>
    <row r="1194" spans="2:15" ht="15" customHeight="1" x14ac:dyDescent="0.4">
      <c r="B1194" s="10">
        <v>1518</v>
      </c>
      <c r="C1194" s="34"/>
      <c r="D1194" s="77"/>
      <c r="E1194" s="77"/>
      <c r="F1194" s="77"/>
      <c r="G1194" s="77"/>
      <c r="H1194" s="91"/>
      <c r="I1194" s="89"/>
      <c r="J1194" s="77"/>
      <c r="K1194" s="110"/>
      <c r="L1194" s="107"/>
      <c r="M1194" s="109"/>
      <c r="N1194" s="11" t="str">
        <f t="shared" si="38"/>
        <v/>
      </c>
      <c r="O1194" s="32" t="str">
        <f t="shared" si="39"/>
        <v/>
      </c>
    </row>
    <row r="1195" spans="2:15" ht="15" customHeight="1" x14ac:dyDescent="0.4">
      <c r="B1195" s="10">
        <v>1519</v>
      </c>
      <c r="C1195" s="34"/>
      <c r="D1195" s="77"/>
      <c r="E1195" s="77"/>
      <c r="F1195" s="77"/>
      <c r="G1195" s="77"/>
      <c r="H1195" s="91"/>
      <c r="I1195" s="89"/>
      <c r="J1195" s="77"/>
      <c r="K1195" s="110"/>
      <c r="L1195" s="107"/>
      <c r="M1195" s="109"/>
      <c r="N1195" s="11" t="str">
        <f t="shared" si="38"/>
        <v/>
      </c>
      <c r="O1195" s="32" t="str">
        <f t="shared" si="39"/>
        <v/>
      </c>
    </row>
    <row r="1196" spans="2:15" ht="15" customHeight="1" x14ac:dyDescent="0.4">
      <c r="B1196" s="10">
        <v>1520</v>
      </c>
      <c r="C1196" s="34"/>
      <c r="D1196" s="77"/>
      <c r="E1196" s="77"/>
      <c r="F1196" s="77"/>
      <c r="G1196" s="77"/>
      <c r="H1196" s="91"/>
      <c r="I1196" s="89"/>
      <c r="J1196" s="77"/>
      <c r="K1196" s="110"/>
      <c r="L1196" s="107"/>
      <c r="M1196" s="109"/>
      <c r="N1196" s="11" t="str">
        <f t="shared" si="38"/>
        <v/>
      </c>
      <c r="O1196" s="32" t="str">
        <f t="shared" si="39"/>
        <v/>
      </c>
    </row>
    <row r="1197" spans="2:15" ht="15" customHeight="1" x14ac:dyDescent="0.4">
      <c r="B1197" s="213">
        <v>1521</v>
      </c>
      <c r="C1197" s="214"/>
      <c r="D1197" s="215"/>
      <c r="E1197" s="215"/>
      <c r="F1197" s="215"/>
      <c r="G1197" s="215"/>
      <c r="H1197" s="216"/>
      <c r="I1197" s="217"/>
      <c r="J1197" s="215"/>
      <c r="K1197" s="218"/>
      <c r="L1197" s="107"/>
      <c r="M1197" s="109"/>
      <c r="N1197" s="11" t="str">
        <f t="shared" si="38"/>
        <v/>
      </c>
      <c r="O1197" s="32" t="str">
        <f t="shared" si="39"/>
        <v/>
      </c>
    </row>
    <row r="1198" spans="2:15" ht="15" customHeight="1" x14ac:dyDescent="0.4">
      <c r="B1198" s="10">
        <v>1522</v>
      </c>
      <c r="C1198" s="34"/>
      <c r="D1198" s="77"/>
      <c r="E1198" s="77"/>
      <c r="F1198" s="77"/>
      <c r="G1198" s="77"/>
      <c r="H1198" s="91"/>
      <c r="I1198" s="89"/>
      <c r="J1198" s="77"/>
      <c r="K1198" s="110"/>
      <c r="L1198" s="107"/>
      <c r="M1198" s="109"/>
      <c r="N1198" s="11" t="str">
        <f t="shared" si="38"/>
        <v/>
      </c>
      <c r="O1198" s="32" t="str">
        <f t="shared" si="39"/>
        <v/>
      </c>
    </row>
    <row r="1199" spans="2:15" ht="15" customHeight="1" x14ac:dyDescent="0.4">
      <c r="B1199" s="10">
        <v>1523</v>
      </c>
      <c r="C1199" s="34"/>
      <c r="D1199" s="77"/>
      <c r="E1199" s="77"/>
      <c r="F1199" s="77"/>
      <c r="G1199" s="77"/>
      <c r="H1199" s="91"/>
      <c r="I1199" s="89"/>
      <c r="J1199" s="77"/>
      <c r="K1199" s="110"/>
      <c r="L1199" s="107"/>
      <c r="M1199" s="109"/>
      <c r="N1199" s="11" t="str">
        <f t="shared" si="38"/>
        <v/>
      </c>
      <c r="O1199" s="32" t="str">
        <f t="shared" si="39"/>
        <v/>
      </c>
    </row>
    <row r="1200" spans="2:15" ht="15" customHeight="1" x14ac:dyDescent="0.4">
      <c r="B1200" s="10">
        <v>1524</v>
      </c>
      <c r="C1200" s="34"/>
      <c r="D1200" s="77"/>
      <c r="E1200" s="77"/>
      <c r="F1200" s="77"/>
      <c r="G1200" s="77"/>
      <c r="H1200" s="91"/>
      <c r="I1200" s="89"/>
      <c r="J1200" s="77"/>
      <c r="K1200" s="110"/>
      <c r="L1200" s="107"/>
      <c r="M1200" s="109"/>
      <c r="N1200" s="11" t="str">
        <f t="shared" si="38"/>
        <v/>
      </c>
      <c r="O1200" s="32" t="str">
        <f t="shared" si="39"/>
        <v/>
      </c>
    </row>
    <row r="1201" spans="2:15" ht="15" customHeight="1" x14ac:dyDescent="0.4">
      <c r="B1201" s="10">
        <v>1525</v>
      </c>
      <c r="C1201" s="34"/>
      <c r="D1201" s="77"/>
      <c r="E1201" s="77"/>
      <c r="F1201" s="77"/>
      <c r="G1201" s="77"/>
      <c r="H1201" s="91"/>
      <c r="I1201" s="89"/>
      <c r="J1201" s="77"/>
      <c r="K1201" s="110"/>
      <c r="L1201" s="107"/>
      <c r="M1201" s="109"/>
      <c r="N1201" s="11" t="str">
        <f t="shared" si="38"/>
        <v/>
      </c>
      <c r="O1201" s="32" t="str">
        <f t="shared" si="39"/>
        <v/>
      </c>
    </row>
    <row r="1202" spans="2:15" ht="15" customHeight="1" x14ac:dyDescent="0.4">
      <c r="B1202" s="10">
        <v>1526</v>
      </c>
      <c r="C1202" s="34"/>
      <c r="D1202" s="77"/>
      <c r="E1202" s="77"/>
      <c r="F1202" s="77"/>
      <c r="G1202" s="77"/>
      <c r="H1202" s="91"/>
      <c r="I1202" s="89"/>
      <c r="J1202" s="77"/>
      <c r="K1202" s="110"/>
      <c r="L1202" s="107"/>
      <c r="M1202" s="109"/>
      <c r="N1202" s="11" t="str">
        <f t="shared" si="38"/>
        <v/>
      </c>
      <c r="O1202" s="32" t="str">
        <f t="shared" si="39"/>
        <v/>
      </c>
    </row>
    <row r="1203" spans="2:15" ht="15" customHeight="1" x14ac:dyDescent="0.4">
      <c r="B1203" s="10">
        <v>1527</v>
      </c>
      <c r="C1203" s="34"/>
      <c r="D1203" s="77"/>
      <c r="E1203" s="77"/>
      <c r="F1203" s="77"/>
      <c r="G1203" s="77"/>
      <c r="H1203" s="91"/>
      <c r="I1203" s="89"/>
      <c r="J1203" s="77"/>
      <c r="K1203" s="110"/>
      <c r="L1203" s="107"/>
      <c r="M1203" s="109"/>
      <c r="N1203" s="11" t="str">
        <f t="shared" si="38"/>
        <v/>
      </c>
      <c r="O1203" s="32" t="str">
        <f t="shared" si="39"/>
        <v/>
      </c>
    </row>
    <row r="1204" spans="2:15" ht="15" customHeight="1" x14ac:dyDescent="0.4">
      <c r="B1204" s="10">
        <v>1528</v>
      </c>
      <c r="C1204" s="34"/>
      <c r="D1204" s="77"/>
      <c r="E1204" s="77"/>
      <c r="F1204" s="77"/>
      <c r="G1204" s="77"/>
      <c r="H1204" s="91"/>
      <c r="I1204" s="89"/>
      <c r="J1204" s="77"/>
      <c r="K1204" s="110"/>
      <c r="L1204" s="107"/>
      <c r="M1204" s="109"/>
      <c r="N1204" s="11" t="str">
        <f t="shared" si="38"/>
        <v/>
      </c>
      <c r="O1204" s="32" t="str">
        <f t="shared" si="39"/>
        <v/>
      </c>
    </row>
    <row r="1205" spans="2:15" ht="15" customHeight="1" x14ac:dyDescent="0.4">
      <c r="B1205" s="10">
        <v>1529</v>
      </c>
      <c r="C1205" s="34"/>
      <c r="D1205" s="77"/>
      <c r="E1205" s="77"/>
      <c r="F1205" s="77"/>
      <c r="G1205" s="77"/>
      <c r="H1205" s="91"/>
      <c r="I1205" s="89"/>
      <c r="J1205" s="77"/>
      <c r="K1205" s="110"/>
      <c r="L1205" s="107"/>
      <c r="M1205" s="109"/>
      <c r="N1205" s="11" t="str">
        <f t="shared" si="38"/>
        <v/>
      </c>
      <c r="O1205" s="32" t="str">
        <f t="shared" si="39"/>
        <v/>
      </c>
    </row>
    <row r="1206" spans="2:15" ht="15" customHeight="1" x14ac:dyDescent="0.4">
      <c r="B1206" s="10">
        <v>1530</v>
      </c>
      <c r="C1206" s="34"/>
      <c r="D1206" s="77"/>
      <c r="E1206" s="77"/>
      <c r="F1206" s="77"/>
      <c r="G1206" s="77"/>
      <c r="H1206" s="91"/>
      <c r="I1206" s="89"/>
      <c r="J1206" s="77"/>
      <c r="K1206" s="110"/>
      <c r="L1206" s="107"/>
      <c r="M1206" s="109"/>
      <c r="N1206" s="11" t="str">
        <f t="shared" si="38"/>
        <v/>
      </c>
      <c r="O1206" s="32" t="str">
        <f t="shared" si="39"/>
        <v/>
      </c>
    </row>
    <row r="1207" spans="2:15" ht="15" customHeight="1" x14ac:dyDescent="0.4">
      <c r="B1207" s="10">
        <v>1531</v>
      </c>
      <c r="C1207" s="34"/>
      <c r="D1207" s="77"/>
      <c r="E1207" s="77"/>
      <c r="F1207" s="77"/>
      <c r="G1207" s="77"/>
      <c r="H1207" s="91"/>
      <c r="I1207" s="89"/>
      <c r="J1207" s="77"/>
      <c r="K1207" s="110"/>
      <c r="L1207" s="107"/>
      <c r="M1207" s="109"/>
      <c r="N1207" s="11" t="str">
        <f t="shared" si="38"/>
        <v/>
      </c>
      <c r="O1207" s="32" t="str">
        <f t="shared" si="39"/>
        <v/>
      </c>
    </row>
    <row r="1208" spans="2:15" ht="15" customHeight="1" x14ac:dyDescent="0.4">
      <c r="B1208" s="10">
        <v>1532</v>
      </c>
      <c r="C1208" s="34"/>
      <c r="D1208" s="77"/>
      <c r="E1208" s="77"/>
      <c r="F1208" s="77"/>
      <c r="G1208" s="77"/>
      <c r="H1208" s="91"/>
      <c r="I1208" s="89"/>
      <c r="J1208" s="77"/>
      <c r="K1208" s="110"/>
      <c r="L1208" s="107"/>
      <c r="M1208" s="109"/>
      <c r="N1208" s="11" t="str">
        <f t="shared" si="38"/>
        <v/>
      </c>
      <c r="O1208" s="32" t="str">
        <f t="shared" si="39"/>
        <v/>
      </c>
    </row>
    <row r="1209" spans="2:15" ht="15" customHeight="1" x14ac:dyDescent="0.4">
      <c r="B1209" s="10">
        <v>1533</v>
      </c>
      <c r="C1209" s="34"/>
      <c r="D1209" s="77"/>
      <c r="E1209" s="77"/>
      <c r="F1209" s="77"/>
      <c r="G1209" s="77"/>
      <c r="H1209" s="91"/>
      <c r="I1209" s="89"/>
      <c r="J1209" s="77"/>
      <c r="K1209" s="110"/>
      <c r="L1209" s="107"/>
      <c r="M1209" s="109"/>
      <c r="N1209" s="11" t="str">
        <f t="shared" si="38"/>
        <v/>
      </c>
      <c r="O1209" s="32" t="str">
        <f t="shared" si="39"/>
        <v/>
      </c>
    </row>
    <row r="1210" spans="2:15" ht="15" customHeight="1" x14ac:dyDescent="0.4">
      <c r="B1210" s="10">
        <v>1534</v>
      </c>
      <c r="C1210" s="34"/>
      <c r="D1210" s="77"/>
      <c r="E1210" s="77"/>
      <c r="F1210" s="77"/>
      <c r="G1210" s="77"/>
      <c r="H1210" s="91"/>
      <c r="I1210" s="89"/>
      <c r="J1210" s="77"/>
      <c r="K1210" s="110"/>
      <c r="L1210" s="107"/>
      <c r="M1210" s="109"/>
      <c r="N1210" s="11" t="str">
        <f t="shared" si="38"/>
        <v/>
      </c>
      <c r="O1210" s="32" t="str">
        <f t="shared" si="39"/>
        <v/>
      </c>
    </row>
    <row r="1211" spans="2:15" ht="15" customHeight="1" x14ac:dyDescent="0.4">
      <c r="B1211" s="10">
        <v>1535</v>
      </c>
      <c r="C1211" s="34"/>
      <c r="D1211" s="77"/>
      <c r="E1211" s="77"/>
      <c r="F1211" s="77"/>
      <c r="G1211" s="77"/>
      <c r="H1211" s="91"/>
      <c r="I1211" s="89"/>
      <c r="J1211" s="77"/>
      <c r="K1211" s="110"/>
      <c r="L1211" s="107"/>
      <c r="M1211" s="109"/>
      <c r="N1211" s="11" t="str">
        <f t="shared" si="38"/>
        <v/>
      </c>
      <c r="O1211" s="32" t="str">
        <f t="shared" si="39"/>
        <v/>
      </c>
    </row>
    <row r="1212" spans="2:15" ht="15" customHeight="1" x14ac:dyDescent="0.4">
      <c r="B1212" s="10">
        <v>1536</v>
      </c>
      <c r="C1212" s="34"/>
      <c r="D1212" s="77"/>
      <c r="E1212" s="77"/>
      <c r="F1212" s="77"/>
      <c r="G1212" s="77"/>
      <c r="H1212" s="91"/>
      <c r="I1212" s="89"/>
      <c r="J1212" s="77"/>
      <c r="K1212" s="110"/>
      <c r="L1212" s="107"/>
      <c r="M1212" s="109"/>
      <c r="N1212" s="11" t="str">
        <f t="shared" si="38"/>
        <v/>
      </c>
      <c r="O1212" s="32" t="str">
        <f t="shared" si="39"/>
        <v/>
      </c>
    </row>
    <row r="1213" spans="2:15" ht="15" customHeight="1" x14ac:dyDescent="0.4">
      <c r="B1213" s="10">
        <v>1537</v>
      </c>
      <c r="C1213" s="34"/>
      <c r="D1213" s="77"/>
      <c r="E1213" s="77"/>
      <c r="F1213" s="77"/>
      <c r="G1213" s="77"/>
      <c r="H1213" s="91"/>
      <c r="I1213" s="89"/>
      <c r="J1213" s="77"/>
      <c r="K1213" s="110"/>
      <c r="L1213" s="107"/>
      <c r="M1213" s="109"/>
      <c r="N1213" s="11" t="str">
        <f t="shared" si="38"/>
        <v/>
      </c>
      <c r="O1213" s="32" t="str">
        <f t="shared" si="39"/>
        <v/>
      </c>
    </row>
    <row r="1214" spans="2:15" ht="15" customHeight="1" x14ac:dyDescent="0.4">
      <c r="B1214" s="10">
        <v>1538</v>
      </c>
      <c r="C1214" s="34"/>
      <c r="D1214" s="77"/>
      <c r="E1214" s="77"/>
      <c r="F1214" s="77"/>
      <c r="G1214" s="77"/>
      <c r="H1214" s="91"/>
      <c r="I1214" s="89"/>
      <c r="J1214" s="77"/>
      <c r="K1214" s="110"/>
      <c r="L1214" s="107"/>
      <c r="M1214" s="109"/>
      <c r="N1214" s="11" t="str">
        <f t="shared" si="38"/>
        <v/>
      </c>
      <c r="O1214" s="32" t="str">
        <f t="shared" si="39"/>
        <v/>
      </c>
    </row>
    <row r="1215" spans="2:15" ht="15" customHeight="1" x14ac:dyDescent="0.4">
      <c r="B1215" s="10">
        <v>1539</v>
      </c>
      <c r="C1215" s="34"/>
      <c r="D1215" s="77"/>
      <c r="E1215" s="77"/>
      <c r="F1215" s="77"/>
      <c r="G1215" s="77"/>
      <c r="H1215" s="91"/>
      <c r="I1215" s="89"/>
      <c r="J1215" s="77"/>
      <c r="K1215" s="110"/>
      <c r="L1215" s="107"/>
      <c r="M1215" s="109"/>
      <c r="N1215" s="11" t="str">
        <f t="shared" si="38"/>
        <v/>
      </c>
      <c r="O1215" s="32" t="str">
        <f t="shared" si="39"/>
        <v/>
      </c>
    </row>
    <row r="1216" spans="2:15" ht="15" customHeight="1" x14ac:dyDescent="0.4">
      <c r="B1216" s="10">
        <v>1540</v>
      </c>
      <c r="C1216" s="34"/>
      <c r="D1216" s="77"/>
      <c r="E1216" s="77"/>
      <c r="F1216" s="77"/>
      <c r="G1216" s="77"/>
      <c r="H1216" s="91"/>
      <c r="I1216" s="89"/>
      <c r="J1216" s="77"/>
      <c r="K1216" s="110"/>
      <c r="L1216" s="107"/>
      <c r="M1216" s="109"/>
      <c r="N1216" s="11" t="str">
        <f t="shared" si="38"/>
        <v/>
      </c>
      <c r="O1216" s="32" t="str">
        <f t="shared" si="39"/>
        <v/>
      </c>
    </row>
    <row r="1217" spans="2:15" ht="15" customHeight="1" x14ac:dyDescent="0.4">
      <c r="B1217" s="10">
        <v>1541</v>
      </c>
      <c r="C1217" s="34"/>
      <c r="D1217" s="77"/>
      <c r="E1217" s="77"/>
      <c r="F1217" s="77"/>
      <c r="G1217" s="77"/>
      <c r="H1217" s="91"/>
      <c r="I1217" s="89"/>
      <c r="J1217" s="77"/>
      <c r="K1217" s="110"/>
      <c r="L1217" s="107"/>
      <c r="M1217" s="109"/>
      <c r="N1217" s="11" t="str">
        <f t="shared" si="38"/>
        <v/>
      </c>
      <c r="O1217" s="32" t="str">
        <f t="shared" si="39"/>
        <v/>
      </c>
    </row>
    <row r="1218" spans="2:15" ht="15" customHeight="1" x14ac:dyDescent="0.4">
      <c r="B1218" s="10">
        <v>1542</v>
      </c>
      <c r="C1218" s="34"/>
      <c r="D1218" s="77"/>
      <c r="E1218" s="77"/>
      <c r="F1218" s="77"/>
      <c r="G1218" s="77"/>
      <c r="H1218" s="91"/>
      <c r="I1218" s="89"/>
      <c r="J1218" s="77"/>
      <c r="K1218" s="110"/>
      <c r="L1218" s="107"/>
      <c r="M1218" s="109"/>
      <c r="N1218" s="11" t="str">
        <f t="shared" si="38"/>
        <v/>
      </c>
      <c r="O1218" s="32" t="str">
        <f t="shared" si="39"/>
        <v/>
      </c>
    </row>
    <row r="1219" spans="2:15" ht="15" customHeight="1" x14ac:dyDescent="0.4">
      <c r="B1219" s="10">
        <v>1543</v>
      </c>
      <c r="C1219" s="34"/>
      <c r="D1219" s="77"/>
      <c r="E1219" s="77"/>
      <c r="F1219" s="77"/>
      <c r="G1219" s="77"/>
      <c r="H1219" s="91"/>
      <c r="I1219" s="89"/>
      <c r="J1219" s="77"/>
      <c r="K1219" s="110"/>
      <c r="L1219" s="107"/>
      <c r="M1219" s="109"/>
      <c r="N1219" s="11" t="str">
        <f t="shared" si="38"/>
        <v/>
      </c>
      <c r="O1219" s="32" t="str">
        <f t="shared" si="39"/>
        <v/>
      </c>
    </row>
    <row r="1220" spans="2:15" ht="15" customHeight="1" x14ac:dyDescent="0.4">
      <c r="B1220" s="10">
        <v>1544</v>
      </c>
      <c r="C1220" s="34"/>
      <c r="D1220" s="77"/>
      <c r="E1220" s="77"/>
      <c r="F1220" s="77"/>
      <c r="G1220" s="77"/>
      <c r="H1220" s="91"/>
      <c r="I1220" s="89"/>
      <c r="J1220" s="77"/>
      <c r="K1220" s="110"/>
      <c r="L1220" s="107"/>
      <c r="M1220" s="109"/>
      <c r="N1220" s="11" t="str">
        <f t="shared" ref="N1220:N1283" si="40">IF(OR(M1220="", K1220=""),"", M1220- K1220)</f>
        <v/>
      </c>
      <c r="O1220" s="32" t="str">
        <f t="shared" ref="O1220:O1283" si="41">IF(OR(M1220="", K1220="", L1220=""), "", IF((M1220 - K1220) &gt; L1220, "No", "Yes"))</f>
        <v/>
      </c>
    </row>
    <row r="1221" spans="2:15" ht="15" customHeight="1" x14ac:dyDescent="0.4">
      <c r="B1221" s="10">
        <v>1545</v>
      </c>
      <c r="C1221" s="34"/>
      <c r="D1221" s="77"/>
      <c r="E1221" s="77"/>
      <c r="F1221" s="77"/>
      <c r="G1221" s="77"/>
      <c r="H1221" s="91"/>
      <c r="I1221" s="89"/>
      <c r="J1221" s="77"/>
      <c r="K1221" s="110"/>
      <c r="L1221" s="107"/>
      <c r="M1221" s="109"/>
      <c r="N1221" s="11" t="str">
        <f t="shared" si="40"/>
        <v/>
      </c>
      <c r="O1221" s="32" t="str">
        <f t="shared" si="41"/>
        <v/>
      </c>
    </row>
    <row r="1222" spans="2:15" ht="15" customHeight="1" x14ac:dyDescent="0.4">
      <c r="B1222" s="10">
        <v>1546</v>
      </c>
      <c r="C1222" s="34"/>
      <c r="D1222" s="77"/>
      <c r="E1222" s="77"/>
      <c r="F1222" s="77"/>
      <c r="G1222" s="77"/>
      <c r="H1222" s="91"/>
      <c r="I1222" s="89"/>
      <c r="J1222" s="77"/>
      <c r="K1222" s="110"/>
      <c r="L1222" s="107"/>
      <c r="M1222" s="109"/>
      <c r="N1222" s="11" t="str">
        <f t="shared" si="40"/>
        <v/>
      </c>
      <c r="O1222" s="32" t="str">
        <f t="shared" si="41"/>
        <v/>
      </c>
    </row>
    <row r="1223" spans="2:15" ht="15" customHeight="1" x14ac:dyDescent="0.4">
      <c r="B1223" s="10">
        <v>1547</v>
      </c>
      <c r="C1223" s="34"/>
      <c r="D1223" s="77"/>
      <c r="E1223" s="77"/>
      <c r="F1223" s="77"/>
      <c r="G1223" s="77"/>
      <c r="H1223" s="91"/>
      <c r="I1223" s="89"/>
      <c r="J1223" s="77"/>
      <c r="K1223" s="110"/>
      <c r="L1223" s="107"/>
      <c r="M1223" s="109"/>
      <c r="N1223" s="11" t="str">
        <f t="shared" si="40"/>
        <v/>
      </c>
      <c r="O1223" s="32" t="str">
        <f t="shared" si="41"/>
        <v/>
      </c>
    </row>
    <row r="1224" spans="2:15" ht="15" customHeight="1" x14ac:dyDescent="0.4">
      <c r="B1224" s="10">
        <v>1548</v>
      </c>
      <c r="C1224" s="34"/>
      <c r="D1224" s="77"/>
      <c r="E1224" s="77"/>
      <c r="F1224" s="77"/>
      <c r="G1224" s="77"/>
      <c r="H1224" s="91"/>
      <c r="I1224" s="89"/>
      <c r="J1224" s="77"/>
      <c r="K1224" s="110"/>
      <c r="L1224" s="107"/>
      <c r="M1224" s="109"/>
      <c r="N1224" s="11" t="str">
        <f t="shared" si="40"/>
        <v/>
      </c>
      <c r="O1224" s="32" t="str">
        <f t="shared" si="41"/>
        <v/>
      </c>
    </row>
    <row r="1225" spans="2:15" ht="15" customHeight="1" x14ac:dyDescent="0.4">
      <c r="B1225" s="10">
        <v>1549</v>
      </c>
      <c r="C1225" s="34"/>
      <c r="D1225" s="77"/>
      <c r="E1225" s="77"/>
      <c r="F1225" s="77"/>
      <c r="G1225" s="77"/>
      <c r="H1225" s="91"/>
      <c r="I1225" s="89"/>
      <c r="J1225" s="77"/>
      <c r="K1225" s="110"/>
      <c r="L1225" s="107"/>
      <c r="M1225" s="109"/>
      <c r="N1225" s="11" t="str">
        <f t="shared" si="40"/>
        <v/>
      </c>
      <c r="O1225" s="32" t="str">
        <f t="shared" si="41"/>
        <v/>
      </c>
    </row>
    <row r="1226" spans="2:15" ht="15" customHeight="1" x14ac:dyDescent="0.4">
      <c r="B1226" s="10">
        <v>1550</v>
      </c>
      <c r="C1226" s="34"/>
      <c r="D1226" s="77"/>
      <c r="E1226" s="77"/>
      <c r="F1226" s="77"/>
      <c r="G1226" s="77"/>
      <c r="H1226" s="91"/>
      <c r="I1226" s="89"/>
      <c r="J1226" s="77"/>
      <c r="K1226" s="110"/>
      <c r="L1226" s="107"/>
      <c r="M1226" s="109"/>
      <c r="N1226" s="11" t="str">
        <f t="shared" si="40"/>
        <v/>
      </c>
      <c r="O1226" s="32" t="str">
        <f t="shared" si="41"/>
        <v/>
      </c>
    </row>
    <row r="1227" spans="2:15" ht="15" customHeight="1" x14ac:dyDescent="0.4">
      <c r="B1227" s="10">
        <v>1551</v>
      </c>
      <c r="C1227" s="34"/>
      <c r="D1227" s="77"/>
      <c r="E1227" s="77"/>
      <c r="F1227" s="77"/>
      <c r="G1227" s="77"/>
      <c r="H1227" s="91"/>
      <c r="I1227" s="89"/>
      <c r="J1227" s="77"/>
      <c r="K1227" s="110"/>
      <c r="L1227" s="107"/>
      <c r="M1227" s="109"/>
      <c r="N1227" s="11" t="str">
        <f t="shared" si="40"/>
        <v/>
      </c>
      <c r="O1227" s="32" t="str">
        <f t="shared" si="41"/>
        <v/>
      </c>
    </row>
    <row r="1228" spans="2:15" ht="15" customHeight="1" x14ac:dyDescent="0.4">
      <c r="B1228" s="10">
        <v>1552</v>
      </c>
      <c r="C1228" s="34"/>
      <c r="D1228" s="77"/>
      <c r="E1228" s="77"/>
      <c r="F1228" s="77"/>
      <c r="G1228" s="77"/>
      <c r="H1228" s="91"/>
      <c r="I1228" s="89"/>
      <c r="J1228" s="77"/>
      <c r="K1228" s="110"/>
      <c r="L1228" s="107"/>
      <c r="M1228" s="109"/>
      <c r="N1228" s="11" t="str">
        <f t="shared" si="40"/>
        <v/>
      </c>
      <c r="O1228" s="32" t="str">
        <f t="shared" si="41"/>
        <v/>
      </c>
    </row>
    <row r="1229" spans="2:15" ht="15" customHeight="1" x14ac:dyDescent="0.4">
      <c r="B1229" s="10">
        <v>1553</v>
      </c>
      <c r="C1229" s="34"/>
      <c r="D1229" s="77"/>
      <c r="E1229" s="77"/>
      <c r="F1229" s="77"/>
      <c r="G1229" s="77"/>
      <c r="H1229" s="91"/>
      <c r="I1229" s="89"/>
      <c r="J1229" s="77"/>
      <c r="K1229" s="110"/>
      <c r="L1229" s="107"/>
      <c r="M1229" s="109"/>
      <c r="N1229" s="11" t="str">
        <f t="shared" si="40"/>
        <v/>
      </c>
      <c r="O1229" s="32" t="str">
        <f t="shared" si="41"/>
        <v/>
      </c>
    </row>
    <row r="1230" spans="2:15" ht="15" customHeight="1" x14ac:dyDescent="0.4">
      <c r="B1230" s="10">
        <v>1554</v>
      </c>
      <c r="C1230" s="34"/>
      <c r="D1230" s="77"/>
      <c r="E1230" s="77"/>
      <c r="F1230" s="77"/>
      <c r="G1230" s="77"/>
      <c r="H1230" s="91"/>
      <c r="I1230" s="89"/>
      <c r="J1230" s="77"/>
      <c r="K1230" s="110"/>
      <c r="L1230" s="107"/>
      <c r="M1230" s="109"/>
      <c r="N1230" s="11" t="str">
        <f t="shared" si="40"/>
        <v/>
      </c>
      <c r="O1230" s="32" t="str">
        <f t="shared" si="41"/>
        <v/>
      </c>
    </row>
    <row r="1231" spans="2:15" ht="15" customHeight="1" x14ac:dyDescent="0.4">
      <c r="B1231" s="10">
        <v>1555</v>
      </c>
      <c r="C1231" s="34"/>
      <c r="D1231" s="77"/>
      <c r="E1231" s="77"/>
      <c r="F1231" s="77"/>
      <c r="G1231" s="77"/>
      <c r="H1231" s="91"/>
      <c r="I1231" s="89"/>
      <c r="J1231" s="77"/>
      <c r="K1231" s="110"/>
      <c r="L1231" s="107"/>
      <c r="M1231" s="109"/>
      <c r="N1231" s="11" t="str">
        <f t="shared" si="40"/>
        <v/>
      </c>
      <c r="O1231" s="32" t="str">
        <f t="shared" si="41"/>
        <v/>
      </c>
    </row>
    <row r="1232" spans="2:15" ht="15" customHeight="1" x14ac:dyDescent="0.4">
      <c r="B1232" s="10">
        <v>1556</v>
      </c>
      <c r="C1232" s="34"/>
      <c r="D1232" s="77"/>
      <c r="E1232" s="77"/>
      <c r="F1232" s="77"/>
      <c r="G1232" s="77"/>
      <c r="H1232" s="91"/>
      <c r="I1232" s="89"/>
      <c r="J1232" s="77"/>
      <c r="K1232" s="110"/>
      <c r="L1232" s="107"/>
      <c r="M1232" s="109"/>
      <c r="N1232" s="11" t="str">
        <f t="shared" si="40"/>
        <v/>
      </c>
      <c r="O1232" s="32" t="str">
        <f t="shared" si="41"/>
        <v/>
      </c>
    </row>
    <row r="1233" spans="2:15" ht="15" customHeight="1" x14ac:dyDescent="0.4">
      <c r="B1233" s="10">
        <v>1557</v>
      </c>
      <c r="C1233" s="34"/>
      <c r="D1233" s="77"/>
      <c r="E1233" s="77"/>
      <c r="F1233" s="77"/>
      <c r="G1233" s="77"/>
      <c r="H1233" s="91"/>
      <c r="I1233" s="89"/>
      <c r="J1233" s="77"/>
      <c r="K1233" s="110"/>
      <c r="L1233" s="107"/>
      <c r="M1233" s="109"/>
      <c r="N1233" s="11" t="str">
        <f t="shared" si="40"/>
        <v/>
      </c>
      <c r="O1233" s="32" t="str">
        <f t="shared" si="41"/>
        <v/>
      </c>
    </row>
    <row r="1234" spans="2:15" ht="15" customHeight="1" x14ac:dyDescent="0.4">
      <c r="B1234" s="10">
        <v>1558</v>
      </c>
      <c r="C1234" s="34"/>
      <c r="D1234" s="77"/>
      <c r="E1234" s="77"/>
      <c r="F1234" s="77"/>
      <c r="G1234" s="77"/>
      <c r="H1234" s="91"/>
      <c r="I1234" s="89"/>
      <c r="J1234" s="77"/>
      <c r="K1234" s="110"/>
      <c r="L1234" s="107"/>
      <c r="M1234" s="109"/>
      <c r="N1234" s="11" t="str">
        <f t="shared" si="40"/>
        <v/>
      </c>
      <c r="O1234" s="32" t="str">
        <f t="shared" si="41"/>
        <v/>
      </c>
    </row>
    <row r="1235" spans="2:15" ht="15" customHeight="1" x14ac:dyDescent="0.4">
      <c r="B1235" s="10">
        <v>1559</v>
      </c>
      <c r="C1235" s="34"/>
      <c r="D1235" s="77"/>
      <c r="E1235" s="77"/>
      <c r="F1235" s="77"/>
      <c r="G1235" s="77"/>
      <c r="H1235" s="91"/>
      <c r="I1235" s="89"/>
      <c r="J1235" s="77"/>
      <c r="K1235" s="110"/>
      <c r="L1235" s="107"/>
      <c r="M1235" s="109"/>
      <c r="N1235" s="11" t="str">
        <f t="shared" si="40"/>
        <v/>
      </c>
      <c r="O1235" s="32" t="str">
        <f t="shared" si="41"/>
        <v/>
      </c>
    </row>
    <row r="1236" spans="2:15" ht="15" customHeight="1" x14ac:dyDescent="0.4">
      <c r="B1236" s="10">
        <v>1560</v>
      </c>
      <c r="C1236" s="34"/>
      <c r="D1236" s="77"/>
      <c r="E1236" s="77"/>
      <c r="F1236" s="77"/>
      <c r="G1236" s="77"/>
      <c r="H1236" s="91"/>
      <c r="I1236" s="89"/>
      <c r="J1236" s="77"/>
      <c r="K1236" s="110"/>
      <c r="L1236" s="107"/>
      <c r="M1236" s="109"/>
      <c r="N1236" s="11" t="str">
        <f t="shared" si="40"/>
        <v/>
      </c>
      <c r="O1236" s="32" t="str">
        <f t="shared" si="41"/>
        <v/>
      </c>
    </row>
    <row r="1237" spans="2:15" ht="15" customHeight="1" x14ac:dyDescent="0.4">
      <c r="B1237" s="10">
        <v>1561</v>
      </c>
      <c r="C1237" s="34"/>
      <c r="D1237" s="77"/>
      <c r="E1237" s="77"/>
      <c r="F1237" s="77"/>
      <c r="G1237" s="77"/>
      <c r="H1237" s="91"/>
      <c r="I1237" s="89"/>
      <c r="J1237" s="77"/>
      <c r="K1237" s="110"/>
      <c r="L1237" s="107"/>
      <c r="M1237" s="109"/>
      <c r="N1237" s="11" t="str">
        <f t="shared" si="40"/>
        <v/>
      </c>
      <c r="O1237" s="32" t="str">
        <f t="shared" si="41"/>
        <v/>
      </c>
    </row>
    <row r="1238" spans="2:15" ht="15" customHeight="1" x14ac:dyDescent="0.4">
      <c r="B1238" s="10">
        <v>1562</v>
      </c>
      <c r="C1238" s="34"/>
      <c r="D1238" s="77"/>
      <c r="E1238" s="77"/>
      <c r="F1238" s="77"/>
      <c r="G1238" s="77"/>
      <c r="H1238" s="91"/>
      <c r="I1238" s="89"/>
      <c r="J1238" s="77"/>
      <c r="K1238" s="110"/>
      <c r="L1238" s="107"/>
      <c r="M1238" s="109"/>
      <c r="N1238" s="11" t="str">
        <f t="shared" si="40"/>
        <v/>
      </c>
      <c r="O1238" s="32" t="str">
        <f t="shared" si="41"/>
        <v/>
      </c>
    </row>
    <row r="1239" spans="2:15" ht="15" customHeight="1" x14ac:dyDescent="0.4">
      <c r="B1239" s="10">
        <v>1563</v>
      </c>
      <c r="C1239" s="34"/>
      <c r="D1239" s="77"/>
      <c r="E1239" s="77"/>
      <c r="F1239" s="77"/>
      <c r="G1239" s="77"/>
      <c r="H1239" s="91"/>
      <c r="I1239" s="89"/>
      <c r="J1239" s="77"/>
      <c r="K1239" s="110"/>
      <c r="L1239" s="107"/>
      <c r="M1239" s="109"/>
      <c r="N1239" s="11" t="str">
        <f t="shared" si="40"/>
        <v/>
      </c>
      <c r="O1239" s="32" t="str">
        <f t="shared" si="41"/>
        <v/>
      </c>
    </row>
    <row r="1240" spans="2:15" ht="15" customHeight="1" x14ac:dyDescent="0.4">
      <c r="B1240" s="10">
        <v>1564</v>
      </c>
      <c r="C1240" s="34"/>
      <c r="D1240" s="77"/>
      <c r="E1240" s="77"/>
      <c r="F1240" s="77"/>
      <c r="G1240" s="77"/>
      <c r="H1240" s="91"/>
      <c r="I1240" s="89"/>
      <c r="J1240" s="77"/>
      <c r="K1240" s="110"/>
      <c r="L1240" s="107"/>
      <c r="M1240" s="109"/>
      <c r="N1240" s="11" t="str">
        <f t="shared" si="40"/>
        <v/>
      </c>
      <c r="O1240" s="32" t="str">
        <f t="shared" si="41"/>
        <v/>
      </c>
    </row>
    <row r="1241" spans="2:15" ht="15" customHeight="1" x14ac:dyDescent="0.4">
      <c r="B1241" s="10">
        <v>1565</v>
      </c>
      <c r="C1241" s="34"/>
      <c r="D1241" s="77"/>
      <c r="E1241" s="77"/>
      <c r="F1241" s="77"/>
      <c r="G1241" s="77"/>
      <c r="H1241" s="91"/>
      <c r="I1241" s="89"/>
      <c r="J1241" s="77"/>
      <c r="K1241" s="110"/>
      <c r="L1241" s="107"/>
      <c r="M1241" s="109"/>
      <c r="N1241" s="11" t="str">
        <f t="shared" si="40"/>
        <v/>
      </c>
      <c r="O1241" s="32" t="str">
        <f t="shared" si="41"/>
        <v/>
      </c>
    </row>
    <row r="1242" spans="2:15" ht="15" customHeight="1" x14ac:dyDescent="0.4">
      <c r="B1242" s="10">
        <v>1566</v>
      </c>
      <c r="C1242" s="34"/>
      <c r="D1242" s="77"/>
      <c r="E1242" s="77"/>
      <c r="F1242" s="77"/>
      <c r="G1242" s="77"/>
      <c r="H1242" s="91"/>
      <c r="I1242" s="89"/>
      <c r="J1242" s="77"/>
      <c r="K1242" s="110"/>
      <c r="L1242" s="107"/>
      <c r="M1242" s="109"/>
      <c r="N1242" s="11" t="str">
        <f t="shared" si="40"/>
        <v/>
      </c>
      <c r="O1242" s="32" t="str">
        <f t="shared" si="41"/>
        <v/>
      </c>
    </row>
    <row r="1243" spans="2:15" ht="15" customHeight="1" x14ac:dyDescent="0.4">
      <c r="B1243" s="10">
        <v>1567</v>
      </c>
      <c r="C1243" s="34"/>
      <c r="D1243" s="77"/>
      <c r="E1243" s="77"/>
      <c r="F1243" s="77"/>
      <c r="G1243" s="77"/>
      <c r="H1243" s="91"/>
      <c r="I1243" s="89"/>
      <c r="J1243" s="77"/>
      <c r="K1243" s="110"/>
      <c r="L1243" s="107"/>
      <c r="M1243" s="109"/>
      <c r="N1243" s="11" t="str">
        <f t="shared" si="40"/>
        <v/>
      </c>
      <c r="O1243" s="32" t="str">
        <f t="shared" si="41"/>
        <v/>
      </c>
    </row>
    <row r="1244" spans="2:15" ht="15" customHeight="1" x14ac:dyDescent="0.4">
      <c r="B1244" s="10">
        <v>1568</v>
      </c>
      <c r="C1244" s="34"/>
      <c r="D1244" s="77"/>
      <c r="E1244" s="77"/>
      <c r="F1244" s="77"/>
      <c r="G1244" s="77"/>
      <c r="H1244" s="91"/>
      <c r="I1244" s="89"/>
      <c r="J1244" s="77"/>
      <c r="K1244" s="110"/>
      <c r="L1244" s="107"/>
      <c r="M1244" s="109"/>
      <c r="N1244" s="11" t="str">
        <f t="shared" si="40"/>
        <v/>
      </c>
      <c r="O1244" s="32" t="str">
        <f t="shared" si="41"/>
        <v/>
      </c>
    </row>
    <row r="1245" spans="2:15" ht="15" customHeight="1" x14ac:dyDescent="0.4">
      <c r="B1245" s="10">
        <v>1569</v>
      </c>
      <c r="C1245" s="34"/>
      <c r="D1245" s="77"/>
      <c r="E1245" s="77"/>
      <c r="F1245" s="77"/>
      <c r="G1245" s="77"/>
      <c r="H1245" s="91"/>
      <c r="I1245" s="89"/>
      <c r="J1245" s="77"/>
      <c r="K1245" s="110"/>
      <c r="L1245" s="107"/>
      <c r="M1245" s="109"/>
      <c r="N1245" s="11" t="str">
        <f t="shared" si="40"/>
        <v/>
      </c>
      <c r="O1245" s="32" t="str">
        <f t="shared" si="41"/>
        <v/>
      </c>
    </row>
    <row r="1246" spans="2:15" ht="15" customHeight="1" x14ac:dyDescent="0.4">
      <c r="B1246" s="10">
        <v>1570</v>
      </c>
      <c r="C1246" s="34"/>
      <c r="D1246" s="77"/>
      <c r="E1246" s="77"/>
      <c r="F1246" s="77"/>
      <c r="G1246" s="77"/>
      <c r="H1246" s="91"/>
      <c r="I1246" s="89"/>
      <c r="J1246" s="77"/>
      <c r="K1246" s="110"/>
      <c r="L1246" s="107"/>
      <c r="M1246" s="109"/>
      <c r="N1246" s="11" t="str">
        <f t="shared" si="40"/>
        <v/>
      </c>
      <c r="O1246" s="32" t="str">
        <f t="shared" si="41"/>
        <v/>
      </c>
    </row>
    <row r="1247" spans="2:15" ht="15" customHeight="1" x14ac:dyDescent="0.4">
      <c r="B1247" s="10">
        <v>1571</v>
      </c>
      <c r="C1247" s="34"/>
      <c r="D1247" s="77"/>
      <c r="E1247" s="77"/>
      <c r="F1247" s="77"/>
      <c r="G1247" s="77"/>
      <c r="H1247" s="91"/>
      <c r="I1247" s="89"/>
      <c r="J1247" s="77"/>
      <c r="K1247" s="110"/>
      <c r="L1247" s="107"/>
      <c r="M1247" s="109"/>
      <c r="N1247" s="11" t="str">
        <f t="shared" si="40"/>
        <v/>
      </c>
      <c r="O1247" s="32" t="str">
        <f t="shared" si="41"/>
        <v/>
      </c>
    </row>
    <row r="1248" spans="2:15" ht="15" customHeight="1" x14ac:dyDescent="0.4">
      <c r="B1248" s="10">
        <v>1572</v>
      </c>
      <c r="C1248" s="34"/>
      <c r="D1248" s="77"/>
      <c r="E1248" s="77"/>
      <c r="F1248" s="77"/>
      <c r="G1248" s="77"/>
      <c r="H1248" s="91"/>
      <c r="I1248" s="89"/>
      <c r="J1248" s="77"/>
      <c r="K1248" s="110"/>
      <c r="L1248" s="107"/>
      <c r="M1248" s="109"/>
      <c r="N1248" s="11" t="str">
        <f t="shared" si="40"/>
        <v/>
      </c>
      <c r="O1248" s="32" t="str">
        <f t="shared" si="41"/>
        <v/>
      </c>
    </row>
    <row r="1249" spans="2:15" ht="15" customHeight="1" x14ac:dyDescent="0.4">
      <c r="B1249" s="10">
        <v>1573</v>
      </c>
      <c r="C1249" s="34"/>
      <c r="D1249" s="77"/>
      <c r="E1249" s="77"/>
      <c r="F1249" s="77"/>
      <c r="G1249" s="77"/>
      <c r="H1249" s="91"/>
      <c r="I1249" s="89"/>
      <c r="J1249" s="77"/>
      <c r="K1249" s="110"/>
      <c r="L1249" s="107"/>
      <c r="M1249" s="109"/>
      <c r="N1249" s="11" t="str">
        <f t="shared" si="40"/>
        <v/>
      </c>
      <c r="O1249" s="32" t="str">
        <f t="shared" si="41"/>
        <v/>
      </c>
    </row>
    <row r="1250" spans="2:15" ht="15" customHeight="1" x14ac:dyDescent="0.4">
      <c r="B1250" s="10">
        <v>1574</v>
      </c>
      <c r="C1250" s="34"/>
      <c r="D1250" s="77"/>
      <c r="E1250" s="77"/>
      <c r="F1250" s="77"/>
      <c r="G1250" s="77"/>
      <c r="H1250" s="91"/>
      <c r="I1250" s="89"/>
      <c r="J1250" s="77"/>
      <c r="K1250" s="110"/>
      <c r="L1250" s="107"/>
      <c r="M1250" s="109"/>
      <c r="N1250" s="11" t="str">
        <f t="shared" si="40"/>
        <v/>
      </c>
      <c r="O1250" s="32" t="str">
        <f t="shared" si="41"/>
        <v/>
      </c>
    </row>
    <row r="1251" spans="2:15" ht="15" customHeight="1" x14ac:dyDescent="0.4">
      <c r="B1251" s="10">
        <v>1575</v>
      </c>
      <c r="C1251" s="34"/>
      <c r="D1251" s="77"/>
      <c r="E1251" s="77"/>
      <c r="F1251" s="77"/>
      <c r="G1251" s="77"/>
      <c r="H1251" s="91"/>
      <c r="I1251" s="89"/>
      <c r="J1251" s="77"/>
      <c r="K1251" s="110"/>
      <c r="L1251" s="107"/>
      <c r="M1251" s="109"/>
      <c r="N1251" s="11" t="str">
        <f t="shared" si="40"/>
        <v/>
      </c>
      <c r="O1251" s="32" t="str">
        <f t="shared" si="41"/>
        <v/>
      </c>
    </row>
    <row r="1252" spans="2:15" ht="15" customHeight="1" x14ac:dyDescent="0.4">
      <c r="B1252" s="10">
        <v>1576</v>
      </c>
      <c r="C1252" s="34"/>
      <c r="D1252" s="77"/>
      <c r="E1252" s="77"/>
      <c r="F1252" s="77"/>
      <c r="G1252" s="77"/>
      <c r="H1252" s="91"/>
      <c r="I1252" s="89"/>
      <c r="J1252" s="77"/>
      <c r="K1252" s="110"/>
      <c r="L1252" s="107"/>
      <c r="M1252" s="109"/>
      <c r="N1252" s="11" t="str">
        <f t="shared" si="40"/>
        <v/>
      </c>
      <c r="O1252" s="32" t="str">
        <f t="shared" si="41"/>
        <v/>
      </c>
    </row>
    <row r="1253" spans="2:15" ht="15" customHeight="1" x14ac:dyDescent="0.4">
      <c r="B1253" s="10">
        <v>1577</v>
      </c>
      <c r="C1253" s="34"/>
      <c r="D1253" s="77"/>
      <c r="E1253" s="77"/>
      <c r="F1253" s="77"/>
      <c r="G1253" s="77"/>
      <c r="H1253" s="91"/>
      <c r="I1253" s="89"/>
      <c r="J1253" s="77"/>
      <c r="K1253" s="110"/>
      <c r="L1253" s="107"/>
      <c r="M1253" s="109"/>
      <c r="N1253" s="11" t="str">
        <f t="shared" si="40"/>
        <v/>
      </c>
      <c r="O1253" s="32" t="str">
        <f t="shared" si="41"/>
        <v/>
      </c>
    </row>
    <row r="1254" spans="2:15" ht="15" customHeight="1" x14ac:dyDescent="0.4">
      <c r="B1254" s="10">
        <v>1578</v>
      </c>
      <c r="C1254" s="34"/>
      <c r="D1254" s="77"/>
      <c r="E1254" s="77"/>
      <c r="F1254" s="77"/>
      <c r="G1254" s="77"/>
      <c r="H1254" s="91"/>
      <c r="I1254" s="89"/>
      <c r="J1254" s="77"/>
      <c r="K1254" s="110"/>
      <c r="L1254" s="107"/>
      <c r="M1254" s="109"/>
      <c r="N1254" s="11" t="str">
        <f t="shared" si="40"/>
        <v/>
      </c>
      <c r="O1254" s="32" t="str">
        <f t="shared" si="41"/>
        <v/>
      </c>
    </row>
    <row r="1255" spans="2:15" ht="15" customHeight="1" x14ac:dyDescent="0.4">
      <c r="B1255" s="10">
        <v>1579</v>
      </c>
      <c r="C1255" s="34"/>
      <c r="D1255" s="77"/>
      <c r="E1255" s="77"/>
      <c r="F1255" s="77"/>
      <c r="G1255" s="77"/>
      <c r="H1255" s="91"/>
      <c r="I1255" s="89"/>
      <c r="J1255" s="77"/>
      <c r="K1255" s="110"/>
      <c r="L1255" s="107"/>
      <c r="M1255" s="109"/>
      <c r="N1255" s="11" t="str">
        <f t="shared" si="40"/>
        <v/>
      </c>
      <c r="O1255" s="32" t="str">
        <f t="shared" si="41"/>
        <v/>
      </c>
    </row>
    <row r="1256" spans="2:15" ht="15" customHeight="1" x14ac:dyDescent="0.4">
      <c r="B1256" s="10">
        <v>1580</v>
      </c>
      <c r="C1256" s="34"/>
      <c r="D1256" s="77"/>
      <c r="E1256" s="77"/>
      <c r="F1256" s="77"/>
      <c r="G1256" s="77"/>
      <c r="H1256" s="91"/>
      <c r="I1256" s="89"/>
      <c r="J1256" s="77"/>
      <c r="K1256" s="110"/>
      <c r="L1256" s="107"/>
      <c r="M1256" s="109"/>
      <c r="N1256" s="11" t="str">
        <f t="shared" si="40"/>
        <v/>
      </c>
      <c r="O1256" s="32" t="str">
        <f t="shared" si="41"/>
        <v/>
      </c>
    </row>
    <row r="1257" spans="2:15" ht="15" customHeight="1" x14ac:dyDescent="0.4">
      <c r="B1257" s="10">
        <v>1581</v>
      </c>
      <c r="C1257" s="34"/>
      <c r="D1257" s="77"/>
      <c r="E1257" s="77"/>
      <c r="F1257" s="77"/>
      <c r="G1257" s="77"/>
      <c r="H1257" s="91"/>
      <c r="I1257" s="89"/>
      <c r="J1257" s="77"/>
      <c r="K1257" s="110"/>
      <c r="L1257" s="107"/>
      <c r="M1257" s="109"/>
      <c r="N1257" s="11" t="str">
        <f t="shared" si="40"/>
        <v/>
      </c>
      <c r="O1257" s="32" t="str">
        <f t="shared" si="41"/>
        <v/>
      </c>
    </row>
    <row r="1258" spans="2:15" ht="15" customHeight="1" x14ac:dyDescent="0.4">
      <c r="B1258" s="10">
        <v>1582</v>
      </c>
      <c r="C1258" s="34"/>
      <c r="D1258" s="77"/>
      <c r="E1258" s="77"/>
      <c r="F1258" s="77"/>
      <c r="G1258" s="77"/>
      <c r="H1258" s="91"/>
      <c r="I1258" s="89"/>
      <c r="J1258" s="77"/>
      <c r="K1258" s="110"/>
      <c r="L1258" s="107"/>
      <c r="M1258" s="109"/>
      <c r="N1258" s="11" t="str">
        <f t="shared" si="40"/>
        <v/>
      </c>
      <c r="O1258" s="32" t="str">
        <f t="shared" si="41"/>
        <v/>
      </c>
    </row>
    <row r="1259" spans="2:15" ht="15" customHeight="1" x14ac:dyDescent="0.4">
      <c r="B1259" s="10">
        <v>1583</v>
      </c>
      <c r="C1259" s="34"/>
      <c r="D1259" s="77"/>
      <c r="E1259" s="77"/>
      <c r="F1259" s="77"/>
      <c r="G1259" s="77"/>
      <c r="H1259" s="91"/>
      <c r="I1259" s="89"/>
      <c r="J1259" s="77"/>
      <c r="K1259" s="110"/>
      <c r="L1259" s="107"/>
      <c r="M1259" s="109"/>
      <c r="N1259" s="11" t="str">
        <f t="shared" si="40"/>
        <v/>
      </c>
      <c r="O1259" s="32" t="str">
        <f t="shared" si="41"/>
        <v/>
      </c>
    </row>
    <row r="1260" spans="2:15" ht="15" customHeight="1" x14ac:dyDescent="0.4">
      <c r="B1260" s="10">
        <v>1584</v>
      </c>
      <c r="C1260" s="34"/>
      <c r="D1260" s="77"/>
      <c r="E1260" s="77"/>
      <c r="F1260" s="77"/>
      <c r="G1260" s="77"/>
      <c r="H1260" s="91"/>
      <c r="I1260" s="89"/>
      <c r="J1260" s="77"/>
      <c r="K1260" s="110"/>
      <c r="L1260" s="107"/>
      <c r="M1260" s="109"/>
      <c r="N1260" s="11" t="str">
        <f t="shared" si="40"/>
        <v/>
      </c>
      <c r="O1260" s="32" t="str">
        <f t="shared" si="41"/>
        <v/>
      </c>
    </row>
    <row r="1261" spans="2:15" ht="15" customHeight="1" x14ac:dyDescent="0.4">
      <c r="B1261" s="10">
        <v>1585</v>
      </c>
      <c r="C1261" s="34"/>
      <c r="D1261" s="77"/>
      <c r="E1261" s="77"/>
      <c r="F1261" s="77"/>
      <c r="G1261" s="77"/>
      <c r="H1261" s="91"/>
      <c r="I1261" s="89"/>
      <c r="J1261" s="77"/>
      <c r="K1261" s="110"/>
      <c r="L1261" s="107"/>
      <c r="M1261" s="109"/>
      <c r="N1261" s="11" t="str">
        <f t="shared" si="40"/>
        <v/>
      </c>
      <c r="O1261" s="32" t="str">
        <f t="shared" si="41"/>
        <v/>
      </c>
    </row>
    <row r="1262" spans="2:15" ht="15" customHeight="1" x14ac:dyDescent="0.4">
      <c r="B1262" s="10">
        <v>1586</v>
      </c>
      <c r="C1262" s="34"/>
      <c r="D1262" s="77"/>
      <c r="E1262" s="77"/>
      <c r="F1262" s="77"/>
      <c r="G1262" s="77"/>
      <c r="H1262" s="91"/>
      <c r="I1262" s="89"/>
      <c r="J1262" s="77"/>
      <c r="K1262" s="110"/>
      <c r="L1262" s="107"/>
      <c r="M1262" s="109"/>
      <c r="N1262" s="11" t="str">
        <f t="shared" si="40"/>
        <v/>
      </c>
      <c r="O1262" s="32" t="str">
        <f t="shared" si="41"/>
        <v/>
      </c>
    </row>
    <row r="1263" spans="2:15" ht="15" customHeight="1" x14ac:dyDescent="0.4">
      <c r="B1263" s="10">
        <v>1587</v>
      </c>
      <c r="C1263" s="34"/>
      <c r="D1263" s="77"/>
      <c r="E1263" s="77"/>
      <c r="F1263" s="77"/>
      <c r="G1263" s="77"/>
      <c r="H1263" s="91"/>
      <c r="I1263" s="89"/>
      <c r="J1263" s="77"/>
      <c r="K1263" s="110"/>
      <c r="L1263" s="107"/>
      <c r="M1263" s="109"/>
      <c r="N1263" s="11" t="str">
        <f t="shared" si="40"/>
        <v/>
      </c>
      <c r="O1263" s="32" t="str">
        <f t="shared" si="41"/>
        <v/>
      </c>
    </row>
    <row r="1264" spans="2:15" ht="15" customHeight="1" x14ac:dyDescent="0.4">
      <c r="B1264" s="10">
        <v>1588</v>
      </c>
      <c r="C1264" s="34"/>
      <c r="D1264" s="77"/>
      <c r="E1264" s="77"/>
      <c r="F1264" s="77"/>
      <c r="G1264" s="77"/>
      <c r="H1264" s="91"/>
      <c r="I1264" s="89"/>
      <c r="J1264" s="77"/>
      <c r="K1264" s="110"/>
      <c r="L1264" s="107"/>
      <c r="M1264" s="109"/>
      <c r="N1264" s="11" t="str">
        <f t="shared" si="40"/>
        <v/>
      </c>
      <c r="O1264" s="32" t="str">
        <f t="shared" si="41"/>
        <v/>
      </c>
    </row>
    <row r="1265" spans="2:15" ht="15" customHeight="1" x14ac:dyDescent="0.4">
      <c r="B1265" s="10">
        <v>1589</v>
      </c>
      <c r="C1265" s="34"/>
      <c r="D1265" s="77"/>
      <c r="E1265" s="77"/>
      <c r="F1265" s="77"/>
      <c r="G1265" s="77"/>
      <c r="H1265" s="91"/>
      <c r="I1265" s="89"/>
      <c r="J1265" s="77"/>
      <c r="K1265" s="110"/>
      <c r="L1265" s="107"/>
      <c r="M1265" s="109"/>
      <c r="N1265" s="11" t="str">
        <f t="shared" si="40"/>
        <v/>
      </c>
      <c r="O1265" s="32" t="str">
        <f t="shared" si="41"/>
        <v/>
      </c>
    </row>
    <row r="1266" spans="2:15" ht="15" customHeight="1" x14ac:dyDescent="0.4">
      <c r="B1266" s="10">
        <v>1590</v>
      </c>
      <c r="C1266" s="34"/>
      <c r="D1266" s="77"/>
      <c r="E1266" s="77"/>
      <c r="F1266" s="77"/>
      <c r="G1266" s="77"/>
      <c r="H1266" s="91"/>
      <c r="I1266" s="89"/>
      <c r="J1266" s="77"/>
      <c r="K1266" s="110"/>
      <c r="L1266" s="107"/>
      <c r="M1266" s="109"/>
      <c r="N1266" s="11" t="str">
        <f t="shared" si="40"/>
        <v/>
      </c>
      <c r="O1266" s="32" t="str">
        <f t="shared" si="41"/>
        <v/>
      </c>
    </row>
    <row r="1267" spans="2:15" ht="15" customHeight="1" x14ac:dyDescent="0.4">
      <c r="B1267" s="10">
        <v>1591</v>
      </c>
      <c r="C1267" s="34"/>
      <c r="D1267" s="77"/>
      <c r="E1267" s="77"/>
      <c r="F1267" s="77"/>
      <c r="G1267" s="77"/>
      <c r="H1267" s="91"/>
      <c r="I1267" s="89"/>
      <c r="J1267" s="77"/>
      <c r="K1267" s="110"/>
      <c r="L1267" s="107"/>
      <c r="M1267" s="109"/>
      <c r="N1267" s="11" t="str">
        <f t="shared" si="40"/>
        <v/>
      </c>
      <c r="O1267" s="32" t="str">
        <f t="shared" si="41"/>
        <v/>
      </c>
    </row>
    <row r="1268" spans="2:15" ht="15" customHeight="1" x14ac:dyDescent="0.4">
      <c r="B1268" s="10">
        <v>1592</v>
      </c>
      <c r="C1268" s="34"/>
      <c r="D1268" s="77"/>
      <c r="E1268" s="77"/>
      <c r="F1268" s="77"/>
      <c r="G1268" s="77"/>
      <c r="H1268" s="91"/>
      <c r="I1268" s="89"/>
      <c r="J1268" s="77"/>
      <c r="K1268" s="110"/>
      <c r="L1268" s="107"/>
      <c r="M1268" s="109"/>
      <c r="N1268" s="11" t="str">
        <f t="shared" si="40"/>
        <v/>
      </c>
      <c r="O1268" s="32" t="str">
        <f t="shared" si="41"/>
        <v/>
      </c>
    </row>
    <row r="1269" spans="2:15" ht="15" customHeight="1" x14ac:dyDescent="0.4">
      <c r="B1269" s="10">
        <v>1593</v>
      </c>
      <c r="C1269" s="34"/>
      <c r="D1269" s="77"/>
      <c r="E1269" s="77"/>
      <c r="F1269" s="77"/>
      <c r="G1269" s="77"/>
      <c r="H1269" s="91"/>
      <c r="I1269" s="89"/>
      <c r="J1269" s="77"/>
      <c r="K1269" s="110"/>
      <c r="L1269" s="107"/>
      <c r="M1269" s="109"/>
      <c r="N1269" s="11" t="str">
        <f t="shared" si="40"/>
        <v/>
      </c>
      <c r="O1269" s="32" t="str">
        <f t="shared" si="41"/>
        <v/>
      </c>
    </row>
    <row r="1270" spans="2:15" ht="15" customHeight="1" x14ac:dyDescent="0.4">
      <c r="B1270" s="10">
        <v>1594</v>
      </c>
      <c r="C1270" s="34"/>
      <c r="D1270" s="77"/>
      <c r="E1270" s="77"/>
      <c r="F1270" s="77"/>
      <c r="G1270" s="77"/>
      <c r="H1270" s="91"/>
      <c r="I1270" s="89"/>
      <c r="J1270" s="77"/>
      <c r="K1270" s="110"/>
      <c r="L1270" s="107"/>
      <c r="M1270" s="109"/>
      <c r="N1270" s="11" t="str">
        <f t="shared" si="40"/>
        <v/>
      </c>
      <c r="O1270" s="32" t="str">
        <f t="shared" si="41"/>
        <v/>
      </c>
    </row>
    <row r="1271" spans="2:15" ht="15" customHeight="1" x14ac:dyDescent="0.4">
      <c r="B1271" s="10">
        <v>1595</v>
      </c>
      <c r="C1271" s="34"/>
      <c r="D1271" s="77"/>
      <c r="E1271" s="77"/>
      <c r="F1271" s="77"/>
      <c r="G1271" s="77"/>
      <c r="H1271" s="91"/>
      <c r="I1271" s="89"/>
      <c r="J1271" s="77"/>
      <c r="K1271" s="110"/>
      <c r="L1271" s="107"/>
      <c r="M1271" s="109"/>
      <c r="N1271" s="11" t="str">
        <f t="shared" si="40"/>
        <v/>
      </c>
      <c r="O1271" s="32" t="str">
        <f t="shared" si="41"/>
        <v/>
      </c>
    </row>
    <row r="1272" spans="2:15" ht="15" customHeight="1" x14ac:dyDescent="0.4">
      <c r="B1272" s="10">
        <v>1596</v>
      </c>
      <c r="C1272" s="34"/>
      <c r="D1272" s="77"/>
      <c r="E1272" s="77"/>
      <c r="F1272" s="77"/>
      <c r="G1272" s="77"/>
      <c r="H1272" s="91"/>
      <c r="I1272" s="89"/>
      <c r="J1272" s="77"/>
      <c r="K1272" s="110"/>
      <c r="L1272" s="107"/>
      <c r="M1272" s="109"/>
      <c r="N1272" s="11" t="str">
        <f t="shared" si="40"/>
        <v/>
      </c>
      <c r="O1272" s="32" t="str">
        <f t="shared" si="41"/>
        <v/>
      </c>
    </row>
    <row r="1273" spans="2:15" ht="15" customHeight="1" x14ac:dyDescent="0.4">
      <c r="B1273" s="10">
        <v>1597</v>
      </c>
      <c r="C1273" s="34"/>
      <c r="D1273" s="77"/>
      <c r="E1273" s="77"/>
      <c r="F1273" s="77"/>
      <c r="G1273" s="77"/>
      <c r="H1273" s="91"/>
      <c r="I1273" s="89"/>
      <c r="J1273" s="77"/>
      <c r="K1273" s="110"/>
      <c r="L1273" s="107"/>
      <c r="M1273" s="109"/>
      <c r="N1273" s="11" t="str">
        <f t="shared" si="40"/>
        <v/>
      </c>
      <c r="O1273" s="32" t="str">
        <f t="shared" si="41"/>
        <v/>
      </c>
    </row>
    <row r="1274" spans="2:15" ht="15" customHeight="1" x14ac:dyDescent="0.4">
      <c r="B1274" s="10">
        <v>1598</v>
      </c>
      <c r="C1274" s="34"/>
      <c r="D1274" s="77"/>
      <c r="E1274" s="77"/>
      <c r="F1274" s="77"/>
      <c r="G1274" s="77"/>
      <c r="H1274" s="91"/>
      <c r="I1274" s="89"/>
      <c r="J1274" s="77"/>
      <c r="K1274" s="110"/>
      <c r="L1274" s="107"/>
      <c r="M1274" s="109"/>
      <c r="N1274" s="11" t="str">
        <f t="shared" si="40"/>
        <v/>
      </c>
      <c r="O1274" s="32" t="str">
        <f t="shared" si="41"/>
        <v/>
      </c>
    </row>
    <row r="1275" spans="2:15" ht="15" customHeight="1" x14ac:dyDescent="0.4">
      <c r="B1275" s="10">
        <v>1599</v>
      </c>
      <c r="C1275" s="34"/>
      <c r="D1275" s="77"/>
      <c r="E1275" s="77"/>
      <c r="F1275" s="77"/>
      <c r="G1275" s="77"/>
      <c r="H1275" s="91"/>
      <c r="I1275" s="89"/>
      <c r="J1275" s="77"/>
      <c r="K1275" s="110"/>
      <c r="L1275" s="107"/>
      <c r="M1275" s="109"/>
      <c r="N1275" s="11" t="str">
        <f t="shared" si="40"/>
        <v/>
      </c>
      <c r="O1275" s="32" t="str">
        <f t="shared" si="41"/>
        <v/>
      </c>
    </row>
    <row r="1276" spans="2:15" ht="15" customHeight="1" x14ac:dyDescent="0.4">
      <c r="B1276" s="10">
        <v>1600</v>
      </c>
      <c r="C1276" s="34"/>
      <c r="D1276" s="77"/>
      <c r="E1276" s="77"/>
      <c r="F1276" s="77"/>
      <c r="G1276" s="77"/>
      <c r="H1276" s="91"/>
      <c r="I1276" s="89"/>
      <c r="J1276" s="77"/>
      <c r="K1276" s="110"/>
      <c r="L1276" s="107"/>
      <c r="M1276" s="109"/>
      <c r="N1276" s="11" t="str">
        <f t="shared" si="40"/>
        <v/>
      </c>
      <c r="O1276" s="32" t="str">
        <f t="shared" si="41"/>
        <v/>
      </c>
    </row>
    <row r="1277" spans="2:15" ht="15" customHeight="1" x14ac:dyDescent="0.4">
      <c r="B1277" s="10">
        <v>1601</v>
      </c>
      <c r="C1277" s="34"/>
      <c r="D1277" s="77"/>
      <c r="E1277" s="77"/>
      <c r="F1277" s="77"/>
      <c r="G1277" s="77"/>
      <c r="H1277" s="91"/>
      <c r="I1277" s="89"/>
      <c r="J1277" s="77"/>
      <c r="K1277" s="110"/>
      <c r="L1277" s="107"/>
      <c r="M1277" s="109"/>
      <c r="N1277" s="11" t="str">
        <f t="shared" si="40"/>
        <v/>
      </c>
      <c r="O1277" s="32" t="str">
        <f t="shared" si="41"/>
        <v/>
      </c>
    </row>
    <row r="1278" spans="2:15" ht="15" customHeight="1" x14ac:dyDescent="0.4">
      <c r="B1278" s="10">
        <v>1602</v>
      </c>
      <c r="C1278" s="34"/>
      <c r="D1278" s="77"/>
      <c r="E1278" s="77"/>
      <c r="F1278" s="77"/>
      <c r="G1278" s="77"/>
      <c r="H1278" s="91"/>
      <c r="I1278" s="89"/>
      <c r="J1278" s="77"/>
      <c r="K1278" s="110"/>
      <c r="L1278" s="107"/>
      <c r="M1278" s="109"/>
      <c r="N1278" s="11" t="str">
        <f t="shared" si="40"/>
        <v/>
      </c>
      <c r="O1278" s="32" t="str">
        <f t="shared" si="41"/>
        <v/>
      </c>
    </row>
    <row r="1279" spans="2:15" ht="15" customHeight="1" x14ac:dyDescent="0.4">
      <c r="B1279" s="10">
        <v>1603</v>
      </c>
      <c r="C1279" s="34"/>
      <c r="D1279" s="77"/>
      <c r="E1279" s="77"/>
      <c r="F1279" s="77"/>
      <c r="G1279" s="77"/>
      <c r="H1279" s="91"/>
      <c r="I1279" s="89"/>
      <c r="J1279" s="77"/>
      <c r="K1279" s="110"/>
      <c r="L1279" s="107"/>
      <c r="M1279" s="109"/>
      <c r="N1279" s="11" t="str">
        <f t="shared" si="40"/>
        <v/>
      </c>
      <c r="O1279" s="32" t="str">
        <f t="shared" si="41"/>
        <v/>
      </c>
    </row>
    <row r="1280" spans="2:15" ht="15" customHeight="1" x14ac:dyDescent="0.4">
      <c r="B1280" s="10">
        <v>1604</v>
      </c>
      <c r="C1280" s="34"/>
      <c r="D1280" s="77"/>
      <c r="E1280" s="77"/>
      <c r="F1280" s="77"/>
      <c r="G1280" s="77"/>
      <c r="H1280" s="91"/>
      <c r="I1280" s="89"/>
      <c r="J1280" s="77"/>
      <c r="K1280" s="110"/>
      <c r="L1280" s="107"/>
      <c r="M1280" s="109"/>
      <c r="N1280" s="11" t="str">
        <f t="shared" si="40"/>
        <v/>
      </c>
      <c r="O1280" s="32" t="str">
        <f t="shared" si="41"/>
        <v/>
      </c>
    </row>
    <row r="1281" spans="2:15" ht="15" customHeight="1" x14ac:dyDescent="0.4">
      <c r="B1281" s="10">
        <v>1605</v>
      </c>
      <c r="C1281" s="34"/>
      <c r="D1281" s="77"/>
      <c r="E1281" s="77"/>
      <c r="F1281" s="77"/>
      <c r="G1281" s="77"/>
      <c r="H1281" s="91"/>
      <c r="I1281" s="89"/>
      <c r="J1281" s="77"/>
      <c r="K1281" s="110"/>
      <c r="L1281" s="107"/>
      <c r="M1281" s="109"/>
      <c r="N1281" s="11" t="str">
        <f t="shared" si="40"/>
        <v/>
      </c>
      <c r="O1281" s="32" t="str">
        <f t="shared" si="41"/>
        <v/>
      </c>
    </row>
    <row r="1282" spans="2:15" ht="15" customHeight="1" x14ac:dyDescent="0.4">
      <c r="B1282" s="10">
        <v>1606</v>
      </c>
      <c r="C1282" s="34"/>
      <c r="D1282" s="77"/>
      <c r="E1282" s="77"/>
      <c r="F1282" s="77"/>
      <c r="G1282" s="77"/>
      <c r="H1282" s="91"/>
      <c r="I1282" s="89"/>
      <c r="J1282" s="77"/>
      <c r="K1282" s="110"/>
      <c r="L1282" s="107"/>
      <c r="M1282" s="109"/>
      <c r="N1282" s="11" t="str">
        <f t="shared" si="40"/>
        <v/>
      </c>
      <c r="O1282" s="32" t="str">
        <f t="shared" si="41"/>
        <v/>
      </c>
    </row>
    <row r="1283" spans="2:15" ht="15" customHeight="1" x14ac:dyDescent="0.4">
      <c r="B1283" s="10">
        <v>1607</v>
      </c>
      <c r="C1283" s="34"/>
      <c r="D1283" s="77"/>
      <c r="E1283" s="77"/>
      <c r="F1283" s="77"/>
      <c r="G1283" s="77"/>
      <c r="H1283" s="91"/>
      <c r="I1283" s="89"/>
      <c r="J1283" s="77"/>
      <c r="K1283" s="110"/>
      <c r="L1283" s="107"/>
      <c r="M1283" s="109"/>
      <c r="N1283" s="11" t="str">
        <f t="shared" si="40"/>
        <v/>
      </c>
      <c r="O1283" s="32" t="str">
        <f t="shared" si="41"/>
        <v/>
      </c>
    </row>
    <row r="1284" spans="2:15" ht="15" customHeight="1" x14ac:dyDescent="0.4">
      <c r="B1284" s="10">
        <v>1608</v>
      </c>
      <c r="C1284" s="34"/>
      <c r="D1284" s="77"/>
      <c r="E1284" s="77"/>
      <c r="F1284" s="77"/>
      <c r="G1284" s="77"/>
      <c r="H1284" s="91"/>
      <c r="I1284" s="89"/>
      <c r="J1284" s="77"/>
      <c r="K1284" s="110"/>
      <c r="L1284" s="107"/>
      <c r="M1284" s="109"/>
      <c r="N1284" s="11" t="str">
        <f t="shared" ref="N1284:N1347" si="42">IF(OR(M1284="", K1284=""),"", M1284- K1284)</f>
        <v/>
      </c>
      <c r="O1284" s="32" t="str">
        <f t="shared" ref="O1284:O1347" si="43">IF(OR(M1284="", K1284="", L1284=""), "", IF((M1284 - K1284) &gt; L1284, "No", "Yes"))</f>
        <v/>
      </c>
    </row>
    <row r="1285" spans="2:15" ht="15" customHeight="1" x14ac:dyDescent="0.4">
      <c r="B1285" s="10">
        <v>1609</v>
      </c>
      <c r="C1285" s="34"/>
      <c r="D1285" s="77"/>
      <c r="E1285" s="77"/>
      <c r="F1285" s="77"/>
      <c r="G1285" s="77"/>
      <c r="H1285" s="91"/>
      <c r="I1285" s="89"/>
      <c r="J1285" s="77"/>
      <c r="K1285" s="110"/>
      <c r="L1285" s="107"/>
      <c r="M1285" s="109"/>
      <c r="N1285" s="11" t="str">
        <f t="shared" si="42"/>
        <v/>
      </c>
      <c r="O1285" s="32" t="str">
        <f t="shared" si="43"/>
        <v/>
      </c>
    </row>
    <row r="1286" spans="2:15" ht="15" customHeight="1" x14ac:dyDescent="0.4">
      <c r="B1286" s="10">
        <v>1610</v>
      </c>
      <c r="C1286" s="34"/>
      <c r="D1286" s="77"/>
      <c r="E1286" s="77"/>
      <c r="F1286" s="77"/>
      <c r="G1286" s="77"/>
      <c r="H1286" s="91"/>
      <c r="I1286" s="89"/>
      <c r="J1286" s="77"/>
      <c r="K1286" s="110"/>
      <c r="L1286" s="107"/>
      <c r="M1286" s="109"/>
      <c r="N1286" s="11" t="str">
        <f t="shared" si="42"/>
        <v/>
      </c>
      <c r="O1286" s="32" t="str">
        <f t="shared" si="43"/>
        <v/>
      </c>
    </row>
    <row r="1287" spans="2:15" ht="15" customHeight="1" x14ac:dyDescent="0.4">
      <c r="B1287" s="10">
        <v>1611</v>
      </c>
      <c r="C1287" s="34"/>
      <c r="D1287" s="77"/>
      <c r="E1287" s="77"/>
      <c r="F1287" s="77"/>
      <c r="G1287" s="77"/>
      <c r="H1287" s="91"/>
      <c r="I1287" s="89"/>
      <c r="J1287" s="77"/>
      <c r="K1287" s="110"/>
      <c r="L1287" s="107"/>
      <c r="M1287" s="109"/>
      <c r="N1287" s="11" t="str">
        <f t="shared" si="42"/>
        <v/>
      </c>
      <c r="O1287" s="32" t="str">
        <f t="shared" si="43"/>
        <v/>
      </c>
    </row>
    <row r="1288" spans="2:15" ht="15" customHeight="1" x14ac:dyDescent="0.4">
      <c r="B1288" s="10">
        <v>1612</v>
      </c>
      <c r="C1288" s="34"/>
      <c r="D1288" s="77"/>
      <c r="E1288" s="77"/>
      <c r="F1288" s="77"/>
      <c r="G1288" s="77"/>
      <c r="H1288" s="91"/>
      <c r="I1288" s="89"/>
      <c r="J1288" s="77"/>
      <c r="K1288" s="110"/>
      <c r="L1288" s="107"/>
      <c r="M1288" s="109"/>
      <c r="N1288" s="11" t="str">
        <f t="shared" si="42"/>
        <v/>
      </c>
      <c r="O1288" s="32" t="str">
        <f t="shared" si="43"/>
        <v/>
      </c>
    </row>
    <row r="1289" spans="2:15" ht="15" customHeight="1" x14ac:dyDescent="0.4">
      <c r="B1289" s="10">
        <v>1613</v>
      </c>
      <c r="C1289" s="34"/>
      <c r="D1289" s="77"/>
      <c r="E1289" s="77"/>
      <c r="F1289" s="77"/>
      <c r="G1289" s="77"/>
      <c r="H1289" s="91"/>
      <c r="I1289" s="89"/>
      <c r="J1289" s="77"/>
      <c r="K1289" s="110"/>
      <c r="L1289" s="107"/>
      <c r="M1289" s="109"/>
      <c r="N1289" s="11" t="str">
        <f t="shared" si="42"/>
        <v/>
      </c>
      <c r="O1289" s="32" t="str">
        <f t="shared" si="43"/>
        <v/>
      </c>
    </row>
    <row r="1290" spans="2:15" ht="15" customHeight="1" x14ac:dyDescent="0.4">
      <c r="B1290" s="10">
        <v>1614</v>
      </c>
      <c r="C1290" s="34"/>
      <c r="D1290" s="77"/>
      <c r="E1290" s="77"/>
      <c r="F1290" s="77"/>
      <c r="G1290" s="77"/>
      <c r="H1290" s="91"/>
      <c r="I1290" s="89"/>
      <c r="J1290" s="77"/>
      <c r="K1290" s="110"/>
      <c r="L1290" s="107"/>
      <c r="M1290" s="109"/>
      <c r="N1290" s="11" t="str">
        <f t="shared" si="42"/>
        <v/>
      </c>
      <c r="O1290" s="32" t="str">
        <f t="shared" si="43"/>
        <v/>
      </c>
    </row>
    <row r="1291" spans="2:15" ht="15" customHeight="1" x14ac:dyDescent="0.4">
      <c r="B1291" s="10">
        <v>1615</v>
      </c>
      <c r="C1291" s="34"/>
      <c r="D1291" s="77"/>
      <c r="E1291" s="77"/>
      <c r="F1291" s="77"/>
      <c r="G1291" s="77"/>
      <c r="H1291" s="91"/>
      <c r="I1291" s="89"/>
      <c r="J1291" s="77"/>
      <c r="K1291" s="110"/>
      <c r="L1291" s="107"/>
      <c r="M1291" s="109"/>
      <c r="N1291" s="11" t="str">
        <f t="shared" si="42"/>
        <v/>
      </c>
      <c r="O1291" s="32" t="str">
        <f t="shared" si="43"/>
        <v/>
      </c>
    </row>
    <row r="1292" spans="2:15" ht="15" customHeight="1" x14ac:dyDescent="0.4">
      <c r="B1292" s="10">
        <v>1616</v>
      </c>
      <c r="C1292" s="34"/>
      <c r="D1292" s="77"/>
      <c r="E1292" s="77"/>
      <c r="F1292" s="77"/>
      <c r="G1292" s="77"/>
      <c r="H1292" s="91"/>
      <c r="I1292" s="89"/>
      <c r="J1292" s="77"/>
      <c r="K1292" s="110"/>
      <c r="L1292" s="107"/>
      <c r="M1292" s="109"/>
      <c r="N1292" s="11" t="str">
        <f t="shared" si="42"/>
        <v/>
      </c>
      <c r="O1292" s="32" t="str">
        <f t="shared" si="43"/>
        <v/>
      </c>
    </row>
    <row r="1293" spans="2:15" ht="15" customHeight="1" x14ac:dyDescent="0.4">
      <c r="B1293" s="10">
        <v>1617</v>
      </c>
      <c r="C1293" s="34"/>
      <c r="D1293" s="77"/>
      <c r="E1293" s="77"/>
      <c r="F1293" s="77"/>
      <c r="G1293" s="77"/>
      <c r="H1293" s="91"/>
      <c r="I1293" s="89"/>
      <c r="J1293" s="77"/>
      <c r="K1293" s="110"/>
      <c r="L1293" s="107"/>
      <c r="M1293" s="109"/>
      <c r="N1293" s="11" t="str">
        <f t="shared" si="42"/>
        <v/>
      </c>
      <c r="O1293" s="32" t="str">
        <f t="shared" si="43"/>
        <v/>
      </c>
    </row>
    <row r="1294" spans="2:15" ht="15" customHeight="1" x14ac:dyDescent="0.4">
      <c r="B1294" s="10">
        <v>1618</v>
      </c>
      <c r="C1294" s="34"/>
      <c r="D1294" s="77"/>
      <c r="E1294" s="77"/>
      <c r="F1294" s="77"/>
      <c r="G1294" s="77"/>
      <c r="H1294" s="91"/>
      <c r="I1294" s="89"/>
      <c r="J1294" s="77"/>
      <c r="K1294" s="110"/>
      <c r="L1294" s="107"/>
      <c r="M1294" s="109"/>
      <c r="N1294" s="11" t="str">
        <f t="shared" si="42"/>
        <v/>
      </c>
      <c r="O1294" s="32" t="str">
        <f t="shared" si="43"/>
        <v/>
      </c>
    </row>
    <row r="1295" spans="2:15" ht="15" customHeight="1" x14ac:dyDescent="0.4">
      <c r="B1295" s="10">
        <v>1619</v>
      </c>
      <c r="C1295" s="34"/>
      <c r="D1295" s="77"/>
      <c r="E1295" s="77"/>
      <c r="F1295" s="77"/>
      <c r="G1295" s="77"/>
      <c r="H1295" s="91"/>
      <c r="I1295" s="89"/>
      <c r="J1295" s="77"/>
      <c r="K1295" s="110"/>
      <c r="L1295" s="107"/>
      <c r="M1295" s="109"/>
      <c r="N1295" s="11" t="str">
        <f t="shared" si="42"/>
        <v/>
      </c>
      <c r="O1295" s="32" t="str">
        <f t="shared" si="43"/>
        <v/>
      </c>
    </row>
    <row r="1296" spans="2:15" ht="15" customHeight="1" x14ac:dyDescent="0.4">
      <c r="B1296" s="10">
        <v>1620</v>
      </c>
      <c r="C1296" s="34"/>
      <c r="D1296" s="77"/>
      <c r="E1296" s="77"/>
      <c r="F1296" s="77"/>
      <c r="G1296" s="77"/>
      <c r="H1296" s="91"/>
      <c r="I1296" s="89"/>
      <c r="J1296" s="77"/>
      <c r="K1296" s="110"/>
      <c r="L1296" s="107"/>
      <c r="M1296" s="109"/>
      <c r="N1296" s="11" t="str">
        <f t="shared" si="42"/>
        <v/>
      </c>
      <c r="O1296" s="32" t="str">
        <f t="shared" si="43"/>
        <v/>
      </c>
    </row>
    <row r="1297" spans="2:15" ht="15" customHeight="1" x14ac:dyDescent="0.4">
      <c r="B1297" s="10">
        <v>1621</v>
      </c>
      <c r="C1297" s="34"/>
      <c r="D1297" s="77"/>
      <c r="E1297" s="77"/>
      <c r="F1297" s="77"/>
      <c r="G1297" s="77"/>
      <c r="H1297" s="91"/>
      <c r="I1297" s="89"/>
      <c r="J1297" s="77"/>
      <c r="K1297" s="110"/>
      <c r="L1297" s="107"/>
      <c r="M1297" s="109"/>
      <c r="N1297" s="11" t="str">
        <f t="shared" si="42"/>
        <v/>
      </c>
      <c r="O1297" s="32" t="str">
        <f t="shared" si="43"/>
        <v/>
      </c>
    </row>
    <row r="1298" spans="2:15" ht="15" customHeight="1" x14ac:dyDescent="0.4">
      <c r="B1298" s="10">
        <v>1622</v>
      </c>
      <c r="C1298" s="34"/>
      <c r="D1298" s="77"/>
      <c r="E1298" s="77"/>
      <c r="F1298" s="77"/>
      <c r="G1298" s="77"/>
      <c r="H1298" s="91"/>
      <c r="I1298" s="89"/>
      <c r="J1298" s="77"/>
      <c r="K1298" s="110"/>
      <c r="L1298" s="107"/>
      <c r="M1298" s="109"/>
      <c r="N1298" s="11" t="str">
        <f t="shared" si="42"/>
        <v/>
      </c>
      <c r="O1298" s="32" t="str">
        <f t="shared" si="43"/>
        <v/>
      </c>
    </row>
    <row r="1299" spans="2:15" ht="15" customHeight="1" x14ac:dyDescent="0.4">
      <c r="B1299" s="10">
        <v>1623</v>
      </c>
      <c r="C1299" s="34"/>
      <c r="D1299" s="77"/>
      <c r="E1299" s="77"/>
      <c r="F1299" s="77"/>
      <c r="G1299" s="77"/>
      <c r="H1299" s="91"/>
      <c r="I1299" s="89"/>
      <c r="J1299" s="77"/>
      <c r="K1299" s="110"/>
      <c r="L1299" s="107"/>
      <c r="M1299" s="109"/>
      <c r="N1299" s="11" t="str">
        <f t="shared" si="42"/>
        <v/>
      </c>
      <c r="O1299" s="32" t="str">
        <f t="shared" si="43"/>
        <v/>
      </c>
    </row>
    <row r="1300" spans="2:15" ht="15" customHeight="1" x14ac:dyDescent="0.4">
      <c r="B1300" s="10">
        <v>1624</v>
      </c>
      <c r="C1300" s="34"/>
      <c r="D1300" s="77"/>
      <c r="E1300" s="77"/>
      <c r="F1300" s="77"/>
      <c r="G1300" s="77"/>
      <c r="H1300" s="91"/>
      <c r="I1300" s="89"/>
      <c r="J1300" s="77"/>
      <c r="K1300" s="110"/>
      <c r="L1300" s="107"/>
      <c r="M1300" s="109"/>
      <c r="N1300" s="11" t="str">
        <f t="shared" si="42"/>
        <v/>
      </c>
      <c r="O1300" s="32" t="str">
        <f t="shared" si="43"/>
        <v/>
      </c>
    </row>
    <row r="1301" spans="2:15" ht="15" customHeight="1" x14ac:dyDescent="0.4">
      <c r="B1301" s="10">
        <v>1625</v>
      </c>
      <c r="C1301" s="34"/>
      <c r="D1301" s="77"/>
      <c r="E1301" s="77"/>
      <c r="F1301" s="77"/>
      <c r="G1301" s="77"/>
      <c r="H1301" s="91"/>
      <c r="I1301" s="89"/>
      <c r="J1301" s="77"/>
      <c r="K1301" s="110"/>
      <c r="L1301" s="107"/>
      <c r="M1301" s="109"/>
      <c r="N1301" s="11" t="str">
        <f t="shared" si="42"/>
        <v/>
      </c>
      <c r="O1301" s="32" t="str">
        <f t="shared" si="43"/>
        <v/>
      </c>
    </row>
    <row r="1302" spans="2:15" ht="15" customHeight="1" x14ac:dyDescent="0.4">
      <c r="B1302" s="10">
        <v>1626</v>
      </c>
      <c r="C1302" s="34"/>
      <c r="D1302" s="77"/>
      <c r="E1302" s="77"/>
      <c r="F1302" s="77"/>
      <c r="G1302" s="77"/>
      <c r="H1302" s="91"/>
      <c r="I1302" s="89"/>
      <c r="J1302" s="77"/>
      <c r="K1302" s="110"/>
      <c r="L1302" s="107"/>
      <c r="M1302" s="109"/>
      <c r="N1302" s="11" t="str">
        <f t="shared" si="42"/>
        <v/>
      </c>
      <c r="O1302" s="32" t="str">
        <f t="shared" si="43"/>
        <v/>
      </c>
    </row>
    <row r="1303" spans="2:15" ht="15" customHeight="1" x14ac:dyDescent="0.4">
      <c r="B1303" s="10">
        <v>1627</v>
      </c>
      <c r="C1303" s="34"/>
      <c r="D1303" s="77"/>
      <c r="E1303" s="77"/>
      <c r="F1303" s="77"/>
      <c r="G1303" s="77"/>
      <c r="H1303" s="91"/>
      <c r="I1303" s="89"/>
      <c r="J1303" s="77"/>
      <c r="K1303" s="110"/>
      <c r="L1303" s="107"/>
      <c r="M1303" s="109"/>
      <c r="N1303" s="11" t="str">
        <f t="shared" si="42"/>
        <v/>
      </c>
      <c r="O1303" s="32" t="str">
        <f t="shared" si="43"/>
        <v/>
      </c>
    </row>
    <row r="1304" spans="2:15" ht="15" customHeight="1" x14ac:dyDescent="0.4">
      <c r="B1304" s="10">
        <v>1628</v>
      </c>
      <c r="C1304" s="34"/>
      <c r="D1304" s="77"/>
      <c r="E1304" s="77"/>
      <c r="F1304" s="77"/>
      <c r="G1304" s="77"/>
      <c r="H1304" s="91"/>
      <c r="I1304" s="89"/>
      <c r="J1304" s="77"/>
      <c r="K1304" s="110"/>
      <c r="L1304" s="107"/>
      <c r="M1304" s="109"/>
      <c r="N1304" s="11" t="str">
        <f t="shared" si="42"/>
        <v/>
      </c>
      <c r="O1304" s="32" t="str">
        <f t="shared" si="43"/>
        <v/>
      </c>
    </row>
    <row r="1305" spans="2:15" ht="15" customHeight="1" x14ac:dyDescent="0.4">
      <c r="B1305" s="10">
        <v>1629</v>
      </c>
      <c r="C1305" s="34"/>
      <c r="D1305" s="77"/>
      <c r="E1305" s="77"/>
      <c r="F1305" s="77"/>
      <c r="G1305" s="77"/>
      <c r="H1305" s="91"/>
      <c r="I1305" s="89"/>
      <c r="J1305" s="77"/>
      <c r="K1305" s="110"/>
      <c r="L1305" s="107"/>
      <c r="M1305" s="109"/>
      <c r="N1305" s="11" t="str">
        <f t="shared" si="42"/>
        <v/>
      </c>
      <c r="O1305" s="32" t="str">
        <f t="shared" si="43"/>
        <v/>
      </c>
    </row>
    <row r="1306" spans="2:15" ht="15" customHeight="1" x14ac:dyDescent="0.4">
      <c r="B1306" s="10">
        <v>1630</v>
      </c>
      <c r="C1306" s="34"/>
      <c r="D1306" s="77"/>
      <c r="E1306" s="77"/>
      <c r="F1306" s="77"/>
      <c r="G1306" s="77"/>
      <c r="H1306" s="91"/>
      <c r="I1306" s="89"/>
      <c r="J1306" s="77"/>
      <c r="K1306" s="110"/>
      <c r="L1306" s="107"/>
      <c r="M1306" s="109"/>
      <c r="N1306" s="11" t="str">
        <f t="shared" si="42"/>
        <v/>
      </c>
      <c r="O1306" s="32" t="str">
        <f t="shared" si="43"/>
        <v/>
      </c>
    </row>
    <row r="1307" spans="2:15" ht="15" customHeight="1" x14ac:dyDescent="0.4">
      <c r="B1307" s="10">
        <v>1631</v>
      </c>
      <c r="C1307" s="34"/>
      <c r="D1307" s="77"/>
      <c r="E1307" s="77"/>
      <c r="F1307" s="77"/>
      <c r="G1307" s="77"/>
      <c r="H1307" s="91"/>
      <c r="I1307" s="89"/>
      <c r="J1307" s="77"/>
      <c r="K1307" s="110"/>
      <c r="L1307" s="107"/>
      <c r="M1307" s="109"/>
      <c r="N1307" s="11" t="str">
        <f t="shared" si="42"/>
        <v/>
      </c>
      <c r="O1307" s="32" t="str">
        <f t="shared" si="43"/>
        <v/>
      </c>
    </row>
    <row r="1308" spans="2:15" ht="15" customHeight="1" x14ac:dyDescent="0.4">
      <c r="B1308" s="10">
        <v>1632</v>
      </c>
      <c r="C1308" s="34"/>
      <c r="D1308" s="77"/>
      <c r="E1308" s="77"/>
      <c r="F1308" s="77"/>
      <c r="G1308" s="77"/>
      <c r="H1308" s="91"/>
      <c r="I1308" s="89"/>
      <c r="J1308" s="77"/>
      <c r="K1308" s="110"/>
      <c r="L1308" s="107"/>
      <c r="M1308" s="109"/>
      <c r="N1308" s="11" t="str">
        <f t="shared" si="42"/>
        <v/>
      </c>
      <c r="O1308" s="32" t="str">
        <f t="shared" si="43"/>
        <v/>
      </c>
    </row>
    <row r="1309" spans="2:15" ht="15" customHeight="1" x14ac:dyDescent="0.4">
      <c r="B1309" s="10">
        <v>1633</v>
      </c>
      <c r="C1309" s="34"/>
      <c r="D1309" s="77"/>
      <c r="E1309" s="77"/>
      <c r="F1309" s="77"/>
      <c r="G1309" s="77"/>
      <c r="H1309" s="91"/>
      <c r="I1309" s="89"/>
      <c r="J1309" s="77"/>
      <c r="K1309" s="110"/>
      <c r="L1309" s="107"/>
      <c r="M1309" s="109"/>
      <c r="N1309" s="11" t="str">
        <f t="shared" si="42"/>
        <v/>
      </c>
      <c r="O1309" s="32" t="str">
        <f t="shared" si="43"/>
        <v/>
      </c>
    </row>
    <row r="1310" spans="2:15" ht="15" customHeight="1" x14ac:dyDescent="0.4">
      <c r="B1310" s="10">
        <v>1634</v>
      </c>
      <c r="C1310" s="34"/>
      <c r="D1310" s="77"/>
      <c r="E1310" s="77"/>
      <c r="F1310" s="77"/>
      <c r="G1310" s="77"/>
      <c r="H1310" s="91"/>
      <c r="I1310" s="89"/>
      <c r="J1310" s="77"/>
      <c r="K1310" s="110"/>
      <c r="L1310" s="107"/>
      <c r="M1310" s="109"/>
      <c r="N1310" s="11" t="str">
        <f t="shared" si="42"/>
        <v/>
      </c>
      <c r="O1310" s="32" t="str">
        <f t="shared" si="43"/>
        <v/>
      </c>
    </row>
    <row r="1311" spans="2:15" ht="15" customHeight="1" x14ac:dyDescent="0.4">
      <c r="B1311" s="10">
        <v>1635</v>
      </c>
      <c r="C1311" s="34"/>
      <c r="D1311" s="77"/>
      <c r="E1311" s="77"/>
      <c r="F1311" s="77"/>
      <c r="G1311" s="77"/>
      <c r="H1311" s="91"/>
      <c r="I1311" s="89"/>
      <c r="J1311" s="77"/>
      <c r="K1311" s="110"/>
      <c r="L1311" s="107"/>
      <c r="M1311" s="109"/>
      <c r="N1311" s="11" t="str">
        <f t="shared" si="42"/>
        <v/>
      </c>
      <c r="O1311" s="32" t="str">
        <f t="shared" si="43"/>
        <v/>
      </c>
    </row>
    <row r="1312" spans="2:15" ht="15" customHeight="1" x14ac:dyDescent="0.4">
      <c r="B1312" s="10">
        <v>1636</v>
      </c>
      <c r="C1312" s="34"/>
      <c r="D1312" s="77"/>
      <c r="E1312" s="77"/>
      <c r="F1312" s="77"/>
      <c r="G1312" s="77"/>
      <c r="H1312" s="91"/>
      <c r="I1312" s="89"/>
      <c r="J1312" s="77"/>
      <c r="K1312" s="110"/>
      <c r="L1312" s="107"/>
      <c r="M1312" s="109"/>
      <c r="N1312" s="11" t="str">
        <f t="shared" si="42"/>
        <v/>
      </c>
      <c r="O1312" s="32" t="str">
        <f t="shared" si="43"/>
        <v/>
      </c>
    </row>
    <row r="1313" spans="2:15" ht="15" customHeight="1" x14ac:dyDescent="0.4">
      <c r="B1313" s="10">
        <v>1637</v>
      </c>
      <c r="C1313" s="34"/>
      <c r="D1313" s="77"/>
      <c r="E1313" s="77"/>
      <c r="F1313" s="77"/>
      <c r="G1313" s="77"/>
      <c r="H1313" s="91"/>
      <c r="I1313" s="89"/>
      <c r="J1313" s="77"/>
      <c r="K1313" s="110"/>
      <c r="L1313" s="107"/>
      <c r="M1313" s="109"/>
      <c r="N1313" s="11" t="str">
        <f t="shared" si="42"/>
        <v/>
      </c>
      <c r="O1313" s="32" t="str">
        <f t="shared" si="43"/>
        <v/>
      </c>
    </row>
    <row r="1314" spans="2:15" ht="15" customHeight="1" x14ac:dyDescent="0.4">
      <c r="B1314" s="10">
        <v>1638</v>
      </c>
      <c r="C1314" s="34"/>
      <c r="D1314" s="77"/>
      <c r="E1314" s="77"/>
      <c r="F1314" s="77"/>
      <c r="G1314" s="77"/>
      <c r="H1314" s="91"/>
      <c r="I1314" s="89"/>
      <c r="J1314" s="77"/>
      <c r="K1314" s="110"/>
      <c r="L1314" s="107"/>
      <c r="M1314" s="109"/>
      <c r="N1314" s="11" t="str">
        <f t="shared" si="42"/>
        <v/>
      </c>
      <c r="O1314" s="32" t="str">
        <f t="shared" si="43"/>
        <v/>
      </c>
    </row>
    <row r="1315" spans="2:15" ht="15" customHeight="1" x14ac:dyDescent="0.4">
      <c r="B1315" s="10">
        <v>1639</v>
      </c>
      <c r="C1315" s="34"/>
      <c r="D1315" s="77"/>
      <c r="E1315" s="77"/>
      <c r="F1315" s="77"/>
      <c r="G1315" s="77"/>
      <c r="H1315" s="91"/>
      <c r="I1315" s="89"/>
      <c r="J1315" s="77"/>
      <c r="K1315" s="110"/>
      <c r="L1315" s="107"/>
      <c r="M1315" s="109"/>
      <c r="N1315" s="11" t="str">
        <f t="shared" si="42"/>
        <v/>
      </c>
      <c r="O1315" s="32" t="str">
        <f t="shared" si="43"/>
        <v/>
      </c>
    </row>
    <row r="1316" spans="2:15" ht="15" customHeight="1" x14ac:dyDescent="0.4">
      <c r="B1316" s="10">
        <v>1640</v>
      </c>
      <c r="C1316" s="34"/>
      <c r="D1316" s="77"/>
      <c r="E1316" s="77"/>
      <c r="F1316" s="77"/>
      <c r="G1316" s="77"/>
      <c r="H1316" s="91"/>
      <c r="I1316" s="89"/>
      <c r="J1316" s="77"/>
      <c r="K1316" s="110"/>
      <c r="L1316" s="107"/>
      <c r="M1316" s="109"/>
      <c r="N1316" s="11" t="str">
        <f t="shared" si="42"/>
        <v/>
      </c>
      <c r="O1316" s="32" t="str">
        <f t="shared" si="43"/>
        <v/>
      </c>
    </row>
    <row r="1317" spans="2:15" ht="15" customHeight="1" x14ac:dyDescent="0.4">
      <c r="B1317" s="10">
        <v>1641</v>
      </c>
      <c r="C1317" s="34"/>
      <c r="D1317" s="77"/>
      <c r="E1317" s="77"/>
      <c r="F1317" s="77"/>
      <c r="G1317" s="77"/>
      <c r="H1317" s="91"/>
      <c r="I1317" s="89"/>
      <c r="J1317" s="77"/>
      <c r="K1317" s="110"/>
      <c r="L1317" s="107"/>
      <c r="M1317" s="109"/>
      <c r="N1317" s="11" t="str">
        <f t="shared" si="42"/>
        <v/>
      </c>
      <c r="O1317" s="32" t="str">
        <f t="shared" si="43"/>
        <v/>
      </c>
    </row>
    <row r="1318" spans="2:15" ht="15" customHeight="1" x14ac:dyDescent="0.4">
      <c r="B1318" s="10">
        <v>1642</v>
      </c>
      <c r="C1318" s="34"/>
      <c r="D1318" s="77"/>
      <c r="E1318" s="77"/>
      <c r="F1318" s="77"/>
      <c r="G1318" s="77"/>
      <c r="H1318" s="91"/>
      <c r="I1318" s="89"/>
      <c r="J1318" s="77"/>
      <c r="K1318" s="110"/>
      <c r="L1318" s="107"/>
      <c r="M1318" s="109"/>
      <c r="N1318" s="11" t="str">
        <f t="shared" si="42"/>
        <v/>
      </c>
      <c r="O1318" s="32" t="str">
        <f t="shared" si="43"/>
        <v/>
      </c>
    </row>
    <row r="1319" spans="2:15" ht="15" customHeight="1" x14ac:dyDescent="0.4">
      <c r="B1319" s="10">
        <v>1643</v>
      </c>
      <c r="C1319" s="34"/>
      <c r="D1319" s="77"/>
      <c r="E1319" s="77"/>
      <c r="F1319" s="77"/>
      <c r="G1319" s="77"/>
      <c r="H1319" s="91"/>
      <c r="I1319" s="89"/>
      <c r="J1319" s="77"/>
      <c r="K1319" s="110"/>
      <c r="L1319" s="107"/>
      <c r="M1319" s="109"/>
      <c r="N1319" s="11" t="str">
        <f t="shared" si="42"/>
        <v/>
      </c>
      <c r="O1319" s="32" t="str">
        <f t="shared" si="43"/>
        <v/>
      </c>
    </row>
    <row r="1320" spans="2:15" ht="15" customHeight="1" x14ac:dyDescent="0.4">
      <c r="B1320" s="10">
        <v>1644</v>
      </c>
      <c r="C1320" s="34"/>
      <c r="D1320" s="77"/>
      <c r="E1320" s="77"/>
      <c r="F1320" s="77"/>
      <c r="G1320" s="77"/>
      <c r="H1320" s="91"/>
      <c r="I1320" s="89"/>
      <c r="J1320" s="77"/>
      <c r="K1320" s="110"/>
      <c r="L1320" s="107"/>
      <c r="M1320" s="109"/>
      <c r="N1320" s="11" t="str">
        <f t="shared" si="42"/>
        <v/>
      </c>
      <c r="O1320" s="32" t="str">
        <f t="shared" si="43"/>
        <v/>
      </c>
    </row>
    <row r="1321" spans="2:15" ht="15" customHeight="1" x14ac:dyDescent="0.4">
      <c r="B1321" s="10">
        <v>1645</v>
      </c>
      <c r="C1321" s="34"/>
      <c r="D1321" s="77"/>
      <c r="E1321" s="77"/>
      <c r="F1321" s="77"/>
      <c r="G1321" s="77"/>
      <c r="H1321" s="91"/>
      <c r="I1321" s="89"/>
      <c r="J1321" s="77"/>
      <c r="K1321" s="110"/>
      <c r="L1321" s="107"/>
      <c r="M1321" s="109"/>
      <c r="N1321" s="11" t="str">
        <f t="shared" si="42"/>
        <v/>
      </c>
      <c r="O1321" s="32" t="str">
        <f t="shared" si="43"/>
        <v/>
      </c>
    </row>
    <row r="1322" spans="2:15" ht="15" customHeight="1" x14ac:dyDescent="0.4">
      <c r="B1322" s="10">
        <v>1646</v>
      </c>
      <c r="C1322" s="34"/>
      <c r="D1322" s="77"/>
      <c r="E1322" s="77"/>
      <c r="F1322" s="77"/>
      <c r="G1322" s="77"/>
      <c r="H1322" s="91"/>
      <c r="I1322" s="89"/>
      <c r="J1322" s="77"/>
      <c r="K1322" s="110"/>
      <c r="L1322" s="107"/>
      <c r="M1322" s="109"/>
      <c r="N1322" s="11" t="str">
        <f t="shared" si="42"/>
        <v/>
      </c>
      <c r="O1322" s="32" t="str">
        <f t="shared" si="43"/>
        <v/>
      </c>
    </row>
    <row r="1323" spans="2:15" ht="15" customHeight="1" x14ac:dyDescent="0.4">
      <c r="B1323" s="10">
        <v>1647</v>
      </c>
      <c r="C1323" s="34"/>
      <c r="D1323" s="77"/>
      <c r="E1323" s="77"/>
      <c r="F1323" s="77"/>
      <c r="G1323" s="77"/>
      <c r="H1323" s="91"/>
      <c r="I1323" s="89"/>
      <c r="J1323" s="77"/>
      <c r="K1323" s="110"/>
      <c r="L1323" s="107"/>
      <c r="M1323" s="109"/>
      <c r="N1323" s="11" t="str">
        <f t="shared" si="42"/>
        <v/>
      </c>
      <c r="O1323" s="32" t="str">
        <f t="shared" si="43"/>
        <v/>
      </c>
    </row>
    <row r="1324" spans="2:15" ht="15" customHeight="1" x14ac:dyDescent="0.4">
      <c r="B1324" s="10">
        <v>1648</v>
      </c>
      <c r="C1324" s="34"/>
      <c r="D1324" s="77"/>
      <c r="E1324" s="77"/>
      <c r="F1324" s="77"/>
      <c r="G1324" s="77"/>
      <c r="H1324" s="91"/>
      <c r="I1324" s="89"/>
      <c r="J1324" s="77"/>
      <c r="K1324" s="110"/>
      <c r="L1324" s="107"/>
      <c r="M1324" s="109"/>
      <c r="N1324" s="11" t="str">
        <f t="shared" si="42"/>
        <v/>
      </c>
      <c r="O1324" s="32" t="str">
        <f t="shared" si="43"/>
        <v/>
      </c>
    </row>
    <row r="1325" spans="2:15" ht="15" customHeight="1" x14ac:dyDescent="0.4">
      <c r="B1325" s="10">
        <v>1649</v>
      </c>
      <c r="C1325" s="34"/>
      <c r="D1325" s="77"/>
      <c r="E1325" s="77"/>
      <c r="F1325" s="77"/>
      <c r="G1325" s="77"/>
      <c r="H1325" s="91"/>
      <c r="I1325" s="89"/>
      <c r="J1325" s="77"/>
      <c r="K1325" s="110"/>
      <c r="L1325" s="107"/>
      <c r="M1325" s="109"/>
      <c r="N1325" s="11" t="str">
        <f t="shared" si="42"/>
        <v/>
      </c>
      <c r="O1325" s="32" t="str">
        <f t="shared" si="43"/>
        <v/>
      </c>
    </row>
    <row r="1326" spans="2:15" ht="15" customHeight="1" x14ac:dyDescent="0.4">
      <c r="B1326" s="10">
        <v>1650</v>
      </c>
      <c r="C1326" s="34"/>
      <c r="D1326" s="77"/>
      <c r="E1326" s="77"/>
      <c r="F1326" s="77"/>
      <c r="G1326" s="77"/>
      <c r="H1326" s="91"/>
      <c r="I1326" s="89"/>
      <c r="J1326" s="77"/>
      <c r="K1326" s="110"/>
      <c r="L1326" s="107"/>
      <c r="M1326" s="109"/>
      <c r="N1326" s="11" t="str">
        <f t="shared" si="42"/>
        <v/>
      </c>
      <c r="O1326" s="32" t="str">
        <f t="shared" si="43"/>
        <v/>
      </c>
    </row>
    <row r="1327" spans="2:15" ht="15" customHeight="1" x14ac:dyDescent="0.4">
      <c r="B1327" s="10">
        <v>1651</v>
      </c>
      <c r="C1327" s="34"/>
      <c r="D1327" s="77"/>
      <c r="E1327" s="77"/>
      <c r="F1327" s="77"/>
      <c r="G1327" s="77"/>
      <c r="H1327" s="91"/>
      <c r="I1327" s="89"/>
      <c r="J1327" s="77"/>
      <c r="K1327" s="110"/>
      <c r="L1327" s="107"/>
      <c r="M1327" s="109"/>
      <c r="N1327" s="11" t="str">
        <f t="shared" si="42"/>
        <v/>
      </c>
      <c r="O1327" s="32" t="str">
        <f t="shared" si="43"/>
        <v/>
      </c>
    </row>
    <row r="1328" spans="2:15" ht="15" customHeight="1" x14ac:dyDescent="0.4">
      <c r="B1328" s="10">
        <v>1652</v>
      </c>
      <c r="C1328" s="34"/>
      <c r="D1328" s="77"/>
      <c r="E1328" s="77"/>
      <c r="F1328" s="77"/>
      <c r="G1328" s="77"/>
      <c r="H1328" s="91"/>
      <c r="I1328" s="89"/>
      <c r="J1328" s="77"/>
      <c r="K1328" s="110"/>
      <c r="L1328" s="107"/>
      <c r="M1328" s="109"/>
      <c r="N1328" s="11" t="str">
        <f t="shared" si="42"/>
        <v/>
      </c>
      <c r="O1328" s="32" t="str">
        <f t="shared" si="43"/>
        <v/>
      </c>
    </row>
    <row r="1329" spans="2:15" ht="15" customHeight="1" x14ac:dyDescent="0.4">
      <c r="B1329" s="10">
        <v>1653</v>
      </c>
      <c r="C1329" s="34"/>
      <c r="D1329" s="77"/>
      <c r="E1329" s="77"/>
      <c r="F1329" s="77"/>
      <c r="G1329" s="77"/>
      <c r="H1329" s="91"/>
      <c r="I1329" s="89"/>
      <c r="J1329" s="77"/>
      <c r="K1329" s="110"/>
      <c r="L1329" s="107"/>
      <c r="M1329" s="109"/>
      <c r="N1329" s="11" t="str">
        <f t="shared" si="42"/>
        <v/>
      </c>
      <c r="O1329" s="32" t="str">
        <f t="shared" si="43"/>
        <v/>
      </c>
    </row>
    <row r="1330" spans="2:15" ht="15" customHeight="1" x14ac:dyDescent="0.4">
      <c r="B1330" s="10">
        <v>1654</v>
      </c>
      <c r="C1330" s="34"/>
      <c r="D1330" s="77"/>
      <c r="E1330" s="77"/>
      <c r="F1330" s="77"/>
      <c r="G1330" s="77"/>
      <c r="H1330" s="91"/>
      <c r="I1330" s="89"/>
      <c r="J1330" s="77"/>
      <c r="K1330" s="110"/>
      <c r="L1330" s="107"/>
      <c r="M1330" s="109"/>
      <c r="N1330" s="11" t="str">
        <f t="shared" si="42"/>
        <v/>
      </c>
      <c r="O1330" s="32" t="str">
        <f t="shared" si="43"/>
        <v/>
      </c>
    </row>
    <row r="1331" spans="2:15" ht="15" customHeight="1" x14ac:dyDescent="0.4">
      <c r="B1331" s="10">
        <v>1655</v>
      </c>
      <c r="C1331" s="34"/>
      <c r="D1331" s="77"/>
      <c r="E1331" s="77"/>
      <c r="F1331" s="77"/>
      <c r="G1331" s="77"/>
      <c r="H1331" s="91"/>
      <c r="I1331" s="89"/>
      <c r="J1331" s="77"/>
      <c r="K1331" s="110"/>
      <c r="L1331" s="107"/>
      <c r="M1331" s="109"/>
      <c r="N1331" s="11" t="str">
        <f t="shared" si="42"/>
        <v/>
      </c>
      <c r="O1331" s="32" t="str">
        <f t="shared" si="43"/>
        <v/>
      </c>
    </row>
    <row r="1332" spans="2:15" ht="15" customHeight="1" x14ac:dyDescent="0.4">
      <c r="B1332" s="10">
        <v>1656</v>
      </c>
      <c r="C1332" s="34"/>
      <c r="D1332" s="77"/>
      <c r="E1332" s="77"/>
      <c r="F1332" s="77"/>
      <c r="G1332" s="77"/>
      <c r="H1332" s="91"/>
      <c r="I1332" s="89"/>
      <c r="J1332" s="77"/>
      <c r="K1332" s="110"/>
      <c r="L1332" s="107"/>
      <c r="M1332" s="109"/>
      <c r="N1332" s="11" t="str">
        <f t="shared" si="42"/>
        <v/>
      </c>
      <c r="O1332" s="32" t="str">
        <f t="shared" si="43"/>
        <v/>
      </c>
    </row>
    <row r="1333" spans="2:15" ht="15" customHeight="1" x14ac:dyDescent="0.4">
      <c r="B1333" s="10">
        <v>1657</v>
      </c>
      <c r="C1333" s="34"/>
      <c r="D1333" s="77"/>
      <c r="E1333" s="77"/>
      <c r="F1333" s="77"/>
      <c r="G1333" s="77"/>
      <c r="H1333" s="91"/>
      <c r="I1333" s="89"/>
      <c r="J1333" s="77"/>
      <c r="K1333" s="110"/>
      <c r="L1333" s="107"/>
      <c r="M1333" s="109"/>
      <c r="N1333" s="11" t="str">
        <f t="shared" si="42"/>
        <v/>
      </c>
      <c r="O1333" s="32" t="str">
        <f t="shared" si="43"/>
        <v/>
      </c>
    </row>
    <row r="1334" spans="2:15" ht="15" customHeight="1" x14ac:dyDescent="0.4">
      <c r="B1334" s="10">
        <v>1658</v>
      </c>
      <c r="C1334" s="34"/>
      <c r="D1334" s="77"/>
      <c r="E1334" s="77"/>
      <c r="F1334" s="77"/>
      <c r="G1334" s="77"/>
      <c r="H1334" s="91"/>
      <c r="I1334" s="89"/>
      <c r="J1334" s="77"/>
      <c r="K1334" s="110"/>
      <c r="L1334" s="107"/>
      <c r="M1334" s="109"/>
      <c r="N1334" s="11" t="str">
        <f t="shared" si="42"/>
        <v/>
      </c>
      <c r="O1334" s="32" t="str">
        <f t="shared" si="43"/>
        <v/>
      </c>
    </row>
    <row r="1335" spans="2:15" ht="15" customHeight="1" x14ac:dyDescent="0.4">
      <c r="B1335" s="10">
        <v>1659</v>
      </c>
      <c r="C1335" s="34"/>
      <c r="D1335" s="77"/>
      <c r="E1335" s="77"/>
      <c r="F1335" s="77"/>
      <c r="G1335" s="77"/>
      <c r="H1335" s="91"/>
      <c r="I1335" s="89"/>
      <c r="J1335" s="77"/>
      <c r="K1335" s="110"/>
      <c r="L1335" s="107"/>
      <c r="M1335" s="109"/>
      <c r="N1335" s="11" t="str">
        <f t="shared" si="42"/>
        <v/>
      </c>
      <c r="O1335" s="32" t="str">
        <f t="shared" si="43"/>
        <v/>
      </c>
    </row>
    <row r="1336" spans="2:15" ht="15" customHeight="1" x14ac:dyDescent="0.4">
      <c r="B1336" s="10">
        <v>1660</v>
      </c>
      <c r="C1336" s="34"/>
      <c r="D1336" s="77"/>
      <c r="E1336" s="77"/>
      <c r="F1336" s="77"/>
      <c r="G1336" s="77"/>
      <c r="H1336" s="91"/>
      <c r="I1336" s="89"/>
      <c r="J1336" s="77"/>
      <c r="K1336" s="110"/>
      <c r="L1336" s="107"/>
      <c r="M1336" s="109"/>
      <c r="N1336" s="11" t="str">
        <f t="shared" si="42"/>
        <v/>
      </c>
      <c r="O1336" s="32" t="str">
        <f t="shared" si="43"/>
        <v/>
      </c>
    </row>
    <row r="1337" spans="2:15" ht="15" customHeight="1" x14ac:dyDescent="0.4">
      <c r="B1337" s="10">
        <v>1661</v>
      </c>
      <c r="C1337" s="34"/>
      <c r="D1337" s="77"/>
      <c r="E1337" s="77"/>
      <c r="F1337" s="77"/>
      <c r="G1337" s="77"/>
      <c r="H1337" s="91"/>
      <c r="I1337" s="89"/>
      <c r="J1337" s="77"/>
      <c r="K1337" s="110"/>
      <c r="L1337" s="107"/>
      <c r="M1337" s="109"/>
      <c r="N1337" s="11" t="str">
        <f t="shared" si="42"/>
        <v/>
      </c>
      <c r="O1337" s="32" t="str">
        <f t="shared" si="43"/>
        <v/>
      </c>
    </row>
    <row r="1338" spans="2:15" ht="15" customHeight="1" x14ac:dyDescent="0.4">
      <c r="B1338" s="10">
        <v>1662</v>
      </c>
      <c r="C1338" s="34"/>
      <c r="D1338" s="77"/>
      <c r="E1338" s="77"/>
      <c r="F1338" s="77"/>
      <c r="G1338" s="77"/>
      <c r="H1338" s="91"/>
      <c r="I1338" s="89"/>
      <c r="J1338" s="77"/>
      <c r="K1338" s="110"/>
      <c r="L1338" s="107"/>
      <c r="M1338" s="109"/>
      <c r="N1338" s="11" t="str">
        <f t="shared" si="42"/>
        <v/>
      </c>
      <c r="O1338" s="32" t="str">
        <f t="shared" si="43"/>
        <v/>
      </c>
    </row>
    <row r="1339" spans="2:15" ht="15" customHeight="1" x14ac:dyDescent="0.4">
      <c r="B1339" s="10">
        <v>1663</v>
      </c>
      <c r="C1339" s="34"/>
      <c r="D1339" s="77"/>
      <c r="E1339" s="77"/>
      <c r="F1339" s="77"/>
      <c r="G1339" s="77"/>
      <c r="H1339" s="91"/>
      <c r="I1339" s="89"/>
      <c r="J1339" s="77"/>
      <c r="K1339" s="110"/>
      <c r="L1339" s="107"/>
      <c r="M1339" s="109"/>
      <c r="N1339" s="11" t="str">
        <f t="shared" si="42"/>
        <v/>
      </c>
      <c r="O1339" s="32" t="str">
        <f t="shared" si="43"/>
        <v/>
      </c>
    </row>
    <row r="1340" spans="2:15" ht="15" customHeight="1" x14ac:dyDescent="0.4">
      <c r="B1340" s="10">
        <v>1664</v>
      </c>
      <c r="C1340" s="34"/>
      <c r="D1340" s="77"/>
      <c r="E1340" s="77"/>
      <c r="F1340" s="77"/>
      <c r="G1340" s="77"/>
      <c r="H1340" s="91"/>
      <c r="I1340" s="89"/>
      <c r="J1340" s="77"/>
      <c r="K1340" s="110"/>
      <c r="L1340" s="107"/>
      <c r="M1340" s="109"/>
      <c r="N1340" s="11" t="str">
        <f t="shared" si="42"/>
        <v/>
      </c>
      <c r="O1340" s="32" t="str">
        <f t="shared" si="43"/>
        <v/>
      </c>
    </row>
    <row r="1341" spans="2:15" ht="15" customHeight="1" x14ac:dyDescent="0.4">
      <c r="B1341" s="10">
        <v>1665</v>
      </c>
      <c r="C1341" s="34"/>
      <c r="D1341" s="77"/>
      <c r="E1341" s="77"/>
      <c r="F1341" s="77"/>
      <c r="G1341" s="77"/>
      <c r="H1341" s="91"/>
      <c r="I1341" s="89"/>
      <c r="J1341" s="77"/>
      <c r="K1341" s="110"/>
      <c r="L1341" s="107"/>
      <c r="M1341" s="109"/>
      <c r="N1341" s="11" t="str">
        <f t="shared" si="42"/>
        <v/>
      </c>
      <c r="O1341" s="32" t="str">
        <f t="shared" si="43"/>
        <v/>
      </c>
    </row>
    <row r="1342" spans="2:15" ht="15" customHeight="1" x14ac:dyDescent="0.4">
      <c r="B1342" s="10">
        <v>1666</v>
      </c>
      <c r="C1342" s="34"/>
      <c r="D1342" s="77"/>
      <c r="E1342" s="77"/>
      <c r="F1342" s="77"/>
      <c r="G1342" s="77"/>
      <c r="H1342" s="91"/>
      <c r="I1342" s="89"/>
      <c r="J1342" s="77"/>
      <c r="K1342" s="110"/>
      <c r="L1342" s="107"/>
      <c r="M1342" s="109"/>
      <c r="N1342" s="11" t="str">
        <f t="shared" si="42"/>
        <v/>
      </c>
      <c r="O1342" s="32" t="str">
        <f t="shared" si="43"/>
        <v/>
      </c>
    </row>
    <row r="1343" spans="2:15" ht="15" customHeight="1" x14ac:dyDescent="0.4">
      <c r="B1343" s="10">
        <v>1667</v>
      </c>
      <c r="C1343" s="34"/>
      <c r="D1343" s="77"/>
      <c r="E1343" s="77"/>
      <c r="F1343" s="77"/>
      <c r="G1343" s="77"/>
      <c r="H1343" s="91"/>
      <c r="I1343" s="89"/>
      <c r="J1343" s="77"/>
      <c r="K1343" s="110"/>
      <c r="L1343" s="107"/>
      <c r="M1343" s="109"/>
      <c r="N1343" s="11" t="str">
        <f t="shared" si="42"/>
        <v/>
      </c>
      <c r="O1343" s="32" t="str">
        <f t="shared" si="43"/>
        <v/>
      </c>
    </row>
    <row r="1344" spans="2:15" ht="15" customHeight="1" x14ac:dyDescent="0.4">
      <c r="B1344" s="10">
        <v>1668</v>
      </c>
      <c r="C1344" s="34"/>
      <c r="D1344" s="77"/>
      <c r="E1344" s="77"/>
      <c r="F1344" s="77"/>
      <c r="G1344" s="77"/>
      <c r="H1344" s="91"/>
      <c r="I1344" s="89"/>
      <c r="J1344" s="77"/>
      <c r="K1344" s="110"/>
      <c r="L1344" s="107"/>
      <c r="M1344" s="109"/>
      <c r="N1344" s="11" t="str">
        <f t="shared" si="42"/>
        <v/>
      </c>
      <c r="O1344" s="32" t="str">
        <f t="shared" si="43"/>
        <v/>
      </c>
    </row>
    <row r="1345" spans="2:15" ht="15" customHeight="1" x14ac:dyDescent="0.4">
      <c r="B1345" s="10">
        <v>1669</v>
      </c>
      <c r="C1345" s="34"/>
      <c r="D1345" s="77"/>
      <c r="E1345" s="77"/>
      <c r="F1345" s="77"/>
      <c r="G1345" s="77"/>
      <c r="H1345" s="91"/>
      <c r="I1345" s="89"/>
      <c r="J1345" s="77"/>
      <c r="K1345" s="110"/>
      <c r="L1345" s="107"/>
      <c r="M1345" s="109"/>
      <c r="N1345" s="11" t="str">
        <f t="shared" si="42"/>
        <v/>
      </c>
      <c r="O1345" s="32" t="str">
        <f t="shared" si="43"/>
        <v/>
      </c>
    </row>
    <row r="1346" spans="2:15" ht="15" customHeight="1" x14ac:dyDescent="0.4">
      <c r="B1346" s="10">
        <v>1670</v>
      </c>
      <c r="C1346" s="34"/>
      <c r="D1346" s="77"/>
      <c r="E1346" s="77"/>
      <c r="F1346" s="77"/>
      <c r="G1346" s="77"/>
      <c r="H1346" s="91"/>
      <c r="I1346" s="89"/>
      <c r="J1346" s="77"/>
      <c r="K1346" s="110"/>
      <c r="L1346" s="107"/>
      <c r="M1346" s="109"/>
      <c r="N1346" s="11" t="str">
        <f t="shared" si="42"/>
        <v/>
      </c>
      <c r="O1346" s="32" t="str">
        <f t="shared" si="43"/>
        <v/>
      </c>
    </row>
    <row r="1347" spans="2:15" ht="15" customHeight="1" x14ac:dyDescent="0.4">
      <c r="B1347" s="10">
        <v>1671</v>
      </c>
      <c r="C1347" s="34"/>
      <c r="D1347" s="77"/>
      <c r="E1347" s="77"/>
      <c r="F1347" s="77"/>
      <c r="G1347" s="77"/>
      <c r="H1347" s="91"/>
      <c r="I1347" s="89"/>
      <c r="J1347" s="77"/>
      <c r="K1347" s="110"/>
      <c r="L1347" s="107"/>
      <c r="M1347" s="109"/>
      <c r="N1347" s="11" t="str">
        <f t="shared" si="42"/>
        <v/>
      </c>
      <c r="O1347" s="32" t="str">
        <f t="shared" si="43"/>
        <v/>
      </c>
    </row>
    <row r="1348" spans="2:15" ht="15" customHeight="1" x14ac:dyDescent="0.4">
      <c r="B1348" s="10">
        <v>1672</v>
      </c>
      <c r="C1348" s="34"/>
      <c r="D1348" s="77"/>
      <c r="E1348" s="77"/>
      <c r="F1348" s="77"/>
      <c r="G1348" s="77"/>
      <c r="H1348" s="91"/>
      <c r="I1348" s="89"/>
      <c r="J1348" s="77"/>
      <c r="K1348" s="110"/>
      <c r="L1348" s="107"/>
      <c r="M1348" s="109"/>
      <c r="N1348" s="11" t="str">
        <f t="shared" ref="N1348:N1411" si="44">IF(OR(M1348="", K1348=""),"", M1348- K1348)</f>
        <v/>
      </c>
      <c r="O1348" s="32" t="str">
        <f t="shared" ref="O1348:O1411" si="45">IF(OR(M1348="", K1348="", L1348=""), "", IF((M1348 - K1348) &gt; L1348, "No", "Yes"))</f>
        <v/>
      </c>
    </row>
    <row r="1349" spans="2:15" ht="15" customHeight="1" x14ac:dyDescent="0.4">
      <c r="B1349" s="10">
        <v>1673</v>
      </c>
      <c r="C1349" s="34"/>
      <c r="D1349" s="77"/>
      <c r="E1349" s="77"/>
      <c r="F1349" s="77"/>
      <c r="G1349" s="77"/>
      <c r="H1349" s="91"/>
      <c r="I1349" s="89"/>
      <c r="J1349" s="77"/>
      <c r="K1349" s="110"/>
      <c r="L1349" s="107"/>
      <c r="M1349" s="109"/>
      <c r="N1349" s="11" t="str">
        <f t="shared" si="44"/>
        <v/>
      </c>
      <c r="O1349" s="32" t="str">
        <f t="shared" si="45"/>
        <v/>
      </c>
    </row>
    <row r="1350" spans="2:15" ht="15" customHeight="1" x14ac:dyDescent="0.4">
      <c r="B1350" s="10">
        <v>1674</v>
      </c>
      <c r="C1350" s="34"/>
      <c r="D1350" s="77"/>
      <c r="E1350" s="77"/>
      <c r="F1350" s="77"/>
      <c r="G1350" s="77"/>
      <c r="H1350" s="91"/>
      <c r="I1350" s="89"/>
      <c r="J1350" s="77"/>
      <c r="K1350" s="110"/>
      <c r="L1350" s="107"/>
      <c r="M1350" s="109"/>
      <c r="N1350" s="11" t="str">
        <f t="shared" si="44"/>
        <v/>
      </c>
      <c r="O1350" s="32" t="str">
        <f t="shared" si="45"/>
        <v/>
      </c>
    </row>
    <row r="1351" spans="2:15" ht="15" customHeight="1" x14ac:dyDescent="0.4">
      <c r="B1351" s="10">
        <v>1675</v>
      </c>
      <c r="C1351" s="34"/>
      <c r="D1351" s="77"/>
      <c r="E1351" s="77"/>
      <c r="F1351" s="77"/>
      <c r="G1351" s="77"/>
      <c r="H1351" s="91"/>
      <c r="I1351" s="89"/>
      <c r="J1351" s="77"/>
      <c r="K1351" s="110"/>
      <c r="L1351" s="107"/>
      <c r="M1351" s="109"/>
      <c r="N1351" s="11" t="str">
        <f t="shared" si="44"/>
        <v/>
      </c>
      <c r="O1351" s="32" t="str">
        <f t="shared" si="45"/>
        <v/>
      </c>
    </row>
    <row r="1352" spans="2:15" ht="15" customHeight="1" x14ac:dyDescent="0.4">
      <c r="B1352" s="10">
        <v>1676</v>
      </c>
      <c r="C1352" s="34"/>
      <c r="D1352" s="77"/>
      <c r="E1352" s="77"/>
      <c r="F1352" s="77"/>
      <c r="G1352" s="77"/>
      <c r="H1352" s="91"/>
      <c r="I1352" s="89"/>
      <c r="J1352" s="77"/>
      <c r="K1352" s="110"/>
      <c r="L1352" s="107"/>
      <c r="M1352" s="109"/>
      <c r="N1352" s="11" t="str">
        <f t="shared" si="44"/>
        <v/>
      </c>
      <c r="O1352" s="32" t="str">
        <f t="shared" si="45"/>
        <v/>
      </c>
    </row>
    <row r="1353" spans="2:15" ht="15" customHeight="1" x14ac:dyDescent="0.4">
      <c r="B1353" s="10">
        <v>1677</v>
      </c>
      <c r="C1353" s="34"/>
      <c r="D1353" s="77"/>
      <c r="E1353" s="77"/>
      <c r="F1353" s="77"/>
      <c r="G1353" s="77"/>
      <c r="H1353" s="91"/>
      <c r="I1353" s="89"/>
      <c r="J1353" s="77"/>
      <c r="K1353" s="110"/>
      <c r="L1353" s="107"/>
      <c r="M1353" s="109"/>
      <c r="N1353" s="11" t="str">
        <f t="shared" si="44"/>
        <v/>
      </c>
      <c r="O1353" s="32" t="str">
        <f t="shared" si="45"/>
        <v/>
      </c>
    </row>
    <row r="1354" spans="2:15" ht="15" customHeight="1" x14ac:dyDescent="0.4">
      <c r="B1354" s="10">
        <v>1678</v>
      </c>
      <c r="C1354" s="34"/>
      <c r="D1354" s="77"/>
      <c r="E1354" s="77"/>
      <c r="F1354" s="77"/>
      <c r="G1354" s="77"/>
      <c r="H1354" s="91"/>
      <c r="I1354" s="89"/>
      <c r="J1354" s="77"/>
      <c r="K1354" s="110"/>
      <c r="L1354" s="107"/>
      <c r="M1354" s="109"/>
      <c r="N1354" s="11" t="str">
        <f t="shared" si="44"/>
        <v/>
      </c>
      <c r="O1354" s="32" t="str">
        <f t="shared" si="45"/>
        <v/>
      </c>
    </row>
    <row r="1355" spans="2:15" ht="15" customHeight="1" x14ac:dyDescent="0.4">
      <c r="B1355" s="10">
        <v>1679</v>
      </c>
      <c r="C1355" s="34"/>
      <c r="D1355" s="77"/>
      <c r="E1355" s="77"/>
      <c r="F1355" s="77"/>
      <c r="G1355" s="77"/>
      <c r="H1355" s="91"/>
      <c r="I1355" s="89"/>
      <c r="J1355" s="77"/>
      <c r="K1355" s="110"/>
      <c r="L1355" s="107"/>
      <c r="M1355" s="109"/>
      <c r="N1355" s="11" t="str">
        <f t="shared" si="44"/>
        <v/>
      </c>
      <c r="O1355" s="32" t="str">
        <f t="shared" si="45"/>
        <v/>
      </c>
    </row>
    <row r="1356" spans="2:15" ht="15" customHeight="1" x14ac:dyDescent="0.4">
      <c r="B1356" s="10">
        <v>1680</v>
      </c>
      <c r="C1356" s="34"/>
      <c r="D1356" s="77"/>
      <c r="E1356" s="77"/>
      <c r="F1356" s="77"/>
      <c r="G1356" s="77"/>
      <c r="H1356" s="91"/>
      <c r="I1356" s="89"/>
      <c r="J1356" s="77"/>
      <c r="K1356" s="110"/>
      <c r="L1356" s="107"/>
      <c r="M1356" s="109"/>
      <c r="N1356" s="11" t="str">
        <f t="shared" si="44"/>
        <v/>
      </c>
      <c r="O1356" s="32" t="str">
        <f t="shared" si="45"/>
        <v/>
      </c>
    </row>
    <row r="1357" spans="2:15" ht="15" customHeight="1" x14ac:dyDescent="0.4">
      <c r="B1357" s="10">
        <v>1681</v>
      </c>
      <c r="C1357" s="34"/>
      <c r="D1357" s="77"/>
      <c r="E1357" s="77"/>
      <c r="F1357" s="77"/>
      <c r="G1357" s="77"/>
      <c r="H1357" s="91"/>
      <c r="I1357" s="89"/>
      <c r="J1357" s="77"/>
      <c r="K1357" s="110"/>
      <c r="L1357" s="107"/>
      <c r="M1357" s="109"/>
      <c r="N1357" s="11" t="str">
        <f t="shared" si="44"/>
        <v/>
      </c>
      <c r="O1357" s="32" t="str">
        <f t="shared" si="45"/>
        <v/>
      </c>
    </row>
    <row r="1358" spans="2:15" ht="15" customHeight="1" x14ac:dyDescent="0.4">
      <c r="B1358" s="10">
        <v>1682</v>
      </c>
      <c r="C1358" s="34"/>
      <c r="D1358" s="77"/>
      <c r="E1358" s="77"/>
      <c r="F1358" s="77"/>
      <c r="G1358" s="77"/>
      <c r="H1358" s="91"/>
      <c r="I1358" s="89"/>
      <c r="J1358" s="77"/>
      <c r="K1358" s="110"/>
      <c r="L1358" s="107"/>
      <c r="M1358" s="109"/>
      <c r="N1358" s="11" t="str">
        <f t="shared" si="44"/>
        <v/>
      </c>
      <c r="O1358" s="32" t="str">
        <f t="shared" si="45"/>
        <v/>
      </c>
    </row>
    <row r="1359" spans="2:15" ht="15" customHeight="1" x14ac:dyDescent="0.4">
      <c r="B1359" s="10">
        <v>1683</v>
      </c>
      <c r="C1359" s="34"/>
      <c r="D1359" s="77"/>
      <c r="E1359" s="77"/>
      <c r="F1359" s="77"/>
      <c r="G1359" s="77"/>
      <c r="H1359" s="91"/>
      <c r="I1359" s="89"/>
      <c r="J1359" s="77"/>
      <c r="K1359" s="110"/>
      <c r="L1359" s="107"/>
      <c r="M1359" s="109"/>
      <c r="N1359" s="11" t="str">
        <f t="shared" si="44"/>
        <v/>
      </c>
      <c r="O1359" s="32" t="str">
        <f t="shared" si="45"/>
        <v/>
      </c>
    </row>
    <row r="1360" spans="2:15" ht="15" customHeight="1" x14ac:dyDescent="0.4">
      <c r="B1360" s="10">
        <v>1684</v>
      </c>
      <c r="C1360" s="34"/>
      <c r="D1360" s="77"/>
      <c r="E1360" s="77"/>
      <c r="F1360" s="77"/>
      <c r="G1360" s="77"/>
      <c r="H1360" s="91"/>
      <c r="I1360" s="89"/>
      <c r="J1360" s="77"/>
      <c r="K1360" s="110"/>
      <c r="L1360" s="107"/>
      <c r="M1360" s="109"/>
      <c r="N1360" s="11" t="str">
        <f t="shared" si="44"/>
        <v/>
      </c>
      <c r="O1360" s="32" t="str">
        <f t="shared" si="45"/>
        <v/>
      </c>
    </row>
    <row r="1361" spans="2:15" ht="15" customHeight="1" x14ac:dyDescent="0.4">
      <c r="B1361" s="10">
        <v>1685</v>
      </c>
      <c r="C1361" s="34"/>
      <c r="D1361" s="77"/>
      <c r="E1361" s="77"/>
      <c r="F1361" s="77"/>
      <c r="G1361" s="77"/>
      <c r="H1361" s="91"/>
      <c r="I1361" s="89"/>
      <c r="J1361" s="77"/>
      <c r="K1361" s="110"/>
      <c r="L1361" s="107"/>
      <c r="M1361" s="109"/>
      <c r="N1361" s="11" t="str">
        <f t="shared" si="44"/>
        <v/>
      </c>
      <c r="O1361" s="32" t="str">
        <f t="shared" si="45"/>
        <v/>
      </c>
    </row>
    <row r="1362" spans="2:15" ht="15" customHeight="1" x14ac:dyDescent="0.4">
      <c r="B1362" s="10">
        <v>1686</v>
      </c>
      <c r="C1362" s="34"/>
      <c r="D1362" s="77"/>
      <c r="E1362" s="77"/>
      <c r="F1362" s="77"/>
      <c r="G1362" s="77"/>
      <c r="H1362" s="91"/>
      <c r="I1362" s="89"/>
      <c r="J1362" s="77"/>
      <c r="K1362" s="110"/>
      <c r="L1362" s="107"/>
      <c r="M1362" s="109"/>
      <c r="N1362" s="11" t="str">
        <f t="shared" si="44"/>
        <v/>
      </c>
      <c r="O1362" s="32" t="str">
        <f t="shared" si="45"/>
        <v/>
      </c>
    </row>
    <row r="1363" spans="2:15" ht="15" customHeight="1" x14ac:dyDescent="0.4">
      <c r="B1363" s="10">
        <v>1687</v>
      </c>
      <c r="C1363" s="34"/>
      <c r="D1363" s="77"/>
      <c r="E1363" s="77"/>
      <c r="F1363" s="77"/>
      <c r="G1363" s="77"/>
      <c r="H1363" s="91"/>
      <c r="I1363" s="89"/>
      <c r="J1363" s="77"/>
      <c r="K1363" s="110"/>
      <c r="L1363" s="107"/>
      <c r="M1363" s="109"/>
      <c r="N1363" s="11" t="str">
        <f t="shared" si="44"/>
        <v/>
      </c>
      <c r="O1363" s="32" t="str">
        <f t="shared" si="45"/>
        <v/>
      </c>
    </row>
    <row r="1364" spans="2:15" ht="15" customHeight="1" x14ac:dyDescent="0.4">
      <c r="B1364" s="10">
        <v>1688</v>
      </c>
      <c r="C1364" s="34"/>
      <c r="D1364" s="77"/>
      <c r="E1364" s="77"/>
      <c r="F1364" s="77"/>
      <c r="G1364" s="77"/>
      <c r="H1364" s="91"/>
      <c r="I1364" s="89"/>
      <c r="J1364" s="77"/>
      <c r="K1364" s="110"/>
      <c r="L1364" s="107"/>
      <c r="M1364" s="109"/>
      <c r="N1364" s="11" t="str">
        <f t="shared" si="44"/>
        <v/>
      </c>
      <c r="O1364" s="32" t="str">
        <f t="shared" si="45"/>
        <v/>
      </c>
    </row>
    <row r="1365" spans="2:15" ht="15" customHeight="1" x14ac:dyDescent="0.4">
      <c r="B1365" s="10">
        <v>1689</v>
      </c>
      <c r="C1365" s="34"/>
      <c r="D1365" s="77"/>
      <c r="E1365" s="77"/>
      <c r="F1365" s="77"/>
      <c r="G1365" s="77"/>
      <c r="H1365" s="91"/>
      <c r="I1365" s="89"/>
      <c r="J1365" s="77"/>
      <c r="K1365" s="110"/>
      <c r="L1365" s="107"/>
      <c r="M1365" s="109"/>
      <c r="N1365" s="11" t="str">
        <f t="shared" si="44"/>
        <v/>
      </c>
      <c r="O1365" s="32" t="str">
        <f t="shared" si="45"/>
        <v/>
      </c>
    </row>
    <row r="1366" spans="2:15" ht="15" customHeight="1" x14ac:dyDescent="0.4">
      <c r="B1366" s="10">
        <v>1690</v>
      </c>
      <c r="C1366" s="34"/>
      <c r="D1366" s="77"/>
      <c r="E1366" s="77"/>
      <c r="F1366" s="77"/>
      <c r="G1366" s="77"/>
      <c r="H1366" s="91"/>
      <c r="I1366" s="89"/>
      <c r="J1366" s="77"/>
      <c r="K1366" s="110"/>
      <c r="L1366" s="107"/>
      <c r="M1366" s="109"/>
      <c r="N1366" s="11" t="str">
        <f t="shared" si="44"/>
        <v/>
      </c>
      <c r="O1366" s="32" t="str">
        <f t="shared" si="45"/>
        <v/>
      </c>
    </row>
    <row r="1367" spans="2:15" ht="15" customHeight="1" x14ac:dyDescent="0.4">
      <c r="B1367" s="10">
        <v>1691</v>
      </c>
      <c r="C1367" s="34"/>
      <c r="D1367" s="77"/>
      <c r="E1367" s="77"/>
      <c r="F1367" s="77"/>
      <c r="G1367" s="77"/>
      <c r="H1367" s="91"/>
      <c r="I1367" s="89"/>
      <c r="J1367" s="77"/>
      <c r="K1367" s="110"/>
      <c r="L1367" s="107"/>
      <c r="M1367" s="109"/>
      <c r="N1367" s="11" t="str">
        <f t="shared" si="44"/>
        <v/>
      </c>
      <c r="O1367" s="32" t="str">
        <f t="shared" si="45"/>
        <v/>
      </c>
    </row>
    <row r="1368" spans="2:15" ht="15" customHeight="1" x14ac:dyDescent="0.4">
      <c r="B1368" s="10">
        <v>1692</v>
      </c>
      <c r="C1368" s="34"/>
      <c r="D1368" s="77"/>
      <c r="E1368" s="77"/>
      <c r="F1368" s="77"/>
      <c r="G1368" s="77"/>
      <c r="H1368" s="91"/>
      <c r="I1368" s="89"/>
      <c r="J1368" s="77"/>
      <c r="K1368" s="110"/>
      <c r="L1368" s="107"/>
      <c r="M1368" s="109"/>
      <c r="N1368" s="11" t="str">
        <f t="shared" si="44"/>
        <v/>
      </c>
      <c r="O1368" s="32" t="str">
        <f t="shared" si="45"/>
        <v/>
      </c>
    </row>
    <row r="1369" spans="2:15" ht="15" customHeight="1" x14ac:dyDescent="0.4">
      <c r="B1369" s="10">
        <v>1693</v>
      </c>
      <c r="C1369" s="34"/>
      <c r="D1369" s="77"/>
      <c r="E1369" s="77"/>
      <c r="F1369" s="77"/>
      <c r="G1369" s="77"/>
      <c r="H1369" s="91"/>
      <c r="I1369" s="89"/>
      <c r="J1369" s="77"/>
      <c r="K1369" s="110"/>
      <c r="L1369" s="107"/>
      <c r="M1369" s="109"/>
      <c r="N1369" s="11" t="str">
        <f t="shared" si="44"/>
        <v/>
      </c>
      <c r="O1369" s="32" t="str">
        <f t="shared" si="45"/>
        <v/>
      </c>
    </row>
    <row r="1370" spans="2:15" ht="15" customHeight="1" x14ac:dyDescent="0.4">
      <c r="B1370" s="10">
        <v>1694</v>
      </c>
      <c r="C1370" s="34"/>
      <c r="D1370" s="77"/>
      <c r="E1370" s="77"/>
      <c r="F1370" s="77"/>
      <c r="G1370" s="77"/>
      <c r="H1370" s="91"/>
      <c r="I1370" s="89"/>
      <c r="J1370" s="77"/>
      <c r="K1370" s="110"/>
      <c r="L1370" s="107"/>
      <c r="M1370" s="109"/>
      <c r="N1370" s="11" t="str">
        <f t="shared" si="44"/>
        <v/>
      </c>
      <c r="O1370" s="32" t="str">
        <f t="shared" si="45"/>
        <v/>
      </c>
    </row>
    <row r="1371" spans="2:15" ht="15" customHeight="1" x14ac:dyDescent="0.4">
      <c r="B1371" s="10">
        <v>1695</v>
      </c>
      <c r="C1371" s="34"/>
      <c r="D1371" s="77"/>
      <c r="E1371" s="77"/>
      <c r="F1371" s="77"/>
      <c r="G1371" s="77"/>
      <c r="H1371" s="91"/>
      <c r="I1371" s="89"/>
      <c r="J1371" s="77"/>
      <c r="K1371" s="110"/>
      <c r="L1371" s="107"/>
      <c r="M1371" s="109"/>
      <c r="N1371" s="11" t="str">
        <f t="shared" si="44"/>
        <v/>
      </c>
      <c r="O1371" s="32" t="str">
        <f t="shared" si="45"/>
        <v/>
      </c>
    </row>
    <row r="1372" spans="2:15" ht="15" customHeight="1" x14ac:dyDescent="0.4">
      <c r="B1372" s="10">
        <v>1696</v>
      </c>
      <c r="C1372" s="34"/>
      <c r="D1372" s="77"/>
      <c r="E1372" s="77"/>
      <c r="F1372" s="77"/>
      <c r="G1372" s="77"/>
      <c r="H1372" s="91"/>
      <c r="I1372" s="89"/>
      <c r="J1372" s="77"/>
      <c r="K1372" s="110"/>
      <c r="L1372" s="107"/>
      <c r="M1372" s="109"/>
      <c r="N1372" s="11" t="str">
        <f t="shared" si="44"/>
        <v/>
      </c>
      <c r="O1372" s="32" t="str">
        <f t="shared" si="45"/>
        <v/>
      </c>
    </row>
    <row r="1373" spans="2:15" ht="15" customHeight="1" x14ac:dyDescent="0.4">
      <c r="B1373" s="10">
        <v>1697</v>
      </c>
      <c r="C1373" s="34"/>
      <c r="D1373" s="77"/>
      <c r="E1373" s="77"/>
      <c r="F1373" s="77"/>
      <c r="G1373" s="77"/>
      <c r="H1373" s="91"/>
      <c r="I1373" s="89"/>
      <c r="J1373" s="77"/>
      <c r="K1373" s="110"/>
      <c r="L1373" s="107"/>
      <c r="M1373" s="109"/>
      <c r="N1373" s="11" t="str">
        <f t="shared" si="44"/>
        <v/>
      </c>
      <c r="O1373" s="32" t="str">
        <f t="shared" si="45"/>
        <v/>
      </c>
    </row>
    <row r="1374" spans="2:15" ht="15" customHeight="1" x14ac:dyDescent="0.4">
      <c r="B1374" s="10">
        <v>1698</v>
      </c>
      <c r="C1374" s="34"/>
      <c r="D1374" s="77"/>
      <c r="E1374" s="77"/>
      <c r="F1374" s="77"/>
      <c r="G1374" s="77"/>
      <c r="H1374" s="91"/>
      <c r="I1374" s="89"/>
      <c r="J1374" s="77"/>
      <c r="K1374" s="110"/>
      <c r="L1374" s="107"/>
      <c r="M1374" s="109"/>
      <c r="N1374" s="11" t="str">
        <f t="shared" si="44"/>
        <v/>
      </c>
      <c r="O1374" s="32" t="str">
        <f t="shared" si="45"/>
        <v/>
      </c>
    </row>
    <row r="1375" spans="2:15" ht="15" customHeight="1" x14ac:dyDescent="0.4">
      <c r="B1375" s="10">
        <v>1699</v>
      </c>
      <c r="C1375" s="34"/>
      <c r="D1375" s="77"/>
      <c r="E1375" s="77"/>
      <c r="F1375" s="77"/>
      <c r="G1375" s="77"/>
      <c r="H1375" s="91"/>
      <c r="I1375" s="89"/>
      <c r="J1375" s="77"/>
      <c r="K1375" s="110"/>
      <c r="L1375" s="107"/>
      <c r="M1375" s="109"/>
      <c r="N1375" s="11" t="str">
        <f t="shared" si="44"/>
        <v/>
      </c>
      <c r="O1375" s="32" t="str">
        <f t="shared" si="45"/>
        <v/>
      </c>
    </row>
    <row r="1376" spans="2:15" ht="15" customHeight="1" x14ac:dyDescent="0.4">
      <c r="B1376" s="10">
        <v>1700</v>
      </c>
      <c r="C1376" s="34"/>
      <c r="D1376" s="77"/>
      <c r="E1376" s="77"/>
      <c r="F1376" s="77"/>
      <c r="G1376" s="77"/>
      <c r="H1376" s="91"/>
      <c r="I1376" s="89"/>
      <c r="J1376" s="77"/>
      <c r="K1376" s="110"/>
      <c r="L1376" s="107"/>
      <c r="M1376" s="109"/>
      <c r="N1376" s="11" t="str">
        <f t="shared" si="44"/>
        <v/>
      </c>
      <c r="O1376" s="32" t="str">
        <f t="shared" si="45"/>
        <v/>
      </c>
    </row>
    <row r="1377" spans="2:15" ht="15" customHeight="1" x14ac:dyDescent="0.4">
      <c r="B1377" s="10">
        <v>1701</v>
      </c>
      <c r="C1377" s="34"/>
      <c r="D1377" s="77"/>
      <c r="E1377" s="77"/>
      <c r="F1377" s="77"/>
      <c r="G1377" s="77"/>
      <c r="H1377" s="91"/>
      <c r="I1377" s="89"/>
      <c r="J1377" s="77"/>
      <c r="K1377" s="110"/>
      <c r="L1377" s="107"/>
      <c r="M1377" s="109"/>
      <c r="N1377" s="11" t="str">
        <f t="shared" si="44"/>
        <v/>
      </c>
      <c r="O1377" s="32" t="str">
        <f t="shared" si="45"/>
        <v/>
      </c>
    </row>
    <row r="1378" spans="2:15" ht="15" customHeight="1" x14ac:dyDescent="0.4">
      <c r="B1378" s="10">
        <v>1702</v>
      </c>
      <c r="C1378" s="34"/>
      <c r="D1378" s="77"/>
      <c r="E1378" s="77"/>
      <c r="F1378" s="77"/>
      <c r="G1378" s="77"/>
      <c r="H1378" s="91"/>
      <c r="I1378" s="89"/>
      <c r="J1378" s="77"/>
      <c r="K1378" s="110"/>
      <c r="L1378" s="107"/>
      <c r="M1378" s="109"/>
      <c r="N1378" s="11" t="str">
        <f t="shared" si="44"/>
        <v/>
      </c>
      <c r="O1378" s="32" t="str">
        <f t="shared" si="45"/>
        <v/>
      </c>
    </row>
    <row r="1379" spans="2:15" ht="15" customHeight="1" x14ac:dyDescent="0.4">
      <c r="B1379" s="10">
        <v>1703</v>
      </c>
      <c r="C1379" s="34"/>
      <c r="D1379" s="77"/>
      <c r="E1379" s="77"/>
      <c r="F1379" s="77"/>
      <c r="G1379" s="77"/>
      <c r="H1379" s="91"/>
      <c r="I1379" s="89"/>
      <c r="J1379" s="77"/>
      <c r="K1379" s="110"/>
      <c r="L1379" s="107"/>
      <c r="M1379" s="109"/>
      <c r="N1379" s="11" t="str">
        <f t="shared" si="44"/>
        <v/>
      </c>
      <c r="O1379" s="32" t="str">
        <f t="shared" si="45"/>
        <v/>
      </c>
    </row>
    <row r="1380" spans="2:15" ht="15" customHeight="1" x14ac:dyDescent="0.4">
      <c r="B1380" s="10">
        <v>1704</v>
      </c>
      <c r="C1380" s="34"/>
      <c r="D1380" s="77"/>
      <c r="E1380" s="77"/>
      <c r="F1380" s="77"/>
      <c r="G1380" s="77"/>
      <c r="H1380" s="91"/>
      <c r="I1380" s="89"/>
      <c r="J1380" s="77"/>
      <c r="K1380" s="110"/>
      <c r="L1380" s="107"/>
      <c r="M1380" s="109"/>
      <c r="N1380" s="11" t="str">
        <f t="shared" si="44"/>
        <v/>
      </c>
      <c r="O1380" s="32" t="str">
        <f t="shared" si="45"/>
        <v/>
      </c>
    </row>
    <row r="1381" spans="2:15" ht="15" customHeight="1" x14ac:dyDescent="0.4">
      <c r="B1381" s="10">
        <v>1705</v>
      </c>
      <c r="C1381" s="34"/>
      <c r="D1381" s="77"/>
      <c r="E1381" s="77"/>
      <c r="F1381" s="77"/>
      <c r="G1381" s="77"/>
      <c r="H1381" s="91"/>
      <c r="I1381" s="89"/>
      <c r="J1381" s="77"/>
      <c r="K1381" s="110"/>
      <c r="L1381" s="107"/>
      <c r="M1381" s="109"/>
      <c r="N1381" s="11" t="str">
        <f t="shared" si="44"/>
        <v/>
      </c>
      <c r="O1381" s="32" t="str">
        <f t="shared" si="45"/>
        <v/>
      </c>
    </row>
    <row r="1382" spans="2:15" ht="15" customHeight="1" x14ac:dyDescent="0.4">
      <c r="B1382" s="10">
        <v>1706</v>
      </c>
      <c r="C1382" s="34"/>
      <c r="D1382" s="77"/>
      <c r="E1382" s="77"/>
      <c r="F1382" s="77"/>
      <c r="G1382" s="77"/>
      <c r="H1382" s="91"/>
      <c r="I1382" s="89"/>
      <c r="J1382" s="77"/>
      <c r="K1382" s="110"/>
      <c r="L1382" s="107"/>
      <c r="M1382" s="109"/>
      <c r="N1382" s="11" t="str">
        <f t="shared" si="44"/>
        <v/>
      </c>
      <c r="O1382" s="32" t="str">
        <f t="shared" si="45"/>
        <v/>
      </c>
    </row>
    <row r="1383" spans="2:15" ht="15" customHeight="1" x14ac:dyDescent="0.4">
      <c r="B1383" s="10">
        <v>1707</v>
      </c>
      <c r="C1383" s="34"/>
      <c r="D1383" s="77"/>
      <c r="E1383" s="77"/>
      <c r="F1383" s="77"/>
      <c r="G1383" s="77"/>
      <c r="H1383" s="91"/>
      <c r="I1383" s="89"/>
      <c r="J1383" s="77"/>
      <c r="K1383" s="110"/>
      <c r="L1383" s="107"/>
      <c r="M1383" s="109"/>
      <c r="N1383" s="11" t="str">
        <f t="shared" si="44"/>
        <v/>
      </c>
      <c r="O1383" s="32" t="str">
        <f t="shared" si="45"/>
        <v/>
      </c>
    </row>
    <row r="1384" spans="2:15" ht="15" customHeight="1" x14ac:dyDescent="0.4">
      <c r="B1384" s="10">
        <v>1708</v>
      </c>
      <c r="C1384" s="34"/>
      <c r="D1384" s="77"/>
      <c r="E1384" s="77"/>
      <c r="F1384" s="77"/>
      <c r="G1384" s="77"/>
      <c r="H1384" s="91"/>
      <c r="I1384" s="89"/>
      <c r="J1384" s="77"/>
      <c r="K1384" s="110"/>
      <c r="L1384" s="107"/>
      <c r="M1384" s="109"/>
      <c r="N1384" s="11" t="str">
        <f t="shared" si="44"/>
        <v/>
      </c>
      <c r="O1384" s="32" t="str">
        <f t="shared" si="45"/>
        <v/>
      </c>
    </row>
    <row r="1385" spans="2:15" ht="15" customHeight="1" x14ac:dyDescent="0.4">
      <c r="B1385" s="10">
        <v>1709</v>
      </c>
      <c r="C1385" s="34"/>
      <c r="D1385" s="77"/>
      <c r="E1385" s="77"/>
      <c r="F1385" s="77"/>
      <c r="G1385" s="77"/>
      <c r="H1385" s="91"/>
      <c r="I1385" s="89"/>
      <c r="J1385" s="77"/>
      <c r="K1385" s="110"/>
      <c r="L1385" s="107"/>
      <c r="M1385" s="109"/>
      <c r="N1385" s="11" t="str">
        <f t="shared" si="44"/>
        <v/>
      </c>
      <c r="O1385" s="32" t="str">
        <f t="shared" si="45"/>
        <v/>
      </c>
    </row>
    <row r="1386" spans="2:15" ht="15" customHeight="1" x14ac:dyDescent="0.4">
      <c r="B1386" s="10">
        <v>1710</v>
      </c>
      <c r="C1386" s="34"/>
      <c r="D1386" s="77"/>
      <c r="E1386" s="77"/>
      <c r="F1386" s="77"/>
      <c r="G1386" s="77"/>
      <c r="H1386" s="91"/>
      <c r="I1386" s="89"/>
      <c r="J1386" s="77"/>
      <c r="K1386" s="110"/>
      <c r="L1386" s="107"/>
      <c r="M1386" s="109"/>
      <c r="N1386" s="11" t="str">
        <f t="shared" si="44"/>
        <v/>
      </c>
      <c r="O1386" s="32" t="str">
        <f t="shared" si="45"/>
        <v/>
      </c>
    </row>
    <row r="1387" spans="2:15" ht="15" customHeight="1" x14ac:dyDescent="0.4">
      <c r="B1387" s="10">
        <v>1711</v>
      </c>
      <c r="C1387" s="34"/>
      <c r="D1387" s="77"/>
      <c r="E1387" s="77"/>
      <c r="F1387" s="77"/>
      <c r="G1387" s="77"/>
      <c r="H1387" s="91"/>
      <c r="I1387" s="89"/>
      <c r="J1387" s="77"/>
      <c r="K1387" s="110"/>
      <c r="L1387" s="107"/>
      <c r="M1387" s="109"/>
      <c r="N1387" s="11" t="str">
        <f t="shared" si="44"/>
        <v/>
      </c>
      <c r="O1387" s="32" t="str">
        <f t="shared" si="45"/>
        <v/>
      </c>
    </row>
    <row r="1388" spans="2:15" ht="15" customHeight="1" x14ac:dyDescent="0.4">
      <c r="B1388" s="10">
        <v>1712</v>
      </c>
      <c r="C1388" s="34"/>
      <c r="D1388" s="77"/>
      <c r="E1388" s="77"/>
      <c r="F1388" s="77"/>
      <c r="G1388" s="77"/>
      <c r="H1388" s="91"/>
      <c r="I1388" s="89"/>
      <c r="J1388" s="77"/>
      <c r="K1388" s="110"/>
      <c r="L1388" s="107"/>
      <c r="M1388" s="109"/>
      <c r="N1388" s="11" t="str">
        <f t="shared" si="44"/>
        <v/>
      </c>
      <c r="O1388" s="32" t="str">
        <f t="shared" si="45"/>
        <v/>
      </c>
    </row>
    <row r="1389" spans="2:15" ht="15" customHeight="1" x14ac:dyDescent="0.4">
      <c r="B1389" s="10">
        <v>1713</v>
      </c>
      <c r="C1389" s="34"/>
      <c r="D1389" s="77"/>
      <c r="E1389" s="77"/>
      <c r="F1389" s="77"/>
      <c r="G1389" s="77"/>
      <c r="H1389" s="91"/>
      <c r="I1389" s="89"/>
      <c r="J1389" s="77"/>
      <c r="K1389" s="110"/>
      <c r="L1389" s="107"/>
      <c r="M1389" s="109"/>
      <c r="N1389" s="11" t="str">
        <f t="shared" si="44"/>
        <v/>
      </c>
      <c r="O1389" s="32" t="str">
        <f t="shared" si="45"/>
        <v/>
      </c>
    </row>
    <row r="1390" spans="2:15" ht="15" customHeight="1" x14ac:dyDescent="0.4">
      <c r="B1390" s="10">
        <v>1714</v>
      </c>
      <c r="C1390" s="34"/>
      <c r="D1390" s="77"/>
      <c r="E1390" s="77"/>
      <c r="F1390" s="77"/>
      <c r="G1390" s="77"/>
      <c r="H1390" s="91"/>
      <c r="I1390" s="89"/>
      <c r="J1390" s="77"/>
      <c r="K1390" s="110"/>
      <c r="L1390" s="107"/>
      <c r="M1390" s="109"/>
      <c r="N1390" s="11" t="str">
        <f t="shared" si="44"/>
        <v/>
      </c>
      <c r="O1390" s="32" t="str">
        <f t="shared" si="45"/>
        <v/>
      </c>
    </row>
    <row r="1391" spans="2:15" ht="15" customHeight="1" x14ac:dyDescent="0.4">
      <c r="B1391" s="10">
        <v>1715</v>
      </c>
      <c r="C1391" s="34"/>
      <c r="D1391" s="77"/>
      <c r="E1391" s="77"/>
      <c r="F1391" s="77"/>
      <c r="G1391" s="77"/>
      <c r="H1391" s="91"/>
      <c r="I1391" s="89"/>
      <c r="J1391" s="77"/>
      <c r="K1391" s="110"/>
      <c r="L1391" s="107"/>
      <c r="M1391" s="109"/>
      <c r="N1391" s="11" t="str">
        <f t="shared" si="44"/>
        <v/>
      </c>
      <c r="O1391" s="32" t="str">
        <f t="shared" si="45"/>
        <v/>
      </c>
    </row>
    <row r="1392" spans="2:15" ht="15" customHeight="1" x14ac:dyDescent="0.4">
      <c r="B1392" s="10">
        <v>1716</v>
      </c>
      <c r="C1392" s="34"/>
      <c r="D1392" s="77"/>
      <c r="E1392" s="77"/>
      <c r="F1392" s="77"/>
      <c r="G1392" s="77"/>
      <c r="H1392" s="91"/>
      <c r="I1392" s="89"/>
      <c r="J1392" s="77"/>
      <c r="K1392" s="110"/>
      <c r="L1392" s="107"/>
      <c r="M1392" s="109"/>
      <c r="N1392" s="11" t="str">
        <f t="shared" si="44"/>
        <v/>
      </c>
      <c r="O1392" s="32" t="str">
        <f t="shared" si="45"/>
        <v/>
      </c>
    </row>
    <row r="1393" spans="2:15" ht="15" customHeight="1" x14ac:dyDescent="0.4">
      <c r="B1393" s="10">
        <v>1717</v>
      </c>
      <c r="C1393" s="34"/>
      <c r="D1393" s="77"/>
      <c r="E1393" s="77"/>
      <c r="F1393" s="77"/>
      <c r="G1393" s="77"/>
      <c r="H1393" s="91"/>
      <c r="I1393" s="89"/>
      <c r="J1393" s="77"/>
      <c r="K1393" s="110"/>
      <c r="L1393" s="107"/>
      <c r="M1393" s="109"/>
      <c r="N1393" s="11" t="str">
        <f t="shared" si="44"/>
        <v/>
      </c>
      <c r="O1393" s="32" t="str">
        <f t="shared" si="45"/>
        <v/>
      </c>
    </row>
    <row r="1394" spans="2:15" ht="15" customHeight="1" x14ac:dyDescent="0.4">
      <c r="B1394" s="10">
        <v>1718</v>
      </c>
      <c r="C1394" s="34"/>
      <c r="D1394" s="77"/>
      <c r="E1394" s="77"/>
      <c r="F1394" s="77"/>
      <c r="G1394" s="77"/>
      <c r="H1394" s="91"/>
      <c r="I1394" s="89"/>
      <c r="J1394" s="77"/>
      <c r="K1394" s="110"/>
      <c r="L1394" s="107"/>
      <c r="M1394" s="109"/>
      <c r="N1394" s="11" t="str">
        <f t="shared" si="44"/>
        <v/>
      </c>
      <c r="O1394" s="32" t="str">
        <f t="shared" si="45"/>
        <v/>
      </c>
    </row>
    <row r="1395" spans="2:15" ht="15" customHeight="1" x14ac:dyDescent="0.4">
      <c r="B1395" s="10">
        <v>1719</v>
      </c>
      <c r="C1395" s="34"/>
      <c r="D1395" s="77"/>
      <c r="E1395" s="77"/>
      <c r="F1395" s="77"/>
      <c r="G1395" s="77"/>
      <c r="H1395" s="91"/>
      <c r="I1395" s="89"/>
      <c r="J1395" s="77"/>
      <c r="K1395" s="110"/>
      <c r="L1395" s="107"/>
      <c r="M1395" s="109"/>
      <c r="N1395" s="11" t="str">
        <f t="shared" si="44"/>
        <v/>
      </c>
      <c r="O1395" s="32" t="str">
        <f t="shared" si="45"/>
        <v/>
      </c>
    </row>
    <row r="1396" spans="2:15" ht="15" customHeight="1" x14ac:dyDescent="0.4">
      <c r="B1396" s="10">
        <v>1720</v>
      </c>
      <c r="C1396" s="34"/>
      <c r="D1396" s="77"/>
      <c r="E1396" s="77"/>
      <c r="F1396" s="77"/>
      <c r="G1396" s="77"/>
      <c r="H1396" s="91"/>
      <c r="I1396" s="89"/>
      <c r="J1396" s="77"/>
      <c r="K1396" s="110"/>
      <c r="L1396" s="107"/>
      <c r="M1396" s="109"/>
      <c r="N1396" s="11" t="str">
        <f t="shared" si="44"/>
        <v/>
      </c>
      <c r="O1396" s="32" t="str">
        <f t="shared" si="45"/>
        <v/>
      </c>
    </row>
    <row r="1397" spans="2:15" ht="15" customHeight="1" x14ac:dyDescent="0.4">
      <c r="B1397" s="10">
        <v>1721</v>
      </c>
      <c r="C1397" s="34"/>
      <c r="D1397" s="77"/>
      <c r="E1397" s="77"/>
      <c r="F1397" s="77"/>
      <c r="G1397" s="77"/>
      <c r="H1397" s="91"/>
      <c r="I1397" s="89"/>
      <c r="J1397" s="77"/>
      <c r="K1397" s="110"/>
      <c r="L1397" s="107"/>
      <c r="M1397" s="109"/>
      <c r="N1397" s="11" t="str">
        <f t="shared" si="44"/>
        <v/>
      </c>
      <c r="O1397" s="32" t="str">
        <f t="shared" si="45"/>
        <v/>
      </c>
    </row>
    <row r="1398" spans="2:15" ht="15" customHeight="1" x14ac:dyDescent="0.4">
      <c r="B1398" s="10">
        <v>1722</v>
      </c>
      <c r="C1398" s="34"/>
      <c r="D1398" s="77"/>
      <c r="E1398" s="77"/>
      <c r="F1398" s="77"/>
      <c r="G1398" s="77"/>
      <c r="H1398" s="91"/>
      <c r="I1398" s="89"/>
      <c r="J1398" s="77"/>
      <c r="K1398" s="110"/>
      <c r="L1398" s="107"/>
      <c r="M1398" s="109"/>
      <c r="N1398" s="11" t="str">
        <f t="shared" si="44"/>
        <v/>
      </c>
      <c r="O1398" s="32" t="str">
        <f t="shared" si="45"/>
        <v/>
      </c>
    </row>
    <row r="1399" spans="2:15" ht="15" customHeight="1" x14ac:dyDescent="0.4">
      <c r="B1399" s="10">
        <v>1723</v>
      </c>
      <c r="C1399" s="34"/>
      <c r="D1399" s="77"/>
      <c r="E1399" s="77"/>
      <c r="F1399" s="77"/>
      <c r="G1399" s="77"/>
      <c r="H1399" s="91"/>
      <c r="I1399" s="89"/>
      <c r="J1399" s="77"/>
      <c r="K1399" s="110"/>
      <c r="L1399" s="107"/>
      <c r="M1399" s="109"/>
      <c r="N1399" s="11" t="str">
        <f t="shared" si="44"/>
        <v/>
      </c>
      <c r="O1399" s="32" t="str">
        <f t="shared" si="45"/>
        <v/>
      </c>
    </row>
    <row r="1400" spans="2:15" ht="15" customHeight="1" x14ac:dyDescent="0.4">
      <c r="B1400" s="10">
        <v>1724</v>
      </c>
      <c r="C1400" s="34"/>
      <c r="D1400" s="77"/>
      <c r="E1400" s="77"/>
      <c r="F1400" s="77"/>
      <c r="G1400" s="77"/>
      <c r="H1400" s="91"/>
      <c r="I1400" s="89"/>
      <c r="J1400" s="77"/>
      <c r="K1400" s="110"/>
      <c r="L1400" s="107"/>
      <c r="M1400" s="109"/>
      <c r="N1400" s="11" t="str">
        <f t="shared" si="44"/>
        <v/>
      </c>
      <c r="O1400" s="32" t="str">
        <f t="shared" si="45"/>
        <v/>
      </c>
    </row>
    <row r="1401" spans="2:15" ht="15" customHeight="1" x14ac:dyDescent="0.4">
      <c r="B1401" s="10">
        <v>1725</v>
      </c>
      <c r="C1401" s="34"/>
      <c r="D1401" s="77"/>
      <c r="E1401" s="77"/>
      <c r="F1401" s="77"/>
      <c r="G1401" s="77"/>
      <c r="H1401" s="91"/>
      <c r="I1401" s="89"/>
      <c r="J1401" s="77"/>
      <c r="K1401" s="110"/>
      <c r="L1401" s="107"/>
      <c r="M1401" s="109"/>
      <c r="N1401" s="11" t="str">
        <f t="shared" si="44"/>
        <v/>
      </c>
      <c r="O1401" s="32" t="str">
        <f t="shared" si="45"/>
        <v/>
      </c>
    </row>
    <row r="1402" spans="2:15" ht="15" customHeight="1" x14ac:dyDescent="0.4">
      <c r="B1402" s="10">
        <v>1726</v>
      </c>
      <c r="C1402" s="34"/>
      <c r="D1402" s="77"/>
      <c r="E1402" s="77"/>
      <c r="F1402" s="77"/>
      <c r="G1402" s="77"/>
      <c r="H1402" s="91"/>
      <c r="I1402" s="89"/>
      <c r="J1402" s="77"/>
      <c r="K1402" s="110"/>
      <c r="L1402" s="107"/>
      <c r="M1402" s="109"/>
      <c r="N1402" s="11" t="str">
        <f t="shared" si="44"/>
        <v/>
      </c>
      <c r="O1402" s="32" t="str">
        <f t="shared" si="45"/>
        <v/>
      </c>
    </row>
    <row r="1403" spans="2:15" ht="15" customHeight="1" x14ac:dyDescent="0.4">
      <c r="B1403" s="10">
        <v>1727</v>
      </c>
      <c r="C1403" s="34"/>
      <c r="D1403" s="77"/>
      <c r="E1403" s="77"/>
      <c r="F1403" s="77"/>
      <c r="G1403" s="77"/>
      <c r="H1403" s="91"/>
      <c r="I1403" s="89"/>
      <c r="J1403" s="77"/>
      <c r="K1403" s="110"/>
      <c r="L1403" s="107"/>
      <c r="M1403" s="109"/>
      <c r="N1403" s="11" t="str">
        <f t="shared" si="44"/>
        <v/>
      </c>
      <c r="O1403" s="32" t="str">
        <f t="shared" si="45"/>
        <v/>
      </c>
    </row>
    <row r="1404" spans="2:15" ht="15" customHeight="1" x14ac:dyDescent="0.4">
      <c r="B1404" s="10">
        <v>1728</v>
      </c>
      <c r="C1404" s="34"/>
      <c r="D1404" s="77"/>
      <c r="E1404" s="77"/>
      <c r="F1404" s="77"/>
      <c r="G1404" s="77"/>
      <c r="H1404" s="91"/>
      <c r="I1404" s="89"/>
      <c r="J1404" s="77"/>
      <c r="K1404" s="110"/>
      <c r="L1404" s="107"/>
      <c r="M1404" s="109"/>
      <c r="N1404" s="11" t="str">
        <f t="shared" si="44"/>
        <v/>
      </c>
      <c r="O1404" s="32" t="str">
        <f t="shared" si="45"/>
        <v/>
      </c>
    </row>
    <row r="1405" spans="2:15" ht="15" customHeight="1" x14ac:dyDescent="0.4">
      <c r="B1405" s="10">
        <v>1729</v>
      </c>
      <c r="C1405" s="34"/>
      <c r="D1405" s="77"/>
      <c r="E1405" s="77"/>
      <c r="F1405" s="77"/>
      <c r="G1405" s="77"/>
      <c r="H1405" s="91"/>
      <c r="I1405" s="89"/>
      <c r="J1405" s="77"/>
      <c r="K1405" s="110"/>
      <c r="L1405" s="107"/>
      <c r="M1405" s="109"/>
      <c r="N1405" s="11" t="str">
        <f t="shared" si="44"/>
        <v/>
      </c>
      <c r="O1405" s="32" t="str">
        <f t="shared" si="45"/>
        <v/>
      </c>
    </row>
    <row r="1406" spans="2:15" ht="15" customHeight="1" x14ac:dyDescent="0.4">
      <c r="B1406" s="10">
        <v>1730</v>
      </c>
      <c r="C1406" s="34"/>
      <c r="D1406" s="77"/>
      <c r="E1406" s="77"/>
      <c r="F1406" s="77"/>
      <c r="G1406" s="77"/>
      <c r="H1406" s="91"/>
      <c r="I1406" s="89"/>
      <c r="J1406" s="77"/>
      <c r="K1406" s="110"/>
      <c r="L1406" s="107"/>
      <c r="M1406" s="109"/>
      <c r="N1406" s="11" t="str">
        <f t="shared" si="44"/>
        <v/>
      </c>
      <c r="O1406" s="32" t="str">
        <f t="shared" si="45"/>
        <v/>
      </c>
    </row>
    <row r="1407" spans="2:15" ht="15" customHeight="1" x14ac:dyDescent="0.4">
      <c r="B1407" s="10">
        <v>1731</v>
      </c>
      <c r="C1407" s="34"/>
      <c r="D1407" s="77"/>
      <c r="E1407" s="77"/>
      <c r="F1407" s="77"/>
      <c r="G1407" s="77"/>
      <c r="H1407" s="91"/>
      <c r="I1407" s="89"/>
      <c r="J1407" s="77"/>
      <c r="K1407" s="110"/>
      <c r="L1407" s="107"/>
      <c r="M1407" s="109"/>
      <c r="N1407" s="11" t="str">
        <f t="shared" si="44"/>
        <v/>
      </c>
      <c r="O1407" s="32" t="str">
        <f t="shared" si="45"/>
        <v/>
      </c>
    </row>
    <row r="1408" spans="2:15" ht="15" customHeight="1" x14ac:dyDescent="0.4">
      <c r="B1408" s="10">
        <v>1732</v>
      </c>
      <c r="C1408" s="34"/>
      <c r="D1408" s="77"/>
      <c r="E1408" s="77"/>
      <c r="F1408" s="77"/>
      <c r="G1408" s="77"/>
      <c r="H1408" s="91"/>
      <c r="I1408" s="89"/>
      <c r="J1408" s="77"/>
      <c r="K1408" s="110"/>
      <c r="L1408" s="107"/>
      <c r="M1408" s="109"/>
      <c r="N1408" s="11" t="str">
        <f t="shared" si="44"/>
        <v/>
      </c>
      <c r="O1408" s="32" t="str">
        <f t="shared" si="45"/>
        <v/>
      </c>
    </row>
    <row r="1409" spans="2:15" ht="15" customHeight="1" x14ac:dyDescent="0.4">
      <c r="B1409" s="10">
        <v>1733</v>
      </c>
      <c r="C1409" s="34"/>
      <c r="D1409" s="77"/>
      <c r="E1409" s="77"/>
      <c r="F1409" s="77"/>
      <c r="G1409" s="77"/>
      <c r="H1409" s="91"/>
      <c r="I1409" s="89"/>
      <c r="J1409" s="77"/>
      <c r="K1409" s="110"/>
      <c r="L1409" s="107"/>
      <c r="M1409" s="109"/>
      <c r="N1409" s="11" t="str">
        <f t="shared" si="44"/>
        <v/>
      </c>
      <c r="O1409" s="32" t="str">
        <f t="shared" si="45"/>
        <v/>
      </c>
    </row>
    <row r="1410" spans="2:15" ht="15" customHeight="1" x14ac:dyDescent="0.4">
      <c r="B1410" s="10">
        <v>1734</v>
      </c>
      <c r="C1410" s="34"/>
      <c r="D1410" s="77"/>
      <c r="E1410" s="77"/>
      <c r="F1410" s="77"/>
      <c r="G1410" s="77"/>
      <c r="H1410" s="91"/>
      <c r="I1410" s="89"/>
      <c r="J1410" s="77"/>
      <c r="K1410" s="110"/>
      <c r="L1410" s="107"/>
      <c r="M1410" s="109"/>
      <c r="N1410" s="11" t="str">
        <f t="shared" si="44"/>
        <v/>
      </c>
      <c r="O1410" s="32" t="str">
        <f t="shared" si="45"/>
        <v/>
      </c>
    </row>
    <row r="1411" spans="2:15" ht="15" customHeight="1" x14ac:dyDescent="0.4">
      <c r="B1411" s="10">
        <v>1735</v>
      </c>
      <c r="C1411" s="34"/>
      <c r="D1411" s="77"/>
      <c r="E1411" s="77"/>
      <c r="F1411" s="77"/>
      <c r="G1411" s="77"/>
      <c r="H1411" s="91"/>
      <c r="I1411" s="89"/>
      <c r="J1411" s="77"/>
      <c r="K1411" s="110"/>
      <c r="L1411" s="107"/>
      <c r="M1411" s="109"/>
      <c r="N1411" s="11" t="str">
        <f t="shared" si="44"/>
        <v/>
      </c>
      <c r="O1411" s="32" t="str">
        <f t="shared" si="45"/>
        <v/>
      </c>
    </row>
    <row r="1412" spans="2:15" ht="15" customHeight="1" x14ac:dyDescent="0.4">
      <c r="B1412" s="10">
        <v>1736</v>
      </c>
      <c r="C1412" s="34"/>
      <c r="D1412" s="77"/>
      <c r="E1412" s="77"/>
      <c r="F1412" s="77"/>
      <c r="G1412" s="77"/>
      <c r="H1412" s="91"/>
      <c r="I1412" s="89"/>
      <c r="J1412" s="77"/>
      <c r="K1412" s="110"/>
      <c r="L1412" s="107"/>
      <c r="M1412" s="109"/>
      <c r="N1412" s="11" t="str">
        <f t="shared" ref="N1412:N1475" si="46">IF(OR(M1412="", K1412=""),"", M1412- K1412)</f>
        <v/>
      </c>
      <c r="O1412" s="32" t="str">
        <f t="shared" ref="O1412:O1475" si="47">IF(OR(M1412="", K1412="", L1412=""), "", IF((M1412 - K1412) &gt; L1412, "No", "Yes"))</f>
        <v/>
      </c>
    </row>
    <row r="1413" spans="2:15" ht="15" customHeight="1" x14ac:dyDescent="0.4">
      <c r="B1413" s="10">
        <v>1737</v>
      </c>
      <c r="C1413" s="34"/>
      <c r="D1413" s="77"/>
      <c r="E1413" s="77"/>
      <c r="F1413" s="77"/>
      <c r="G1413" s="77"/>
      <c r="H1413" s="91"/>
      <c r="I1413" s="89"/>
      <c r="J1413" s="77"/>
      <c r="K1413" s="110"/>
      <c r="L1413" s="107"/>
      <c r="M1413" s="109"/>
      <c r="N1413" s="11" t="str">
        <f t="shared" si="46"/>
        <v/>
      </c>
      <c r="O1413" s="32" t="str">
        <f t="shared" si="47"/>
        <v/>
      </c>
    </row>
    <row r="1414" spans="2:15" ht="15" customHeight="1" x14ac:dyDescent="0.4">
      <c r="B1414" s="10">
        <v>1738</v>
      </c>
      <c r="C1414" s="34"/>
      <c r="D1414" s="77"/>
      <c r="E1414" s="77"/>
      <c r="F1414" s="77"/>
      <c r="G1414" s="77"/>
      <c r="H1414" s="91"/>
      <c r="I1414" s="89"/>
      <c r="J1414" s="77"/>
      <c r="K1414" s="110"/>
      <c r="L1414" s="107"/>
      <c r="M1414" s="109"/>
      <c r="N1414" s="11" t="str">
        <f t="shared" si="46"/>
        <v/>
      </c>
      <c r="O1414" s="32" t="str">
        <f t="shared" si="47"/>
        <v/>
      </c>
    </row>
    <row r="1415" spans="2:15" ht="15" customHeight="1" x14ac:dyDescent="0.4">
      <c r="B1415" s="10">
        <v>1739</v>
      </c>
      <c r="C1415" s="34"/>
      <c r="D1415" s="77"/>
      <c r="E1415" s="77"/>
      <c r="F1415" s="77"/>
      <c r="G1415" s="77"/>
      <c r="H1415" s="91"/>
      <c r="I1415" s="89"/>
      <c r="J1415" s="77"/>
      <c r="K1415" s="110"/>
      <c r="L1415" s="107"/>
      <c r="M1415" s="109"/>
      <c r="N1415" s="11" t="str">
        <f t="shared" si="46"/>
        <v/>
      </c>
      <c r="O1415" s="32" t="str">
        <f t="shared" si="47"/>
        <v/>
      </c>
    </row>
    <row r="1416" spans="2:15" ht="15" customHeight="1" x14ac:dyDescent="0.4">
      <c r="B1416" s="10">
        <v>1740</v>
      </c>
      <c r="C1416" s="34"/>
      <c r="D1416" s="77"/>
      <c r="E1416" s="77"/>
      <c r="F1416" s="77"/>
      <c r="G1416" s="77"/>
      <c r="H1416" s="91"/>
      <c r="I1416" s="89"/>
      <c r="J1416" s="77"/>
      <c r="K1416" s="110"/>
      <c r="L1416" s="107"/>
      <c r="M1416" s="109"/>
      <c r="N1416" s="11" t="str">
        <f t="shared" si="46"/>
        <v/>
      </c>
      <c r="O1416" s="32" t="str">
        <f t="shared" si="47"/>
        <v/>
      </c>
    </row>
    <row r="1417" spans="2:15" ht="15" customHeight="1" x14ac:dyDescent="0.4">
      <c r="B1417" s="10">
        <v>1741</v>
      </c>
      <c r="C1417" s="34"/>
      <c r="D1417" s="77"/>
      <c r="E1417" s="77"/>
      <c r="F1417" s="77"/>
      <c r="G1417" s="77"/>
      <c r="H1417" s="91"/>
      <c r="I1417" s="89"/>
      <c r="J1417" s="77"/>
      <c r="K1417" s="110"/>
      <c r="L1417" s="107"/>
      <c r="M1417" s="109"/>
      <c r="N1417" s="11" t="str">
        <f t="shared" si="46"/>
        <v/>
      </c>
      <c r="O1417" s="32" t="str">
        <f t="shared" si="47"/>
        <v/>
      </c>
    </row>
    <row r="1418" spans="2:15" ht="15" customHeight="1" x14ac:dyDescent="0.4">
      <c r="B1418" s="10">
        <v>1742</v>
      </c>
      <c r="C1418" s="34"/>
      <c r="D1418" s="77"/>
      <c r="E1418" s="77"/>
      <c r="F1418" s="77"/>
      <c r="G1418" s="77"/>
      <c r="H1418" s="91"/>
      <c r="I1418" s="89"/>
      <c r="J1418" s="77"/>
      <c r="K1418" s="110"/>
      <c r="L1418" s="107"/>
      <c r="M1418" s="109"/>
      <c r="N1418" s="11" t="str">
        <f t="shared" si="46"/>
        <v/>
      </c>
      <c r="O1418" s="32" t="str">
        <f t="shared" si="47"/>
        <v/>
      </c>
    </row>
    <row r="1419" spans="2:15" ht="15" customHeight="1" x14ac:dyDescent="0.4">
      <c r="B1419" s="10">
        <v>1743</v>
      </c>
      <c r="C1419" s="34"/>
      <c r="D1419" s="77"/>
      <c r="E1419" s="77"/>
      <c r="F1419" s="77"/>
      <c r="G1419" s="77"/>
      <c r="H1419" s="91"/>
      <c r="I1419" s="89"/>
      <c r="J1419" s="77"/>
      <c r="K1419" s="110"/>
      <c r="L1419" s="107"/>
      <c r="M1419" s="109"/>
      <c r="N1419" s="11" t="str">
        <f t="shared" si="46"/>
        <v/>
      </c>
      <c r="O1419" s="32" t="str">
        <f t="shared" si="47"/>
        <v/>
      </c>
    </row>
    <row r="1420" spans="2:15" ht="15" customHeight="1" x14ac:dyDescent="0.4">
      <c r="B1420" s="10">
        <v>1744</v>
      </c>
      <c r="C1420" s="34"/>
      <c r="D1420" s="77"/>
      <c r="E1420" s="77"/>
      <c r="F1420" s="77"/>
      <c r="G1420" s="77"/>
      <c r="H1420" s="91"/>
      <c r="I1420" s="89"/>
      <c r="J1420" s="77"/>
      <c r="K1420" s="110"/>
      <c r="L1420" s="107"/>
      <c r="M1420" s="109"/>
      <c r="N1420" s="11" t="str">
        <f t="shared" si="46"/>
        <v/>
      </c>
      <c r="O1420" s="32" t="str">
        <f t="shared" si="47"/>
        <v/>
      </c>
    </row>
    <row r="1421" spans="2:15" ht="15" customHeight="1" x14ac:dyDescent="0.4">
      <c r="B1421" s="10">
        <v>1745</v>
      </c>
      <c r="C1421" s="34"/>
      <c r="D1421" s="77"/>
      <c r="E1421" s="77"/>
      <c r="F1421" s="77"/>
      <c r="G1421" s="77"/>
      <c r="H1421" s="91"/>
      <c r="I1421" s="89"/>
      <c r="J1421" s="77"/>
      <c r="K1421" s="110"/>
      <c r="L1421" s="107"/>
      <c r="M1421" s="109"/>
      <c r="N1421" s="11" t="str">
        <f t="shared" si="46"/>
        <v/>
      </c>
      <c r="O1421" s="32" t="str">
        <f t="shared" si="47"/>
        <v/>
      </c>
    </row>
    <row r="1422" spans="2:15" ht="15" customHeight="1" x14ac:dyDescent="0.4">
      <c r="B1422" s="10">
        <v>1746</v>
      </c>
      <c r="C1422" s="34"/>
      <c r="D1422" s="77"/>
      <c r="E1422" s="77"/>
      <c r="F1422" s="77"/>
      <c r="G1422" s="77"/>
      <c r="H1422" s="91"/>
      <c r="I1422" s="89"/>
      <c r="J1422" s="77"/>
      <c r="K1422" s="110"/>
      <c r="L1422" s="107"/>
      <c r="M1422" s="109"/>
      <c r="N1422" s="11" t="str">
        <f t="shared" si="46"/>
        <v/>
      </c>
      <c r="O1422" s="32" t="str">
        <f t="shared" si="47"/>
        <v/>
      </c>
    </row>
    <row r="1423" spans="2:15" ht="15" customHeight="1" x14ac:dyDescent="0.4">
      <c r="B1423" s="10">
        <v>1747</v>
      </c>
      <c r="C1423" s="34"/>
      <c r="D1423" s="77"/>
      <c r="E1423" s="77"/>
      <c r="F1423" s="77"/>
      <c r="G1423" s="77"/>
      <c r="H1423" s="91"/>
      <c r="I1423" s="89"/>
      <c r="J1423" s="77"/>
      <c r="K1423" s="110"/>
      <c r="L1423" s="107"/>
      <c r="M1423" s="109"/>
      <c r="N1423" s="11" t="str">
        <f t="shared" si="46"/>
        <v/>
      </c>
      <c r="O1423" s="32" t="str">
        <f t="shared" si="47"/>
        <v/>
      </c>
    </row>
    <row r="1424" spans="2:15" ht="15" customHeight="1" x14ac:dyDescent="0.4">
      <c r="B1424" s="10">
        <v>1748</v>
      </c>
      <c r="C1424" s="34"/>
      <c r="D1424" s="77"/>
      <c r="E1424" s="77"/>
      <c r="F1424" s="77"/>
      <c r="G1424" s="77"/>
      <c r="H1424" s="91"/>
      <c r="I1424" s="89"/>
      <c r="J1424" s="77"/>
      <c r="K1424" s="110"/>
      <c r="L1424" s="107"/>
      <c r="M1424" s="109"/>
      <c r="N1424" s="11" t="str">
        <f t="shared" si="46"/>
        <v/>
      </c>
      <c r="O1424" s="32" t="str">
        <f t="shared" si="47"/>
        <v/>
      </c>
    </row>
    <row r="1425" spans="2:15" ht="15" customHeight="1" x14ac:dyDescent="0.4">
      <c r="B1425" s="10">
        <v>1749</v>
      </c>
      <c r="C1425" s="34"/>
      <c r="D1425" s="77"/>
      <c r="E1425" s="77"/>
      <c r="F1425" s="77"/>
      <c r="G1425" s="77"/>
      <c r="H1425" s="91"/>
      <c r="I1425" s="89"/>
      <c r="J1425" s="77"/>
      <c r="K1425" s="110"/>
      <c r="L1425" s="107"/>
      <c r="M1425" s="109"/>
      <c r="N1425" s="11" t="str">
        <f t="shared" si="46"/>
        <v/>
      </c>
      <c r="O1425" s="32" t="str">
        <f t="shared" si="47"/>
        <v/>
      </c>
    </row>
    <row r="1426" spans="2:15" ht="15" customHeight="1" x14ac:dyDescent="0.4">
      <c r="B1426" s="10">
        <v>1750</v>
      </c>
      <c r="C1426" s="34"/>
      <c r="D1426" s="77"/>
      <c r="E1426" s="77"/>
      <c r="F1426" s="77"/>
      <c r="G1426" s="77"/>
      <c r="H1426" s="91"/>
      <c r="I1426" s="89"/>
      <c r="J1426" s="77"/>
      <c r="K1426" s="110"/>
      <c r="L1426" s="107"/>
      <c r="M1426" s="109"/>
      <c r="N1426" s="11" t="str">
        <f t="shared" si="46"/>
        <v/>
      </c>
      <c r="O1426" s="32" t="str">
        <f t="shared" si="47"/>
        <v/>
      </c>
    </row>
    <row r="1427" spans="2:15" ht="15" customHeight="1" x14ac:dyDescent="0.4">
      <c r="B1427" s="10">
        <v>1751</v>
      </c>
      <c r="C1427" s="34"/>
      <c r="D1427" s="77"/>
      <c r="E1427" s="77"/>
      <c r="F1427" s="77"/>
      <c r="G1427" s="77"/>
      <c r="H1427" s="91"/>
      <c r="I1427" s="89"/>
      <c r="J1427" s="77"/>
      <c r="K1427" s="110"/>
      <c r="L1427" s="107"/>
      <c r="M1427" s="109"/>
      <c r="N1427" s="11" t="str">
        <f t="shared" si="46"/>
        <v/>
      </c>
      <c r="O1427" s="32" t="str">
        <f t="shared" si="47"/>
        <v/>
      </c>
    </row>
    <row r="1428" spans="2:15" ht="15" customHeight="1" x14ac:dyDescent="0.4">
      <c r="B1428" s="10">
        <v>1752</v>
      </c>
      <c r="C1428" s="34"/>
      <c r="D1428" s="77"/>
      <c r="E1428" s="77"/>
      <c r="F1428" s="77"/>
      <c r="G1428" s="77"/>
      <c r="H1428" s="91"/>
      <c r="I1428" s="89"/>
      <c r="J1428" s="77"/>
      <c r="K1428" s="110"/>
      <c r="L1428" s="107"/>
      <c r="M1428" s="109"/>
      <c r="N1428" s="11" t="str">
        <f t="shared" si="46"/>
        <v/>
      </c>
      <c r="O1428" s="32" t="str">
        <f t="shared" si="47"/>
        <v/>
      </c>
    </row>
    <row r="1429" spans="2:15" ht="15" customHeight="1" x14ac:dyDescent="0.4">
      <c r="B1429" s="10">
        <v>1753</v>
      </c>
      <c r="C1429" s="34"/>
      <c r="D1429" s="77"/>
      <c r="E1429" s="77"/>
      <c r="F1429" s="77"/>
      <c r="G1429" s="77"/>
      <c r="H1429" s="91"/>
      <c r="I1429" s="89"/>
      <c r="J1429" s="77"/>
      <c r="K1429" s="110"/>
      <c r="L1429" s="107"/>
      <c r="M1429" s="109"/>
      <c r="N1429" s="11" t="str">
        <f t="shared" si="46"/>
        <v/>
      </c>
      <c r="O1429" s="32" t="str">
        <f t="shared" si="47"/>
        <v/>
      </c>
    </row>
    <row r="1430" spans="2:15" ht="15" customHeight="1" x14ac:dyDescent="0.4">
      <c r="B1430" s="10">
        <v>1754</v>
      </c>
      <c r="C1430" s="34"/>
      <c r="D1430" s="77"/>
      <c r="E1430" s="77"/>
      <c r="F1430" s="77"/>
      <c r="G1430" s="77"/>
      <c r="H1430" s="91"/>
      <c r="I1430" s="89"/>
      <c r="J1430" s="77"/>
      <c r="K1430" s="110"/>
      <c r="L1430" s="107"/>
      <c r="M1430" s="109"/>
      <c r="N1430" s="11" t="str">
        <f t="shared" si="46"/>
        <v/>
      </c>
      <c r="O1430" s="32" t="str">
        <f t="shared" si="47"/>
        <v/>
      </c>
    </row>
    <row r="1431" spans="2:15" ht="15" customHeight="1" x14ac:dyDescent="0.4">
      <c r="B1431" s="10">
        <v>1755</v>
      </c>
      <c r="C1431" s="34"/>
      <c r="D1431" s="77"/>
      <c r="E1431" s="77"/>
      <c r="F1431" s="77"/>
      <c r="G1431" s="77"/>
      <c r="H1431" s="91"/>
      <c r="I1431" s="89"/>
      <c r="J1431" s="77"/>
      <c r="K1431" s="110"/>
      <c r="L1431" s="107"/>
      <c r="M1431" s="109"/>
      <c r="N1431" s="11" t="str">
        <f t="shared" si="46"/>
        <v/>
      </c>
      <c r="O1431" s="32" t="str">
        <f t="shared" si="47"/>
        <v/>
      </c>
    </row>
    <row r="1432" spans="2:15" ht="15" customHeight="1" x14ac:dyDescent="0.4">
      <c r="B1432" s="10">
        <v>1756</v>
      </c>
      <c r="C1432" s="34"/>
      <c r="D1432" s="77"/>
      <c r="E1432" s="77"/>
      <c r="F1432" s="77"/>
      <c r="G1432" s="77"/>
      <c r="H1432" s="91"/>
      <c r="I1432" s="89"/>
      <c r="J1432" s="77"/>
      <c r="K1432" s="110"/>
      <c r="L1432" s="107"/>
      <c r="M1432" s="109"/>
      <c r="N1432" s="11" t="str">
        <f t="shared" si="46"/>
        <v/>
      </c>
      <c r="O1432" s="32" t="str">
        <f t="shared" si="47"/>
        <v/>
      </c>
    </row>
    <row r="1433" spans="2:15" ht="15" customHeight="1" x14ac:dyDescent="0.4">
      <c r="B1433" s="10">
        <v>1757</v>
      </c>
      <c r="C1433" s="34"/>
      <c r="D1433" s="77"/>
      <c r="E1433" s="77"/>
      <c r="F1433" s="77"/>
      <c r="G1433" s="77"/>
      <c r="H1433" s="91"/>
      <c r="I1433" s="89"/>
      <c r="J1433" s="77"/>
      <c r="K1433" s="110"/>
      <c r="L1433" s="107"/>
      <c r="M1433" s="109"/>
      <c r="N1433" s="11" t="str">
        <f t="shared" si="46"/>
        <v/>
      </c>
      <c r="O1433" s="32" t="str">
        <f t="shared" si="47"/>
        <v/>
      </c>
    </row>
    <row r="1434" spans="2:15" ht="15" customHeight="1" x14ac:dyDescent="0.4">
      <c r="B1434" s="10">
        <v>1758</v>
      </c>
      <c r="C1434" s="34"/>
      <c r="D1434" s="77"/>
      <c r="E1434" s="77"/>
      <c r="F1434" s="77"/>
      <c r="G1434" s="77"/>
      <c r="H1434" s="91"/>
      <c r="I1434" s="89"/>
      <c r="J1434" s="77"/>
      <c r="K1434" s="110"/>
      <c r="L1434" s="107"/>
      <c r="M1434" s="109"/>
      <c r="N1434" s="11" t="str">
        <f t="shared" si="46"/>
        <v/>
      </c>
      <c r="O1434" s="32" t="str">
        <f t="shared" si="47"/>
        <v/>
      </c>
    </row>
    <row r="1435" spans="2:15" ht="15" customHeight="1" x14ac:dyDescent="0.4">
      <c r="B1435" s="10">
        <v>1759</v>
      </c>
      <c r="C1435" s="34"/>
      <c r="D1435" s="77"/>
      <c r="E1435" s="77"/>
      <c r="F1435" s="77"/>
      <c r="G1435" s="77"/>
      <c r="H1435" s="91"/>
      <c r="I1435" s="89"/>
      <c r="J1435" s="77"/>
      <c r="K1435" s="110"/>
      <c r="L1435" s="107"/>
      <c r="M1435" s="109"/>
      <c r="N1435" s="11" t="str">
        <f t="shared" si="46"/>
        <v/>
      </c>
      <c r="O1435" s="32" t="str">
        <f t="shared" si="47"/>
        <v/>
      </c>
    </row>
    <row r="1436" spans="2:15" ht="15" customHeight="1" x14ac:dyDescent="0.4">
      <c r="B1436" s="10">
        <v>1760</v>
      </c>
      <c r="C1436" s="34"/>
      <c r="D1436" s="77"/>
      <c r="E1436" s="77"/>
      <c r="F1436" s="77"/>
      <c r="G1436" s="77"/>
      <c r="H1436" s="91"/>
      <c r="I1436" s="89"/>
      <c r="J1436" s="77"/>
      <c r="K1436" s="110"/>
      <c r="L1436" s="107"/>
      <c r="M1436" s="109"/>
      <c r="N1436" s="11" t="str">
        <f t="shared" si="46"/>
        <v/>
      </c>
      <c r="O1436" s="32" t="str">
        <f t="shared" si="47"/>
        <v/>
      </c>
    </row>
    <row r="1437" spans="2:15" ht="15" customHeight="1" x14ac:dyDescent="0.4">
      <c r="B1437" s="10">
        <v>1761</v>
      </c>
      <c r="C1437" s="34"/>
      <c r="D1437" s="77"/>
      <c r="E1437" s="77"/>
      <c r="F1437" s="77"/>
      <c r="G1437" s="77"/>
      <c r="H1437" s="91"/>
      <c r="I1437" s="89"/>
      <c r="J1437" s="77"/>
      <c r="K1437" s="110"/>
      <c r="L1437" s="107"/>
      <c r="M1437" s="109"/>
      <c r="N1437" s="11" t="str">
        <f t="shared" si="46"/>
        <v/>
      </c>
      <c r="O1437" s="32" t="str">
        <f t="shared" si="47"/>
        <v/>
      </c>
    </row>
    <row r="1438" spans="2:15" ht="15" customHeight="1" x14ac:dyDescent="0.4">
      <c r="B1438" s="10">
        <v>1762</v>
      </c>
      <c r="C1438" s="34"/>
      <c r="D1438" s="77"/>
      <c r="E1438" s="77"/>
      <c r="F1438" s="77"/>
      <c r="G1438" s="77"/>
      <c r="H1438" s="91"/>
      <c r="I1438" s="89"/>
      <c r="J1438" s="77"/>
      <c r="K1438" s="110"/>
      <c r="L1438" s="107"/>
      <c r="M1438" s="109"/>
      <c r="N1438" s="11" t="str">
        <f t="shared" si="46"/>
        <v/>
      </c>
      <c r="O1438" s="32" t="str">
        <f t="shared" si="47"/>
        <v/>
      </c>
    </row>
    <row r="1439" spans="2:15" ht="15" customHeight="1" x14ac:dyDescent="0.4">
      <c r="B1439" s="10">
        <v>1763</v>
      </c>
      <c r="C1439" s="34"/>
      <c r="D1439" s="77"/>
      <c r="E1439" s="77"/>
      <c r="F1439" s="77"/>
      <c r="G1439" s="77"/>
      <c r="H1439" s="91"/>
      <c r="I1439" s="89"/>
      <c r="J1439" s="77"/>
      <c r="K1439" s="110"/>
      <c r="L1439" s="107"/>
      <c r="M1439" s="109"/>
      <c r="N1439" s="11" t="str">
        <f t="shared" si="46"/>
        <v/>
      </c>
      <c r="O1439" s="32" t="str">
        <f t="shared" si="47"/>
        <v/>
      </c>
    </row>
    <row r="1440" spans="2:15" ht="15" customHeight="1" x14ac:dyDescent="0.4">
      <c r="B1440" s="10">
        <v>1764</v>
      </c>
      <c r="C1440" s="34"/>
      <c r="D1440" s="77"/>
      <c r="E1440" s="77"/>
      <c r="F1440" s="77"/>
      <c r="G1440" s="77"/>
      <c r="H1440" s="91"/>
      <c r="I1440" s="89"/>
      <c r="J1440" s="77"/>
      <c r="K1440" s="110"/>
      <c r="L1440" s="107"/>
      <c r="M1440" s="109"/>
      <c r="N1440" s="11" t="str">
        <f t="shared" si="46"/>
        <v/>
      </c>
      <c r="O1440" s="32" t="str">
        <f t="shared" si="47"/>
        <v/>
      </c>
    </row>
    <row r="1441" spans="2:15" ht="15" customHeight="1" x14ac:dyDescent="0.4">
      <c r="B1441" s="10">
        <v>1765</v>
      </c>
      <c r="C1441" s="34"/>
      <c r="D1441" s="77"/>
      <c r="E1441" s="77"/>
      <c r="F1441" s="77"/>
      <c r="G1441" s="77"/>
      <c r="H1441" s="91"/>
      <c r="I1441" s="89"/>
      <c r="J1441" s="77"/>
      <c r="K1441" s="110"/>
      <c r="L1441" s="107"/>
      <c r="M1441" s="109"/>
      <c r="N1441" s="11" t="str">
        <f t="shared" si="46"/>
        <v/>
      </c>
      <c r="O1441" s="32" t="str">
        <f t="shared" si="47"/>
        <v/>
      </c>
    </row>
    <row r="1442" spans="2:15" ht="15" customHeight="1" x14ac:dyDescent="0.4">
      <c r="B1442" s="10">
        <v>1766</v>
      </c>
      <c r="C1442" s="34"/>
      <c r="D1442" s="77"/>
      <c r="E1442" s="77"/>
      <c r="F1442" s="77"/>
      <c r="G1442" s="77"/>
      <c r="H1442" s="91"/>
      <c r="I1442" s="89"/>
      <c r="J1442" s="77"/>
      <c r="K1442" s="110"/>
      <c r="L1442" s="107"/>
      <c r="M1442" s="109"/>
      <c r="N1442" s="11" t="str">
        <f t="shared" si="46"/>
        <v/>
      </c>
      <c r="O1442" s="32" t="str">
        <f t="shared" si="47"/>
        <v/>
      </c>
    </row>
    <row r="1443" spans="2:15" ht="15" customHeight="1" x14ac:dyDescent="0.4">
      <c r="B1443" s="10">
        <v>1767</v>
      </c>
      <c r="C1443" s="34"/>
      <c r="D1443" s="77"/>
      <c r="E1443" s="77"/>
      <c r="F1443" s="77"/>
      <c r="G1443" s="77"/>
      <c r="H1443" s="91"/>
      <c r="I1443" s="89"/>
      <c r="J1443" s="77"/>
      <c r="K1443" s="110"/>
      <c r="L1443" s="107"/>
      <c r="M1443" s="109"/>
      <c r="N1443" s="11" t="str">
        <f t="shared" si="46"/>
        <v/>
      </c>
      <c r="O1443" s="32" t="str">
        <f t="shared" si="47"/>
        <v/>
      </c>
    </row>
    <row r="1444" spans="2:15" ht="15" customHeight="1" x14ac:dyDescent="0.4">
      <c r="B1444" s="10">
        <v>1768</v>
      </c>
      <c r="C1444" s="34"/>
      <c r="D1444" s="77"/>
      <c r="E1444" s="77"/>
      <c r="F1444" s="77"/>
      <c r="G1444" s="77"/>
      <c r="H1444" s="91"/>
      <c r="I1444" s="89"/>
      <c r="J1444" s="77"/>
      <c r="K1444" s="110"/>
      <c r="L1444" s="107"/>
      <c r="M1444" s="109"/>
      <c r="N1444" s="11" t="str">
        <f t="shared" si="46"/>
        <v/>
      </c>
      <c r="O1444" s="32" t="str">
        <f t="shared" si="47"/>
        <v/>
      </c>
    </row>
    <row r="1445" spans="2:15" ht="15" customHeight="1" x14ac:dyDescent="0.4">
      <c r="B1445" s="10">
        <v>1769</v>
      </c>
      <c r="C1445" s="34"/>
      <c r="D1445" s="77"/>
      <c r="E1445" s="77"/>
      <c r="F1445" s="77"/>
      <c r="G1445" s="77"/>
      <c r="H1445" s="91"/>
      <c r="I1445" s="89"/>
      <c r="J1445" s="77"/>
      <c r="K1445" s="110"/>
      <c r="L1445" s="107"/>
      <c r="M1445" s="109"/>
      <c r="N1445" s="11" t="str">
        <f t="shared" si="46"/>
        <v/>
      </c>
      <c r="O1445" s="32" t="str">
        <f t="shared" si="47"/>
        <v/>
      </c>
    </row>
    <row r="1446" spans="2:15" ht="15" customHeight="1" x14ac:dyDescent="0.4">
      <c r="B1446" s="10">
        <v>1770</v>
      </c>
      <c r="C1446" s="34"/>
      <c r="D1446" s="77"/>
      <c r="E1446" s="77"/>
      <c r="F1446" s="77"/>
      <c r="G1446" s="77"/>
      <c r="H1446" s="91"/>
      <c r="I1446" s="89"/>
      <c r="J1446" s="77"/>
      <c r="K1446" s="110"/>
      <c r="L1446" s="107"/>
      <c r="M1446" s="109"/>
      <c r="N1446" s="11" t="str">
        <f t="shared" si="46"/>
        <v/>
      </c>
      <c r="O1446" s="32" t="str">
        <f t="shared" si="47"/>
        <v/>
      </c>
    </row>
    <row r="1447" spans="2:15" ht="15" customHeight="1" x14ac:dyDescent="0.4">
      <c r="B1447" s="10">
        <v>1771</v>
      </c>
      <c r="C1447" s="34"/>
      <c r="D1447" s="77"/>
      <c r="E1447" s="77"/>
      <c r="F1447" s="77"/>
      <c r="G1447" s="77"/>
      <c r="H1447" s="91"/>
      <c r="I1447" s="89"/>
      <c r="J1447" s="77"/>
      <c r="K1447" s="110"/>
      <c r="L1447" s="107"/>
      <c r="M1447" s="109"/>
      <c r="N1447" s="11" t="str">
        <f t="shared" si="46"/>
        <v/>
      </c>
      <c r="O1447" s="32" t="str">
        <f t="shared" si="47"/>
        <v/>
      </c>
    </row>
    <row r="1448" spans="2:15" ht="15" customHeight="1" x14ac:dyDescent="0.4">
      <c r="B1448" s="10">
        <v>1772</v>
      </c>
      <c r="C1448" s="34"/>
      <c r="D1448" s="77"/>
      <c r="E1448" s="77"/>
      <c r="F1448" s="77"/>
      <c r="G1448" s="77"/>
      <c r="H1448" s="91"/>
      <c r="I1448" s="89"/>
      <c r="J1448" s="77"/>
      <c r="K1448" s="110"/>
      <c r="L1448" s="107"/>
      <c r="M1448" s="109"/>
      <c r="N1448" s="11" t="str">
        <f t="shared" si="46"/>
        <v/>
      </c>
      <c r="O1448" s="32" t="str">
        <f t="shared" si="47"/>
        <v/>
      </c>
    </row>
    <row r="1449" spans="2:15" ht="15" customHeight="1" x14ac:dyDescent="0.4">
      <c r="B1449" s="10">
        <v>1773</v>
      </c>
      <c r="C1449" s="34"/>
      <c r="D1449" s="77"/>
      <c r="E1449" s="77"/>
      <c r="F1449" s="77"/>
      <c r="G1449" s="77"/>
      <c r="H1449" s="91"/>
      <c r="I1449" s="89"/>
      <c r="J1449" s="77"/>
      <c r="K1449" s="110"/>
      <c r="L1449" s="107"/>
      <c r="M1449" s="109"/>
      <c r="N1449" s="11" t="str">
        <f t="shared" si="46"/>
        <v/>
      </c>
      <c r="O1449" s="32" t="str">
        <f t="shared" si="47"/>
        <v/>
      </c>
    </row>
    <row r="1450" spans="2:15" ht="15" customHeight="1" x14ac:dyDescent="0.4">
      <c r="B1450" s="10">
        <v>1774</v>
      </c>
      <c r="C1450" s="34"/>
      <c r="D1450" s="77"/>
      <c r="E1450" s="77"/>
      <c r="F1450" s="77"/>
      <c r="G1450" s="77"/>
      <c r="H1450" s="91"/>
      <c r="I1450" s="89"/>
      <c r="J1450" s="77"/>
      <c r="K1450" s="110"/>
      <c r="L1450" s="107"/>
      <c r="M1450" s="109"/>
      <c r="N1450" s="11" t="str">
        <f t="shared" si="46"/>
        <v/>
      </c>
      <c r="O1450" s="32" t="str">
        <f t="shared" si="47"/>
        <v/>
      </c>
    </row>
    <row r="1451" spans="2:15" ht="15" customHeight="1" x14ac:dyDescent="0.4">
      <c r="B1451" s="10">
        <v>1775</v>
      </c>
      <c r="C1451" s="34"/>
      <c r="D1451" s="77"/>
      <c r="E1451" s="77"/>
      <c r="F1451" s="77"/>
      <c r="G1451" s="77"/>
      <c r="H1451" s="91"/>
      <c r="I1451" s="89"/>
      <c r="J1451" s="77"/>
      <c r="K1451" s="110"/>
      <c r="L1451" s="107"/>
      <c r="M1451" s="109"/>
      <c r="N1451" s="11" t="str">
        <f t="shared" si="46"/>
        <v/>
      </c>
      <c r="O1451" s="32" t="str">
        <f t="shared" si="47"/>
        <v/>
      </c>
    </row>
    <row r="1452" spans="2:15" ht="15" customHeight="1" x14ac:dyDescent="0.4">
      <c r="B1452" s="10">
        <v>1776</v>
      </c>
      <c r="C1452" s="34"/>
      <c r="D1452" s="77"/>
      <c r="E1452" s="77"/>
      <c r="F1452" s="77"/>
      <c r="G1452" s="77"/>
      <c r="H1452" s="91"/>
      <c r="I1452" s="89"/>
      <c r="J1452" s="77"/>
      <c r="K1452" s="110"/>
      <c r="L1452" s="107"/>
      <c r="M1452" s="109"/>
      <c r="N1452" s="11" t="str">
        <f t="shared" si="46"/>
        <v/>
      </c>
      <c r="O1452" s="32" t="str">
        <f t="shared" si="47"/>
        <v/>
      </c>
    </row>
    <row r="1453" spans="2:15" ht="15" customHeight="1" x14ac:dyDescent="0.4">
      <c r="B1453" s="10">
        <v>1777</v>
      </c>
      <c r="C1453" s="34"/>
      <c r="D1453" s="77"/>
      <c r="E1453" s="77"/>
      <c r="F1453" s="77"/>
      <c r="G1453" s="77"/>
      <c r="H1453" s="91"/>
      <c r="I1453" s="89"/>
      <c r="J1453" s="77"/>
      <c r="K1453" s="110"/>
      <c r="L1453" s="107"/>
      <c r="M1453" s="109"/>
      <c r="N1453" s="11" t="str">
        <f t="shared" si="46"/>
        <v/>
      </c>
      <c r="O1453" s="32" t="str">
        <f t="shared" si="47"/>
        <v/>
      </c>
    </row>
    <row r="1454" spans="2:15" ht="15" customHeight="1" x14ac:dyDescent="0.4">
      <c r="B1454" s="10">
        <v>1778</v>
      </c>
      <c r="C1454" s="34"/>
      <c r="D1454" s="77"/>
      <c r="E1454" s="77"/>
      <c r="F1454" s="77"/>
      <c r="G1454" s="77"/>
      <c r="H1454" s="91"/>
      <c r="I1454" s="89"/>
      <c r="J1454" s="77"/>
      <c r="K1454" s="110"/>
      <c r="L1454" s="107"/>
      <c r="M1454" s="109"/>
      <c r="N1454" s="11" t="str">
        <f t="shared" si="46"/>
        <v/>
      </c>
      <c r="O1454" s="32" t="str">
        <f t="shared" si="47"/>
        <v/>
      </c>
    </row>
    <row r="1455" spans="2:15" ht="15" customHeight="1" x14ac:dyDescent="0.4">
      <c r="B1455" s="10">
        <v>1779</v>
      </c>
      <c r="C1455" s="34"/>
      <c r="D1455" s="77"/>
      <c r="E1455" s="77"/>
      <c r="F1455" s="77"/>
      <c r="G1455" s="77"/>
      <c r="H1455" s="91"/>
      <c r="I1455" s="89"/>
      <c r="J1455" s="77"/>
      <c r="K1455" s="110"/>
      <c r="L1455" s="107"/>
      <c r="M1455" s="109"/>
      <c r="N1455" s="11" t="str">
        <f t="shared" si="46"/>
        <v/>
      </c>
      <c r="O1455" s="32" t="str">
        <f t="shared" si="47"/>
        <v/>
      </c>
    </row>
    <row r="1456" spans="2:15" ht="15" customHeight="1" x14ac:dyDescent="0.4">
      <c r="B1456" s="10">
        <v>1780</v>
      </c>
      <c r="C1456" s="34"/>
      <c r="D1456" s="77"/>
      <c r="E1456" s="77"/>
      <c r="F1456" s="77"/>
      <c r="G1456" s="77"/>
      <c r="H1456" s="91"/>
      <c r="I1456" s="89"/>
      <c r="J1456" s="77"/>
      <c r="K1456" s="110"/>
      <c r="L1456" s="107"/>
      <c r="M1456" s="109"/>
      <c r="N1456" s="11" t="str">
        <f t="shared" si="46"/>
        <v/>
      </c>
      <c r="O1456" s="32" t="str">
        <f t="shared" si="47"/>
        <v/>
      </c>
    </row>
    <row r="1457" spans="2:15" ht="15" customHeight="1" x14ac:dyDescent="0.4">
      <c r="B1457" s="10">
        <v>1781</v>
      </c>
      <c r="C1457" s="34"/>
      <c r="D1457" s="77"/>
      <c r="E1457" s="77"/>
      <c r="F1457" s="77"/>
      <c r="G1457" s="77"/>
      <c r="H1457" s="91"/>
      <c r="I1457" s="89"/>
      <c r="J1457" s="77"/>
      <c r="K1457" s="110"/>
      <c r="L1457" s="107"/>
      <c r="M1457" s="109"/>
      <c r="N1457" s="11" t="str">
        <f t="shared" si="46"/>
        <v/>
      </c>
      <c r="O1457" s="32" t="str">
        <f t="shared" si="47"/>
        <v/>
      </c>
    </row>
    <row r="1458" spans="2:15" ht="15" customHeight="1" x14ac:dyDescent="0.4">
      <c r="B1458" s="10">
        <v>1782</v>
      </c>
      <c r="C1458" s="34"/>
      <c r="D1458" s="77"/>
      <c r="E1458" s="77"/>
      <c r="F1458" s="77"/>
      <c r="G1458" s="77"/>
      <c r="H1458" s="91"/>
      <c r="I1458" s="89"/>
      <c r="J1458" s="77"/>
      <c r="K1458" s="110"/>
      <c r="L1458" s="107"/>
      <c r="M1458" s="109"/>
      <c r="N1458" s="11" t="str">
        <f t="shared" si="46"/>
        <v/>
      </c>
      <c r="O1458" s="32" t="str">
        <f t="shared" si="47"/>
        <v/>
      </c>
    </row>
    <row r="1459" spans="2:15" ht="15" customHeight="1" x14ac:dyDescent="0.4">
      <c r="B1459" s="10">
        <v>1783</v>
      </c>
      <c r="C1459" s="34"/>
      <c r="D1459" s="77"/>
      <c r="E1459" s="77"/>
      <c r="F1459" s="77"/>
      <c r="G1459" s="77"/>
      <c r="H1459" s="91"/>
      <c r="I1459" s="89"/>
      <c r="J1459" s="77"/>
      <c r="K1459" s="110"/>
      <c r="L1459" s="107"/>
      <c r="M1459" s="109"/>
      <c r="N1459" s="11" t="str">
        <f t="shared" si="46"/>
        <v/>
      </c>
      <c r="O1459" s="32" t="str">
        <f t="shared" si="47"/>
        <v/>
      </c>
    </row>
    <row r="1460" spans="2:15" ht="15" customHeight="1" x14ac:dyDescent="0.4">
      <c r="B1460" s="10">
        <v>1784</v>
      </c>
      <c r="C1460" s="34"/>
      <c r="D1460" s="77"/>
      <c r="E1460" s="77"/>
      <c r="F1460" s="77"/>
      <c r="G1460" s="77"/>
      <c r="H1460" s="91"/>
      <c r="I1460" s="89"/>
      <c r="J1460" s="77"/>
      <c r="K1460" s="110"/>
      <c r="L1460" s="107"/>
      <c r="M1460" s="109"/>
      <c r="N1460" s="11" t="str">
        <f t="shared" si="46"/>
        <v/>
      </c>
      <c r="O1460" s="32" t="str">
        <f t="shared" si="47"/>
        <v/>
      </c>
    </row>
    <row r="1461" spans="2:15" ht="15" customHeight="1" x14ac:dyDescent="0.4">
      <c r="B1461" s="10">
        <v>1785</v>
      </c>
      <c r="C1461" s="34"/>
      <c r="D1461" s="77"/>
      <c r="E1461" s="77"/>
      <c r="F1461" s="77"/>
      <c r="G1461" s="77"/>
      <c r="H1461" s="91"/>
      <c r="I1461" s="89"/>
      <c r="J1461" s="77"/>
      <c r="K1461" s="110"/>
      <c r="L1461" s="107"/>
      <c r="M1461" s="109"/>
      <c r="N1461" s="11" t="str">
        <f t="shared" si="46"/>
        <v/>
      </c>
      <c r="O1461" s="32" t="str">
        <f t="shared" si="47"/>
        <v/>
      </c>
    </row>
    <row r="1462" spans="2:15" ht="15" customHeight="1" x14ac:dyDescent="0.4">
      <c r="B1462" s="10">
        <v>1786</v>
      </c>
      <c r="C1462" s="34"/>
      <c r="D1462" s="77"/>
      <c r="E1462" s="77"/>
      <c r="F1462" s="77"/>
      <c r="G1462" s="77"/>
      <c r="H1462" s="91"/>
      <c r="I1462" s="89"/>
      <c r="J1462" s="77"/>
      <c r="K1462" s="110"/>
      <c r="L1462" s="107"/>
      <c r="M1462" s="109"/>
      <c r="N1462" s="11" t="str">
        <f t="shared" si="46"/>
        <v/>
      </c>
      <c r="O1462" s="32" t="str">
        <f t="shared" si="47"/>
        <v/>
      </c>
    </row>
    <row r="1463" spans="2:15" ht="15" customHeight="1" x14ac:dyDescent="0.4">
      <c r="B1463" s="10">
        <v>1787</v>
      </c>
      <c r="C1463" s="34"/>
      <c r="D1463" s="77"/>
      <c r="E1463" s="77"/>
      <c r="F1463" s="77"/>
      <c r="G1463" s="77"/>
      <c r="H1463" s="91"/>
      <c r="I1463" s="89"/>
      <c r="J1463" s="77"/>
      <c r="K1463" s="110"/>
      <c r="L1463" s="107"/>
      <c r="M1463" s="109"/>
      <c r="N1463" s="11" t="str">
        <f t="shared" si="46"/>
        <v/>
      </c>
      <c r="O1463" s="32" t="str">
        <f t="shared" si="47"/>
        <v/>
      </c>
    </row>
    <row r="1464" spans="2:15" ht="15" customHeight="1" x14ac:dyDescent="0.4">
      <c r="B1464" s="10">
        <v>1788</v>
      </c>
      <c r="C1464" s="34"/>
      <c r="D1464" s="77"/>
      <c r="E1464" s="77"/>
      <c r="F1464" s="77"/>
      <c r="G1464" s="77"/>
      <c r="H1464" s="91"/>
      <c r="I1464" s="89"/>
      <c r="J1464" s="77"/>
      <c r="K1464" s="110"/>
      <c r="L1464" s="107"/>
      <c r="M1464" s="109"/>
      <c r="N1464" s="11" t="str">
        <f t="shared" si="46"/>
        <v/>
      </c>
      <c r="O1464" s="32" t="str">
        <f t="shared" si="47"/>
        <v/>
      </c>
    </row>
    <row r="1465" spans="2:15" ht="15" customHeight="1" x14ac:dyDescent="0.4">
      <c r="B1465" s="10">
        <v>1789</v>
      </c>
      <c r="C1465" s="34"/>
      <c r="D1465" s="77"/>
      <c r="E1465" s="77"/>
      <c r="F1465" s="77"/>
      <c r="G1465" s="77"/>
      <c r="H1465" s="91"/>
      <c r="I1465" s="89"/>
      <c r="J1465" s="77"/>
      <c r="K1465" s="110"/>
      <c r="L1465" s="107"/>
      <c r="M1465" s="109"/>
      <c r="N1465" s="11" t="str">
        <f t="shared" si="46"/>
        <v/>
      </c>
      <c r="O1465" s="32" t="str">
        <f t="shared" si="47"/>
        <v/>
      </c>
    </row>
    <row r="1466" spans="2:15" ht="15" customHeight="1" x14ac:dyDescent="0.4">
      <c r="B1466" s="10">
        <v>1790</v>
      </c>
      <c r="C1466" s="34"/>
      <c r="D1466" s="77"/>
      <c r="E1466" s="77"/>
      <c r="F1466" s="77"/>
      <c r="G1466" s="77"/>
      <c r="H1466" s="91"/>
      <c r="I1466" s="89"/>
      <c r="J1466" s="77"/>
      <c r="K1466" s="110"/>
      <c r="L1466" s="107"/>
      <c r="M1466" s="109"/>
      <c r="N1466" s="11" t="str">
        <f t="shared" si="46"/>
        <v/>
      </c>
      <c r="O1466" s="32" t="str">
        <f t="shared" si="47"/>
        <v/>
      </c>
    </row>
    <row r="1467" spans="2:15" ht="15" customHeight="1" x14ac:dyDescent="0.4">
      <c r="B1467" s="10">
        <v>1791</v>
      </c>
      <c r="C1467" s="34"/>
      <c r="D1467" s="77"/>
      <c r="E1467" s="77"/>
      <c r="F1467" s="77"/>
      <c r="G1467" s="77"/>
      <c r="H1467" s="91"/>
      <c r="I1467" s="89"/>
      <c r="J1467" s="77"/>
      <c r="K1467" s="110"/>
      <c r="L1467" s="107"/>
      <c r="M1467" s="109"/>
      <c r="N1467" s="11" t="str">
        <f t="shared" si="46"/>
        <v/>
      </c>
      <c r="O1467" s="32" t="str">
        <f t="shared" si="47"/>
        <v/>
      </c>
    </row>
    <row r="1468" spans="2:15" ht="15" customHeight="1" x14ac:dyDescent="0.4">
      <c r="B1468" s="10">
        <v>1792</v>
      </c>
      <c r="C1468" s="34"/>
      <c r="D1468" s="77"/>
      <c r="E1468" s="77"/>
      <c r="F1468" s="77"/>
      <c r="G1468" s="77"/>
      <c r="H1468" s="91"/>
      <c r="I1468" s="89"/>
      <c r="J1468" s="77"/>
      <c r="K1468" s="110"/>
      <c r="L1468" s="107"/>
      <c r="M1468" s="109"/>
      <c r="N1468" s="11" t="str">
        <f t="shared" si="46"/>
        <v/>
      </c>
      <c r="O1468" s="32" t="str">
        <f t="shared" si="47"/>
        <v/>
      </c>
    </row>
    <row r="1469" spans="2:15" ht="15" customHeight="1" x14ac:dyDescent="0.4">
      <c r="B1469" s="10">
        <v>1793</v>
      </c>
      <c r="C1469" s="34"/>
      <c r="D1469" s="77"/>
      <c r="E1469" s="77"/>
      <c r="F1469" s="77"/>
      <c r="G1469" s="77"/>
      <c r="H1469" s="91"/>
      <c r="I1469" s="89"/>
      <c r="J1469" s="77"/>
      <c r="K1469" s="110"/>
      <c r="L1469" s="107"/>
      <c r="M1469" s="109"/>
      <c r="N1469" s="11" t="str">
        <f t="shared" si="46"/>
        <v/>
      </c>
      <c r="O1469" s="32" t="str">
        <f t="shared" si="47"/>
        <v/>
      </c>
    </row>
    <row r="1470" spans="2:15" ht="15" customHeight="1" x14ac:dyDescent="0.4">
      <c r="B1470" s="10">
        <v>1794</v>
      </c>
      <c r="C1470" s="34"/>
      <c r="D1470" s="77"/>
      <c r="E1470" s="77"/>
      <c r="F1470" s="77"/>
      <c r="G1470" s="77"/>
      <c r="H1470" s="91"/>
      <c r="I1470" s="89"/>
      <c r="J1470" s="77"/>
      <c r="K1470" s="110"/>
      <c r="L1470" s="107"/>
      <c r="M1470" s="109"/>
      <c r="N1470" s="11" t="str">
        <f t="shared" si="46"/>
        <v/>
      </c>
      <c r="O1470" s="32" t="str">
        <f t="shared" si="47"/>
        <v/>
      </c>
    </row>
    <row r="1471" spans="2:15" ht="15" customHeight="1" x14ac:dyDescent="0.4">
      <c r="B1471" s="10">
        <v>1795</v>
      </c>
      <c r="C1471" s="34"/>
      <c r="D1471" s="77"/>
      <c r="E1471" s="77"/>
      <c r="F1471" s="77"/>
      <c r="G1471" s="77"/>
      <c r="H1471" s="91"/>
      <c r="I1471" s="89"/>
      <c r="J1471" s="77"/>
      <c r="K1471" s="110"/>
      <c r="L1471" s="107"/>
      <c r="M1471" s="109"/>
      <c r="N1471" s="11" t="str">
        <f t="shared" si="46"/>
        <v/>
      </c>
      <c r="O1471" s="32" t="str">
        <f t="shared" si="47"/>
        <v/>
      </c>
    </row>
    <row r="1472" spans="2:15" ht="15" customHeight="1" x14ac:dyDescent="0.4">
      <c r="B1472" s="10">
        <v>1796</v>
      </c>
      <c r="C1472" s="34"/>
      <c r="D1472" s="77"/>
      <c r="E1472" s="77"/>
      <c r="F1472" s="77"/>
      <c r="G1472" s="77"/>
      <c r="H1472" s="91"/>
      <c r="I1472" s="89"/>
      <c r="J1472" s="77"/>
      <c r="K1472" s="110"/>
      <c r="L1472" s="107"/>
      <c r="M1472" s="109"/>
      <c r="N1472" s="11" t="str">
        <f t="shared" si="46"/>
        <v/>
      </c>
      <c r="O1472" s="32" t="str">
        <f t="shared" si="47"/>
        <v/>
      </c>
    </row>
    <row r="1473" spans="2:15" ht="15" customHeight="1" x14ac:dyDescent="0.4">
      <c r="B1473" s="10">
        <v>1797</v>
      </c>
      <c r="C1473" s="34"/>
      <c r="D1473" s="77"/>
      <c r="E1473" s="77"/>
      <c r="F1473" s="77"/>
      <c r="G1473" s="77"/>
      <c r="H1473" s="91"/>
      <c r="I1473" s="89"/>
      <c r="J1473" s="77"/>
      <c r="K1473" s="110"/>
      <c r="L1473" s="107"/>
      <c r="M1473" s="109"/>
      <c r="N1473" s="11" t="str">
        <f t="shared" si="46"/>
        <v/>
      </c>
      <c r="O1473" s="32" t="str">
        <f t="shared" si="47"/>
        <v/>
      </c>
    </row>
    <row r="1474" spans="2:15" ht="15" customHeight="1" x14ac:dyDescent="0.4">
      <c r="B1474" s="10">
        <v>1798</v>
      </c>
      <c r="C1474" s="34"/>
      <c r="D1474" s="77"/>
      <c r="E1474" s="77"/>
      <c r="F1474" s="77"/>
      <c r="G1474" s="77"/>
      <c r="H1474" s="91"/>
      <c r="I1474" s="89"/>
      <c r="J1474" s="77"/>
      <c r="K1474" s="110"/>
      <c r="L1474" s="107"/>
      <c r="M1474" s="109"/>
      <c r="N1474" s="11" t="str">
        <f t="shared" si="46"/>
        <v/>
      </c>
      <c r="O1474" s="32" t="str">
        <f t="shared" si="47"/>
        <v/>
      </c>
    </row>
    <row r="1475" spans="2:15" ht="15" customHeight="1" x14ac:dyDescent="0.4">
      <c r="B1475" s="10">
        <v>1799</v>
      </c>
      <c r="C1475" s="34"/>
      <c r="D1475" s="77"/>
      <c r="E1475" s="77"/>
      <c r="F1475" s="77"/>
      <c r="G1475" s="77"/>
      <c r="H1475" s="91"/>
      <c r="I1475" s="89"/>
      <c r="J1475" s="77"/>
      <c r="K1475" s="110"/>
      <c r="L1475" s="107"/>
      <c r="M1475" s="109"/>
      <c r="N1475" s="11" t="str">
        <f t="shared" si="46"/>
        <v/>
      </c>
      <c r="O1475" s="32" t="str">
        <f t="shared" si="47"/>
        <v/>
      </c>
    </row>
    <row r="1476" spans="2:15" ht="15" customHeight="1" x14ac:dyDescent="0.4">
      <c r="B1476" s="10">
        <v>1800</v>
      </c>
      <c r="C1476" s="34"/>
      <c r="D1476" s="77"/>
      <c r="E1476" s="77"/>
      <c r="F1476" s="77"/>
      <c r="G1476" s="77"/>
      <c r="H1476" s="91"/>
      <c r="I1476" s="89"/>
      <c r="J1476" s="77"/>
      <c r="K1476" s="110"/>
      <c r="L1476" s="107"/>
      <c r="M1476" s="109"/>
      <c r="N1476" s="11" t="str">
        <f t="shared" ref="N1476:N1539" si="48">IF(OR(M1476="", K1476=""),"", M1476- K1476)</f>
        <v/>
      </c>
      <c r="O1476" s="32" t="str">
        <f t="shared" ref="O1476:O1539" si="49">IF(OR(M1476="", K1476="", L1476=""), "", IF((M1476 - K1476) &gt; L1476, "No", "Yes"))</f>
        <v/>
      </c>
    </row>
    <row r="1477" spans="2:15" ht="15" customHeight="1" x14ac:dyDescent="0.4">
      <c r="B1477" s="10">
        <v>1801</v>
      </c>
      <c r="C1477" s="34"/>
      <c r="D1477" s="77"/>
      <c r="E1477" s="77"/>
      <c r="F1477" s="77"/>
      <c r="G1477" s="77"/>
      <c r="H1477" s="91"/>
      <c r="I1477" s="89"/>
      <c r="J1477" s="77"/>
      <c r="K1477" s="110"/>
      <c r="L1477" s="107"/>
      <c r="M1477" s="109"/>
      <c r="N1477" s="11" t="str">
        <f t="shared" si="48"/>
        <v/>
      </c>
      <c r="O1477" s="32" t="str">
        <f t="shared" si="49"/>
        <v/>
      </c>
    </row>
    <row r="1478" spans="2:15" ht="15" customHeight="1" x14ac:dyDescent="0.4">
      <c r="B1478" s="10">
        <v>1802</v>
      </c>
      <c r="C1478" s="34"/>
      <c r="D1478" s="77"/>
      <c r="E1478" s="77"/>
      <c r="F1478" s="77"/>
      <c r="G1478" s="77"/>
      <c r="H1478" s="91"/>
      <c r="I1478" s="89"/>
      <c r="J1478" s="77"/>
      <c r="K1478" s="110"/>
      <c r="L1478" s="107"/>
      <c r="M1478" s="109"/>
      <c r="N1478" s="11" t="str">
        <f t="shared" si="48"/>
        <v/>
      </c>
      <c r="O1478" s="32" t="str">
        <f t="shared" si="49"/>
        <v/>
      </c>
    </row>
    <row r="1479" spans="2:15" ht="15" customHeight="1" x14ac:dyDescent="0.4">
      <c r="B1479" s="10">
        <v>1803</v>
      </c>
      <c r="C1479" s="34"/>
      <c r="D1479" s="77"/>
      <c r="E1479" s="77"/>
      <c r="F1479" s="77"/>
      <c r="G1479" s="77"/>
      <c r="H1479" s="91"/>
      <c r="I1479" s="89"/>
      <c r="J1479" s="77"/>
      <c r="K1479" s="110"/>
      <c r="L1479" s="107"/>
      <c r="M1479" s="109"/>
      <c r="N1479" s="11" t="str">
        <f t="shared" si="48"/>
        <v/>
      </c>
      <c r="O1479" s="32" t="str">
        <f t="shared" si="49"/>
        <v/>
      </c>
    </row>
    <row r="1480" spans="2:15" ht="15" customHeight="1" x14ac:dyDescent="0.4">
      <c r="B1480" s="10">
        <v>1804</v>
      </c>
      <c r="C1480" s="34"/>
      <c r="D1480" s="77"/>
      <c r="E1480" s="77"/>
      <c r="F1480" s="77"/>
      <c r="G1480" s="77"/>
      <c r="H1480" s="91"/>
      <c r="I1480" s="89"/>
      <c r="J1480" s="77"/>
      <c r="K1480" s="110"/>
      <c r="L1480" s="107"/>
      <c r="M1480" s="109"/>
      <c r="N1480" s="11" t="str">
        <f t="shared" si="48"/>
        <v/>
      </c>
      <c r="O1480" s="32" t="str">
        <f t="shared" si="49"/>
        <v/>
      </c>
    </row>
    <row r="1481" spans="2:15" ht="15" customHeight="1" x14ac:dyDescent="0.4">
      <c r="B1481" s="10">
        <v>1805</v>
      </c>
      <c r="C1481" s="34"/>
      <c r="D1481" s="77"/>
      <c r="E1481" s="77"/>
      <c r="F1481" s="77"/>
      <c r="G1481" s="77"/>
      <c r="H1481" s="91"/>
      <c r="I1481" s="89"/>
      <c r="J1481" s="77"/>
      <c r="K1481" s="110"/>
      <c r="L1481" s="107"/>
      <c r="M1481" s="109"/>
      <c r="N1481" s="11" t="str">
        <f t="shared" si="48"/>
        <v/>
      </c>
      <c r="O1481" s="32" t="str">
        <f t="shared" si="49"/>
        <v/>
      </c>
    </row>
    <row r="1482" spans="2:15" ht="15" customHeight="1" x14ac:dyDescent="0.4">
      <c r="B1482" s="10">
        <v>1806</v>
      </c>
      <c r="C1482" s="34"/>
      <c r="D1482" s="77"/>
      <c r="E1482" s="77"/>
      <c r="F1482" s="77"/>
      <c r="G1482" s="77"/>
      <c r="H1482" s="91"/>
      <c r="I1482" s="89"/>
      <c r="J1482" s="77"/>
      <c r="K1482" s="110"/>
      <c r="L1482" s="107"/>
      <c r="M1482" s="109"/>
      <c r="N1482" s="11" t="str">
        <f t="shared" si="48"/>
        <v/>
      </c>
      <c r="O1482" s="32" t="str">
        <f t="shared" si="49"/>
        <v/>
      </c>
    </row>
    <row r="1483" spans="2:15" ht="15" customHeight="1" x14ac:dyDescent="0.4">
      <c r="B1483" s="10">
        <v>1807</v>
      </c>
      <c r="C1483" s="34"/>
      <c r="D1483" s="77"/>
      <c r="E1483" s="77"/>
      <c r="F1483" s="77"/>
      <c r="G1483" s="77"/>
      <c r="H1483" s="91"/>
      <c r="I1483" s="89"/>
      <c r="J1483" s="77"/>
      <c r="K1483" s="110"/>
      <c r="L1483" s="107"/>
      <c r="M1483" s="109"/>
      <c r="N1483" s="11" t="str">
        <f t="shared" si="48"/>
        <v/>
      </c>
      <c r="O1483" s="32" t="str">
        <f t="shared" si="49"/>
        <v/>
      </c>
    </row>
    <row r="1484" spans="2:15" ht="15" customHeight="1" x14ac:dyDescent="0.4">
      <c r="B1484" s="10">
        <v>1808</v>
      </c>
      <c r="C1484" s="34"/>
      <c r="D1484" s="77"/>
      <c r="E1484" s="77"/>
      <c r="F1484" s="77"/>
      <c r="G1484" s="77"/>
      <c r="H1484" s="91"/>
      <c r="I1484" s="89"/>
      <c r="J1484" s="77"/>
      <c r="K1484" s="110"/>
      <c r="L1484" s="107"/>
      <c r="M1484" s="109"/>
      <c r="N1484" s="11" t="str">
        <f t="shared" si="48"/>
        <v/>
      </c>
      <c r="O1484" s="32" t="str">
        <f t="shared" si="49"/>
        <v/>
      </c>
    </row>
    <row r="1485" spans="2:15" ht="15" customHeight="1" x14ac:dyDescent="0.4">
      <c r="B1485" s="10">
        <v>1809</v>
      </c>
      <c r="C1485" s="34"/>
      <c r="D1485" s="77"/>
      <c r="E1485" s="77"/>
      <c r="F1485" s="77"/>
      <c r="G1485" s="77"/>
      <c r="H1485" s="91"/>
      <c r="I1485" s="89"/>
      <c r="J1485" s="77"/>
      <c r="K1485" s="110"/>
      <c r="L1485" s="107"/>
      <c r="M1485" s="109"/>
      <c r="N1485" s="11" t="str">
        <f t="shared" si="48"/>
        <v/>
      </c>
      <c r="O1485" s="32" t="str">
        <f t="shared" si="49"/>
        <v/>
      </c>
    </row>
    <row r="1486" spans="2:15" ht="15" customHeight="1" x14ac:dyDescent="0.4">
      <c r="B1486" s="10">
        <v>1810</v>
      </c>
      <c r="C1486" s="34"/>
      <c r="D1486" s="77"/>
      <c r="E1486" s="77"/>
      <c r="F1486" s="77"/>
      <c r="G1486" s="77"/>
      <c r="H1486" s="91"/>
      <c r="I1486" s="89"/>
      <c r="J1486" s="77"/>
      <c r="K1486" s="110"/>
      <c r="L1486" s="107"/>
      <c r="M1486" s="109"/>
      <c r="N1486" s="11" t="str">
        <f t="shared" si="48"/>
        <v/>
      </c>
      <c r="O1486" s="32" t="str">
        <f t="shared" si="49"/>
        <v/>
      </c>
    </row>
    <row r="1487" spans="2:15" ht="15" customHeight="1" x14ac:dyDescent="0.4">
      <c r="B1487" s="10">
        <v>1811</v>
      </c>
      <c r="C1487" s="34"/>
      <c r="D1487" s="77"/>
      <c r="E1487" s="77"/>
      <c r="F1487" s="77"/>
      <c r="G1487" s="77"/>
      <c r="H1487" s="91"/>
      <c r="I1487" s="89"/>
      <c r="J1487" s="77"/>
      <c r="K1487" s="110"/>
      <c r="L1487" s="107"/>
      <c r="M1487" s="109"/>
      <c r="N1487" s="11" t="str">
        <f t="shared" si="48"/>
        <v/>
      </c>
      <c r="O1487" s="32" t="str">
        <f t="shared" si="49"/>
        <v/>
      </c>
    </row>
    <row r="1488" spans="2:15" ht="15" customHeight="1" x14ac:dyDescent="0.4">
      <c r="B1488" s="10">
        <v>1812</v>
      </c>
      <c r="C1488" s="34"/>
      <c r="D1488" s="77"/>
      <c r="E1488" s="77"/>
      <c r="F1488" s="77"/>
      <c r="G1488" s="77"/>
      <c r="H1488" s="91"/>
      <c r="I1488" s="89"/>
      <c r="J1488" s="77"/>
      <c r="K1488" s="110"/>
      <c r="L1488" s="107"/>
      <c r="M1488" s="109"/>
      <c r="N1488" s="11" t="str">
        <f t="shared" si="48"/>
        <v/>
      </c>
      <c r="O1488" s="32" t="str">
        <f t="shared" si="49"/>
        <v/>
      </c>
    </row>
    <row r="1489" spans="2:15" ht="15" customHeight="1" x14ac:dyDescent="0.4">
      <c r="B1489" s="10">
        <v>1813</v>
      </c>
      <c r="C1489" s="34"/>
      <c r="D1489" s="77"/>
      <c r="E1489" s="77"/>
      <c r="F1489" s="77"/>
      <c r="G1489" s="77"/>
      <c r="H1489" s="91"/>
      <c r="I1489" s="89"/>
      <c r="J1489" s="77"/>
      <c r="K1489" s="110"/>
      <c r="L1489" s="107"/>
      <c r="M1489" s="109"/>
      <c r="N1489" s="11" t="str">
        <f t="shared" si="48"/>
        <v/>
      </c>
      <c r="O1489" s="32" t="str">
        <f t="shared" si="49"/>
        <v/>
      </c>
    </row>
    <row r="1490" spans="2:15" ht="15" customHeight="1" x14ac:dyDescent="0.4">
      <c r="B1490" s="10">
        <v>1814</v>
      </c>
      <c r="C1490" s="34"/>
      <c r="D1490" s="77"/>
      <c r="E1490" s="77"/>
      <c r="F1490" s="77"/>
      <c r="G1490" s="77"/>
      <c r="H1490" s="91"/>
      <c r="I1490" s="89"/>
      <c r="J1490" s="77"/>
      <c r="K1490" s="110"/>
      <c r="L1490" s="107"/>
      <c r="M1490" s="109"/>
      <c r="N1490" s="11" t="str">
        <f t="shared" si="48"/>
        <v/>
      </c>
      <c r="O1490" s="32" t="str">
        <f t="shared" si="49"/>
        <v/>
      </c>
    </row>
    <row r="1491" spans="2:15" ht="15" customHeight="1" x14ac:dyDescent="0.4">
      <c r="B1491" s="10">
        <v>1815</v>
      </c>
      <c r="C1491" s="34"/>
      <c r="D1491" s="77"/>
      <c r="E1491" s="77"/>
      <c r="F1491" s="77"/>
      <c r="G1491" s="77"/>
      <c r="H1491" s="91"/>
      <c r="I1491" s="89"/>
      <c r="J1491" s="77"/>
      <c r="K1491" s="110"/>
      <c r="L1491" s="107"/>
      <c r="M1491" s="109"/>
      <c r="N1491" s="11" t="str">
        <f t="shared" si="48"/>
        <v/>
      </c>
      <c r="O1491" s="32" t="str">
        <f t="shared" si="49"/>
        <v/>
      </c>
    </row>
    <row r="1492" spans="2:15" ht="15" customHeight="1" x14ac:dyDescent="0.4">
      <c r="B1492" s="10">
        <v>1816</v>
      </c>
      <c r="C1492" s="34"/>
      <c r="D1492" s="77"/>
      <c r="E1492" s="77"/>
      <c r="F1492" s="77"/>
      <c r="G1492" s="77"/>
      <c r="H1492" s="91"/>
      <c r="I1492" s="89"/>
      <c r="J1492" s="77"/>
      <c r="K1492" s="110"/>
      <c r="L1492" s="107"/>
      <c r="M1492" s="109"/>
      <c r="N1492" s="11" t="str">
        <f t="shared" si="48"/>
        <v/>
      </c>
      <c r="O1492" s="32" t="str">
        <f t="shared" si="49"/>
        <v/>
      </c>
    </row>
    <row r="1493" spans="2:15" ht="15" customHeight="1" x14ac:dyDescent="0.4">
      <c r="B1493" s="10">
        <v>1817</v>
      </c>
      <c r="C1493" s="34"/>
      <c r="D1493" s="77"/>
      <c r="E1493" s="77"/>
      <c r="F1493" s="77"/>
      <c r="G1493" s="77"/>
      <c r="H1493" s="91"/>
      <c r="I1493" s="89"/>
      <c r="J1493" s="77"/>
      <c r="K1493" s="110"/>
      <c r="L1493" s="107"/>
      <c r="M1493" s="109"/>
      <c r="N1493" s="11" t="str">
        <f t="shared" si="48"/>
        <v/>
      </c>
      <c r="O1493" s="32" t="str">
        <f t="shared" si="49"/>
        <v/>
      </c>
    </row>
    <row r="1494" spans="2:15" ht="15" customHeight="1" x14ac:dyDescent="0.4">
      <c r="B1494" s="10">
        <v>1818</v>
      </c>
      <c r="C1494" s="34"/>
      <c r="D1494" s="77"/>
      <c r="E1494" s="77"/>
      <c r="F1494" s="77"/>
      <c r="G1494" s="77"/>
      <c r="H1494" s="91"/>
      <c r="I1494" s="89"/>
      <c r="J1494" s="77"/>
      <c r="K1494" s="110"/>
      <c r="L1494" s="107"/>
      <c r="M1494" s="109"/>
      <c r="N1494" s="11" t="str">
        <f t="shared" si="48"/>
        <v/>
      </c>
      <c r="O1494" s="32" t="str">
        <f t="shared" si="49"/>
        <v/>
      </c>
    </row>
    <row r="1495" spans="2:15" ht="15" customHeight="1" x14ac:dyDescent="0.4">
      <c r="B1495" s="10">
        <v>1819</v>
      </c>
      <c r="C1495" s="34"/>
      <c r="D1495" s="77"/>
      <c r="E1495" s="77"/>
      <c r="F1495" s="77"/>
      <c r="G1495" s="77"/>
      <c r="H1495" s="91"/>
      <c r="I1495" s="89"/>
      <c r="J1495" s="77"/>
      <c r="K1495" s="110"/>
      <c r="L1495" s="107"/>
      <c r="M1495" s="109"/>
      <c r="N1495" s="11" t="str">
        <f t="shared" si="48"/>
        <v/>
      </c>
      <c r="O1495" s="32" t="str">
        <f t="shared" si="49"/>
        <v/>
      </c>
    </row>
    <row r="1496" spans="2:15" ht="15" customHeight="1" x14ac:dyDescent="0.4">
      <c r="B1496" s="10">
        <v>1820</v>
      </c>
      <c r="C1496" s="34"/>
      <c r="D1496" s="77"/>
      <c r="E1496" s="77"/>
      <c r="F1496" s="77"/>
      <c r="G1496" s="77"/>
      <c r="H1496" s="91"/>
      <c r="I1496" s="89"/>
      <c r="J1496" s="77"/>
      <c r="K1496" s="110"/>
      <c r="L1496" s="107"/>
      <c r="M1496" s="109"/>
      <c r="N1496" s="11" t="str">
        <f t="shared" si="48"/>
        <v/>
      </c>
      <c r="O1496" s="32" t="str">
        <f t="shared" si="49"/>
        <v/>
      </c>
    </row>
    <row r="1497" spans="2:15" ht="15" customHeight="1" x14ac:dyDescent="0.4">
      <c r="B1497" s="10">
        <v>1821</v>
      </c>
      <c r="C1497" s="34"/>
      <c r="D1497" s="77"/>
      <c r="E1497" s="77"/>
      <c r="F1497" s="77"/>
      <c r="G1497" s="77"/>
      <c r="H1497" s="91"/>
      <c r="I1497" s="89"/>
      <c r="J1497" s="77"/>
      <c r="K1497" s="110"/>
      <c r="L1497" s="107"/>
      <c r="M1497" s="109"/>
      <c r="N1497" s="11" t="str">
        <f t="shared" si="48"/>
        <v/>
      </c>
      <c r="O1497" s="32" t="str">
        <f t="shared" si="49"/>
        <v/>
      </c>
    </row>
    <row r="1498" spans="2:15" ht="15" customHeight="1" x14ac:dyDescent="0.4">
      <c r="B1498" s="10">
        <v>1822</v>
      </c>
      <c r="C1498" s="34"/>
      <c r="D1498" s="77"/>
      <c r="E1498" s="77"/>
      <c r="F1498" s="77"/>
      <c r="G1498" s="77"/>
      <c r="H1498" s="91"/>
      <c r="I1498" s="89"/>
      <c r="J1498" s="77"/>
      <c r="K1498" s="110"/>
      <c r="L1498" s="107"/>
      <c r="M1498" s="109"/>
      <c r="N1498" s="11" t="str">
        <f t="shared" si="48"/>
        <v/>
      </c>
      <c r="O1498" s="32" t="str">
        <f t="shared" si="49"/>
        <v/>
      </c>
    </row>
    <row r="1499" spans="2:15" ht="15" customHeight="1" x14ac:dyDescent="0.4">
      <c r="B1499" s="10">
        <v>1823</v>
      </c>
      <c r="C1499" s="34"/>
      <c r="D1499" s="77"/>
      <c r="E1499" s="77"/>
      <c r="F1499" s="77"/>
      <c r="G1499" s="77"/>
      <c r="H1499" s="91"/>
      <c r="I1499" s="89"/>
      <c r="J1499" s="77"/>
      <c r="K1499" s="110"/>
      <c r="L1499" s="107"/>
      <c r="M1499" s="109"/>
      <c r="N1499" s="11" t="str">
        <f t="shared" si="48"/>
        <v/>
      </c>
      <c r="O1499" s="32" t="str">
        <f t="shared" si="49"/>
        <v/>
      </c>
    </row>
    <row r="1500" spans="2:15" ht="15" customHeight="1" x14ac:dyDescent="0.4">
      <c r="B1500" s="10">
        <v>1824</v>
      </c>
      <c r="C1500" s="34"/>
      <c r="D1500" s="77"/>
      <c r="E1500" s="77"/>
      <c r="F1500" s="77"/>
      <c r="G1500" s="77"/>
      <c r="H1500" s="91"/>
      <c r="I1500" s="89"/>
      <c r="J1500" s="77"/>
      <c r="K1500" s="110"/>
      <c r="L1500" s="107"/>
      <c r="M1500" s="109"/>
      <c r="N1500" s="11" t="str">
        <f t="shared" si="48"/>
        <v/>
      </c>
      <c r="O1500" s="32" t="str">
        <f t="shared" si="49"/>
        <v/>
      </c>
    </row>
    <row r="1501" spans="2:15" ht="15" customHeight="1" x14ac:dyDescent="0.4">
      <c r="B1501" s="10">
        <v>1825</v>
      </c>
      <c r="C1501" s="34"/>
      <c r="D1501" s="77"/>
      <c r="E1501" s="77"/>
      <c r="F1501" s="77"/>
      <c r="G1501" s="77"/>
      <c r="H1501" s="91"/>
      <c r="I1501" s="89"/>
      <c r="J1501" s="77"/>
      <c r="K1501" s="110"/>
      <c r="L1501" s="107"/>
      <c r="M1501" s="109"/>
      <c r="N1501" s="11" t="str">
        <f t="shared" si="48"/>
        <v/>
      </c>
      <c r="O1501" s="32" t="str">
        <f t="shared" si="49"/>
        <v/>
      </c>
    </row>
    <row r="1502" spans="2:15" ht="15" customHeight="1" x14ac:dyDescent="0.4">
      <c r="B1502" s="10">
        <v>1826</v>
      </c>
      <c r="C1502" s="34"/>
      <c r="D1502" s="77"/>
      <c r="E1502" s="77"/>
      <c r="F1502" s="77"/>
      <c r="G1502" s="77"/>
      <c r="H1502" s="91"/>
      <c r="I1502" s="89"/>
      <c r="J1502" s="77"/>
      <c r="K1502" s="110"/>
      <c r="L1502" s="107"/>
      <c r="M1502" s="109"/>
      <c r="N1502" s="11" t="str">
        <f t="shared" si="48"/>
        <v/>
      </c>
      <c r="O1502" s="32" t="str">
        <f t="shared" si="49"/>
        <v/>
      </c>
    </row>
    <row r="1503" spans="2:15" ht="15" customHeight="1" x14ac:dyDescent="0.4">
      <c r="B1503" s="10">
        <v>1827</v>
      </c>
      <c r="C1503" s="34"/>
      <c r="D1503" s="77"/>
      <c r="E1503" s="77"/>
      <c r="F1503" s="77"/>
      <c r="G1503" s="77"/>
      <c r="H1503" s="91"/>
      <c r="I1503" s="89"/>
      <c r="J1503" s="77"/>
      <c r="K1503" s="110"/>
      <c r="L1503" s="107"/>
      <c r="M1503" s="109"/>
      <c r="N1503" s="11" t="str">
        <f t="shared" si="48"/>
        <v/>
      </c>
      <c r="O1503" s="32" t="str">
        <f t="shared" si="49"/>
        <v/>
      </c>
    </row>
    <row r="1504" spans="2:15" ht="15" customHeight="1" x14ac:dyDescent="0.4">
      <c r="B1504" s="10">
        <v>1828</v>
      </c>
      <c r="C1504" s="34"/>
      <c r="D1504" s="77"/>
      <c r="E1504" s="77"/>
      <c r="F1504" s="77"/>
      <c r="G1504" s="77"/>
      <c r="H1504" s="91"/>
      <c r="I1504" s="89"/>
      <c r="J1504" s="77"/>
      <c r="K1504" s="110"/>
      <c r="L1504" s="107"/>
      <c r="M1504" s="109"/>
      <c r="N1504" s="11" t="str">
        <f t="shared" si="48"/>
        <v/>
      </c>
      <c r="O1504" s="32" t="str">
        <f t="shared" si="49"/>
        <v/>
      </c>
    </row>
    <row r="1505" spans="2:15" ht="15" customHeight="1" x14ac:dyDescent="0.4">
      <c r="B1505" s="10">
        <v>1829</v>
      </c>
      <c r="C1505" s="34"/>
      <c r="D1505" s="77"/>
      <c r="E1505" s="77"/>
      <c r="F1505" s="77"/>
      <c r="G1505" s="77"/>
      <c r="H1505" s="91"/>
      <c r="I1505" s="89"/>
      <c r="J1505" s="77"/>
      <c r="K1505" s="110"/>
      <c r="L1505" s="107"/>
      <c r="M1505" s="109"/>
      <c r="N1505" s="11" t="str">
        <f t="shared" si="48"/>
        <v/>
      </c>
      <c r="O1505" s="32" t="str">
        <f t="shared" si="49"/>
        <v/>
      </c>
    </row>
    <row r="1506" spans="2:15" ht="15" customHeight="1" x14ac:dyDescent="0.4">
      <c r="B1506" s="10">
        <v>1830</v>
      </c>
      <c r="C1506" s="34"/>
      <c r="D1506" s="77"/>
      <c r="E1506" s="77"/>
      <c r="F1506" s="77"/>
      <c r="G1506" s="77"/>
      <c r="H1506" s="91"/>
      <c r="I1506" s="89"/>
      <c r="J1506" s="77"/>
      <c r="K1506" s="110"/>
      <c r="L1506" s="107"/>
      <c r="M1506" s="109"/>
      <c r="N1506" s="11" t="str">
        <f t="shared" si="48"/>
        <v/>
      </c>
      <c r="O1506" s="32" t="str">
        <f t="shared" si="49"/>
        <v/>
      </c>
    </row>
    <row r="1507" spans="2:15" ht="15" customHeight="1" x14ac:dyDescent="0.4">
      <c r="B1507" s="10">
        <v>1831</v>
      </c>
      <c r="C1507" s="34"/>
      <c r="D1507" s="77"/>
      <c r="E1507" s="77"/>
      <c r="F1507" s="77"/>
      <c r="G1507" s="77"/>
      <c r="H1507" s="91"/>
      <c r="I1507" s="89"/>
      <c r="J1507" s="77"/>
      <c r="K1507" s="110"/>
      <c r="L1507" s="107"/>
      <c r="M1507" s="109"/>
      <c r="N1507" s="11" t="str">
        <f t="shared" si="48"/>
        <v/>
      </c>
      <c r="O1507" s="32" t="str">
        <f t="shared" si="49"/>
        <v/>
      </c>
    </row>
    <row r="1508" spans="2:15" ht="15" customHeight="1" x14ac:dyDescent="0.4">
      <c r="B1508" s="10">
        <v>1832</v>
      </c>
      <c r="C1508" s="34"/>
      <c r="D1508" s="77"/>
      <c r="E1508" s="77"/>
      <c r="F1508" s="77"/>
      <c r="G1508" s="77"/>
      <c r="H1508" s="91"/>
      <c r="I1508" s="89"/>
      <c r="J1508" s="77"/>
      <c r="K1508" s="110"/>
      <c r="L1508" s="107"/>
      <c r="M1508" s="109"/>
      <c r="N1508" s="11" t="str">
        <f t="shared" si="48"/>
        <v/>
      </c>
      <c r="O1508" s="32" t="str">
        <f t="shared" si="49"/>
        <v/>
      </c>
    </row>
    <row r="1509" spans="2:15" ht="15" customHeight="1" x14ac:dyDescent="0.4">
      <c r="B1509" s="10">
        <v>1833</v>
      </c>
      <c r="C1509" s="34"/>
      <c r="D1509" s="77"/>
      <c r="E1509" s="77"/>
      <c r="F1509" s="77"/>
      <c r="G1509" s="77"/>
      <c r="H1509" s="91"/>
      <c r="I1509" s="89"/>
      <c r="J1509" s="77"/>
      <c r="K1509" s="110"/>
      <c r="L1509" s="107"/>
      <c r="M1509" s="109"/>
      <c r="N1509" s="11" t="str">
        <f t="shared" si="48"/>
        <v/>
      </c>
      <c r="O1509" s="32" t="str">
        <f t="shared" si="49"/>
        <v/>
      </c>
    </row>
    <row r="1510" spans="2:15" ht="15" customHeight="1" x14ac:dyDescent="0.4">
      <c r="B1510" s="10">
        <v>1834</v>
      </c>
      <c r="C1510" s="34"/>
      <c r="D1510" s="77"/>
      <c r="E1510" s="77"/>
      <c r="F1510" s="77"/>
      <c r="G1510" s="77"/>
      <c r="H1510" s="91"/>
      <c r="I1510" s="89"/>
      <c r="J1510" s="77"/>
      <c r="K1510" s="110"/>
      <c r="L1510" s="107"/>
      <c r="M1510" s="109"/>
      <c r="N1510" s="11" t="str">
        <f t="shared" si="48"/>
        <v/>
      </c>
      <c r="O1510" s="32" t="str">
        <f t="shared" si="49"/>
        <v/>
      </c>
    </row>
    <row r="1511" spans="2:15" ht="15" customHeight="1" x14ac:dyDescent="0.4">
      <c r="B1511" s="10">
        <v>1835</v>
      </c>
      <c r="C1511" s="34"/>
      <c r="D1511" s="77"/>
      <c r="E1511" s="77"/>
      <c r="F1511" s="77"/>
      <c r="G1511" s="77"/>
      <c r="H1511" s="91"/>
      <c r="I1511" s="89"/>
      <c r="J1511" s="77"/>
      <c r="K1511" s="110"/>
      <c r="L1511" s="107"/>
      <c r="M1511" s="109"/>
      <c r="N1511" s="11" t="str">
        <f t="shared" si="48"/>
        <v/>
      </c>
      <c r="O1511" s="32" t="str">
        <f t="shared" si="49"/>
        <v/>
      </c>
    </row>
    <row r="1512" spans="2:15" ht="15" customHeight="1" x14ac:dyDescent="0.4">
      <c r="B1512" s="10">
        <v>1836</v>
      </c>
      <c r="C1512" s="34"/>
      <c r="D1512" s="77"/>
      <c r="E1512" s="77"/>
      <c r="F1512" s="77"/>
      <c r="G1512" s="77"/>
      <c r="H1512" s="91"/>
      <c r="I1512" s="89"/>
      <c r="J1512" s="77"/>
      <c r="K1512" s="110"/>
      <c r="L1512" s="107"/>
      <c r="M1512" s="109"/>
      <c r="N1512" s="11" t="str">
        <f t="shared" si="48"/>
        <v/>
      </c>
      <c r="O1512" s="32" t="str">
        <f t="shared" si="49"/>
        <v/>
      </c>
    </row>
    <row r="1513" spans="2:15" ht="15" customHeight="1" x14ac:dyDescent="0.4">
      <c r="B1513" s="10">
        <v>1837</v>
      </c>
      <c r="C1513" s="34"/>
      <c r="D1513" s="77"/>
      <c r="E1513" s="77"/>
      <c r="F1513" s="77"/>
      <c r="G1513" s="77"/>
      <c r="H1513" s="91"/>
      <c r="I1513" s="89"/>
      <c r="J1513" s="77"/>
      <c r="K1513" s="110"/>
      <c r="L1513" s="107"/>
      <c r="M1513" s="109"/>
      <c r="N1513" s="11" t="str">
        <f t="shared" si="48"/>
        <v/>
      </c>
      <c r="O1513" s="32" t="str">
        <f t="shared" si="49"/>
        <v/>
      </c>
    </row>
    <row r="1514" spans="2:15" ht="15" customHeight="1" x14ac:dyDescent="0.4">
      <c r="B1514" s="10">
        <v>1838</v>
      </c>
      <c r="C1514" s="34"/>
      <c r="D1514" s="77"/>
      <c r="E1514" s="77"/>
      <c r="F1514" s="77"/>
      <c r="G1514" s="77"/>
      <c r="H1514" s="91"/>
      <c r="I1514" s="89"/>
      <c r="J1514" s="77"/>
      <c r="K1514" s="110"/>
      <c r="L1514" s="107"/>
      <c r="M1514" s="109"/>
      <c r="N1514" s="11" t="str">
        <f t="shared" si="48"/>
        <v/>
      </c>
      <c r="O1514" s="32" t="str">
        <f t="shared" si="49"/>
        <v/>
      </c>
    </row>
    <row r="1515" spans="2:15" ht="15" customHeight="1" x14ac:dyDescent="0.4">
      <c r="B1515" s="10">
        <v>1839</v>
      </c>
      <c r="C1515" s="34"/>
      <c r="D1515" s="77"/>
      <c r="E1515" s="77"/>
      <c r="F1515" s="77"/>
      <c r="G1515" s="77"/>
      <c r="H1515" s="91"/>
      <c r="I1515" s="89"/>
      <c r="J1515" s="77"/>
      <c r="K1515" s="110"/>
      <c r="L1515" s="107"/>
      <c r="M1515" s="109"/>
      <c r="N1515" s="11" t="str">
        <f t="shared" si="48"/>
        <v/>
      </c>
      <c r="O1515" s="32" t="str">
        <f t="shared" si="49"/>
        <v/>
      </c>
    </row>
    <row r="1516" spans="2:15" ht="15" customHeight="1" x14ac:dyDescent="0.4">
      <c r="B1516" s="10">
        <v>1840</v>
      </c>
      <c r="C1516" s="34"/>
      <c r="D1516" s="77"/>
      <c r="E1516" s="77"/>
      <c r="F1516" s="77"/>
      <c r="G1516" s="77"/>
      <c r="H1516" s="91"/>
      <c r="I1516" s="89"/>
      <c r="J1516" s="77"/>
      <c r="K1516" s="110"/>
      <c r="L1516" s="107"/>
      <c r="M1516" s="109"/>
      <c r="N1516" s="11" t="str">
        <f t="shared" si="48"/>
        <v/>
      </c>
      <c r="O1516" s="32" t="str">
        <f t="shared" si="49"/>
        <v/>
      </c>
    </row>
    <row r="1517" spans="2:15" ht="15" customHeight="1" x14ac:dyDescent="0.4">
      <c r="B1517" s="10">
        <v>1841</v>
      </c>
      <c r="C1517" s="34"/>
      <c r="D1517" s="77"/>
      <c r="E1517" s="77"/>
      <c r="F1517" s="77"/>
      <c r="G1517" s="77"/>
      <c r="H1517" s="91"/>
      <c r="I1517" s="89"/>
      <c r="J1517" s="77"/>
      <c r="K1517" s="110"/>
      <c r="L1517" s="107"/>
      <c r="M1517" s="109"/>
      <c r="N1517" s="11" t="str">
        <f t="shared" si="48"/>
        <v/>
      </c>
      <c r="O1517" s="32" t="str">
        <f t="shared" si="49"/>
        <v/>
      </c>
    </row>
    <row r="1518" spans="2:15" ht="15" customHeight="1" x14ac:dyDescent="0.4">
      <c r="B1518" s="10">
        <v>1842</v>
      </c>
      <c r="C1518" s="34"/>
      <c r="D1518" s="77"/>
      <c r="E1518" s="77"/>
      <c r="F1518" s="77"/>
      <c r="G1518" s="77"/>
      <c r="H1518" s="91"/>
      <c r="I1518" s="89"/>
      <c r="J1518" s="77"/>
      <c r="K1518" s="110"/>
      <c r="L1518" s="107"/>
      <c r="M1518" s="109"/>
      <c r="N1518" s="11" t="str">
        <f t="shared" si="48"/>
        <v/>
      </c>
      <c r="O1518" s="32" t="str">
        <f t="shared" si="49"/>
        <v/>
      </c>
    </row>
    <row r="1519" spans="2:15" ht="15" customHeight="1" x14ac:dyDescent="0.4">
      <c r="B1519" s="10">
        <v>1843</v>
      </c>
      <c r="C1519" s="34"/>
      <c r="D1519" s="77"/>
      <c r="E1519" s="77"/>
      <c r="F1519" s="77"/>
      <c r="G1519" s="77"/>
      <c r="H1519" s="91"/>
      <c r="I1519" s="89"/>
      <c r="J1519" s="77"/>
      <c r="K1519" s="110"/>
      <c r="L1519" s="107"/>
      <c r="M1519" s="109"/>
      <c r="N1519" s="11" t="str">
        <f t="shared" si="48"/>
        <v/>
      </c>
      <c r="O1519" s="32" t="str">
        <f t="shared" si="49"/>
        <v/>
      </c>
    </row>
    <row r="1520" spans="2:15" ht="15" customHeight="1" x14ac:dyDescent="0.4">
      <c r="B1520" s="10">
        <v>1844</v>
      </c>
      <c r="C1520" s="34"/>
      <c r="D1520" s="77"/>
      <c r="E1520" s="77"/>
      <c r="F1520" s="77"/>
      <c r="G1520" s="77"/>
      <c r="H1520" s="91"/>
      <c r="I1520" s="89"/>
      <c r="J1520" s="77"/>
      <c r="K1520" s="110"/>
      <c r="L1520" s="107"/>
      <c r="M1520" s="109"/>
      <c r="N1520" s="11" t="str">
        <f t="shared" si="48"/>
        <v/>
      </c>
      <c r="O1520" s="32" t="str">
        <f t="shared" si="49"/>
        <v/>
      </c>
    </row>
    <row r="1521" spans="2:15" ht="15" customHeight="1" x14ac:dyDescent="0.4">
      <c r="B1521" s="10">
        <v>1845</v>
      </c>
      <c r="C1521" s="34"/>
      <c r="D1521" s="77"/>
      <c r="E1521" s="77"/>
      <c r="F1521" s="77"/>
      <c r="G1521" s="77"/>
      <c r="H1521" s="91"/>
      <c r="I1521" s="89"/>
      <c r="J1521" s="77"/>
      <c r="K1521" s="110"/>
      <c r="L1521" s="107"/>
      <c r="M1521" s="109"/>
      <c r="N1521" s="11" t="str">
        <f t="shared" si="48"/>
        <v/>
      </c>
      <c r="O1521" s="32" t="str">
        <f t="shared" si="49"/>
        <v/>
      </c>
    </row>
    <row r="1522" spans="2:15" ht="15" customHeight="1" x14ac:dyDescent="0.4">
      <c r="B1522" s="10">
        <v>1846</v>
      </c>
      <c r="C1522" s="34"/>
      <c r="D1522" s="77"/>
      <c r="E1522" s="77"/>
      <c r="F1522" s="77"/>
      <c r="G1522" s="77"/>
      <c r="H1522" s="91"/>
      <c r="I1522" s="89"/>
      <c r="J1522" s="77"/>
      <c r="K1522" s="110"/>
      <c r="L1522" s="107"/>
      <c r="M1522" s="109"/>
      <c r="N1522" s="11" t="str">
        <f t="shared" si="48"/>
        <v/>
      </c>
      <c r="O1522" s="32" t="str">
        <f t="shared" si="49"/>
        <v/>
      </c>
    </row>
    <row r="1523" spans="2:15" ht="15" customHeight="1" x14ac:dyDescent="0.4">
      <c r="B1523" s="10">
        <v>1847</v>
      </c>
      <c r="C1523" s="34"/>
      <c r="D1523" s="77"/>
      <c r="E1523" s="77"/>
      <c r="F1523" s="77"/>
      <c r="G1523" s="77"/>
      <c r="H1523" s="91"/>
      <c r="I1523" s="89"/>
      <c r="J1523" s="77"/>
      <c r="K1523" s="110"/>
      <c r="L1523" s="107"/>
      <c r="M1523" s="109"/>
      <c r="N1523" s="11" t="str">
        <f t="shared" si="48"/>
        <v/>
      </c>
      <c r="O1523" s="32" t="str">
        <f t="shared" si="49"/>
        <v/>
      </c>
    </row>
    <row r="1524" spans="2:15" ht="15" customHeight="1" x14ac:dyDescent="0.4">
      <c r="B1524" s="10">
        <v>1848</v>
      </c>
      <c r="C1524" s="34"/>
      <c r="D1524" s="77"/>
      <c r="E1524" s="77"/>
      <c r="F1524" s="77"/>
      <c r="G1524" s="77"/>
      <c r="H1524" s="91"/>
      <c r="I1524" s="89"/>
      <c r="J1524" s="77"/>
      <c r="K1524" s="110"/>
      <c r="L1524" s="107"/>
      <c r="M1524" s="109"/>
      <c r="N1524" s="11" t="str">
        <f t="shared" si="48"/>
        <v/>
      </c>
      <c r="O1524" s="32" t="str">
        <f t="shared" si="49"/>
        <v/>
      </c>
    </row>
    <row r="1525" spans="2:15" ht="15" customHeight="1" x14ac:dyDescent="0.4">
      <c r="B1525" s="10">
        <v>1849</v>
      </c>
      <c r="C1525" s="34"/>
      <c r="D1525" s="77"/>
      <c r="E1525" s="77"/>
      <c r="F1525" s="77"/>
      <c r="G1525" s="77"/>
      <c r="H1525" s="91"/>
      <c r="I1525" s="89"/>
      <c r="J1525" s="77"/>
      <c r="K1525" s="110"/>
      <c r="L1525" s="107"/>
      <c r="M1525" s="109"/>
      <c r="N1525" s="11" t="str">
        <f t="shared" si="48"/>
        <v/>
      </c>
      <c r="O1525" s="32" t="str">
        <f t="shared" si="49"/>
        <v/>
      </c>
    </row>
    <row r="1526" spans="2:15" ht="15" customHeight="1" x14ac:dyDescent="0.4">
      <c r="B1526" s="10">
        <v>1850</v>
      </c>
      <c r="C1526" s="34"/>
      <c r="D1526" s="77"/>
      <c r="E1526" s="77"/>
      <c r="F1526" s="77"/>
      <c r="G1526" s="77"/>
      <c r="H1526" s="91"/>
      <c r="I1526" s="89"/>
      <c r="J1526" s="77"/>
      <c r="K1526" s="110"/>
      <c r="L1526" s="107"/>
      <c r="M1526" s="109"/>
      <c r="N1526" s="11" t="str">
        <f t="shared" si="48"/>
        <v/>
      </c>
      <c r="O1526" s="32" t="str">
        <f t="shared" si="49"/>
        <v/>
      </c>
    </row>
    <row r="1527" spans="2:15" ht="15" customHeight="1" x14ac:dyDescent="0.4">
      <c r="B1527" s="10">
        <v>1851</v>
      </c>
      <c r="C1527" s="34"/>
      <c r="D1527" s="77"/>
      <c r="E1527" s="77"/>
      <c r="F1527" s="77"/>
      <c r="G1527" s="77"/>
      <c r="H1527" s="91"/>
      <c r="I1527" s="89"/>
      <c r="J1527" s="77"/>
      <c r="K1527" s="110"/>
      <c r="L1527" s="107"/>
      <c r="M1527" s="109"/>
      <c r="N1527" s="11" t="str">
        <f t="shared" si="48"/>
        <v/>
      </c>
      <c r="O1527" s="32" t="str">
        <f t="shared" si="49"/>
        <v/>
      </c>
    </row>
    <row r="1528" spans="2:15" ht="15" customHeight="1" x14ac:dyDescent="0.4">
      <c r="B1528" s="10">
        <v>1852</v>
      </c>
      <c r="C1528" s="34"/>
      <c r="D1528" s="77"/>
      <c r="E1528" s="77"/>
      <c r="F1528" s="77"/>
      <c r="G1528" s="77"/>
      <c r="H1528" s="91"/>
      <c r="I1528" s="89"/>
      <c r="J1528" s="77"/>
      <c r="K1528" s="110"/>
      <c r="L1528" s="107"/>
      <c r="M1528" s="109"/>
      <c r="N1528" s="11" t="str">
        <f t="shared" si="48"/>
        <v/>
      </c>
      <c r="O1528" s="32" t="str">
        <f t="shared" si="49"/>
        <v/>
      </c>
    </row>
    <row r="1529" spans="2:15" ht="15" customHeight="1" x14ac:dyDescent="0.4">
      <c r="B1529" s="10">
        <v>1853</v>
      </c>
      <c r="C1529" s="34"/>
      <c r="D1529" s="77"/>
      <c r="E1529" s="77"/>
      <c r="F1529" s="77"/>
      <c r="G1529" s="77"/>
      <c r="H1529" s="91"/>
      <c r="I1529" s="89"/>
      <c r="J1529" s="77"/>
      <c r="K1529" s="110"/>
      <c r="L1529" s="107"/>
      <c r="M1529" s="109"/>
      <c r="N1529" s="11" t="str">
        <f t="shared" si="48"/>
        <v/>
      </c>
      <c r="O1529" s="32" t="str">
        <f t="shared" si="49"/>
        <v/>
      </c>
    </row>
    <row r="1530" spans="2:15" ht="15" customHeight="1" x14ac:dyDescent="0.4">
      <c r="B1530" s="10">
        <v>1854</v>
      </c>
      <c r="C1530" s="34"/>
      <c r="D1530" s="77"/>
      <c r="E1530" s="77"/>
      <c r="F1530" s="77"/>
      <c r="G1530" s="77"/>
      <c r="H1530" s="91"/>
      <c r="I1530" s="89"/>
      <c r="J1530" s="77"/>
      <c r="K1530" s="110"/>
      <c r="L1530" s="107"/>
      <c r="M1530" s="109"/>
      <c r="N1530" s="11" t="str">
        <f t="shared" si="48"/>
        <v/>
      </c>
      <c r="O1530" s="32" t="str">
        <f t="shared" si="49"/>
        <v/>
      </c>
    </row>
    <row r="1531" spans="2:15" ht="15" customHeight="1" x14ac:dyDescent="0.4">
      <c r="B1531" s="10">
        <v>1855</v>
      </c>
      <c r="C1531" s="34"/>
      <c r="D1531" s="77"/>
      <c r="E1531" s="77"/>
      <c r="F1531" s="77"/>
      <c r="G1531" s="77"/>
      <c r="H1531" s="91"/>
      <c r="I1531" s="89"/>
      <c r="J1531" s="77"/>
      <c r="K1531" s="110"/>
      <c r="L1531" s="107"/>
      <c r="M1531" s="109"/>
      <c r="N1531" s="11" t="str">
        <f t="shared" si="48"/>
        <v/>
      </c>
      <c r="O1531" s="32" t="str">
        <f t="shared" si="49"/>
        <v/>
      </c>
    </row>
    <row r="1532" spans="2:15" ht="15" customHeight="1" x14ac:dyDescent="0.4">
      <c r="B1532" s="10">
        <v>1856</v>
      </c>
      <c r="C1532" s="34"/>
      <c r="D1532" s="77"/>
      <c r="E1532" s="77"/>
      <c r="F1532" s="77"/>
      <c r="G1532" s="77"/>
      <c r="H1532" s="91"/>
      <c r="I1532" s="89"/>
      <c r="J1532" s="77"/>
      <c r="K1532" s="110"/>
      <c r="L1532" s="107"/>
      <c r="M1532" s="109"/>
      <c r="N1532" s="11" t="str">
        <f t="shared" si="48"/>
        <v/>
      </c>
      <c r="O1532" s="32" t="str">
        <f t="shared" si="49"/>
        <v/>
      </c>
    </row>
    <row r="1533" spans="2:15" ht="15" customHeight="1" x14ac:dyDescent="0.4">
      <c r="B1533" s="10">
        <v>1857</v>
      </c>
      <c r="C1533" s="34"/>
      <c r="D1533" s="77"/>
      <c r="E1533" s="77"/>
      <c r="F1533" s="77"/>
      <c r="G1533" s="77"/>
      <c r="H1533" s="91"/>
      <c r="I1533" s="89"/>
      <c r="J1533" s="77"/>
      <c r="K1533" s="110"/>
      <c r="L1533" s="107"/>
      <c r="M1533" s="109"/>
      <c r="N1533" s="11" t="str">
        <f t="shared" si="48"/>
        <v/>
      </c>
      <c r="O1533" s="32" t="str">
        <f t="shared" si="49"/>
        <v/>
      </c>
    </row>
    <row r="1534" spans="2:15" ht="15" customHeight="1" x14ac:dyDescent="0.4">
      <c r="B1534" s="10">
        <v>1858</v>
      </c>
      <c r="C1534" s="34"/>
      <c r="D1534" s="77"/>
      <c r="E1534" s="77"/>
      <c r="F1534" s="77"/>
      <c r="G1534" s="77"/>
      <c r="H1534" s="91"/>
      <c r="I1534" s="89"/>
      <c r="J1534" s="77"/>
      <c r="K1534" s="110"/>
      <c r="L1534" s="107"/>
      <c r="M1534" s="109"/>
      <c r="N1534" s="11" t="str">
        <f t="shared" si="48"/>
        <v/>
      </c>
      <c r="O1534" s="32" t="str">
        <f t="shared" si="49"/>
        <v/>
      </c>
    </row>
    <row r="1535" spans="2:15" ht="15" customHeight="1" x14ac:dyDescent="0.4">
      <c r="B1535" s="10">
        <v>1859</v>
      </c>
      <c r="C1535" s="34"/>
      <c r="D1535" s="77"/>
      <c r="E1535" s="77"/>
      <c r="F1535" s="77"/>
      <c r="G1535" s="77"/>
      <c r="H1535" s="91"/>
      <c r="I1535" s="89"/>
      <c r="J1535" s="77"/>
      <c r="K1535" s="110"/>
      <c r="L1535" s="107"/>
      <c r="M1535" s="109"/>
      <c r="N1535" s="11" t="str">
        <f t="shared" si="48"/>
        <v/>
      </c>
      <c r="O1535" s="32" t="str">
        <f t="shared" si="49"/>
        <v/>
      </c>
    </row>
    <row r="1536" spans="2:15" ht="15" customHeight="1" x14ac:dyDescent="0.4">
      <c r="B1536" s="10">
        <v>1860</v>
      </c>
      <c r="C1536" s="34"/>
      <c r="D1536" s="77"/>
      <c r="E1536" s="77"/>
      <c r="F1536" s="77"/>
      <c r="G1536" s="77"/>
      <c r="H1536" s="91"/>
      <c r="I1536" s="89"/>
      <c r="J1536" s="77"/>
      <c r="K1536" s="110"/>
      <c r="L1536" s="107"/>
      <c r="M1536" s="109"/>
      <c r="N1536" s="11" t="str">
        <f t="shared" si="48"/>
        <v/>
      </c>
      <c r="O1536" s="32" t="str">
        <f t="shared" si="49"/>
        <v/>
      </c>
    </row>
    <row r="1537" spans="2:15" ht="15" customHeight="1" x14ac:dyDescent="0.4">
      <c r="B1537" s="10">
        <v>1861</v>
      </c>
      <c r="C1537" s="34"/>
      <c r="D1537" s="77"/>
      <c r="E1537" s="77"/>
      <c r="F1537" s="77"/>
      <c r="G1537" s="77"/>
      <c r="H1537" s="91"/>
      <c r="I1537" s="89"/>
      <c r="J1537" s="77"/>
      <c r="K1537" s="110"/>
      <c r="L1537" s="107"/>
      <c r="M1537" s="109"/>
      <c r="N1537" s="11" t="str">
        <f t="shared" si="48"/>
        <v/>
      </c>
      <c r="O1537" s="32" t="str">
        <f t="shared" si="49"/>
        <v/>
      </c>
    </row>
    <row r="1538" spans="2:15" ht="15" customHeight="1" x14ac:dyDescent="0.4">
      <c r="B1538" s="10">
        <v>1862</v>
      </c>
      <c r="C1538" s="34"/>
      <c r="D1538" s="77"/>
      <c r="E1538" s="77"/>
      <c r="F1538" s="77"/>
      <c r="G1538" s="77"/>
      <c r="H1538" s="91"/>
      <c r="I1538" s="89"/>
      <c r="J1538" s="77"/>
      <c r="K1538" s="110"/>
      <c r="L1538" s="107"/>
      <c r="M1538" s="109"/>
      <c r="N1538" s="11" t="str">
        <f t="shared" si="48"/>
        <v/>
      </c>
      <c r="O1538" s="32" t="str">
        <f t="shared" si="49"/>
        <v/>
      </c>
    </row>
    <row r="1539" spans="2:15" ht="15" customHeight="1" x14ac:dyDescent="0.4">
      <c r="B1539" s="10">
        <v>1863</v>
      </c>
      <c r="C1539" s="34"/>
      <c r="D1539" s="77"/>
      <c r="E1539" s="77"/>
      <c r="F1539" s="77"/>
      <c r="G1539" s="77"/>
      <c r="H1539" s="91"/>
      <c r="I1539" s="89"/>
      <c r="J1539" s="77"/>
      <c r="K1539" s="110"/>
      <c r="L1539" s="107"/>
      <c r="M1539" s="109"/>
      <c r="N1539" s="11" t="str">
        <f t="shared" si="48"/>
        <v/>
      </c>
      <c r="O1539" s="32" t="str">
        <f t="shared" si="49"/>
        <v/>
      </c>
    </row>
    <row r="1540" spans="2:15" ht="15" customHeight="1" x14ac:dyDescent="0.4">
      <c r="B1540" s="10">
        <v>1864</v>
      </c>
      <c r="C1540" s="34"/>
      <c r="D1540" s="77"/>
      <c r="E1540" s="77"/>
      <c r="F1540" s="77"/>
      <c r="G1540" s="77"/>
      <c r="H1540" s="91"/>
      <c r="I1540" s="89"/>
      <c r="J1540" s="77"/>
      <c r="K1540" s="110"/>
      <c r="L1540" s="107"/>
      <c r="M1540" s="109"/>
      <c r="N1540" s="11" t="str">
        <f t="shared" ref="N1540:N1603" si="50">IF(OR(M1540="", K1540=""),"", M1540- K1540)</f>
        <v/>
      </c>
      <c r="O1540" s="32" t="str">
        <f t="shared" ref="O1540:O1603" si="51">IF(OR(M1540="", K1540="", L1540=""), "", IF((M1540 - K1540) &gt; L1540, "No", "Yes"))</f>
        <v/>
      </c>
    </row>
    <row r="1541" spans="2:15" ht="15" customHeight="1" x14ac:dyDescent="0.4">
      <c r="B1541" s="10">
        <v>1865</v>
      </c>
      <c r="C1541" s="34"/>
      <c r="D1541" s="77"/>
      <c r="E1541" s="77"/>
      <c r="F1541" s="77"/>
      <c r="G1541" s="77"/>
      <c r="H1541" s="91"/>
      <c r="I1541" s="89"/>
      <c r="J1541" s="77"/>
      <c r="K1541" s="110"/>
      <c r="L1541" s="107"/>
      <c r="M1541" s="109"/>
      <c r="N1541" s="11" t="str">
        <f t="shared" si="50"/>
        <v/>
      </c>
      <c r="O1541" s="32" t="str">
        <f t="shared" si="51"/>
        <v/>
      </c>
    </row>
    <row r="1542" spans="2:15" ht="15" customHeight="1" x14ac:dyDescent="0.4">
      <c r="B1542" s="10">
        <v>1866</v>
      </c>
      <c r="C1542" s="34"/>
      <c r="D1542" s="77"/>
      <c r="E1542" s="77"/>
      <c r="F1542" s="77"/>
      <c r="G1542" s="77"/>
      <c r="H1542" s="91"/>
      <c r="I1542" s="89"/>
      <c r="J1542" s="77"/>
      <c r="K1542" s="110"/>
      <c r="L1542" s="107"/>
      <c r="M1542" s="109"/>
      <c r="N1542" s="11" t="str">
        <f t="shared" si="50"/>
        <v/>
      </c>
      <c r="O1542" s="32" t="str">
        <f t="shared" si="51"/>
        <v/>
      </c>
    </row>
    <row r="1543" spans="2:15" ht="15" customHeight="1" x14ac:dyDescent="0.4">
      <c r="B1543" s="10">
        <v>1867</v>
      </c>
      <c r="C1543" s="34"/>
      <c r="D1543" s="77"/>
      <c r="E1543" s="77"/>
      <c r="F1543" s="77"/>
      <c r="G1543" s="77"/>
      <c r="H1543" s="91"/>
      <c r="I1543" s="89"/>
      <c r="J1543" s="77"/>
      <c r="K1543" s="110"/>
      <c r="L1543" s="107"/>
      <c r="M1543" s="109"/>
      <c r="N1543" s="11" t="str">
        <f t="shared" si="50"/>
        <v/>
      </c>
      <c r="O1543" s="32" t="str">
        <f t="shared" si="51"/>
        <v/>
      </c>
    </row>
    <row r="1544" spans="2:15" ht="15" customHeight="1" x14ac:dyDescent="0.4">
      <c r="B1544" s="10">
        <v>1868</v>
      </c>
      <c r="C1544" s="34"/>
      <c r="D1544" s="77"/>
      <c r="E1544" s="77"/>
      <c r="F1544" s="77"/>
      <c r="G1544" s="77"/>
      <c r="H1544" s="91"/>
      <c r="I1544" s="89"/>
      <c r="J1544" s="77"/>
      <c r="K1544" s="110"/>
      <c r="L1544" s="107"/>
      <c r="M1544" s="109"/>
      <c r="N1544" s="11" t="str">
        <f t="shared" si="50"/>
        <v/>
      </c>
      <c r="O1544" s="32" t="str">
        <f t="shared" si="51"/>
        <v/>
      </c>
    </row>
    <row r="1545" spans="2:15" ht="15" customHeight="1" x14ac:dyDescent="0.4">
      <c r="B1545" s="10">
        <v>1869</v>
      </c>
      <c r="C1545" s="34"/>
      <c r="D1545" s="77"/>
      <c r="E1545" s="77"/>
      <c r="F1545" s="77"/>
      <c r="G1545" s="77"/>
      <c r="H1545" s="91"/>
      <c r="I1545" s="89"/>
      <c r="J1545" s="77"/>
      <c r="K1545" s="110"/>
      <c r="L1545" s="107"/>
      <c r="M1545" s="109"/>
      <c r="N1545" s="11" t="str">
        <f t="shared" si="50"/>
        <v/>
      </c>
      <c r="O1545" s="32" t="str">
        <f t="shared" si="51"/>
        <v/>
      </c>
    </row>
    <row r="1546" spans="2:15" ht="15" customHeight="1" x14ac:dyDescent="0.4">
      <c r="B1546" s="10">
        <v>1870</v>
      </c>
      <c r="C1546" s="34"/>
      <c r="D1546" s="77"/>
      <c r="E1546" s="77"/>
      <c r="F1546" s="77"/>
      <c r="G1546" s="77"/>
      <c r="H1546" s="91"/>
      <c r="I1546" s="89"/>
      <c r="J1546" s="77"/>
      <c r="K1546" s="110"/>
      <c r="L1546" s="107"/>
      <c r="M1546" s="109"/>
      <c r="N1546" s="11" t="str">
        <f t="shared" si="50"/>
        <v/>
      </c>
      <c r="O1546" s="32" t="str">
        <f t="shared" si="51"/>
        <v/>
      </c>
    </row>
    <row r="1547" spans="2:15" ht="15" customHeight="1" x14ac:dyDescent="0.4">
      <c r="B1547" s="10">
        <v>1871</v>
      </c>
      <c r="C1547" s="34"/>
      <c r="D1547" s="77"/>
      <c r="E1547" s="77"/>
      <c r="F1547" s="77"/>
      <c r="G1547" s="77"/>
      <c r="H1547" s="91"/>
      <c r="I1547" s="89"/>
      <c r="J1547" s="77"/>
      <c r="K1547" s="110"/>
      <c r="L1547" s="107"/>
      <c r="M1547" s="109"/>
      <c r="N1547" s="11" t="str">
        <f t="shared" si="50"/>
        <v/>
      </c>
      <c r="O1547" s="32" t="str">
        <f t="shared" si="51"/>
        <v/>
      </c>
    </row>
    <row r="1548" spans="2:15" ht="15" customHeight="1" x14ac:dyDescent="0.4">
      <c r="B1548" s="10">
        <v>1872</v>
      </c>
      <c r="C1548" s="34"/>
      <c r="D1548" s="77"/>
      <c r="E1548" s="77"/>
      <c r="F1548" s="77"/>
      <c r="G1548" s="77"/>
      <c r="H1548" s="91"/>
      <c r="I1548" s="89"/>
      <c r="J1548" s="77"/>
      <c r="K1548" s="110"/>
      <c r="L1548" s="107"/>
      <c r="M1548" s="109"/>
      <c r="N1548" s="11" t="str">
        <f t="shared" si="50"/>
        <v/>
      </c>
      <c r="O1548" s="32" t="str">
        <f t="shared" si="51"/>
        <v/>
      </c>
    </row>
    <row r="1549" spans="2:15" ht="15" customHeight="1" x14ac:dyDescent="0.4">
      <c r="B1549" s="10">
        <v>1873</v>
      </c>
      <c r="C1549" s="34"/>
      <c r="D1549" s="77"/>
      <c r="E1549" s="77"/>
      <c r="F1549" s="77"/>
      <c r="G1549" s="77"/>
      <c r="H1549" s="91"/>
      <c r="I1549" s="89"/>
      <c r="J1549" s="77"/>
      <c r="K1549" s="110"/>
      <c r="L1549" s="107"/>
      <c r="M1549" s="109"/>
      <c r="N1549" s="11" t="str">
        <f t="shared" si="50"/>
        <v/>
      </c>
      <c r="O1549" s="32" t="str">
        <f t="shared" si="51"/>
        <v/>
      </c>
    </row>
    <row r="1550" spans="2:15" ht="15" customHeight="1" x14ac:dyDescent="0.4">
      <c r="B1550" s="10">
        <v>1874</v>
      </c>
      <c r="C1550" s="34"/>
      <c r="D1550" s="77"/>
      <c r="E1550" s="77"/>
      <c r="F1550" s="77"/>
      <c r="G1550" s="77"/>
      <c r="H1550" s="91"/>
      <c r="I1550" s="89"/>
      <c r="J1550" s="77"/>
      <c r="K1550" s="110"/>
      <c r="L1550" s="107"/>
      <c r="M1550" s="109"/>
      <c r="N1550" s="11" t="str">
        <f t="shared" si="50"/>
        <v/>
      </c>
      <c r="O1550" s="32" t="str">
        <f t="shared" si="51"/>
        <v/>
      </c>
    </row>
    <row r="1551" spans="2:15" ht="15" customHeight="1" x14ac:dyDescent="0.4">
      <c r="B1551" s="10">
        <v>1875</v>
      </c>
      <c r="C1551" s="34"/>
      <c r="D1551" s="77"/>
      <c r="E1551" s="77"/>
      <c r="F1551" s="77"/>
      <c r="G1551" s="77"/>
      <c r="H1551" s="91"/>
      <c r="I1551" s="89"/>
      <c r="J1551" s="77"/>
      <c r="K1551" s="110"/>
      <c r="L1551" s="107"/>
      <c r="M1551" s="109"/>
      <c r="N1551" s="11" t="str">
        <f t="shared" si="50"/>
        <v/>
      </c>
      <c r="O1551" s="32" t="str">
        <f t="shared" si="51"/>
        <v/>
      </c>
    </row>
    <row r="1552" spans="2:15" ht="15" customHeight="1" x14ac:dyDescent="0.4">
      <c r="B1552" s="10">
        <v>1876</v>
      </c>
      <c r="C1552" s="34"/>
      <c r="D1552" s="77"/>
      <c r="E1552" s="77"/>
      <c r="F1552" s="77"/>
      <c r="G1552" s="77"/>
      <c r="H1552" s="91"/>
      <c r="I1552" s="89"/>
      <c r="J1552" s="77"/>
      <c r="K1552" s="110"/>
      <c r="L1552" s="107"/>
      <c r="M1552" s="109"/>
      <c r="N1552" s="11" t="str">
        <f t="shared" si="50"/>
        <v/>
      </c>
      <c r="O1552" s="32" t="str">
        <f t="shared" si="51"/>
        <v/>
      </c>
    </row>
    <row r="1553" spans="2:15" ht="15" customHeight="1" x14ac:dyDescent="0.4">
      <c r="B1553" s="10">
        <v>1877</v>
      </c>
      <c r="C1553" s="34"/>
      <c r="D1553" s="77"/>
      <c r="E1553" s="77"/>
      <c r="F1553" s="77"/>
      <c r="G1553" s="77"/>
      <c r="H1553" s="91"/>
      <c r="I1553" s="89"/>
      <c r="J1553" s="77"/>
      <c r="K1553" s="110"/>
      <c r="L1553" s="107"/>
      <c r="M1553" s="109"/>
      <c r="N1553" s="11" t="str">
        <f t="shared" si="50"/>
        <v/>
      </c>
      <c r="O1553" s="32" t="str">
        <f t="shared" si="51"/>
        <v/>
      </c>
    </row>
    <row r="1554" spans="2:15" ht="15" customHeight="1" x14ac:dyDescent="0.4">
      <c r="B1554" s="10">
        <v>1878</v>
      </c>
      <c r="C1554" s="34"/>
      <c r="D1554" s="77"/>
      <c r="E1554" s="77"/>
      <c r="F1554" s="77"/>
      <c r="G1554" s="77"/>
      <c r="H1554" s="91"/>
      <c r="I1554" s="89"/>
      <c r="J1554" s="77"/>
      <c r="K1554" s="110"/>
      <c r="L1554" s="107"/>
      <c r="M1554" s="109"/>
      <c r="N1554" s="11" t="str">
        <f t="shared" si="50"/>
        <v/>
      </c>
      <c r="O1554" s="32" t="str">
        <f t="shared" si="51"/>
        <v/>
      </c>
    </row>
    <row r="1555" spans="2:15" ht="15" customHeight="1" x14ac:dyDescent="0.4">
      <c r="B1555" s="10">
        <v>1879</v>
      </c>
      <c r="C1555" s="34"/>
      <c r="D1555" s="77"/>
      <c r="E1555" s="77"/>
      <c r="F1555" s="77"/>
      <c r="G1555" s="77"/>
      <c r="H1555" s="91"/>
      <c r="I1555" s="89"/>
      <c r="J1555" s="77"/>
      <c r="K1555" s="110"/>
      <c r="L1555" s="107"/>
      <c r="M1555" s="109"/>
      <c r="N1555" s="11" t="str">
        <f t="shared" si="50"/>
        <v/>
      </c>
      <c r="O1555" s="32" t="str">
        <f t="shared" si="51"/>
        <v/>
      </c>
    </row>
    <row r="1556" spans="2:15" ht="15" customHeight="1" x14ac:dyDescent="0.4">
      <c r="B1556" s="10">
        <v>1880</v>
      </c>
      <c r="C1556" s="34"/>
      <c r="D1556" s="77"/>
      <c r="E1556" s="77"/>
      <c r="F1556" s="77"/>
      <c r="G1556" s="77"/>
      <c r="H1556" s="91"/>
      <c r="I1556" s="89"/>
      <c r="J1556" s="77"/>
      <c r="K1556" s="110"/>
      <c r="L1556" s="107"/>
      <c r="M1556" s="109"/>
      <c r="N1556" s="11" t="str">
        <f t="shared" si="50"/>
        <v/>
      </c>
      <c r="O1556" s="32" t="str">
        <f t="shared" si="51"/>
        <v/>
      </c>
    </row>
    <row r="1557" spans="2:15" ht="15" customHeight="1" x14ac:dyDescent="0.4">
      <c r="B1557" s="10">
        <v>1881</v>
      </c>
      <c r="C1557" s="34"/>
      <c r="D1557" s="77"/>
      <c r="E1557" s="77"/>
      <c r="F1557" s="77"/>
      <c r="G1557" s="77"/>
      <c r="H1557" s="91"/>
      <c r="I1557" s="89"/>
      <c r="J1557" s="77"/>
      <c r="K1557" s="110"/>
      <c r="L1557" s="107"/>
      <c r="M1557" s="109"/>
      <c r="N1557" s="11" t="str">
        <f t="shared" si="50"/>
        <v/>
      </c>
      <c r="O1557" s="32" t="str">
        <f t="shared" si="51"/>
        <v/>
      </c>
    </row>
    <row r="1558" spans="2:15" ht="15" customHeight="1" x14ac:dyDescent="0.4">
      <c r="B1558" s="10">
        <v>1882</v>
      </c>
      <c r="C1558" s="34"/>
      <c r="D1558" s="77"/>
      <c r="E1558" s="77"/>
      <c r="F1558" s="77"/>
      <c r="G1558" s="77"/>
      <c r="H1558" s="91"/>
      <c r="I1558" s="89"/>
      <c r="J1558" s="77"/>
      <c r="K1558" s="110"/>
      <c r="L1558" s="107"/>
      <c r="M1558" s="109"/>
      <c r="N1558" s="11" t="str">
        <f t="shared" si="50"/>
        <v/>
      </c>
      <c r="O1558" s="32" t="str">
        <f t="shared" si="51"/>
        <v/>
      </c>
    </row>
    <row r="1559" spans="2:15" ht="15" customHeight="1" x14ac:dyDescent="0.4">
      <c r="B1559" s="10">
        <v>1883</v>
      </c>
      <c r="C1559" s="34"/>
      <c r="D1559" s="77"/>
      <c r="E1559" s="77"/>
      <c r="F1559" s="77"/>
      <c r="G1559" s="77"/>
      <c r="H1559" s="91"/>
      <c r="I1559" s="89"/>
      <c r="J1559" s="77"/>
      <c r="K1559" s="110"/>
      <c r="L1559" s="107"/>
      <c r="M1559" s="109"/>
      <c r="N1559" s="11" t="str">
        <f t="shared" si="50"/>
        <v/>
      </c>
      <c r="O1559" s="32" t="str">
        <f t="shared" si="51"/>
        <v/>
      </c>
    </row>
    <row r="1560" spans="2:15" ht="15" customHeight="1" x14ac:dyDescent="0.4">
      <c r="B1560" s="10">
        <v>1884</v>
      </c>
      <c r="C1560" s="34"/>
      <c r="D1560" s="77"/>
      <c r="E1560" s="77"/>
      <c r="F1560" s="77"/>
      <c r="G1560" s="77"/>
      <c r="H1560" s="91"/>
      <c r="I1560" s="89"/>
      <c r="J1560" s="77"/>
      <c r="K1560" s="110"/>
      <c r="L1560" s="107"/>
      <c r="M1560" s="109"/>
      <c r="N1560" s="11" t="str">
        <f t="shared" si="50"/>
        <v/>
      </c>
      <c r="O1560" s="32" t="str">
        <f t="shared" si="51"/>
        <v/>
      </c>
    </row>
    <row r="1561" spans="2:15" ht="15" customHeight="1" x14ac:dyDescent="0.4">
      <c r="B1561" s="10">
        <v>1885</v>
      </c>
      <c r="C1561" s="34"/>
      <c r="D1561" s="77"/>
      <c r="E1561" s="77"/>
      <c r="F1561" s="77"/>
      <c r="G1561" s="77"/>
      <c r="H1561" s="91"/>
      <c r="I1561" s="89"/>
      <c r="J1561" s="77"/>
      <c r="K1561" s="110"/>
      <c r="L1561" s="107"/>
      <c r="M1561" s="109"/>
      <c r="N1561" s="11" t="str">
        <f t="shared" si="50"/>
        <v/>
      </c>
      <c r="O1561" s="32" t="str">
        <f t="shared" si="51"/>
        <v/>
      </c>
    </row>
    <row r="1562" spans="2:15" ht="15" customHeight="1" x14ac:dyDescent="0.4">
      <c r="B1562" s="10">
        <v>1886</v>
      </c>
      <c r="C1562" s="34"/>
      <c r="D1562" s="77"/>
      <c r="E1562" s="77"/>
      <c r="F1562" s="77"/>
      <c r="G1562" s="77"/>
      <c r="H1562" s="91"/>
      <c r="I1562" s="89"/>
      <c r="J1562" s="77"/>
      <c r="K1562" s="110"/>
      <c r="L1562" s="107"/>
      <c r="M1562" s="109"/>
      <c r="N1562" s="11" t="str">
        <f t="shared" si="50"/>
        <v/>
      </c>
      <c r="O1562" s="32" t="str">
        <f t="shared" si="51"/>
        <v/>
      </c>
    </row>
    <row r="1563" spans="2:15" ht="15" customHeight="1" x14ac:dyDescent="0.4">
      <c r="B1563" s="10">
        <v>1887</v>
      </c>
      <c r="C1563" s="34"/>
      <c r="D1563" s="77"/>
      <c r="E1563" s="77"/>
      <c r="F1563" s="77"/>
      <c r="G1563" s="77"/>
      <c r="H1563" s="91"/>
      <c r="I1563" s="89"/>
      <c r="J1563" s="77"/>
      <c r="K1563" s="110"/>
      <c r="L1563" s="107"/>
      <c r="M1563" s="109"/>
      <c r="N1563" s="11" t="str">
        <f t="shared" si="50"/>
        <v/>
      </c>
      <c r="O1563" s="32" t="str">
        <f t="shared" si="51"/>
        <v/>
      </c>
    </row>
    <row r="1564" spans="2:15" ht="15" customHeight="1" x14ac:dyDescent="0.4">
      <c r="B1564" s="10">
        <v>1888</v>
      </c>
      <c r="C1564" s="34"/>
      <c r="D1564" s="77"/>
      <c r="E1564" s="77"/>
      <c r="F1564" s="77"/>
      <c r="G1564" s="77"/>
      <c r="H1564" s="91"/>
      <c r="I1564" s="89"/>
      <c r="J1564" s="77"/>
      <c r="K1564" s="110"/>
      <c r="L1564" s="107"/>
      <c r="M1564" s="109"/>
      <c r="N1564" s="11" t="str">
        <f t="shared" si="50"/>
        <v/>
      </c>
      <c r="O1564" s="32" t="str">
        <f t="shared" si="51"/>
        <v/>
      </c>
    </row>
    <row r="1565" spans="2:15" ht="15" customHeight="1" x14ac:dyDescent="0.4">
      <c r="B1565" s="10">
        <v>1889</v>
      </c>
      <c r="C1565" s="34"/>
      <c r="D1565" s="77"/>
      <c r="E1565" s="77"/>
      <c r="F1565" s="77"/>
      <c r="G1565" s="77"/>
      <c r="H1565" s="91"/>
      <c r="I1565" s="89"/>
      <c r="J1565" s="77"/>
      <c r="K1565" s="110"/>
      <c r="L1565" s="107"/>
      <c r="M1565" s="109"/>
      <c r="N1565" s="11" t="str">
        <f t="shared" si="50"/>
        <v/>
      </c>
      <c r="O1565" s="32" t="str">
        <f t="shared" si="51"/>
        <v/>
      </c>
    </row>
    <row r="1566" spans="2:15" ht="15" customHeight="1" x14ac:dyDescent="0.4">
      <c r="B1566" s="10">
        <v>1890</v>
      </c>
      <c r="C1566" s="34"/>
      <c r="D1566" s="77"/>
      <c r="E1566" s="77"/>
      <c r="F1566" s="77"/>
      <c r="G1566" s="77"/>
      <c r="H1566" s="91"/>
      <c r="I1566" s="89"/>
      <c r="J1566" s="77"/>
      <c r="K1566" s="110"/>
      <c r="L1566" s="107"/>
      <c r="M1566" s="109"/>
      <c r="N1566" s="11" t="str">
        <f t="shared" si="50"/>
        <v/>
      </c>
      <c r="O1566" s="32" t="str">
        <f t="shared" si="51"/>
        <v/>
      </c>
    </row>
    <row r="1567" spans="2:15" ht="15" customHeight="1" x14ac:dyDescent="0.4">
      <c r="B1567" s="10">
        <v>1891</v>
      </c>
      <c r="C1567" s="34"/>
      <c r="D1567" s="77"/>
      <c r="E1567" s="77"/>
      <c r="F1567" s="77"/>
      <c r="G1567" s="77"/>
      <c r="H1567" s="91"/>
      <c r="I1567" s="89"/>
      <c r="J1567" s="77"/>
      <c r="K1567" s="110"/>
      <c r="L1567" s="107"/>
      <c r="M1567" s="109"/>
      <c r="N1567" s="11" t="str">
        <f t="shared" si="50"/>
        <v/>
      </c>
      <c r="O1567" s="32" t="str">
        <f t="shared" si="51"/>
        <v/>
      </c>
    </row>
    <row r="1568" spans="2:15" ht="15" customHeight="1" x14ac:dyDescent="0.4">
      <c r="B1568" s="10">
        <v>1892</v>
      </c>
      <c r="C1568" s="34"/>
      <c r="D1568" s="77"/>
      <c r="E1568" s="77"/>
      <c r="F1568" s="77"/>
      <c r="G1568" s="77"/>
      <c r="H1568" s="91"/>
      <c r="I1568" s="89"/>
      <c r="J1568" s="77"/>
      <c r="K1568" s="110"/>
      <c r="L1568" s="107"/>
      <c r="M1568" s="109"/>
      <c r="N1568" s="11" t="str">
        <f t="shared" si="50"/>
        <v/>
      </c>
      <c r="O1568" s="32" t="str">
        <f t="shared" si="51"/>
        <v/>
      </c>
    </row>
    <row r="1569" spans="2:15" ht="15" customHeight="1" x14ac:dyDescent="0.4">
      <c r="B1569" s="10">
        <v>1893</v>
      </c>
      <c r="C1569" s="34"/>
      <c r="D1569" s="77"/>
      <c r="E1569" s="77"/>
      <c r="F1569" s="77"/>
      <c r="G1569" s="77"/>
      <c r="H1569" s="91"/>
      <c r="I1569" s="89"/>
      <c r="J1569" s="77"/>
      <c r="K1569" s="110"/>
      <c r="L1569" s="107"/>
      <c r="M1569" s="109"/>
      <c r="N1569" s="11" t="str">
        <f t="shared" si="50"/>
        <v/>
      </c>
      <c r="O1569" s="32" t="str">
        <f t="shared" si="51"/>
        <v/>
      </c>
    </row>
    <row r="1570" spans="2:15" ht="15" customHeight="1" x14ac:dyDescent="0.4">
      <c r="B1570" s="10">
        <v>1894</v>
      </c>
      <c r="C1570" s="34"/>
      <c r="D1570" s="77"/>
      <c r="E1570" s="77"/>
      <c r="F1570" s="77"/>
      <c r="G1570" s="77"/>
      <c r="H1570" s="91"/>
      <c r="I1570" s="89"/>
      <c r="J1570" s="77"/>
      <c r="K1570" s="110"/>
      <c r="L1570" s="107"/>
      <c r="M1570" s="109"/>
      <c r="N1570" s="11" t="str">
        <f t="shared" si="50"/>
        <v/>
      </c>
      <c r="O1570" s="32" t="str">
        <f t="shared" si="51"/>
        <v/>
      </c>
    </row>
    <row r="1571" spans="2:15" ht="15" customHeight="1" x14ac:dyDescent="0.4">
      <c r="B1571" s="10">
        <v>1895</v>
      </c>
      <c r="C1571" s="34"/>
      <c r="D1571" s="77"/>
      <c r="E1571" s="77"/>
      <c r="F1571" s="77"/>
      <c r="G1571" s="77"/>
      <c r="H1571" s="91"/>
      <c r="I1571" s="89"/>
      <c r="J1571" s="77"/>
      <c r="K1571" s="110"/>
      <c r="L1571" s="107"/>
      <c r="M1571" s="109"/>
      <c r="N1571" s="11" t="str">
        <f t="shared" si="50"/>
        <v/>
      </c>
      <c r="O1571" s="32" t="str">
        <f t="shared" si="51"/>
        <v/>
      </c>
    </row>
    <row r="1572" spans="2:15" ht="15" customHeight="1" x14ac:dyDescent="0.4">
      <c r="B1572" s="10">
        <v>1896</v>
      </c>
      <c r="C1572" s="34"/>
      <c r="D1572" s="77"/>
      <c r="E1572" s="77"/>
      <c r="F1572" s="77"/>
      <c r="G1572" s="77"/>
      <c r="H1572" s="91"/>
      <c r="I1572" s="89"/>
      <c r="J1572" s="77"/>
      <c r="K1572" s="110"/>
      <c r="L1572" s="107"/>
      <c r="M1572" s="109"/>
      <c r="N1572" s="11" t="str">
        <f t="shared" si="50"/>
        <v/>
      </c>
      <c r="O1572" s="32" t="str">
        <f t="shared" si="51"/>
        <v/>
      </c>
    </row>
    <row r="1573" spans="2:15" ht="15" customHeight="1" x14ac:dyDescent="0.4">
      <c r="B1573" s="10">
        <v>1897</v>
      </c>
      <c r="C1573" s="34"/>
      <c r="D1573" s="77"/>
      <c r="E1573" s="77"/>
      <c r="F1573" s="77"/>
      <c r="G1573" s="77"/>
      <c r="H1573" s="91"/>
      <c r="I1573" s="89"/>
      <c r="J1573" s="77"/>
      <c r="K1573" s="110"/>
      <c r="L1573" s="107"/>
      <c r="M1573" s="109"/>
      <c r="N1573" s="11" t="str">
        <f t="shared" si="50"/>
        <v/>
      </c>
      <c r="O1573" s="32" t="str">
        <f t="shared" si="51"/>
        <v/>
      </c>
    </row>
    <row r="1574" spans="2:15" ht="15" customHeight="1" x14ac:dyDescent="0.4">
      <c r="B1574" s="10">
        <v>1898</v>
      </c>
      <c r="C1574" s="34"/>
      <c r="D1574" s="77"/>
      <c r="E1574" s="77"/>
      <c r="F1574" s="77"/>
      <c r="G1574" s="77"/>
      <c r="H1574" s="91"/>
      <c r="I1574" s="89"/>
      <c r="J1574" s="77"/>
      <c r="K1574" s="110"/>
      <c r="L1574" s="107"/>
      <c r="M1574" s="109"/>
      <c r="N1574" s="11" t="str">
        <f t="shared" si="50"/>
        <v/>
      </c>
      <c r="O1574" s="32" t="str">
        <f t="shared" si="51"/>
        <v/>
      </c>
    </row>
    <row r="1575" spans="2:15" ht="15" customHeight="1" x14ac:dyDescent="0.4">
      <c r="B1575" s="10">
        <v>1899</v>
      </c>
      <c r="C1575" s="34"/>
      <c r="D1575" s="77"/>
      <c r="E1575" s="77"/>
      <c r="F1575" s="77"/>
      <c r="G1575" s="77"/>
      <c r="H1575" s="91"/>
      <c r="I1575" s="89"/>
      <c r="J1575" s="77"/>
      <c r="K1575" s="110"/>
      <c r="L1575" s="107"/>
      <c r="M1575" s="109"/>
      <c r="N1575" s="11" t="str">
        <f t="shared" si="50"/>
        <v/>
      </c>
      <c r="O1575" s="32" t="str">
        <f t="shared" si="51"/>
        <v/>
      </c>
    </row>
    <row r="1576" spans="2:15" ht="15" customHeight="1" x14ac:dyDescent="0.4">
      <c r="B1576" s="10">
        <v>1900</v>
      </c>
      <c r="C1576" s="34"/>
      <c r="D1576" s="77"/>
      <c r="E1576" s="77"/>
      <c r="F1576" s="77"/>
      <c r="G1576" s="77"/>
      <c r="H1576" s="91"/>
      <c r="I1576" s="89"/>
      <c r="J1576" s="77"/>
      <c r="K1576" s="110"/>
      <c r="L1576" s="107"/>
      <c r="M1576" s="109"/>
      <c r="N1576" s="11" t="str">
        <f t="shared" si="50"/>
        <v/>
      </c>
      <c r="O1576" s="32" t="str">
        <f t="shared" si="51"/>
        <v/>
      </c>
    </row>
    <row r="1577" spans="2:15" ht="15" customHeight="1" x14ac:dyDescent="0.4">
      <c r="B1577" s="10">
        <v>1901</v>
      </c>
      <c r="C1577" s="34"/>
      <c r="D1577" s="77"/>
      <c r="E1577" s="77"/>
      <c r="F1577" s="77"/>
      <c r="G1577" s="77"/>
      <c r="H1577" s="91"/>
      <c r="I1577" s="89"/>
      <c r="J1577" s="77"/>
      <c r="K1577" s="110"/>
      <c r="L1577" s="107"/>
      <c r="M1577" s="109"/>
      <c r="N1577" s="11" t="str">
        <f t="shared" si="50"/>
        <v/>
      </c>
      <c r="O1577" s="32" t="str">
        <f t="shared" si="51"/>
        <v/>
      </c>
    </row>
    <row r="1578" spans="2:15" ht="15" customHeight="1" x14ac:dyDescent="0.4">
      <c r="B1578" s="10">
        <v>1902</v>
      </c>
      <c r="C1578" s="34"/>
      <c r="D1578" s="77"/>
      <c r="E1578" s="77"/>
      <c r="F1578" s="77"/>
      <c r="G1578" s="77"/>
      <c r="H1578" s="91"/>
      <c r="I1578" s="89"/>
      <c r="J1578" s="77"/>
      <c r="K1578" s="110"/>
      <c r="L1578" s="107"/>
      <c r="M1578" s="109"/>
      <c r="N1578" s="11" t="str">
        <f t="shared" si="50"/>
        <v/>
      </c>
      <c r="O1578" s="32" t="str">
        <f t="shared" si="51"/>
        <v/>
      </c>
    </row>
    <row r="1579" spans="2:15" ht="15" customHeight="1" x14ac:dyDescent="0.4">
      <c r="B1579" s="10">
        <v>1903</v>
      </c>
      <c r="C1579" s="34"/>
      <c r="D1579" s="77"/>
      <c r="E1579" s="77"/>
      <c r="F1579" s="77"/>
      <c r="G1579" s="77"/>
      <c r="H1579" s="91"/>
      <c r="I1579" s="89"/>
      <c r="J1579" s="77"/>
      <c r="K1579" s="110"/>
      <c r="L1579" s="107"/>
      <c r="M1579" s="109"/>
      <c r="N1579" s="11" t="str">
        <f t="shared" si="50"/>
        <v/>
      </c>
      <c r="O1579" s="32" t="str">
        <f t="shared" si="51"/>
        <v/>
      </c>
    </row>
    <row r="1580" spans="2:15" ht="15" customHeight="1" x14ac:dyDescent="0.4">
      <c r="B1580" s="10">
        <v>1904</v>
      </c>
      <c r="C1580" s="34"/>
      <c r="D1580" s="77"/>
      <c r="E1580" s="77"/>
      <c r="F1580" s="77"/>
      <c r="G1580" s="77"/>
      <c r="H1580" s="91"/>
      <c r="I1580" s="89"/>
      <c r="J1580" s="77"/>
      <c r="K1580" s="110"/>
      <c r="L1580" s="107"/>
      <c r="M1580" s="109"/>
      <c r="N1580" s="11" t="str">
        <f t="shared" si="50"/>
        <v/>
      </c>
      <c r="O1580" s="32" t="str">
        <f t="shared" si="51"/>
        <v/>
      </c>
    </row>
    <row r="1581" spans="2:15" ht="15" customHeight="1" x14ac:dyDescent="0.4">
      <c r="B1581" s="10">
        <v>1905</v>
      </c>
      <c r="C1581" s="34"/>
      <c r="D1581" s="77"/>
      <c r="E1581" s="77"/>
      <c r="F1581" s="77"/>
      <c r="G1581" s="77"/>
      <c r="H1581" s="91"/>
      <c r="I1581" s="89"/>
      <c r="J1581" s="77"/>
      <c r="K1581" s="110"/>
      <c r="L1581" s="107"/>
      <c r="M1581" s="109"/>
      <c r="N1581" s="11" t="str">
        <f t="shared" si="50"/>
        <v/>
      </c>
      <c r="O1581" s="32" t="str">
        <f t="shared" si="51"/>
        <v/>
      </c>
    </row>
    <row r="1582" spans="2:15" ht="15" customHeight="1" x14ac:dyDescent="0.4">
      <c r="B1582" s="10">
        <v>1906</v>
      </c>
      <c r="C1582" s="34"/>
      <c r="D1582" s="77"/>
      <c r="E1582" s="77"/>
      <c r="F1582" s="77"/>
      <c r="G1582" s="77"/>
      <c r="H1582" s="91"/>
      <c r="I1582" s="89"/>
      <c r="J1582" s="77"/>
      <c r="K1582" s="110"/>
      <c r="L1582" s="107"/>
      <c r="M1582" s="109"/>
      <c r="N1582" s="11" t="str">
        <f t="shared" si="50"/>
        <v/>
      </c>
      <c r="O1582" s="32" t="str">
        <f t="shared" si="51"/>
        <v/>
      </c>
    </row>
    <row r="1583" spans="2:15" ht="15" customHeight="1" x14ac:dyDescent="0.4">
      <c r="B1583" s="10">
        <v>1907</v>
      </c>
      <c r="C1583" s="34"/>
      <c r="D1583" s="77"/>
      <c r="E1583" s="77"/>
      <c r="F1583" s="77"/>
      <c r="G1583" s="77"/>
      <c r="H1583" s="91"/>
      <c r="I1583" s="89"/>
      <c r="J1583" s="77"/>
      <c r="K1583" s="110"/>
      <c r="L1583" s="107"/>
      <c r="M1583" s="109"/>
      <c r="N1583" s="11" t="str">
        <f t="shared" si="50"/>
        <v/>
      </c>
      <c r="O1583" s="32" t="str">
        <f t="shared" si="51"/>
        <v/>
      </c>
    </row>
    <row r="1584" spans="2:15" ht="15" customHeight="1" x14ac:dyDescent="0.4">
      <c r="B1584" s="10">
        <v>1908</v>
      </c>
      <c r="C1584" s="34"/>
      <c r="D1584" s="77"/>
      <c r="E1584" s="77"/>
      <c r="F1584" s="77"/>
      <c r="G1584" s="77"/>
      <c r="H1584" s="91"/>
      <c r="I1584" s="89"/>
      <c r="J1584" s="77"/>
      <c r="K1584" s="110"/>
      <c r="L1584" s="107"/>
      <c r="M1584" s="109"/>
      <c r="N1584" s="11" t="str">
        <f t="shared" si="50"/>
        <v/>
      </c>
      <c r="O1584" s="32" t="str">
        <f t="shared" si="51"/>
        <v/>
      </c>
    </row>
    <row r="1585" spans="2:15" ht="15" customHeight="1" x14ac:dyDescent="0.4">
      <c r="B1585" s="10">
        <v>1909</v>
      </c>
      <c r="C1585" s="34"/>
      <c r="D1585" s="77"/>
      <c r="E1585" s="77"/>
      <c r="F1585" s="77"/>
      <c r="G1585" s="77"/>
      <c r="H1585" s="91"/>
      <c r="I1585" s="89"/>
      <c r="J1585" s="77"/>
      <c r="K1585" s="110"/>
      <c r="L1585" s="107"/>
      <c r="M1585" s="109"/>
      <c r="N1585" s="11" t="str">
        <f t="shared" si="50"/>
        <v/>
      </c>
      <c r="O1585" s="32" t="str">
        <f t="shared" si="51"/>
        <v/>
      </c>
    </row>
    <row r="1586" spans="2:15" ht="15" customHeight="1" x14ac:dyDescent="0.4">
      <c r="B1586" s="10">
        <v>1910</v>
      </c>
      <c r="C1586" s="34"/>
      <c r="D1586" s="77"/>
      <c r="E1586" s="77"/>
      <c r="F1586" s="77"/>
      <c r="G1586" s="77"/>
      <c r="H1586" s="91"/>
      <c r="I1586" s="89"/>
      <c r="J1586" s="77"/>
      <c r="K1586" s="110"/>
      <c r="L1586" s="107"/>
      <c r="M1586" s="109"/>
      <c r="N1586" s="11" t="str">
        <f t="shared" si="50"/>
        <v/>
      </c>
      <c r="O1586" s="32" t="str">
        <f t="shared" si="51"/>
        <v/>
      </c>
    </row>
    <row r="1587" spans="2:15" ht="15" customHeight="1" x14ac:dyDescent="0.4">
      <c r="B1587" s="10">
        <v>1911</v>
      </c>
      <c r="C1587" s="34"/>
      <c r="D1587" s="77"/>
      <c r="E1587" s="77"/>
      <c r="F1587" s="77"/>
      <c r="G1587" s="77"/>
      <c r="H1587" s="91"/>
      <c r="I1587" s="89"/>
      <c r="J1587" s="77"/>
      <c r="K1587" s="110"/>
      <c r="L1587" s="107"/>
      <c r="M1587" s="109"/>
      <c r="N1587" s="11" t="str">
        <f t="shared" si="50"/>
        <v/>
      </c>
      <c r="O1587" s="32" t="str">
        <f t="shared" si="51"/>
        <v/>
      </c>
    </row>
    <row r="1588" spans="2:15" ht="15" customHeight="1" x14ac:dyDescent="0.4">
      <c r="B1588" s="10">
        <v>1912</v>
      </c>
      <c r="C1588" s="34"/>
      <c r="D1588" s="77"/>
      <c r="E1588" s="77"/>
      <c r="F1588" s="77"/>
      <c r="G1588" s="77"/>
      <c r="H1588" s="91"/>
      <c r="I1588" s="89"/>
      <c r="J1588" s="77"/>
      <c r="K1588" s="110"/>
      <c r="L1588" s="107"/>
      <c r="M1588" s="109"/>
      <c r="N1588" s="11" t="str">
        <f t="shared" si="50"/>
        <v/>
      </c>
      <c r="O1588" s="32" t="str">
        <f t="shared" si="51"/>
        <v/>
      </c>
    </row>
    <row r="1589" spans="2:15" ht="15" customHeight="1" x14ac:dyDescent="0.4">
      <c r="B1589" s="10">
        <v>1913</v>
      </c>
      <c r="C1589" s="34"/>
      <c r="D1589" s="77"/>
      <c r="E1589" s="77"/>
      <c r="F1589" s="77"/>
      <c r="G1589" s="77"/>
      <c r="H1589" s="91"/>
      <c r="I1589" s="89"/>
      <c r="J1589" s="77"/>
      <c r="K1589" s="110"/>
      <c r="L1589" s="107"/>
      <c r="M1589" s="109"/>
      <c r="N1589" s="11" t="str">
        <f t="shared" si="50"/>
        <v/>
      </c>
      <c r="O1589" s="32" t="str">
        <f t="shared" si="51"/>
        <v/>
      </c>
    </row>
    <row r="1590" spans="2:15" ht="15" customHeight="1" x14ac:dyDescent="0.4">
      <c r="B1590" s="10">
        <v>1914</v>
      </c>
      <c r="C1590" s="34"/>
      <c r="D1590" s="77"/>
      <c r="E1590" s="77"/>
      <c r="F1590" s="77"/>
      <c r="G1590" s="77"/>
      <c r="H1590" s="91"/>
      <c r="I1590" s="89"/>
      <c r="J1590" s="77"/>
      <c r="K1590" s="110"/>
      <c r="L1590" s="107"/>
      <c r="M1590" s="109"/>
      <c r="N1590" s="11" t="str">
        <f t="shared" si="50"/>
        <v/>
      </c>
      <c r="O1590" s="32" t="str">
        <f t="shared" si="51"/>
        <v/>
      </c>
    </row>
    <row r="1591" spans="2:15" ht="15" customHeight="1" x14ac:dyDescent="0.4">
      <c r="B1591" s="10">
        <v>1915</v>
      </c>
      <c r="C1591" s="34"/>
      <c r="D1591" s="77"/>
      <c r="E1591" s="77"/>
      <c r="F1591" s="77"/>
      <c r="G1591" s="77"/>
      <c r="H1591" s="91"/>
      <c r="I1591" s="89"/>
      <c r="J1591" s="77"/>
      <c r="K1591" s="110"/>
      <c r="L1591" s="107"/>
      <c r="M1591" s="109"/>
      <c r="N1591" s="11" t="str">
        <f t="shared" si="50"/>
        <v/>
      </c>
      <c r="O1591" s="32" t="str">
        <f t="shared" si="51"/>
        <v/>
      </c>
    </row>
    <row r="1592" spans="2:15" ht="15" customHeight="1" x14ac:dyDescent="0.4">
      <c r="B1592" s="10">
        <v>1916</v>
      </c>
      <c r="C1592" s="34"/>
      <c r="D1592" s="77"/>
      <c r="E1592" s="77"/>
      <c r="F1592" s="77"/>
      <c r="G1592" s="77"/>
      <c r="H1592" s="91"/>
      <c r="I1592" s="89"/>
      <c r="J1592" s="77"/>
      <c r="K1592" s="110"/>
      <c r="L1592" s="107"/>
      <c r="M1592" s="109"/>
      <c r="N1592" s="11" t="str">
        <f t="shared" si="50"/>
        <v/>
      </c>
      <c r="O1592" s="32" t="str">
        <f t="shared" si="51"/>
        <v/>
      </c>
    </row>
    <row r="1593" spans="2:15" ht="15" customHeight="1" x14ac:dyDescent="0.4">
      <c r="B1593" s="10">
        <v>1917</v>
      </c>
      <c r="C1593" s="34"/>
      <c r="D1593" s="77"/>
      <c r="E1593" s="77"/>
      <c r="F1593" s="77"/>
      <c r="G1593" s="77"/>
      <c r="H1593" s="91"/>
      <c r="I1593" s="89"/>
      <c r="J1593" s="77"/>
      <c r="K1593" s="110"/>
      <c r="L1593" s="107"/>
      <c r="M1593" s="109"/>
      <c r="N1593" s="11" t="str">
        <f t="shared" si="50"/>
        <v/>
      </c>
      <c r="O1593" s="32" t="str">
        <f t="shared" si="51"/>
        <v/>
      </c>
    </row>
    <row r="1594" spans="2:15" ht="15" customHeight="1" x14ac:dyDescent="0.4">
      <c r="B1594" s="10">
        <v>1918</v>
      </c>
      <c r="C1594" s="34"/>
      <c r="D1594" s="77"/>
      <c r="E1594" s="77"/>
      <c r="F1594" s="77"/>
      <c r="G1594" s="77"/>
      <c r="H1594" s="91"/>
      <c r="I1594" s="89"/>
      <c r="J1594" s="77"/>
      <c r="K1594" s="110"/>
      <c r="L1594" s="107"/>
      <c r="M1594" s="109"/>
      <c r="N1594" s="11" t="str">
        <f t="shared" si="50"/>
        <v/>
      </c>
      <c r="O1594" s="32" t="str">
        <f t="shared" si="51"/>
        <v/>
      </c>
    </row>
    <row r="1595" spans="2:15" ht="15" customHeight="1" x14ac:dyDescent="0.4">
      <c r="B1595" s="10">
        <v>1919</v>
      </c>
      <c r="C1595" s="34"/>
      <c r="D1595" s="77"/>
      <c r="E1595" s="77"/>
      <c r="F1595" s="77"/>
      <c r="G1595" s="77"/>
      <c r="H1595" s="91"/>
      <c r="I1595" s="89"/>
      <c r="J1595" s="77"/>
      <c r="K1595" s="110"/>
      <c r="L1595" s="107"/>
      <c r="M1595" s="109"/>
      <c r="N1595" s="11" t="str">
        <f t="shared" si="50"/>
        <v/>
      </c>
      <c r="O1595" s="32" t="str">
        <f t="shared" si="51"/>
        <v/>
      </c>
    </row>
    <row r="1596" spans="2:15" ht="15" customHeight="1" x14ac:dyDescent="0.4">
      <c r="B1596" s="10">
        <v>1920</v>
      </c>
      <c r="C1596" s="34"/>
      <c r="D1596" s="77"/>
      <c r="E1596" s="77"/>
      <c r="F1596" s="77"/>
      <c r="G1596" s="77"/>
      <c r="H1596" s="91"/>
      <c r="I1596" s="89"/>
      <c r="J1596" s="77"/>
      <c r="K1596" s="110"/>
      <c r="L1596" s="107"/>
      <c r="M1596" s="109"/>
      <c r="N1596" s="11" t="str">
        <f t="shared" si="50"/>
        <v/>
      </c>
      <c r="O1596" s="32" t="str">
        <f t="shared" si="51"/>
        <v/>
      </c>
    </row>
    <row r="1597" spans="2:15" ht="15" customHeight="1" x14ac:dyDescent="0.4">
      <c r="B1597" s="10">
        <v>1921</v>
      </c>
      <c r="C1597" s="34"/>
      <c r="D1597" s="77"/>
      <c r="E1597" s="77"/>
      <c r="F1597" s="77"/>
      <c r="G1597" s="77"/>
      <c r="H1597" s="91"/>
      <c r="I1597" s="89"/>
      <c r="J1597" s="77"/>
      <c r="K1597" s="110"/>
      <c r="L1597" s="107"/>
      <c r="M1597" s="109"/>
      <c r="N1597" s="11" t="str">
        <f t="shared" si="50"/>
        <v/>
      </c>
      <c r="O1597" s="32" t="str">
        <f t="shared" si="51"/>
        <v/>
      </c>
    </row>
    <row r="1598" spans="2:15" ht="15" customHeight="1" x14ac:dyDescent="0.4">
      <c r="B1598" s="10">
        <v>1922</v>
      </c>
      <c r="C1598" s="34"/>
      <c r="D1598" s="77"/>
      <c r="E1598" s="77"/>
      <c r="F1598" s="77"/>
      <c r="G1598" s="77"/>
      <c r="H1598" s="91"/>
      <c r="I1598" s="89"/>
      <c r="J1598" s="77"/>
      <c r="K1598" s="110"/>
      <c r="L1598" s="107"/>
      <c r="M1598" s="109"/>
      <c r="N1598" s="11" t="str">
        <f t="shared" si="50"/>
        <v/>
      </c>
      <c r="O1598" s="32" t="str">
        <f t="shared" si="51"/>
        <v/>
      </c>
    </row>
    <row r="1599" spans="2:15" ht="15" customHeight="1" x14ac:dyDescent="0.4">
      <c r="B1599" s="10">
        <v>1923</v>
      </c>
      <c r="C1599" s="34"/>
      <c r="D1599" s="77"/>
      <c r="E1599" s="77"/>
      <c r="F1599" s="77"/>
      <c r="G1599" s="77"/>
      <c r="H1599" s="91"/>
      <c r="I1599" s="89"/>
      <c r="J1599" s="77"/>
      <c r="K1599" s="110"/>
      <c r="L1599" s="107"/>
      <c r="M1599" s="109"/>
      <c r="N1599" s="11" t="str">
        <f t="shared" si="50"/>
        <v/>
      </c>
      <c r="O1599" s="32" t="str">
        <f t="shared" si="51"/>
        <v/>
      </c>
    </row>
    <row r="1600" spans="2:15" ht="15" customHeight="1" x14ac:dyDescent="0.4">
      <c r="B1600" s="10">
        <v>1924</v>
      </c>
      <c r="C1600" s="34"/>
      <c r="D1600" s="77"/>
      <c r="E1600" s="77"/>
      <c r="F1600" s="77"/>
      <c r="G1600" s="77"/>
      <c r="H1600" s="91"/>
      <c r="I1600" s="89"/>
      <c r="J1600" s="77"/>
      <c r="K1600" s="110"/>
      <c r="L1600" s="107"/>
      <c r="M1600" s="109"/>
      <c r="N1600" s="11" t="str">
        <f t="shared" si="50"/>
        <v/>
      </c>
      <c r="O1600" s="32" t="str">
        <f t="shared" si="51"/>
        <v/>
      </c>
    </row>
    <row r="1601" spans="2:15" ht="15" customHeight="1" x14ac:dyDescent="0.4">
      <c r="B1601" s="10">
        <v>1925</v>
      </c>
      <c r="C1601" s="34"/>
      <c r="D1601" s="77"/>
      <c r="E1601" s="77"/>
      <c r="F1601" s="77"/>
      <c r="G1601" s="77"/>
      <c r="H1601" s="91"/>
      <c r="I1601" s="89"/>
      <c r="J1601" s="77"/>
      <c r="K1601" s="110"/>
      <c r="L1601" s="107"/>
      <c r="M1601" s="109"/>
      <c r="N1601" s="11" t="str">
        <f t="shared" si="50"/>
        <v/>
      </c>
      <c r="O1601" s="32" t="str">
        <f t="shared" si="51"/>
        <v/>
      </c>
    </row>
    <row r="1602" spans="2:15" ht="15" customHeight="1" x14ac:dyDescent="0.4">
      <c r="B1602" s="10">
        <v>1926</v>
      </c>
      <c r="C1602" s="34"/>
      <c r="D1602" s="77"/>
      <c r="E1602" s="77"/>
      <c r="F1602" s="77"/>
      <c r="G1602" s="77"/>
      <c r="H1602" s="91"/>
      <c r="I1602" s="89"/>
      <c r="J1602" s="77"/>
      <c r="K1602" s="110"/>
      <c r="L1602" s="107"/>
      <c r="M1602" s="109"/>
      <c r="N1602" s="11" t="str">
        <f t="shared" si="50"/>
        <v/>
      </c>
      <c r="O1602" s="32" t="str">
        <f t="shared" si="51"/>
        <v/>
      </c>
    </row>
    <row r="1603" spans="2:15" ht="15" customHeight="1" x14ac:dyDescent="0.4">
      <c r="B1603" s="10">
        <v>1927</v>
      </c>
      <c r="C1603" s="34"/>
      <c r="D1603" s="77"/>
      <c r="E1603" s="77"/>
      <c r="F1603" s="77"/>
      <c r="G1603" s="77"/>
      <c r="H1603" s="91"/>
      <c r="I1603" s="89"/>
      <c r="J1603" s="77"/>
      <c r="K1603" s="110"/>
      <c r="L1603" s="107"/>
      <c r="M1603" s="109"/>
      <c r="N1603" s="11" t="str">
        <f t="shared" si="50"/>
        <v/>
      </c>
      <c r="O1603" s="32" t="str">
        <f t="shared" si="51"/>
        <v/>
      </c>
    </row>
    <row r="1604" spans="2:15" ht="15" customHeight="1" x14ac:dyDescent="0.4">
      <c r="B1604" s="10">
        <v>1928</v>
      </c>
      <c r="C1604" s="34"/>
      <c r="D1604" s="77"/>
      <c r="E1604" s="77"/>
      <c r="F1604" s="77"/>
      <c r="G1604" s="77"/>
      <c r="H1604" s="91"/>
      <c r="I1604" s="89"/>
      <c r="J1604" s="77"/>
      <c r="K1604" s="110"/>
      <c r="L1604" s="107"/>
      <c r="M1604" s="109"/>
      <c r="N1604" s="11" t="str">
        <f t="shared" ref="N1604:N1636" si="52">IF(OR(M1604="", K1604=""),"", M1604- K1604)</f>
        <v/>
      </c>
      <c r="O1604" s="32" t="str">
        <f t="shared" ref="O1604:O1636" si="53">IF(OR(M1604="", K1604="", L1604=""), "", IF((M1604 - K1604) &gt; L1604, "No", "Yes"))</f>
        <v/>
      </c>
    </row>
    <row r="1605" spans="2:15" ht="15" customHeight="1" x14ac:dyDescent="0.4">
      <c r="B1605" s="10">
        <v>1929</v>
      </c>
      <c r="C1605" s="34"/>
      <c r="D1605" s="77"/>
      <c r="E1605" s="77"/>
      <c r="F1605" s="77"/>
      <c r="G1605" s="77"/>
      <c r="H1605" s="91"/>
      <c r="I1605" s="89"/>
      <c r="J1605" s="77"/>
      <c r="K1605" s="110"/>
      <c r="L1605" s="107"/>
      <c r="M1605" s="109"/>
      <c r="N1605" s="11" t="str">
        <f t="shared" si="52"/>
        <v/>
      </c>
      <c r="O1605" s="32" t="str">
        <f t="shared" si="53"/>
        <v/>
      </c>
    </row>
    <row r="1606" spans="2:15" ht="15" customHeight="1" x14ac:dyDescent="0.4">
      <c r="B1606" s="10">
        <v>1930</v>
      </c>
      <c r="C1606" s="34"/>
      <c r="D1606" s="77"/>
      <c r="E1606" s="77"/>
      <c r="F1606" s="77"/>
      <c r="G1606" s="77"/>
      <c r="H1606" s="91"/>
      <c r="I1606" s="89"/>
      <c r="J1606" s="77"/>
      <c r="K1606" s="110"/>
      <c r="L1606" s="107"/>
      <c r="M1606" s="109"/>
      <c r="N1606" s="11" t="str">
        <f t="shared" si="52"/>
        <v/>
      </c>
      <c r="O1606" s="32" t="str">
        <f t="shared" si="53"/>
        <v/>
      </c>
    </row>
    <row r="1607" spans="2:15" ht="15" customHeight="1" x14ac:dyDescent="0.4">
      <c r="B1607" s="10">
        <v>1931</v>
      </c>
      <c r="C1607" s="34"/>
      <c r="D1607" s="77"/>
      <c r="E1607" s="77"/>
      <c r="F1607" s="77"/>
      <c r="G1607" s="77"/>
      <c r="H1607" s="91"/>
      <c r="I1607" s="89"/>
      <c r="J1607" s="77"/>
      <c r="K1607" s="110"/>
      <c r="L1607" s="107"/>
      <c r="M1607" s="109"/>
      <c r="N1607" s="11" t="str">
        <f t="shared" si="52"/>
        <v/>
      </c>
      <c r="O1607" s="32" t="str">
        <f t="shared" si="53"/>
        <v/>
      </c>
    </row>
    <row r="1608" spans="2:15" ht="15" customHeight="1" x14ac:dyDescent="0.4">
      <c r="B1608" s="10">
        <v>1932</v>
      </c>
      <c r="C1608" s="34"/>
      <c r="D1608" s="77"/>
      <c r="E1608" s="77"/>
      <c r="F1608" s="77"/>
      <c r="G1608" s="77"/>
      <c r="H1608" s="91"/>
      <c r="I1608" s="89"/>
      <c r="J1608" s="77"/>
      <c r="K1608" s="110"/>
      <c r="L1608" s="107"/>
      <c r="M1608" s="109"/>
      <c r="N1608" s="11" t="str">
        <f t="shared" si="52"/>
        <v/>
      </c>
      <c r="O1608" s="32" t="str">
        <f t="shared" si="53"/>
        <v/>
      </c>
    </row>
    <row r="1609" spans="2:15" ht="15" customHeight="1" x14ac:dyDescent="0.4">
      <c r="B1609" s="10">
        <v>1933</v>
      </c>
      <c r="C1609" s="34"/>
      <c r="D1609" s="77"/>
      <c r="E1609" s="77"/>
      <c r="F1609" s="77"/>
      <c r="G1609" s="77"/>
      <c r="H1609" s="91"/>
      <c r="I1609" s="89"/>
      <c r="J1609" s="77"/>
      <c r="K1609" s="110"/>
      <c r="L1609" s="107"/>
      <c r="M1609" s="109"/>
      <c r="N1609" s="11" t="str">
        <f t="shared" si="52"/>
        <v/>
      </c>
      <c r="O1609" s="32" t="str">
        <f t="shared" si="53"/>
        <v/>
      </c>
    </row>
    <row r="1610" spans="2:15" ht="15" customHeight="1" x14ac:dyDescent="0.4">
      <c r="B1610" s="10">
        <v>1934</v>
      </c>
      <c r="C1610" s="34"/>
      <c r="D1610" s="77"/>
      <c r="E1610" s="77"/>
      <c r="F1610" s="77"/>
      <c r="G1610" s="77"/>
      <c r="H1610" s="91"/>
      <c r="I1610" s="89"/>
      <c r="J1610" s="77"/>
      <c r="K1610" s="110"/>
      <c r="L1610" s="107"/>
      <c r="M1610" s="109"/>
      <c r="N1610" s="11" t="str">
        <f t="shared" si="52"/>
        <v/>
      </c>
      <c r="O1610" s="32" t="str">
        <f t="shared" si="53"/>
        <v/>
      </c>
    </row>
    <row r="1611" spans="2:15" ht="15" customHeight="1" x14ac:dyDescent="0.4">
      <c r="B1611" s="10">
        <v>1935</v>
      </c>
      <c r="C1611" s="34"/>
      <c r="D1611" s="77"/>
      <c r="E1611" s="77"/>
      <c r="F1611" s="77"/>
      <c r="G1611" s="77"/>
      <c r="H1611" s="91"/>
      <c r="I1611" s="89"/>
      <c r="J1611" s="77"/>
      <c r="K1611" s="110"/>
      <c r="L1611" s="107"/>
      <c r="M1611" s="109"/>
      <c r="N1611" s="11" t="str">
        <f t="shared" si="52"/>
        <v/>
      </c>
      <c r="O1611" s="32" t="str">
        <f t="shared" si="53"/>
        <v/>
      </c>
    </row>
    <row r="1612" spans="2:15" ht="15" customHeight="1" x14ac:dyDescent="0.4">
      <c r="B1612" s="10">
        <v>1936</v>
      </c>
      <c r="C1612" s="34"/>
      <c r="D1612" s="77"/>
      <c r="E1612" s="77"/>
      <c r="F1612" s="77"/>
      <c r="G1612" s="77"/>
      <c r="H1612" s="91"/>
      <c r="I1612" s="89"/>
      <c r="J1612" s="77"/>
      <c r="K1612" s="110"/>
      <c r="L1612" s="107"/>
      <c r="M1612" s="109"/>
      <c r="N1612" s="11" t="str">
        <f t="shared" si="52"/>
        <v/>
      </c>
      <c r="O1612" s="32" t="str">
        <f t="shared" si="53"/>
        <v/>
      </c>
    </row>
    <row r="1613" spans="2:15" ht="15" customHeight="1" x14ac:dyDescent="0.4">
      <c r="B1613" s="10">
        <v>1937</v>
      </c>
      <c r="C1613" s="34"/>
      <c r="D1613" s="77"/>
      <c r="E1613" s="77"/>
      <c r="F1613" s="77"/>
      <c r="G1613" s="77"/>
      <c r="H1613" s="91"/>
      <c r="I1613" s="89"/>
      <c r="J1613" s="77"/>
      <c r="K1613" s="110"/>
      <c r="L1613" s="107"/>
      <c r="M1613" s="109"/>
      <c r="N1613" s="11" t="str">
        <f t="shared" si="52"/>
        <v/>
      </c>
      <c r="O1613" s="32" t="str">
        <f t="shared" si="53"/>
        <v/>
      </c>
    </row>
    <row r="1614" spans="2:15" ht="15" customHeight="1" x14ac:dyDescent="0.4">
      <c r="B1614" s="10">
        <v>1938</v>
      </c>
      <c r="C1614" s="34"/>
      <c r="D1614" s="77"/>
      <c r="E1614" s="77"/>
      <c r="F1614" s="77"/>
      <c r="G1614" s="77"/>
      <c r="H1614" s="91"/>
      <c r="I1614" s="89"/>
      <c r="J1614" s="77"/>
      <c r="K1614" s="110"/>
      <c r="L1614" s="107"/>
      <c r="M1614" s="109"/>
      <c r="N1614" s="11" t="str">
        <f t="shared" si="52"/>
        <v/>
      </c>
      <c r="O1614" s="32" t="str">
        <f t="shared" si="53"/>
        <v/>
      </c>
    </row>
    <row r="1615" spans="2:15" ht="15" customHeight="1" x14ac:dyDescent="0.4">
      <c r="B1615" s="10">
        <v>1939</v>
      </c>
      <c r="C1615" s="34"/>
      <c r="D1615" s="77"/>
      <c r="E1615" s="77"/>
      <c r="F1615" s="77"/>
      <c r="G1615" s="77"/>
      <c r="H1615" s="91"/>
      <c r="I1615" s="89"/>
      <c r="J1615" s="77"/>
      <c r="K1615" s="110"/>
      <c r="L1615" s="107"/>
      <c r="M1615" s="109"/>
      <c r="N1615" s="11" t="str">
        <f t="shared" si="52"/>
        <v/>
      </c>
      <c r="O1615" s="32" t="str">
        <f t="shared" si="53"/>
        <v/>
      </c>
    </row>
    <row r="1616" spans="2:15" ht="15" customHeight="1" x14ac:dyDescent="0.4">
      <c r="B1616" s="10">
        <v>1940</v>
      </c>
      <c r="C1616" s="34"/>
      <c r="D1616" s="77"/>
      <c r="E1616" s="77"/>
      <c r="F1616" s="77"/>
      <c r="G1616" s="77"/>
      <c r="H1616" s="91"/>
      <c r="I1616" s="89"/>
      <c r="J1616" s="77"/>
      <c r="K1616" s="110"/>
      <c r="L1616" s="107"/>
      <c r="M1616" s="109"/>
      <c r="N1616" s="11" t="str">
        <f t="shared" si="52"/>
        <v/>
      </c>
      <c r="O1616" s="32" t="str">
        <f t="shared" si="53"/>
        <v/>
      </c>
    </row>
    <row r="1617" spans="2:15" ht="15" customHeight="1" x14ac:dyDescent="0.4">
      <c r="B1617" s="10">
        <v>1941</v>
      </c>
      <c r="C1617" s="34"/>
      <c r="D1617" s="77"/>
      <c r="E1617" s="77"/>
      <c r="F1617" s="77"/>
      <c r="G1617" s="77"/>
      <c r="H1617" s="91"/>
      <c r="I1617" s="89"/>
      <c r="J1617" s="77"/>
      <c r="K1617" s="110"/>
      <c r="L1617" s="107"/>
      <c r="M1617" s="109"/>
      <c r="N1617" s="11" t="str">
        <f t="shared" si="52"/>
        <v/>
      </c>
      <c r="O1617" s="32" t="str">
        <f t="shared" si="53"/>
        <v/>
      </c>
    </row>
    <row r="1618" spans="2:15" ht="15" customHeight="1" x14ac:dyDescent="0.4">
      <c r="B1618" s="10">
        <v>1942</v>
      </c>
      <c r="C1618" s="34"/>
      <c r="D1618" s="77"/>
      <c r="E1618" s="77"/>
      <c r="F1618" s="77"/>
      <c r="G1618" s="77"/>
      <c r="H1618" s="91"/>
      <c r="I1618" s="89"/>
      <c r="J1618" s="77"/>
      <c r="K1618" s="110"/>
      <c r="L1618" s="107"/>
      <c r="M1618" s="109"/>
      <c r="N1618" s="11" t="str">
        <f t="shared" si="52"/>
        <v/>
      </c>
      <c r="O1618" s="32" t="str">
        <f t="shared" si="53"/>
        <v/>
      </c>
    </row>
    <row r="1619" spans="2:15" ht="15" customHeight="1" x14ac:dyDescent="0.4">
      <c r="B1619" s="10">
        <v>1943</v>
      </c>
      <c r="C1619" s="34"/>
      <c r="D1619" s="77"/>
      <c r="E1619" s="77"/>
      <c r="F1619" s="77"/>
      <c r="G1619" s="77"/>
      <c r="H1619" s="91"/>
      <c r="I1619" s="89"/>
      <c r="J1619" s="77"/>
      <c r="K1619" s="110"/>
      <c r="L1619" s="107"/>
      <c r="M1619" s="109"/>
      <c r="N1619" s="11" t="str">
        <f t="shared" si="52"/>
        <v/>
      </c>
      <c r="O1619" s="32" t="str">
        <f t="shared" si="53"/>
        <v/>
      </c>
    </row>
    <row r="1620" spans="2:15" ht="15" customHeight="1" x14ac:dyDescent="0.4">
      <c r="B1620" s="10">
        <v>1944</v>
      </c>
      <c r="C1620" s="34"/>
      <c r="D1620" s="77"/>
      <c r="E1620" s="77"/>
      <c r="F1620" s="77"/>
      <c r="G1620" s="77"/>
      <c r="H1620" s="91"/>
      <c r="I1620" s="89"/>
      <c r="J1620" s="77"/>
      <c r="K1620" s="110"/>
      <c r="L1620" s="107"/>
      <c r="M1620" s="109"/>
      <c r="N1620" s="11" t="str">
        <f t="shared" si="52"/>
        <v/>
      </c>
      <c r="O1620" s="32" t="str">
        <f t="shared" si="53"/>
        <v/>
      </c>
    </row>
    <row r="1621" spans="2:15" ht="15" customHeight="1" x14ac:dyDescent="0.4">
      <c r="B1621" s="10">
        <v>1945</v>
      </c>
      <c r="C1621" s="34"/>
      <c r="D1621" s="77"/>
      <c r="E1621" s="77"/>
      <c r="F1621" s="77"/>
      <c r="G1621" s="77"/>
      <c r="H1621" s="91"/>
      <c r="I1621" s="89"/>
      <c r="J1621" s="77"/>
      <c r="K1621" s="110"/>
      <c r="L1621" s="107"/>
      <c r="M1621" s="109"/>
      <c r="N1621" s="11" t="str">
        <f t="shared" si="52"/>
        <v/>
      </c>
      <c r="O1621" s="32" t="str">
        <f t="shared" si="53"/>
        <v/>
      </c>
    </row>
    <row r="1622" spans="2:15" ht="15" customHeight="1" x14ac:dyDescent="0.4">
      <c r="B1622" s="10">
        <v>1946</v>
      </c>
      <c r="C1622" s="34"/>
      <c r="D1622" s="77"/>
      <c r="E1622" s="77"/>
      <c r="F1622" s="77"/>
      <c r="G1622" s="77"/>
      <c r="H1622" s="91"/>
      <c r="I1622" s="89"/>
      <c r="J1622" s="77"/>
      <c r="K1622" s="110"/>
      <c r="L1622" s="107"/>
      <c r="M1622" s="109"/>
      <c r="N1622" s="11" t="str">
        <f t="shared" si="52"/>
        <v/>
      </c>
      <c r="O1622" s="32" t="str">
        <f t="shared" si="53"/>
        <v/>
      </c>
    </row>
    <row r="1623" spans="2:15" ht="15" customHeight="1" x14ac:dyDescent="0.4">
      <c r="B1623" s="10">
        <v>1947</v>
      </c>
      <c r="C1623" s="34"/>
      <c r="D1623" s="77"/>
      <c r="E1623" s="77"/>
      <c r="F1623" s="77"/>
      <c r="G1623" s="77"/>
      <c r="H1623" s="91"/>
      <c r="I1623" s="89"/>
      <c r="J1623" s="77"/>
      <c r="K1623" s="110"/>
      <c r="L1623" s="107"/>
      <c r="M1623" s="109"/>
      <c r="N1623" s="11" t="str">
        <f t="shared" si="52"/>
        <v/>
      </c>
      <c r="O1623" s="32" t="str">
        <f t="shared" si="53"/>
        <v/>
      </c>
    </row>
    <row r="1624" spans="2:15" ht="15" customHeight="1" x14ac:dyDescent="0.4">
      <c r="B1624" s="10">
        <v>1948</v>
      </c>
      <c r="C1624" s="34"/>
      <c r="D1624" s="77"/>
      <c r="E1624" s="77"/>
      <c r="F1624" s="77"/>
      <c r="G1624" s="77"/>
      <c r="H1624" s="91"/>
      <c r="I1624" s="89"/>
      <c r="J1624" s="77"/>
      <c r="K1624" s="110"/>
      <c r="L1624" s="107"/>
      <c r="M1624" s="109"/>
      <c r="N1624" s="11" t="str">
        <f t="shared" si="52"/>
        <v/>
      </c>
      <c r="O1624" s="32" t="str">
        <f t="shared" si="53"/>
        <v/>
      </c>
    </row>
    <row r="1625" spans="2:15" ht="15" customHeight="1" x14ac:dyDescent="0.4">
      <c r="B1625" s="10">
        <v>1949</v>
      </c>
      <c r="C1625" s="34"/>
      <c r="D1625" s="77"/>
      <c r="E1625" s="77"/>
      <c r="F1625" s="77"/>
      <c r="G1625" s="77"/>
      <c r="H1625" s="91"/>
      <c r="I1625" s="89"/>
      <c r="J1625" s="77"/>
      <c r="K1625" s="110"/>
      <c r="L1625" s="107"/>
      <c r="M1625" s="109"/>
      <c r="N1625" s="11" t="str">
        <f t="shared" si="52"/>
        <v/>
      </c>
      <c r="O1625" s="32" t="str">
        <f t="shared" si="53"/>
        <v/>
      </c>
    </row>
    <row r="1626" spans="2:15" ht="15" customHeight="1" x14ac:dyDescent="0.4">
      <c r="B1626" s="10">
        <v>1950</v>
      </c>
      <c r="C1626" s="34"/>
      <c r="D1626" s="77"/>
      <c r="E1626" s="77"/>
      <c r="F1626" s="77"/>
      <c r="G1626" s="77"/>
      <c r="H1626" s="91"/>
      <c r="I1626" s="89"/>
      <c r="J1626" s="77"/>
      <c r="K1626" s="110"/>
      <c r="L1626" s="107"/>
      <c r="M1626" s="109"/>
      <c r="N1626" s="11" t="str">
        <f t="shared" si="52"/>
        <v/>
      </c>
      <c r="O1626" s="32" t="str">
        <f t="shared" si="53"/>
        <v/>
      </c>
    </row>
    <row r="1627" spans="2:15" ht="15" customHeight="1" x14ac:dyDescent="0.4">
      <c r="B1627" s="10">
        <v>1951</v>
      </c>
      <c r="C1627" s="34"/>
      <c r="D1627" s="77"/>
      <c r="E1627" s="77"/>
      <c r="F1627" s="77"/>
      <c r="G1627" s="77"/>
      <c r="H1627" s="91"/>
      <c r="I1627" s="89"/>
      <c r="J1627" s="77"/>
      <c r="K1627" s="110"/>
      <c r="L1627" s="107"/>
      <c r="M1627" s="109"/>
      <c r="N1627" s="11" t="str">
        <f t="shared" si="52"/>
        <v/>
      </c>
      <c r="O1627" s="32" t="str">
        <f t="shared" si="53"/>
        <v/>
      </c>
    </row>
    <row r="1628" spans="2:15" ht="15" customHeight="1" x14ac:dyDescent="0.4">
      <c r="B1628" s="10">
        <v>1952</v>
      </c>
      <c r="C1628" s="34"/>
      <c r="D1628" s="77"/>
      <c r="E1628" s="77"/>
      <c r="F1628" s="77"/>
      <c r="G1628" s="77"/>
      <c r="H1628" s="91"/>
      <c r="I1628" s="89"/>
      <c r="J1628" s="77"/>
      <c r="K1628" s="110"/>
      <c r="L1628" s="107"/>
      <c r="M1628" s="109"/>
      <c r="N1628" s="11" t="str">
        <f t="shared" si="52"/>
        <v/>
      </c>
      <c r="O1628" s="32" t="str">
        <f t="shared" si="53"/>
        <v/>
      </c>
    </row>
    <row r="1629" spans="2:15" ht="15" customHeight="1" x14ac:dyDescent="0.4">
      <c r="B1629" s="10">
        <v>1953</v>
      </c>
      <c r="C1629" s="34"/>
      <c r="D1629" s="77"/>
      <c r="E1629" s="77"/>
      <c r="F1629" s="77"/>
      <c r="G1629" s="77"/>
      <c r="H1629" s="91"/>
      <c r="I1629" s="89"/>
      <c r="J1629" s="77"/>
      <c r="K1629" s="110"/>
      <c r="L1629" s="107"/>
      <c r="M1629" s="109"/>
      <c r="N1629" s="11" t="str">
        <f t="shared" si="52"/>
        <v/>
      </c>
      <c r="O1629" s="32" t="str">
        <f t="shared" si="53"/>
        <v/>
      </c>
    </row>
    <row r="1630" spans="2:15" ht="15" customHeight="1" x14ac:dyDescent="0.4">
      <c r="B1630" s="10">
        <v>1954</v>
      </c>
      <c r="C1630" s="34"/>
      <c r="D1630" s="77"/>
      <c r="E1630" s="77"/>
      <c r="F1630" s="77"/>
      <c r="G1630" s="77"/>
      <c r="H1630" s="91"/>
      <c r="I1630" s="89"/>
      <c r="J1630" s="77"/>
      <c r="K1630" s="110"/>
      <c r="L1630" s="107"/>
      <c r="M1630" s="109"/>
      <c r="N1630" s="11" t="str">
        <f t="shared" si="52"/>
        <v/>
      </c>
      <c r="O1630" s="32" t="str">
        <f t="shared" si="53"/>
        <v/>
      </c>
    </row>
    <row r="1631" spans="2:15" ht="15" customHeight="1" x14ac:dyDescent="0.4">
      <c r="B1631" s="10">
        <v>1955</v>
      </c>
      <c r="C1631" s="34"/>
      <c r="D1631" s="77"/>
      <c r="E1631" s="77"/>
      <c r="F1631" s="77"/>
      <c r="G1631" s="77"/>
      <c r="H1631" s="91"/>
      <c r="I1631" s="89"/>
      <c r="J1631" s="77"/>
      <c r="K1631" s="110"/>
      <c r="L1631" s="107"/>
      <c r="M1631" s="109"/>
      <c r="N1631" s="11" t="str">
        <f t="shared" si="52"/>
        <v/>
      </c>
      <c r="O1631" s="32" t="str">
        <f t="shared" si="53"/>
        <v/>
      </c>
    </row>
    <row r="1632" spans="2:15" ht="15" customHeight="1" x14ac:dyDescent="0.4">
      <c r="B1632" s="10">
        <v>1956</v>
      </c>
      <c r="C1632" s="34"/>
      <c r="D1632" s="77"/>
      <c r="E1632" s="77"/>
      <c r="F1632" s="77"/>
      <c r="G1632" s="77"/>
      <c r="H1632" s="91"/>
      <c r="I1632" s="89"/>
      <c r="J1632" s="77"/>
      <c r="K1632" s="110"/>
      <c r="L1632" s="107"/>
      <c r="M1632" s="109"/>
      <c r="N1632" s="11" t="str">
        <f t="shared" si="52"/>
        <v/>
      </c>
      <c r="O1632" s="32" t="str">
        <f t="shared" si="53"/>
        <v/>
      </c>
    </row>
    <row r="1633" spans="2:15" ht="15" customHeight="1" x14ac:dyDescent="0.4">
      <c r="B1633" s="10">
        <v>1957</v>
      </c>
      <c r="C1633" s="34"/>
      <c r="D1633" s="77"/>
      <c r="E1633" s="77"/>
      <c r="F1633" s="77"/>
      <c r="G1633" s="77"/>
      <c r="H1633" s="91"/>
      <c r="I1633" s="89"/>
      <c r="J1633" s="77"/>
      <c r="K1633" s="110"/>
      <c r="L1633" s="107"/>
      <c r="M1633" s="109"/>
      <c r="N1633" s="11" t="str">
        <f t="shared" si="52"/>
        <v/>
      </c>
      <c r="O1633" s="32" t="str">
        <f t="shared" si="53"/>
        <v/>
      </c>
    </row>
    <row r="1634" spans="2:15" ht="15" customHeight="1" x14ac:dyDescent="0.4">
      <c r="B1634" s="10">
        <v>1958</v>
      </c>
      <c r="C1634" s="34"/>
      <c r="D1634" s="77"/>
      <c r="E1634" s="77"/>
      <c r="F1634" s="77"/>
      <c r="G1634" s="77"/>
      <c r="H1634" s="91"/>
      <c r="I1634" s="89"/>
      <c r="J1634" s="77"/>
      <c r="K1634" s="110"/>
      <c r="L1634" s="107"/>
      <c r="M1634" s="109"/>
      <c r="N1634" s="11" t="str">
        <f t="shared" si="52"/>
        <v/>
      </c>
      <c r="O1634" s="32" t="str">
        <f t="shared" si="53"/>
        <v/>
      </c>
    </row>
    <row r="1635" spans="2:15" ht="15" customHeight="1" x14ac:dyDescent="0.4">
      <c r="B1635" s="10">
        <v>1959</v>
      </c>
      <c r="C1635" s="34"/>
      <c r="D1635" s="77"/>
      <c r="E1635" s="77"/>
      <c r="F1635" s="77"/>
      <c r="G1635" s="77"/>
      <c r="H1635" s="91"/>
      <c r="I1635" s="89"/>
      <c r="J1635" s="77"/>
      <c r="K1635" s="110"/>
      <c r="L1635" s="107"/>
      <c r="M1635" s="109"/>
      <c r="N1635" s="11" t="str">
        <f t="shared" si="52"/>
        <v/>
      </c>
      <c r="O1635" s="32" t="str">
        <f t="shared" si="53"/>
        <v/>
      </c>
    </row>
    <row r="1636" spans="2:15" ht="15" customHeight="1" x14ac:dyDescent="0.4">
      <c r="B1636" s="10">
        <v>1960</v>
      </c>
      <c r="C1636" s="34"/>
      <c r="D1636" s="77"/>
      <c r="E1636" s="77"/>
      <c r="F1636" s="77"/>
      <c r="G1636" s="77"/>
      <c r="H1636" s="91"/>
      <c r="I1636" s="89"/>
      <c r="J1636" s="77"/>
      <c r="K1636" s="110"/>
      <c r="L1636" s="107"/>
      <c r="M1636" s="109"/>
      <c r="N1636" s="11" t="str">
        <f t="shared" si="52"/>
        <v/>
      </c>
      <c r="O1636" s="32" t="str">
        <f t="shared" si="53"/>
        <v/>
      </c>
    </row>
    <row r="1637" spans="2:15" ht="15" customHeight="1" x14ac:dyDescent="0.4">
      <c r="B1637" s="10">
        <v>1961</v>
      </c>
      <c r="C1637" s="34"/>
      <c r="D1637" s="77"/>
      <c r="E1637" s="77"/>
      <c r="F1637" s="77"/>
      <c r="G1637" s="77"/>
      <c r="H1637" s="91"/>
      <c r="I1637" s="89"/>
      <c r="J1637" s="77"/>
      <c r="K1637" s="110"/>
      <c r="L1637" s="107"/>
      <c r="M1637" s="109"/>
      <c r="N1637" s="11" t="str">
        <f t="shared" ref="N1637:N1700" si="54">IF(OR(M1637="", K1637=""),"", M1637- K1637)</f>
        <v/>
      </c>
      <c r="O1637" s="32" t="str">
        <f t="shared" ref="O1637:O1700" si="55">IF(OR(M1637="", K1637="", L1637=""), "", IF((M1637 - K1637) &gt; L1637, "No", "Yes"))</f>
        <v/>
      </c>
    </row>
    <row r="1638" spans="2:15" ht="15" customHeight="1" x14ac:dyDescent="0.4">
      <c r="B1638" s="10">
        <v>1962</v>
      </c>
      <c r="C1638" s="34"/>
      <c r="D1638" s="77"/>
      <c r="E1638" s="77"/>
      <c r="F1638" s="77"/>
      <c r="G1638" s="77"/>
      <c r="H1638" s="91"/>
      <c r="I1638" s="89"/>
      <c r="J1638" s="77"/>
      <c r="K1638" s="110"/>
      <c r="L1638" s="107"/>
      <c r="M1638" s="109"/>
      <c r="N1638" s="11" t="str">
        <f t="shared" si="54"/>
        <v/>
      </c>
      <c r="O1638" s="32" t="str">
        <f t="shared" si="55"/>
        <v/>
      </c>
    </row>
    <row r="1639" spans="2:15" ht="15" customHeight="1" x14ac:dyDescent="0.4">
      <c r="B1639" s="10">
        <v>1963</v>
      </c>
      <c r="C1639" s="34"/>
      <c r="D1639" s="77"/>
      <c r="E1639" s="77"/>
      <c r="F1639" s="77"/>
      <c r="G1639" s="77"/>
      <c r="H1639" s="91"/>
      <c r="I1639" s="89"/>
      <c r="J1639" s="77"/>
      <c r="K1639" s="110"/>
      <c r="L1639" s="107"/>
      <c r="M1639" s="109"/>
      <c r="N1639" s="11" t="str">
        <f t="shared" si="54"/>
        <v/>
      </c>
      <c r="O1639" s="32" t="str">
        <f t="shared" si="55"/>
        <v/>
      </c>
    </row>
    <row r="1640" spans="2:15" ht="15" customHeight="1" x14ac:dyDescent="0.4">
      <c r="B1640" s="10">
        <v>1964</v>
      </c>
      <c r="C1640" s="34"/>
      <c r="D1640" s="77"/>
      <c r="E1640" s="77"/>
      <c r="F1640" s="77"/>
      <c r="G1640" s="77"/>
      <c r="H1640" s="91"/>
      <c r="I1640" s="89"/>
      <c r="J1640" s="77"/>
      <c r="K1640" s="110"/>
      <c r="L1640" s="107"/>
      <c r="M1640" s="109"/>
      <c r="N1640" s="11" t="str">
        <f t="shared" si="54"/>
        <v/>
      </c>
      <c r="O1640" s="32" t="str">
        <f t="shared" si="55"/>
        <v/>
      </c>
    </row>
    <row r="1641" spans="2:15" ht="15" customHeight="1" x14ac:dyDescent="0.4">
      <c r="B1641" s="10">
        <v>1965</v>
      </c>
      <c r="C1641" s="34"/>
      <c r="D1641" s="77"/>
      <c r="E1641" s="77"/>
      <c r="F1641" s="77"/>
      <c r="G1641" s="77"/>
      <c r="H1641" s="91"/>
      <c r="I1641" s="89"/>
      <c r="J1641" s="77"/>
      <c r="K1641" s="110"/>
      <c r="L1641" s="107"/>
      <c r="M1641" s="109"/>
      <c r="N1641" s="11" t="str">
        <f t="shared" si="54"/>
        <v/>
      </c>
      <c r="O1641" s="32" t="str">
        <f t="shared" si="55"/>
        <v/>
      </c>
    </row>
    <row r="1642" spans="2:15" ht="15" customHeight="1" x14ac:dyDescent="0.4">
      <c r="B1642" s="10">
        <v>1966</v>
      </c>
      <c r="C1642" s="34"/>
      <c r="D1642" s="77"/>
      <c r="E1642" s="77"/>
      <c r="F1642" s="77"/>
      <c r="G1642" s="77"/>
      <c r="H1642" s="91"/>
      <c r="I1642" s="89"/>
      <c r="J1642" s="77"/>
      <c r="K1642" s="110"/>
      <c r="L1642" s="107"/>
      <c r="M1642" s="109"/>
      <c r="N1642" s="11" t="str">
        <f t="shared" si="54"/>
        <v/>
      </c>
      <c r="O1642" s="32" t="str">
        <f t="shared" si="55"/>
        <v/>
      </c>
    </row>
    <row r="1643" spans="2:15" ht="15" customHeight="1" x14ac:dyDescent="0.4">
      <c r="B1643" s="10">
        <v>1967</v>
      </c>
      <c r="C1643" s="34"/>
      <c r="D1643" s="77"/>
      <c r="E1643" s="77"/>
      <c r="F1643" s="77"/>
      <c r="G1643" s="77"/>
      <c r="H1643" s="91"/>
      <c r="I1643" s="89"/>
      <c r="J1643" s="77"/>
      <c r="K1643" s="110"/>
      <c r="L1643" s="107"/>
      <c r="M1643" s="109"/>
      <c r="N1643" s="11" t="str">
        <f t="shared" si="54"/>
        <v/>
      </c>
      <c r="O1643" s="32" t="str">
        <f t="shared" si="55"/>
        <v/>
      </c>
    </row>
    <row r="1644" spans="2:15" ht="15" customHeight="1" x14ac:dyDescent="0.4">
      <c r="B1644" s="10">
        <v>1968</v>
      </c>
      <c r="C1644" s="34"/>
      <c r="D1644" s="77"/>
      <c r="E1644" s="77"/>
      <c r="F1644" s="77"/>
      <c r="G1644" s="77"/>
      <c r="H1644" s="91"/>
      <c r="I1644" s="89"/>
      <c r="J1644" s="77"/>
      <c r="K1644" s="110"/>
      <c r="L1644" s="107"/>
      <c r="M1644" s="109"/>
      <c r="N1644" s="11" t="str">
        <f t="shared" si="54"/>
        <v/>
      </c>
      <c r="O1644" s="32" t="str">
        <f t="shared" si="55"/>
        <v/>
      </c>
    </row>
    <row r="1645" spans="2:15" ht="15" customHeight="1" x14ac:dyDescent="0.4">
      <c r="B1645" s="10">
        <v>1969</v>
      </c>
      <c r="C1645" s="34"/>
      <c r="D1645" s="77"/>
      <c r="E1645" s="77"/>
      <c r="F1645" s="77"/>
      <c r="G1645" s="77"/>
      <c r="H1645" s="91"/>
      <c r="I1645" s="89"/>
      <c r="J1645" s="77"/>
      <c r="K1645" s="110"/>
      <c r="L1645" s="107"/>
      <c r="M1645" s="109"/>
      <c r="N1645" s="11" t="str">
        <f t="shared" si="54"/>
        <v/>
      </c>
      <c r="O1645" s="32" t="str">
        <f t="shared" si="55"/>
        <v/>
      </c>
    </row>
    <row r="1646" spans="2:15" ht="15" customHeight="1" x14ac:dyDescent="0.4">
      <c r="B1646" s="10">
        <v>1970</v>
      </c>
      <c r="C1646" s="34"/>
      <c r="D1646" s="77"/>
      <c r="E1646" s="77"/>
      <c r="F1646" s="77"/>
      <c r="G1646" s="77"/>
      <c r="H1646" s="91"/>
      <c r="I1646" s="89"/>
      <c r="J1646" s="77"/>
      <c r="K1646" s="110"/>
      <c r="L1646" s="107"/>
      <c r="M1646" s="109"/>
      <c r="N1646" s="11" t="str">
        <f t="shared" si="54"/>
        <v/>
      </c>
      <c r="O1646" s="32" t="str">
        <f t="shared" si="55"/>
        <v/>
      </c>
    </row>
    <row r="1647" spans="2:15" ht="15" customHeight="1" x14ac:dyDescent="0.4">
      <c r="B1647" s="10">
        <v>1971</v>
      </c>
      <c r="C1647" s="34"/>
      <c r="D1647" s="77"/>
      <c r="E1647" s="77"/>
      <c r="F1647" s="77"/>
      <c r="G1647" s="77"/>
      <c r="H1647" s="91"/>
      <c r="I1647" s="89"/>
      <c r="J1647" s="77"/>
      <c r="K1647" s="110"/>
      <c r="L1647" s="107"/>
      <c r="M1647" s="109"/>
      <c r="N1647" s="11" t="str">
        <f t="shared" si="54"/>
        <v/>
      </c>
      <c r="O1647" s="32" t="str">
        <f t="shared" si="55"/>
        <v/>
      </c>
    </row>
    <row r="1648" spans="2:15" ht="15" customHeight="1" x14ac:dyDescent="0.4">
      <c r="B1648" s="10">
        <v>1972</v>
      </c>
      <c r="C1648" s="34"/>
      <c r="D1648" s="77"/>
      <c r="E1648" s="77"/>
      <c r="F1648" s="77"/>
      <c r="G1648" s="77"/>
      <c r="H1648" s="91"/>
      <c r="I1648" s="89"/>
      <c r="J1648" s="77"/>
      <c r="K1648" s="110"/>
      <c r="L1648" s="107"/>
      <c r="M1648" s="109"/>
      <c r="N1648" s="11" t="str">
        <f t="shared" si="54"/>
        <v/>
      </c>
      <c r="O1648" s="32" t="str">
        <f t="shared" si="55"/>
        <v/>
      </c>
    </row>
    <row r="1649" spans="2:15" ht="15" customHeight="1" x14ac:dyDescent="0.4">
      <c r="B1649" s="10">
        <v>1973</v>
      </c>
      <c r="C1649" s="34"/>
      <c r="D1649" s="77"/>
      <c r="E1649" s="77"/>
      <c r="F1649" s="77"/>
      <c r="G1649" s="77"/>
      <c r="H1649" s="91"/>
      <c r="I1649" s="89"/>
      <c r="J1649" s="77"/>
      <c r="K1649" s="110"/>
      <c r="L1649" s="107"/>
      <c r="M1649" s="109"/>
      <c r="N1649" s="11" t="str">
        <f t="shared" si="54"/>
        <v/>
      </c>
      <c r="O1649" s="32" t="str">
        <f t="shared" si="55"/>
        <v/>
      </c>
    </row>
    <row r="1650" spans="2:15" ht="15" customHeight="1" x14ac:dyDescent="0.4">
      <c r="B1650" s="10">
        <v>1974</v>
      </c>
      <c r="C1650" s="34"/>
      <c r="D1650" s="77"/>
      <c r="E1650" s="77"/>
      <c r="F1650" s="77"/>
      <c r="G1650" s="77"/>
      <c r="H1650" s="91"/>
      <c r="I1650" s="89"/>
      <c r="J1650" s="77"/>
      <c r="K1650" s="110"/>
      <c r="L1650" s="107"/>
      <c r="M1650" s="109"/>
      <c r="N1650" s="11" t="str">
        <f t="shared" si="54"/>
        <v/>
      </c>
      <c r="O1650" s="32" t="str">
        <f t="shared" si="55"/>
        <v/>
      </c>
    </row>
    <row r="1651" spans="2:15" ht="15" customHeight="1" x14ac:dyDescent="0.4">
      <c r="B1651" s="10">
        <v>1975</v>
      </c>
      <c r="C1651" s="34"/>
      <c r="D1651" s="77"/>
      <c r="E1651" s="77"/>
      <c r="F1651" s="77"/>
      <c r="G1651" s="77"/>
      <c r="H1651" s="91"/>
      <c r="I1651" s="89"/>
      <c r="J1651" s="77"/>
      <c r="K1651" s="110"/>
      <c r="L1651" s="107"/>
      <c r="M1651" s="109"/>
      <c r="N1651" s="11" t="str">
        <f t="shared" si="54"/>
        <v/>
      </c>
      <c r="O1651" s="32" t="str">
        <f t="shared" si="55"/>
        <v/>
      </c>
    </row>
    <row r="1652" spans="2:15" ht="15" customHeight="1" x14ac:dyDescent="0.4">
      <c r="B1652" s="10">
        <v>1976</v>
      </c>
      <c r="C1652" s="34"/>
      <c r="D1652" s="77"/>
      <c r="E1652" s="77"/>
      <c r="F1652" s="77"/>
      <c r="G1652" s="77"/>
      <c r="H1652" s="91"/>
      <c r="I1652" s="89"/>
      <c r="J1652" s="77"/>
      <c r="K1652" s="110"/>
      <c r="L1652" s="107"/>
      <c r="M1652" s="109"/>
      <c r="N1652" s="11" t="str">
        <f t="shared" si="54"/>
        <v/>
      </c>
      <c r="O1652" s="32" t="str">
        <f t="shared" si="55"/>
        <v/>
      </c>
    </row>
    <row r="1653" spans="2:15" ht="15" customHeight="1" x14ac:dyDescent="0.4">
      <c r="B1653" s="10">
        <v>1977</v>
      </c>
      <c r="C1653" s="34"/>
      <c r="D1653" s="77"/>
      <c r="E1653" s="77"/>
      <c r="F1653" s="77"/>
      <c r="G1653" s="77"/>
      <c r="H1653" s="91"/>
      <c r="I1653" s="89"/>
      <c r="J1653" s="77"/>
      <c r="K1653" s="110"/>
      <c r="L1653" s="107"/>
      <c r="M1653" s="109"/>
      <c r="N1653" s="11" t="str">
        <f t="shared" si="54"/>
        <v/>
      </c>
      <c r="O1653" s="32" t="str">
        <f t="shared" si="55"/>
        <v/>
      </c>
    </row>
    <row r="1654" spans="2:15" ht="15" customHeight="1" x14ac:dyDescent="0.4">
      <c r="B1654" s="10">
        <v>1978</v>
      </c>
      <c r="C1654" s="34"/>
      <c r="D1654" s="77"/>
      <c r="E1654" s="77"/>
      <c r="F1654" s="77"/>
      <c r="G1654" s="77"/>
      <c r="H1654" s="91"/>
      <c r="I1654" s="89"/>
      <c r="J1654" s="77"/>
      <c r="K1654" s="110"/>
      <c r="L1654" s="107"/>
      <c r="M1654" s="109"/>
      <c r="N1654" s="11" t="str">
        <f t="shared" si="54"/>
        <v/>
      </c>
      <c r="O1654" s="32" t="str">
        <f t="shared" si="55"/>
        <v/>
      </c>
    </row>
    <row r="1655" spans="2:15" ht="15" customHeight="1" x14ac:dyDescent="0.4">
      <c r="B1655" s="10">
        <v>1979</v>
      </c>
      <c r="C1655" s="34"/>
      <c r="D1655" s="77"/>
      <c r="E1655" s="77"/>
      <c r="F1655" s="77"/>
      <c r="G1655" s="77"/>
      <c r="H1655" s="91"/>
      <c r="I1655" s="89"/>
      <c r="J1655" s="77"/>
      <c r="K1655" s="110"/>
      <c r="L1655" s="107"/>
      <c r="M1655" s="109"/>
      <c r="N1655" s="11" t="str">
        <f t="shared" si="54"/>
        <v/>
      </c>
      <c r="O1655" s="32" t="str">
        <f t="shared" si="55"/>
        <v/>
      </c>
    </row>
    <row r="1656" spans="2:15" ht="15" customHeight="1" x14ac:dyDescent="0.4">
      <c r="B1656" s="10">
        <v>1980</v>
      </c>
      <c r="C1656" s="34"/>
      <c r="D1656" s="77"/>
      <c r="E1656" s="77"/>
      <c r="F1656" s="77"/>
      <c r="G1656" s="77"/>
      <c r="H1656" s="91"/>
      <c r="I1656" s="89"/>
      <c r="J1656" s="77"/>
      <c r="K1656" s="110"/>
      <c r="L1656" s="107"/>
      <c r="M1656" s="109"/>
      <c r="N1656" s="11" t="str">
        <f t="shared" si="54"/>
        <v/>
      </c>
      <c r="O1656" s="32" t="str">
        <f t="shared" si="55"/>
        <v/>
      </c>
    </row>
    <row r="1657" spans="2:15" ht="15" customHeight="1" x14ac:dyDescent="0.4">
      <c r="B1657" s="10">
        <v>1981</v>
      </c>
      <c r="C1657" s="34"/>
      <c r="D1657" s="77"/>
      <c r="E1657" s="77"/>
      <c r="F1657" s="77"/>
      <c r="G1657" s="77"/>
      <c r="H1657" s="91"/>
      <c r="I1657" s="89"/>
      <c r="J1657" s="77"/>
      <c r="K1657" s="110"/>
      <c r="L1657" s="107"/>
      <c r="M1657" s="109"/>
      <c r="N1657" s="11" t="str">
        <f t="shared" si="54"/>
        <v/>
      </c>
      <c r="O1657" s="32" t="str">
        <f t="shared" si="55"/>
        <v/>
      </c>
    </row>
    <row r="1658" spans="2:15" ht="15" customHeight="1" x14ac:dyDescent="0.4">
      <c r="B1658" s="10">
        <v>1982</v>
      </c>
      <c r="C1658" s="34"/>
      <c r="D1658" s="77"/>
      <c r="E1658" s="77"/>
      <c r="F1658" s="77"/>
      <c r="G1658" s="77"/>
      <c r="H1658" s="91"/>
      <c r="I1658" s="89"/>
      <c r="J1658" s="77"/>
      <c r="K1658" s="110"/>
      <c r="L1658" s="107"/>
      <c r="M1658" s="109"/>
      <c r="N1658" s="11" t="str">
        <f t="shared" si="54"/>
        <v/>
      </c>
      <c r="O1658" s="32" t="str">
        <f t="shared" si="55"/>
        <v/>
      </c>
    </row>
    <row r="1659" spans="2:15" ht="15" customHeight="1" x14ac:dyDescent="0.4">
      <c r="B1659" s="10">
        <v>1983</v>
      </c>
      <c r="C1659" s="34"/>
      <c r="D1659" s="77"/>
      <c r="E1659" s="77"/>
      <c r="F1659" s="77"/>
      <c r="G1659" s="77"/>
      <c r="H1659" s="91"/>
      <c r="I1659" s="89"/>
      <c r="J1659" s="77"/>
      <c r="K1659" s="110"/>
      <c r="L1659" s="107"/>
      <c r="M1659" s="109"/>
      <c r="N1659" s="11" t="str">
        <f t="shared" si="54"/>
        <v/>
      </c>
      <c r="O1659" s="32" t="str">
        <f t="shared" si="55"/>
        <v/>
      </c>
    </row>
    <row r="1660" spans="2:15" ht="15" customHeight="1" x14ac:dyDescent="0.4">
      <c r="B1660" s="10">
        <v>1984</v>
      </c>
      <c r="C1660" s="34"/>
      <c r="D1660" s="77"/>
      <c r="E1660" s="77"/>
      <c r="F1660" s="77"/>
      <c r="G1660" s="77"/>
      <c r="H1660" s="91"/>
      <c r="I1660" s="89"/>
      <c r="J1660" s="77"/>
      <c r="K1660" s="110"/>
      <c r="L1660" s="107"/>
      <c r="M1660" s="109"/>
      <c r="N1660" s="11" t="str">
        <f t="shared" si="54"/>
        <v/>
      </c>
      <c r="O1660" s="32" t="str">
        <f t="shared" si="55"/>
        <v/>
      </c>
    </row>
    <row r="1661" spans="2:15" ht="15" customHeight="1" x14ac:dyDescent="0.4">
      <c r="B1661" s="10">
        <v>1985</v>
      </c>
      <c r="C1661" s="34"/>
      <c r="D1661" s="77"/>
      <c r="E1661" s="77"/>
      <c r="F1661" s="77"/>
      <c r="G1661" s="77"/>
      <c r="H1661" s="91"/>
      <c r="I1661" s="89"/>
      <c r="J1661" s="77"/>
      <c r="K1661" s="110"/>
      <c r="L1661" s="107"/>
      <c r="M1661" s="109"/>
      <c r="N1661" s="11" t="str">
        <f t="shared" si="54"/>
        <v/>
      </c>
      <c r="O1661" s="32" t="str">
        <f t="shared" si="55"/>
        <v/>
      </c>
    </row>
    <row r="1662" spans="2:15" ht="15" customHeight="1" x14ac:dyDescent="0.4">
      <c r="B1662" s="10">
        <v>1986</v>
      </c>
      <c r="C1662" s="34"/>
      <c r="D1662" s="77"/>
      <c r="E1662" s="77"/>
      <c r="F1662" s="77"/>
      <c r="G1662" s="77"/>
      <c r="H1662" s="91"/>
      <c r="I1662" s="89"/>
      <c r="J1662" s="77"/>
      <c r="K1662" s="110"/>
      <c r="L1662" s="107"/>
      <c r="M1662" s="109"/>
      <c r="N1662" s="11" t="str">
        <f t="shared" si="54"/>
        <v/>
      </c>
      <c r="O1662" s="32" t="str">
        <f t="shared" si="55"/>
        <v/>
      </c>
    </row>
    <row r="1663" spans="2:15" ht="15" customHeight="1" x14ac:dyDescent="0.4">
      <c r="B1663" s="10">
        <v>1987</v>
      </c>
      <c r="C1663" s="34"/>
      <c r="D1663" s="77"/>
      <c r="E1663" s="77"/>
      <c r="F1663" s="77"/>
      <c r="G1663" s="77"/>
      <c r="H1663" s="91"/>
      <c r="I1663" s="89"/>
      <c r="J1663" s="77"/>
      <c r="K1663" s="110"/>
      <c r="L1663" s="107"/>
      <c r="M1663" s="109"/>
      <c r="N1663" s="11" t="str">
        <f t="shared" si="54"/>
        <v/>
      </c>
      <c r="O1663" s="32" t="str">
        <f t="shared" si="55"/>
        <v/>
      </c>
    </row>
    <row r="1664" spans="2:15" ht="15" customHeight="1" x14ac:dyDescent="0.4">
      <c r="B1664" s="10">
        <v>1988</v>
      </c>
      <c r="C1664" s="34"/>
      <c r="D1664" s="77"/>
      <c r="E1664" s="77"/>
      <c r="F1664" s="77"/>
      <c r="G1664" s="77"/>
      <c r="H1664" s="91"/>
      <c r="I1664" s="89"/>
      <c r="J1664" s="77"/>
      <c r="K1664" s="110"/>
      <c r="L1664" s="107"/>
      <c r="M1664" s="109"/>
      <c r="N1664" s="11" t="str">
        <f t="shared" si="54"/>
        <v/>
      </c>
      <c r="O1664" s="32" t="str">
        <f t="shared" si="55"/>
        <v/>
      </c>
    </row>
    <row r="1665" spans="2:15" ht="15" customHeight="1" x14ac:dyDescent="0.4">
      <c r="B1665" s="10">
        <v>1989</v>
      </c>
      <c r="C1665" s="34"/>
      <c r="D1665" s="77"/>
      <c r="E1665" s="77"/>
      <c r="F1665" s="77"/>
      <c r="G1665" s="77"/>
      <c r="H1665" s="91"/>
      <c r="I1665" s="89"/>
      <c r="J1665" s="77"/>
      <c r="K1665" s="110"/>
      <c r="L1665" s="107"/>
      <c r="M1665" s="109"/>
      <c r="N1665" s="11" t="str">
        <f t="shared" si="54"/>
        <v/>
      </c>
      <c r="O1665" s="32" t="str">
        <f t="shared" si="55"/>
        <v/>
      </c>
    </row>
    <row r="1666" spans="2:15" ht="15" customHeight="1" x14ac:dyDescent="0.4">
      <c r="B1666" s="10">
        <v>1990</v>
      </c>
      <c r="C1666" s="34"/>
      <c r="D1666" s="77"/>
      <c r="E1666" s="77"/>
      <c r="F1666" s="77"/>
      <c r="G1666" s="77"/>
      <c r="H1666" s="91"/>
      <c r="I1666" s="89"/>
      <c r="J1666" s="77"/>
      <c r="K1666" s="110"/>
      <c r="L1666" s="107"/>
      <c r="M1666" s="109"/>
      <c r="N1666" s="11" t="str">
        <f t="shared" si="54"/>
        <v/>
      </c>
      <c r="O1666" s="32" t="str">
        <f t="shared" si="55"/>
        <v/>
      </c>
    </row>
    <row r="1667" spans="2:15" ht="15" customHeight="1" x14ac:dyDescent="0.4">
      <c r="B1667" s="10">
        <v>1991</v>
      </c>
      <c r="C1667" s="34"/>
      <c r="D1667" s="77"/>
      <c r="E1667" s="77"/>
      <c r="F1667" s="77"/>
      <c r="G1667" s="77"/>
      <c r="H1667" s="91"/>
      <c r="I1667" s="89"/>
      <c r="J1667" s="77"/>
      <c r="K1667" s="110"/>
      <c r="L1667" s="107"/>
      <c r="M1667" s="109"/>
      <c r="N1667" s="11" t="str">
        <f t="shared" si="54"/>
        <v/>
      </c>
      <c r="O1667" s="32" t="str">
        <f t="shared" si="55"/>
        <v/>
      </c>
    </row>
    <row r="1668" spans="2:15" ht="15" customHeight="1" x14ac:dyDescent="0.4">
      <c r="B1668" s="10">
        <v>1992</v>
      </c>
      <c r="C1668" s="34"/>
      <c r="D1668" s="77"/>
      <c r="E1668" s="77"/>
      <c r="F1668" s="77"/>
      <c r="G1668" s="77"/>
      <c r="H1668" s="91"/>
      <c r="I1668" s="89"/>
      <c r="J1668" s="77"/>
      <c r="K1668" s="110"/>
      <c r="L1668" s="107"/>
      <c r="M1668" s="109"/>
      <c r="N1668" s="11" t="str">
        <f t="shared" si="54"/>
        <v/>
      </c>
      <c r="O1668" s="32" t="str">
        <f t="shared" si="55"/>
        <v/>
      </c>
    </row>
    <row r="1669" spans="2:15" ht="15" customHeight="1" x14ac:dyDescent="0.4">
      <c r="B1669" s="10">
        <v>1993</v>
      </c>
      <c r="C1669" s="34"/>
      <c r="D1669" s="77"/>
      <c r="E1669" s="77"/>
      <c r="F1669" s="77"/>
      <c r="G1669" s="77"/>
      <c r="H1669" s="91"/>
      <c r="I1669" s="89"/>
      <c r="J1669" s="77"/>
      <c r="K1669" s="110"/>
      <c r="L1669" s="107"/>
      <c r="M1669" s="109"/>
      <c r="N1669" s="11" t="str">
        <f t="shared" si="54"/>
        <v/>
      </c>
      <c r="O1669" s="32" t="str">
        <f t="shared" si="55"/>
        <v/>
      </c>
    </row>
    <row r="1670" spans="2:15" ht="15" customHeight="1" x14ac:dyDescent="0.4">
      <c r="B1670" s="10">
        <v>1994</v>
      </c>
      <c r="C1670" s="34"/>
      <c r="D1670" s="77"/>
      <c r="E1670" s="77"/>
      <c r="F1670" s="77"/>
      <c r="G1670" s="77"/>
      <c r="H1670" s="91"/>
      <c r="I1670" s="89"/>
      <c r="J1670" s="77"/>
      <c r="K1670" s="110"/>
      <c r="L1670" s="107"/>
      <c r="M1670" s="109"/>
      <c r="N1670" s="11" t="str">
        <f t="shared" si="54"/>
        <v/>
      </c>
      <c r="O1670" s="32" t="str">
        <f t="shared" si="55"/>
        <v/>
      </c>
    </row>
    <row r="1671" spans="2:15" ht="15" customHeight="1" x14ac:dyDescent="0.4">
      <c r="B1671" s="10">
        <v>1995</v>
      </c>
      <c r="C1671" s="34"/>
      <c r="D1671" s="77"/>
      <c r="E1671" s="77"/>
      <c r="F1671" s="77"/>
      <c r="G1671" s="77"/>
      <c r="H1671" s="91"/>
      <c r="I1671" s="89"/>
      <c r="J1671" s="77"/>
      <c r="K1671" s="110"/>
      <c r="L1671" s="107"/>
      <c r="M1671" s="109"/>
      <c r="N1671" s="11" t="str">
        <f t="shared" si="54"/>
        <v/>
      </c>
      <c r="O1671" s="32" t="str">
        <f t="shared" si="55"/>
        <v/>
      </c>
    </row>
    <row r="1672" spans="2:15" ht="15" customHeight="1" x14ac:dyDescent="0.4">
      <c r="B1672" s="10">
        <v>1996</v>
      </c>
      <c r="C1672" s="34"/>
      <c r="D1672" s="77"/>
      <c r="E1672" s="77"/>
      <c r="F1672" s="77"/>
      <c r="G1672" s="77"/>
      <c r="H1672" s="91"/>
      <c r="I1672" s="89"/>
      <c r="J1672" s="77"/>
      <c r="K1672" s="110"/>
      <c r="L1672" s="107"/>
      <c r="M1672" s="109"/>
      <c r="N1672" s="11" t="str">
        <f t="shared" si="54"/>
        <v/>
      </c>
      <c r="O1672" s="32" t="str">
        <f t="shared" si="55"/>
        <v/>
      </c>
    </row>
    <row r="1673" spans="2:15" ht="15" customHeight="1" x14ac:dyDescent="0.4">
      <c r="B1673" s="10">
        <v>1997</v>
      </c>
      <c r="C1673" s="34"/>
      <c r="D1673" s="77"/>
      <c r="E1673" s="77"/>
      <c r="F1673" s="77"/>
      <c r="G1673" s="77"/>
      <c r="H1673" s="91"/>
      <c r="I1673" s="89"/>
      <c r="J1673" s="77"/>
      <c r="K1673" s="110"/>
      <c r="L1673" s="107"/>
      <c r="M1673" s="109"/>
      <c r="N1673" s="11" t="str">
        <f t="shared" si="54"/>
        <v/>
      </c>
      <c r="O1673" s="32" t="str">
        <f t="shared" si="55"/>
        <v/>
      </c>
    </row>
    <row r="1674" spans="2:15" ht="15" customHeight="1" x14ac:dyDescent="0.4">
      <c r="B1674" s="10">
        <v>1998</v>
      </c>
      <c r="C1674" s="34"/>
      <c r="D1674" s="77"/>
      <c r="E1674" s="77"/>
      <c r="F1674" s="77"/>
      <c r="G1674" s="77"/>
      <c r="H1674" s="91"/>
      <c r="I1674" s="89"/>
      <c r="J1674" s="77"/>
      <c r="K1674" s="110"/>
      <c r="L1674" s="107"/>
      <c r="M1674" s="109"/>
      <c r="N1674" s="11" t="str">
        <f t="shared" si="54"/>
        <v/>
      </c>
      <c r="O1674" s="32" t="str">
        <f t="shared" si="55"/>
        <v/>
      </c>
    </row>
    <row r="1675" spans="2:15" ht="15" customHeight="1" x14ac:dyDescent="0.4">
      <c r="B1675" s="10">
        <v>1999</v>
      </c>
      <c r="C1675" s="34"/>
      <c r="D1675" s="77"/>
      <c r="E1675" s="77"/>
      <c r="F1675" s="77"/>
      <c r="G1675" s="77"/>
      <c r="H1675" s="91"/>
      <c r="I1675" s="89"/>
      <c r="J1675" s="77"/>
      <c r="K1675" s="110"/>
      <c r="L1675" s="107"/>
      <c r="M1675" s="109"/>
      <c r="N1675" s="11" t="str">
        <f t="shared" si="54"/>
        <v/>
      </c>
      <c r="O1675" s="32" t="str">
        <f t="shared" si="55"/>
        <v/>
      </c>
    </row>
    <row r="1676" spans="2:15" ht="15" customHeight="1" x14ac:dyDescent="0.4">
      <c r="B1676" s="10">
        <v>2000</v>
      </c>
      <c r="C1676" s="34"/>
      <c r="D1676" s="77"/>
      <c r="E1676" s="77"/>
      <c r="F1676" s="77"/>
      <c r="G1676" s="77"/>
      <c r="H1676" s="91"/>
      <c r="I1676" s="89"/>
      <c r="J1676" s="77"/>
      <c r="K1676" s="110"/>
      <c r="L1676" s="107"/>
      <c r="M1676" s="109"/>
      <c r="N1676" s="11" t="str">
        <f t="shared" si="54"/>
        <v/>
      </c>
      <c r="O1676" s="32" t="str">
        <f t="shared" si="55"/>
        <v/>
      </c>
    </row>
    <row r="1677" spans="2:15" ht="15" customHeight="1" x14ac:dyDescent="0.4">
      <c r="B1677" s="10">
        <v>2001</v>
      </c>
      <c r="C1677" s="34"/>
      <c r="D1677" s="77"/>
      <c r="E1677" s="77"/>
      <c r="F1677" s="77"/>
      <c r="G1677" s="77"/>
      <c r="H1677" s="91"/>
      <c r="I1677" s="89"/>
      <c r="J1677" s="77"/>
      <c r="K1677" s="110"/>
      <c r="L1677" s="107"/>
      <c r="M1677" s="109"/>
      <c r="N1677" s="11" t="str">
        <f t="shared" si="54"/>
        <v/>
      </c>
      <c r="O1677" s="32" t="str">
        <f t="shared" si="55"/>
        <v/>
      </c>
    </row>
    <row r="1678" spans="2:15" ht="15" customHeight="1" x14ac:dyDescent="0.4">
      <c r="B1678" s="10">
        <v>2002</v>
      </c>
      <c r="C1678" s="34"/>
      <c r="D1678" s="77"/>
      <c r="E1678" s="77"/>
      <c r="F1678" s="77"/>
      <c r="G1678" s="77"/>
      <c r="H1678" s="91"/>
      <c r="I1678" s="89"/>
      <c r="J1678" s="77"/>
      <c r="K1678" s="110"/>
      <c r="L1678" s="107"/>
      <c r="M1678" s="109"/>
      <c r="N1678" s="11" t="str">
        <f t="shared" si="54"/>
        <v/>
      </c>
      <c r="O1678" s="32" t="str">
        <f t="shared" si="55"/>
        <v/>
      </c>
    </row>
    <row r="1679" spans="2:15" ht="15" customHeight="1" x14ac:dyDescent="0.4">
      <c r="B1679" s="10">
        <v>2003</v>
      </c>
      <c r="C1679" s="34"/>
      <c r="D1679" s="77"/>
      <c r="E1679" s="77"/>
      <c r="F1679" s="77"/>
      <c r="G1679" s="77"/>
      <c r="H1679" s="91"/>
      <c r="I1679" s="89"/>
      <c r="J1679" s="77"/>
      <c r="K1679" s="110"/>
      <c r="L1679" s="107"/>
      <c r="M1679" s="109"/>
      <c r="N1679" s="11" t="str">
        <f t="shared" si="54"/>
        <v/>
      </c>
      <c r="O1679" s="32" t="str">
        <f t="shared" si="55"/>
        <v/>
      </c>
    </row>
    <row r="1680" spans="2:15" ht="15" customHeight="1" x14ac:dyDescent="0.4">
      <c r="B1680" s="10">
        <v>2004</v>
      </c>
      <c r="C1680" s="34"/>
      <c r="D1680" s="77"/>
      <c r="E1680" s="77"/>
      <c r="F1680" s="77"/>
      <c r="G1680" s="77"/>
      <c r="H1680" s="91"/>
      <c r="I1680" s="89"/>
      <c r="J1680" s="77"/>
      <c r="K1680" s="110"/>
      <c r="L1680" s="107"/>
      <c r="M1680" s="109"/>
      <c r="N1680" s="11" t="str">
        <f t="shared" si="54"/>
        <v/>
      </c>
      <c r="O1680" s="32" t="str">
        <f t="shared" si="55"/>
        <v/>
      </c>
    </row>
    <row r="1681" spans="2:15" ht="15" customHeight="1" x14ac:dyDescent="0.4">
      <c r="B1681" s="10">
        <v>2005</v>
      </c>
      <c r="C1681" s="34"/>
      <c r="D1681" s="77"/>
      <c r="E1681" s="77"/>
      <c r="F1681" s="77"/>
      <c r="G1681" s="77"/>
      <c r="H1681" s="91"/>
      <c r="I1681" s="89"/>
      <c r="J1681" s="77"/>
      <c r="K1681" s="110"/>
      <c r="L1681" s="107"/>
      <c r="M1681" s="109"/>
      <c r="N1681" s="11" t="str">
        <f t="shared" si="54"/>
        <v/>
      </c>
      <c r="O1681" s="32" t="str">
        <f t="shared" si="55"/>
        <v/>
      </c>
    </row>
    <row r="1682" spans="2:15" ht="15" customHeight="1" x14ac:dyDescent="0.4">
      <c r="B1682" s="10">
        <v>2006</v>
      </c>
      <c r="C1682" s="34"/>
      <c r="D1682" s="77"/>
      <c r="E1682" s="77"/>
      <c r="F1682" s="77"/>
      <c r="G1682" s="77"/>
      <c r="H1682" s="91"/>
      <c r="I1682" s="89"/>
      <c r="J1682" s="77"/>
      <c r="K1682" s="110"/>
      <c r="L1682" s="107"/>
      <c r="M1682" s="109"/>
      <c r="N1682" s="11" t="str">
        <f t="shared" si="54"/>
        <v/>
      </c>
      <c r="O1682" s="32" t="str">
        <f t="shared" si="55"/>
        <v/>
      </c>
    </row>
    <row r="1683" spans="2:15" ht="15" customHeight="1" x14ac:dyDescent="0.4">
      <c r="B1683" s="10">
        <v>2007</v>
      </c>
      <c r="C1683" s="34"/>
      <c r="D1683" s="77"/>
      <c r="E1683" s="77"/>
      <c r="F1683" s="77"/>
      <c r="G1683" s="77"/>
      <c r="H1683" s="91"/>
      <c r="I1683" s="89"/>
      <c r="J1683" s="77"/>
      <c r="K1683" s="110"/>
      <c r="L1683" s="107"/>
      <c r="M1683" s="109"/>
      <c r="N1683" s="11" t="str">
        <f t="shared" si="54"/>
        <v/>
      </c>
      <c r="O1683" s="32" t="str">
        <f t="shared" si="55"/>
        <v/>
      </c>
    </row>
    <row r="1684" spans="2:15" ht="15" customHeight="1" x14ac:dyDescent="0.4">
      <c r="B1684" s="10">
        <v>2008</v>
      </c>
      <c r="C1684" s="34"/>
      <c r="D1684" s="77"/>
      <c r="E1684" s="77"/>
      <c r="F1684" s="77"/>
      <c r="G1684" s="77"/>
      <c r="H1684" s="91"/>
      <c r="I1684" s="89"/>
      <c r="J1684" s="77"/>
      <c r="K1684" s="110"/>
      <c r="L1684" s="107"/>
      <c r="M1684" s="109"/>
      <c r="N1684" s="11" t="str">
        <f t="shared" si="54"/>
        <v/>
      </c>
      <c r="O1684" s="32" t="str">
        <f t="shared" si="55"/>
        <v/>
      </c>
    </row>
    <row r="1685" spans="2:15" ht="15" customHeight="1" x14ac:dyDescent="0.4">
      <c r="B1685" s="10">
        <v>2009</v>
      </c>
      <c r="C1685" s="34"/>
      <c r="D1685" s="77"/>
      <c r="E1685" s="77"/>
      <c r="F1685" s="77"/>
      <c r="G1685" s="77"/>
      <c r="H1685" s="91"/>
      <c r="I1685" s="89"/>
      <c r="J1685" s="77"/>
      <c r="K1685" s="110"/>
      <c r="L1685" s="107"/>
      <c r="M1685" s="109"/>
      <c r="N1685" s="11" t="str">
        <f t="shared" si="54"/>
        <v/>
      </c>
      <c r="O1685" s="32" t="str">
        <f t="shared" si="55"/>
        <v/>
      </c>
    </row>
    <row r="1686" spans="2:15" ht="15" customHeight="1" x14ac:dyDescent="0.4">
      <c r="B1686" s="10">
        <v>2010</v>
      </c>
      <c r="C1686" s="34"/>
      <c r="D1686" s="77"/>
      <c r="E1686" s="77"/>
      <c r="F1686" s="77"/>
      <c r="G1686" s="77"/>
      <c r="H1686" s="91"/>
      <c r="I1686" s="89"/>
      <c r="J1686" s="77"/>
      <c r="K1686" s="110"/>
      <c r="L1686" s="107"/>
      <c r="M1686" s="109"/>
      <c r="N1686" s="11" t="str">
        <f t="shared" si="54"/>
        <v/>
      </c>
      <c r="O1686" s="32" t="str">
        <f t="shared" si="55"/>
        <v/>
      </c>
    </row>
    <row r="1687" spans="2:15" ht="15" customHeight="1" x14ac:dyDescent="0.4">
      <c r="B1687" s="10">
        <v>2011</v>
      </c>
      <c r="C1687" s="34"/>
      <c r="D1687" s="77"/>
      <c r="E1687" s="77"/>
      <c r="F1687" s="77"/>
      <c r="G1687" s="77"/>
      <c r="H1687" s="91"/>
      <c r="I1687" s="89"/>
      <c r="J1687" s="77"/>
      <c r="K1687" s="110"/>
      <c r="L1687" s="107"/>
      <c r="M1687" s="109"/>
      <c r="N1687" s="11" t="str">
        <f t="shared" si="54"/>
        <v/>
      </c>
      <c r="O1687" s="32" t="str">
        <f t="shared" si="55"/>
        <v/>
      </c>
    </row>
    <row r="1688" spans="2:15" ht="15" customHeight="1" x14ac:dyDescent="0.4">
      <c r="B1688" s="10">
        <v>2012</v>
      </c>
      <c r="C1688" s="34"/>
      <c r="D1688" s="77"/>
      <c r="E1688" s="77"/>
      <c r="F1688" s="77"/>
      <c r="G1688" s="77"/>
      <c r="H1688" s="91"/>
      <c r="I1688" s="89"/>
      <c r="J1688" s="77"/>
      <c r="K1688" s="110"/>
      <c r="L1688" s="107"/>
      <c r="M1688" s="109"/>
      <c r="N1688" s="11" t="str">
        <f t="shared" si="54"/>
        <v/>
      </c>
      <c r="O1688" s="32" t="str">
        <f t="shared" si="55"/>
        <v/>
      </c>
    </row>
    <row r="1689" spans="2:15" ht="15" customHeight="1" x14ac:dyDescent="0.4">
      <c r="B1689" s="10">
        <v>2013</v>
      </c>
      <c r="C1689" s="34"/>
      <c r="D1689" s="77"/>
      <c r="E1689" s="77"/>
      <c r="F1689" s="77"/>
      <c r="G1689" s="77"/>
      <c r="H1689" s="91"/>
      <c r="I1689" s="89"/>
      <c r="J1689" s="77"/>
      <c r="K1689" s="110"/>
      <c r="L1689" s="107"/>
      <c r="M1689" s="109"/>
      <c r="N1689" s="11" t="str">
        <f t="shared" si="54"/>
        <v/>
      </c>
      <c r="O1689" s="32" t="str">
        <f t="shared" si="55"/>
        <v/>
      </c>
    </row>
    <row r="1690" spans="2:15" ht="15" customHeight="1" x14ac:dyDescent="0.4">
      <c r="B1690" s="10">
        <v>2014</v>
      </c>
      <c r="C1690" s="34"/>
      <c r="D1690" s="77"/>
      <c r="E1690" s="77"/>
      <c r="F1690" s="77"/>
      <c r="G1690" s="77"/>
      <c r="H1690" s="91"/>
      <c r="I1690" s="89"/>
      <c r="J1690" s="77"/>
      <c r="K1690" s="110"/>
      <c r="L1690" s="107"/>
      <c r="M1690" s="109"/>
      <c r="N1690" s="11" t="str">
        <f t="shared" si="54"/>
        <v/>
      </c>
      <c r="O1690" s="32" t="str">
        <f t="shared" si="55"/>
        <v/>
      </c>
    </row>
    <row r="1691" spans="2:15" ht="15" customHeight="1" x14ac:dyDescent="0.4">
      <c r="B1691" s="10">
        <v>2015</v>
      </c>
      <c r="C1691" s="34"/>
      <c r="D1691" s="77"/>
      <c r="E1691" s="77"/>
      <c r="F1691" s="77"/>
      <c r="G1691" s="77"/>
      <c r="H1691" s="91"/>
      <c r="I1691" s="89"/>
      <c r="J1691" s="77"/>
      <c r="K1691" s="110"/>
      <c r="L1691" s="107"/>
      <c r="M1691" s="109"/>
      <c r="N1691" s="11" t="str">
        <f t="shared" si="54"/>
        <v/>
      </c>
      <c r="O1691" s="32" t="str">
        <f t="shared" si="55"/>
        <v/>
      </c>
    </row>
    <row r="1692" spans="2:15" ht="15" customHeight="1" x14ac:dyDescent="0.4">
      <c r="B1692" s="10">
        <v>2016</v>
      </c>
      <c r="C1692" s="34"/>
      <c r="D1692" s="77"/>
      <c r="E1692" s="77"/>
      <c r="F1692" s="77"/>
      <c r="G1692" s="77"/>
      <c r="H1692" s="91"/>
      <c r="I1692" s="89"/>
      <c r="J1692" s="77"/>
      <c r="K1692" s="110"/>
      <c r="L1692" s="107"/>
      <c r="M1692" s="109"/>
      <c r="N1692" s="11" t="str">
        <f t="shared" si="54"/>
        <v/>
      </c>
      <c r="O1692" s="32" t="str">
        <f t="shared" si="55"/>
        <v/>
      </c>
    </row>
    <row r="1693" spans="2:15" ht="15" customHeight="1" x14ac:dyDescent="0.4">
      <c r="B1693" s="10">
        <v>2017</v>
      </c>
      <c r="C1693" s="34"/>
      <c r="D1693" s="77"/>
      <c r="E1693" s="77"/>
      <c r="F1693" s="77"/>
      <c r="G1693" s="77"/>
      <c r="H1693" s="91"/>
      <c r="I1693" s="89"/>
      <c r="J1693" s="77"/>
      <c r="K1693" s="110"/>
      <c r="L1693" s="107"/>
      <c r="M1693" s="109"/>
      <c r="N1693" s="11" t="str">
        <f t="shared" si="54"/>
        <v/>
      </c>
      <c r="O1693" s="32" t="str">
        <f t="shared" si="55"/>
        <v/>
      </c>
    </row>
    <row r="1694" spans="2:15" ht="15" customHeight="1" x14ac:dyDescent="0.4">
      <c r="B1694" s="10">
        <v>2018</v>
      </c>
      <c r="C1694" s="34"/>
      <c r="D1694" s="77"/>
      <c r="E1694" s="77"/>
      <c r="F1694" s="77"/>
      <c r="G1694" s="77"/>
      <c r="H1694" s="91"/>
      <c r="I1694" s="89"/>
      <c r="J1694" s="77"/>
      <c r="K1694" s="110"/>
      <c r="L1694" s="107"/>
      <c r="M1694" s="109"/>
      <c r="N1694" s="11" t="str">
        <f t="shared" si="54"/>
        <v/>
      </c>
      <c r="O1694" s="32" t="str">
        <f t="shared" si="55"/>
        <v/>
      </c>
    </row>
    <row r="1695" spans="2:15" ht="15" customHeight="1" x14ac:dyDescent="0.4">
      <c r="B1695" s="10">
        <v>2019</v>
      </c>
      <c r="C1695" s="34"/>
      <c r="D1695" s="77"/>
      <c r="E1695" s="77"/>
      <c r="F1695" s="77"/>
      <c r="G1695" s="77"/>
      <c r="H1695" s="91"/>
      <c r="I1695" s="89"/>
      <c r="J1695" s="77"/>
      <c r="K1695" s="110"/>
      <c r="L1695" s="107"/>
      <c r="M1695" s="109"/>
      <c r="N1695" s="11" t="str">
        <f t="shared" si="54"/>
        <v/>
      </c>
      <c r="O1695" s="32" t="str">
        <f t="shared" si="55"/>
        <v/>
      </c>
    </row>
    <row r="1696" spans="2:15" ht="15" customHeight="1" x14ac:dyDescent="0.4">
      <c r="B1696" s="10">
        <v>2020</v>
      </c>
      <c r="C1696" s="34"/>
      <c r="D1696" s="77"/>
      <c r="E1696" s="77"/>
      <c r="F1696" s="77"/>
      <c r="G1696" s="77"/>
      <c r="H1696" s="91"/>
      <c r="I1696" s="89"/>
      <c r="J1696" s="77"/>
      <c r="K1696" s="110"/>
      <c r="L1696" s="107"/>
      <c r="M1696" s="109"/>
      <c r="N1696" s="11" t="str">
        <f t="shared" si="54"/>
        <v/>
      </c>
      <c r="O1696" s="32" t="str">
        <f t="shared" si="55"/>
        <v/>
      </c>
    </row>
    <row r="1697" spans="2:15" ht="15" customHeight="1" x14ac:dyDescent="0.4">
      <c r="B1697" s="10">
        <v>2021</v>
      </c>
      <c r="C1697" s="34"/>
      <c r="D1697" s="77"/>
      <c r="E1697" s="77"/>
      <c r="F1697" s="77"/>
      <c r="G1697" s="77"/>
      <c r="H1697" s="91"/>
      <c r="I1697" s="89"/>
      <c r="J1697" s="77"/>
      <c r="K1697" s="110"/>
      <c r="L1697" s="107"/>
      <c r="M1697" s="109"/>
      <c r="N1697" s="11" t="str">
        <f t="shared" si="54"/>
        <v/>
      </c>
      <c r="O1697" s="32" t="str">
        <f t="shared" si="55"/>
        <v/>
      </c>
    </row>
    <row r="1698" spans="2:15" ht="15" customHeight="1" x14ac:dyDescent="0.4">
      <c r="B1698" s="10">
        <v>2022</v>
      </c>
      <c r="C1698" s="34"/>
      <c r="D1698" s="77"/>
      <c r="E1698" s="77"/>
      <c r="F1698" s="77"/>
      <c r="G1698" s="77"/>
      <c r="H1698" s="91"/>
      <c r="I1698" s="89"/>
      <c r="J1698" s="77"/>
      <c r="K1698" s="110"/>
      <c r="L1698" s="107"/>
      <c r="M1698" s="109"/>
      <c r="N1698" s="11" t="str">
        <f t="shared" si="54"/>
        <v/>
      </c>
      <c r="O1698" s="32" t="str">
        <f t="shared" si="55"/>
        <v/>
      </c>
    </row>
    <row r="1699" spans="2:15" ht="15" customHeight="1" x14ac:dyDescent="0.4">
      <c r="B1699" s="10">
        <v>2023</v>
      </c>
      <c r="C1699" s="34"/>
      <c r="D1699" s="77"/>
      <c r="E1699" s="77"/>
      <c r="F1699" s="77"/>
      <c r="G1699" s="77"/>
      <c r="H1699" s="91"/>
      <c r="I1699" s="89"/>
      <c r="J1699" s="77"/>
      <c r="K1699" s="110"/>
      <c r="L1699" s="107"/>
      <c r="M1699" s="109"/>
      <c r="N1699" s="11" t="str">
        <f t="shared" si="54"/>
        <v/>
      </c>
      <c r="O1699" s="32" t="str">
        <f t="shared" si="55"/>
        <v/>
      </c>
    </row>
    <row r="1700" spans="2:15" ht="15" customHeight="1" x14ac:dyDescent="0.4">
      <c r="B1700" s="10">
        <v>2024</v>
      </c>
      <c r="C1700" s="34"/>
      <c r="D1700" s="77"/>
      <c r="E1700" s="77"/>
      <c r="F1700" s="77"/>
      <c r="G1700" s="77"/>
      <c r="H1700" s="91"/>
      <c r="I1700" s="89"/>
      <c r="J1700" s="77"/>
      <c r="K1700" s="110"/>
      <c r="L1700" s="107"/>
      <c r="M1700" s="109"/>
      <c r="N1700" s="11" t="str">
        <f t="shared" si="54"/>
        <v/>
      </c>
      <c r="O1700" s="32" t="str">
        <f t="shared" si="55"/>
        <v/>
      </c>
    </row>
    <row r="1701" spans="2:15" ht="15" customHeight="1" x14ac:dyDescent="0.4">
      <c r="B1701" s="10">
        <v>2025</v>
      </c>
      <c r="C1701" s="34"/>
      <c r="D1701" s="77"/>
      <c r="E1701" s="77"/>
      <c r="F1701" s="77"/>
      <c r="G1701" s="77"/>
      <c r="H1701" s="91"/>
      <c r="I1701" s="89"/>
      <c r="J1701" s="77"/>
      <c r="K1701" s="110"/>
      <c r="L1701" s="107"/>
      <c r="M1701" s="109"/>
      <c r="N1701" s="11" t="str">
        <f t="shared" ref="N1701:N1764" si="56">IF(OR(M1701="", K1701=""),"", M1701- K1701)</f>
        <v/>
      </c>
      <c r="O1701" s="32" t="str">
        <f t="shared" ref="O1701:O1764" si="57">IF(OR(M1701="", K1701="", L1701=""), "", IF((M1701 - K1701) &gt; L1701, "No", "Yes"))</f>
        <v/>
      </c>
    </row>
    <row r="1702" spans="2:15" ht="15" customHeight="1" x14ac:dyDescent="0.4">
      <c r="B1702" s="10">
        <v>2026</v>
      </c>
      <c r="C1702" s="34"/>
      <c r="D1702" s="77"/>
      <c r="E1702" s="77"/>
      <c r="F1702" s="77"/>
      <c r="G1702" s="77"/>
      <c r="H1702" s="91"/>
      <c r="I1702" s="89"/>
      <c r="J1702" s="77"/>
      <c r="K1702" s="110"/>
      <c r="L1702" s="107"/>
      <c r="M1702" s="109"/>
      <c r="N1702" s="11" t="str">
        <f t="shared" si="56"/>
        <v/>
      </c>
      <c r="O1702" s="32" t="str">
        <f t="shared" si="57"/>
        <v/>
      </c>
    </row>
    <row r="1703" spans="2:15" ht="15" customHeight="1" x14ac:dyDescent="0.4">
      <c r="B1703" s="10">
        <v>2027</v>
      </c>
      <c r="C1703" s="34"/>
      <c r="D1703" s="77"/>
      <c r="E1703" s="77"/>
      <c r="F1703" s="77"/>
      <c r="G1703" s="77"/>
      <c r="H1703" s="91"/>
      <c r="I1703" s="89"/>
      <c r="J1703" s="77"/>
      <c r="K1703" s="110"/>
      <c r="L1703" s="107"/>
      <c r="M1703" s="109"/>
      <c r="N1703" s="11" t="str">
        <f t="shared" si="56"/>
        <v/>
      </c>
      <c r="O1703" s="32" t="str">
        <f t="shared" si="57"/>
        <v/>
      </c>
    </row>
    <row r="1704" spans="2:15" ht="15" customHeight="1" x14ac:dyDescent="0.4">
      <c r="B1704" s="10">
        <v>2028</v>
      </c>
      <c r="C1704" s="34"/>
      <c r="D1704" s="77"/>
      <c r="E1704" s="77"/>
      <c r="F1704" s="77"/>
      <c r="G1704" s="77"/>
      <c r="H1704" s="91"/>
      <c r="I1704" s="89"/>
      <c r="J1704" s="77"/>
      <c r="K1704" s="110"/>
      <c r="L1704" s="107"/>
      <c r="M1704" s="109"/>
      <c r="N1704" s="11" t="str">
        <f t="shared" si="56"/>
        <v/>
      </c>
      <c r="O1704" s="32" t="str">
        <f t="shared" si="57"/>
        <v/>
      </c>
    </row>
    <row r="1705" spans="2:15" ht="15" customHeight="1" x14ac:dyDescent="0.4">
      <c r="B1705" s="10">
        <v>2029</v>
      </c>
      <c r="C1705" s="34"/>
      <c r="D1705" s="77"/>
      <c r="E1705" s="77"/>
      <c r="F1705" s="77"/>
      <c r="G1705" s="77"/>
      <c r="H1705" s="91"/>
      <c r="I1705" s="89"/>
      <c r="J1705" s="77"/>
      <c r="K1705" s="110"/>
      <c r="L1705" s="107"/>
      <c r="M1705" s="109"/>
      <c r="N1705" s="11" t="str">
        <f t="shared" si="56"/>
        <v/>
      </c>
      <c r="O1705" s="32" t="str">
        <f t="shared" si="57"/>
        <v/>
      </c>
    </row>
    <row r="1706" spans="2:15" ht="15" customHeight="1" x14ac:dyDescent="0.4">
      <c r="B1706" s="10">
        <v>2030</v>
      </c>
      <c r="C1706" s="34"/>
      <c r="D1706" s="77"/>
      <c r="E1706" s="77"/>
      <c r="F1706" s="77"/>
      <c r="G1706" s="77"/>
      <c r="H1706" s="91"/>
      <c r="I1706" s="89"/>
      <c r="J1706" s="77"/>
      <c r="K1706" s="110"/>
      <c r="L1706" s="107"/>
      <c r="M1706" s="109"/>
      <c r="N1706" s="11" t="str">
        <f t="shared" si="56"/>
        <v/>
      </c>
      <c r="O1706" s="32" t="str">
        <f t="shared" si="57"/>
        <v/>
      </c>
    </row>
    <row r="1707" spans="2:15" ht="15" customHeight="1" x14ac:dyDescent="0.4">
      <c r="B1707" s="10">
        <v>2031</v>
      </c>
      <c r="C1707" s="34"/>
      <c r="D1707" s="77"/>
      <c r="E1707" s="77"/>
      <c r="F1707" s="77"/>
      <c r="G1707" s="77"/>
      <c r="H1707" s="91"/>
      <c r="I1707" s="89"/>
      <c r="J1707" s="77"/>
      <c r="K1707" s="110"/>
      <c r="L1707" s="107"/>
      <c r="M1707" s="109"/>
      <c r="N1707" s="11" t="str">
        <f t="shared" si="56"/>
        <v/>
      </c>
      <c r="O1707" s="32" t="str">
        <f t="shared" si="57"/>
        <v/>
      </c>
    </row>
    <row r="1708" spans="2:15" ht="15" customHeight="1" x14ac:dyDescent="0.4">
      <c r="B1708" s="10">
        <v>2032</v>
      </c>
      <c r="C1708" s="34"/>
      <c r="D1708" s="77"/>
      <c r="E1708" s="77"/>
      <c r="F1708" s="77"/>
      <c r="G1708" s="77"/>
      <c r="H1708" s="91"/>
      <c r="I1708" s="89"/>
      <c r="J1708" s="77"/>
      <c r="K1708" s="110"/>
      <c r="L1708" s="107"/>
      <c r="M1708" s="109"/>
      <c r="N1708" s="11" t="str">
        <f t="shared" si="56"/>
        <v/>
      </c>
      <c r="O1708" s="32" t="str">
        <f t="shared" si="57"/>
        <v/>
      </c>
    </row>
    <row r="1709" spans="2:15" ht="15" customHeight="1" x14ac:dyDescent="0.4">
      <c r="B1709" s="10">
        <v>2033</v>
      </c>
      <c r="C1709" s="34"/>
      <c r="D1709" s="77"/>
      <c r="E1709" s="77"/>
      <c r="F1709" s="77"/>
      <c r="G1709" s="77"/>
      <c r="H1709" s="91"/>
      <c r="I1709" s="89"/>
      <c r="J1709" s="77"/>
      <c r="K1709" s="110"/>
      <c r="L1709" s="107"/>
      <c r="M1709" s="109"/>
      <c r="N1709" s="11" t="str">
        <f t="shared" si="56"/>
        <v/>
      </c>
      <c r="O1709" s="32" t="str">
        <f t="shared" si="57"/>
        <v/>
      </c>
    </row>
    <row r="1710" spans="2:15" ht="15" customHeight="1" x14ac:dyDescent="0.4">
      <c r="B1710" s="10">
        <v>2034</v>
      </c>
      <c r="C1710" s="34"/>
      <c r="D1710" s="77"/>
      <c r="E1710" s="77"/>
      <c r="F1710" s="77"/>
      <c r="G1710" s="77"/>
      <c r="H1710" s="91"/>
      <c r="I1710" s="89"/>
      <c r="J1710" s="77"/>
      <c r="K1710" s="110"/>
      <c r="L1710" s="107"/>
      <c r="M1710" s="109"/>
      <c r="N1710" s="11" t="str">
        <f t="shared" si="56"/>
        <v/>
      </c>
      <c r="O1710" s="32" t="str">
        <f t="shared" si="57"/>
        <v/>
      </c>
    </row>
    <row r="1711" spans="2:15" ht="15" customHeight="1" x14ac:dyDescent="0.4">
      <c r="B1711" s="10">
        <v>2035</v>
      </c>
      <c r="C1711" s="34"/>
      <c r="D1711" s="77"/>
      <c r="E1711" s="77"/>
      <c r="F1711" s="77"/>
      <c r="G1711" s="77"/>
      <c r="H1711" s="91"/>
      <c r="I1711" s="89"/>
      <c r="J1711" s="77"/>
      <c r="K1711" s="110"/>
      <c r="L1711" s="107"/>
      <c r="M1711" s="109"/>
      <c r="N1711" s="11" t="str">
        <f t="shared" si="56"/>
        <v/>
      </c>
      <c r="O1711" s="32" t="str">
        <f t="shared" si="57"/>
        <v/>
      </c>
    </row>
    <row r="1712" spans="2:15" ht="15" customHeight="1" x14ac:dyDescent="0.4">
      <c r="B1712" s="10">
        <v>2036</v>
      </c>
      <c r="C1712" s="34"/>
      <c r="D1712" s="77"/>
      <c r="E1712" s="77"/>
      <c r="F1712" s="77"/>
      <c r="G1712" s="77"/>
      <c r="H1712" s="91"/>
      <c r="I1712" s="89"/>
      <c r="J1712" s="77"/>
      <c r="K1712" s="110"/>
      <c r="L1712" s="107"/>
      <c r="M1712" s="109"/>
      <c r="N1712" s="11" t="str">
        <f t="shared" si="56"/>
        <v/>
      </c>
      <c r="O1712" s="32" t="str">
        <f t="shared" si="57"/>
        <v/>
      </c>
    </row>
    <row r="1713" spans="2:15" ht="15" customHeight="1" x14ac:dyDescent="0.4">
      <c r="B1713" s="10">
        <v>2037</v>
      </c>
      <c r="C1713" s="34"/>
      <c r="D1713" s="77"/>
      <c r="E1713" s="77"/>
      <c r="F1713" s="77"/>
      <c r="G1713" s="77"/>
      <c r="H1713" s="91"/>
      <c r="I1713" s="89"/>
      <c r="J1713" s="77"/>
      <c r="K1713" s="110"/>
      <c r="L1713" s="107"/>
      <c r="M1713" s="109"/>
      <c r="N1713" s="11" t="str">
        <f t="shared" si="56"/>
        <v/>
      </c>
      <c r="O1713" s="32" t="str">
        <f t="shared" si="57"/>
        <v/>
      </c>
    </row>
    <row r="1714" spans="2:15" ht="15" customHeight="1" x14ac:dyDescent="0.4">
      <c r="B1714" s="10">
        <v>2038</v>
      </c>
      <c r="C1714" s="34"/>
      <c r="D1714" s="77"/>
      <c r="E1714" s="77"/>
      <c r="F1714" s="77"/>
      <c r="G1714" s="77"/>
      <c r="H1714" s="91"/>
      <c r="I1714" s="89"/>
      <c r="J1714" s="77"/>
      <c r="K1714" s="110"/>
      <c r="L1714" s="107"/>
      <c r="M1714" s="109"/>
      <c r="N1714" s="11" t="str">
        <f t="shared" si="56"/>
        <v/>
      </c>
      <c r="O1714" s="32" t="str">
        <f t="shared" si="57"/>
        <v/>
      </c>
    </row>
    <row r="1715" spans="2:15" ht="15" customHeight="1" x14ac:dyDescent="0.4">
      <c r="B1715" s="10">
        <v>2039</v>
      </c>
      <c r="C1715" s="34"/>
      <c r="D1715" s="77"/>
      <c r="E1715" s="77"/>
      <c r="F1715" s="77"/>
      <c r="G1715" s="77"/>
      <c r="H1715" s="91"/>
      <c r="I1715" s="89"/>
      <c r="J1715" s="77"/>
      <c r="K1715" s="110"/>
      <c r="L1715" s="107"/>
      <c r="M1715" s="109"/>
      <c r="N1715" s="11" t="str">
        <f t="shared" si="56"/>
        <v/>
      </c>
      <c r="O1715" s="32" t="str">
        <f t="shared" si="57"/>
        <v/>
      </c>
    </row>
    <row r="1716" spans="2:15" ht="15" customHeight="1" x14ac:dyDescent="0.4">
      <c r="B1716" s="10">
        <v>2040</v>
      </c>
      <c r="C1716" s="34"/>
      <c r="D1716" s="77"/>
      <c r="E1716" s="77"/>
      <c r="F1716" s="77"/>
      <c r="G1716" s="77"/>
      <c r="H1716" s="91"/>
      <c r="I1716" s="89"/>
      <c r="J1716" s="77"/>
      <c r="K1716" s="110"/>
      <c r="L1716" s="107"/>
      <c r="M1716" s="109"/>
      <c r="N1716" s="11" t="str">
        <f t="shared" si="56"/>
        <v/>
      </c>
      <c r="O1716" s="32" t="str">
        <f t="shared" si="57"/>
        <v/>
      </c>
    </row>
    <row r="1717" spans="2:15" ht="15" customHeight="1" x14ac:dyDescent="0.4">
      <c r="B1717" s="10">
        <v>2041</v>
      </c>
      <c r="C1717" s="34"/>
      <c r="D1717" s="77"/>
      <c r="E1717" s="77"/>
      <c r="F1717" s="77"/>
      <c r="G1717" s="77"/>
      <c r="H1717" s="91"/>
      <c r="I1717" s="89"/>
      <c r="J1717" s="77"/>
      <c r="K1717" s="110"/>
      <c r="L1717" s="107"/>
      <c r="M1717" s="109"/>
      <c r="N1717" s="11" t="str">
        <f t="shared" si="56"/>
        <v/>
      </c>
      <c r="O1717" s="32" t="str">
        <f t="shared" si="57"/>
        <v/>
      </c>
    </row>
    <row r="1718" spans="2:15" ht="15" customHeight="1" x14ac:dyDescent="0.4">
      <c r="B1718" s="10">
        <v>2042</v>
      </c>
      <c r="C1718" s="34"/>
      <c r="D1718" s="77"/>
      <c r="E1718" s="77"/>
      <c r="F1718" s="77"/>
      <c r="G1718" s="77"/>
      <c r="H1718" s="91"/>
      <c r="I1718" s="89"/>
      <c r="J1718" s="77"/>
      <c r="K1718" s="110"/>
      <c r="L1718" s="107"/>
      <c r="M1718" s="109"/>
      <c r="N1718" s="11" t="str">
        <f t="shared" si="56"/>
        <v/>
      </c>
      <c r="O1718" s="32" t="str">
        <f t="shared" si="57"/>
        <v/>
      </c>
    </row>
    <row r="1719" spans="2:15" ht="15" customHeight="1" x14ac:dyDescent="0.4">
      <c r="B1719" s="10">
        <v>2043</v>
      </c>
      <c r="C1719" s="34"/>
      <c r="D1719" s="77"/>
      <c r="E1719" s="77"/>
      <c r="F1719" s="77"/>
      <c r="G1719" s="77"/>
      <c r="H1719" s="91"/>
      <c r="I1719" s="89"/>
      <c r="J1719" s="77"/>
      <c r="K1719" s="110"/>
      <c r="L1719" s="107"/>
      <c r="M1719" s="109"/>
      <c r="N1719" s="11" t="str">
        <f t="shared" si="56"/>
        <v/>
      </c>
      <c r="O1719" s="32" t="str">
        <f t="shared" si="57"/>
        <v/>
      </c>
    </row>
    <row r="1720" spans="2:15" ht="15" customHeight="1" x14ac:dyDescent="0.4">
      <c r="B1720" s="10">
        <v>2044</v>
      </c>
      <c r="C1720" s="34"/>
      <c r="D1720" s="77"/>
      <c r="E1720" s="77"/>
      <c r="F1720" s="77"/>
      <c r="G1720" s="77"/>
      <c r="H1720" s="91"/>
      <c r="I1720" s="89"/>
      <c r="J1720" s="77"/>
      <c r="K1720" s="110"/>
      <c r="L1720" s="107"/>
      <c r="M1720" s="109"/>
      <c r="N1720" s="11" t="str">
        <f t="shared" si="56"/>
        <v/>
      </c>
      <c r="O1720" s="32" t="str">
        <f t="shared" si="57"/>
        <v/>
      </c>
    </row>
    <row r="1721" spans="2:15" ht="15" customHeight="1" x14ac:dyDescent="0.4">
      <c r="B1721" s="10">
        <v>2045</v>
      </c>
      <c r="C1721" s="34"/>
      <c r="D1721" s="77"/>
      <c r="E1721" s="77"/>
      <c r="F1721" s="77"/>
      <c r="G1721" s="77"/>
      <c r="H1721" s="91"/>
      <c r="I1721" s="89"/>
      <c r="J1721" s="77"/>
      <c r="K1721" s="110"/>
      <c r="L1721" s="107"/>
      <c r="M1721" s="109"/>
      <c r="N1721" s="11" t="str">
        <f t="shared" si="56"/>
        <v/>
      </c>
      <c r="O1721" s="32" t="str">
        <f t="shared" si="57"/>
        <v/>
      </c>
    </row>
    <row r="1722" spans="2:15" ht="15" customHeight="1" x14ac:dyDescent="0.4">
      <c r="B1722" s="10">
        <v>2046</v>
      </c>
      <c r="C1722" s="34"/>
      <c r="D1722" s="77"/>
      <c r="E1722" s="77"/>
      <c r="F1722" s="77"/>
      <c r="G1722" s="77"/>
      <c r="H1722" s="91"/>
      <c r="I1722" s="89"/>
      <c r="J1722" s="77"/>
      <c r="K1722" s="110"/>
      <c r="L1722" s="107"/>
      <c r="M1722" s="109"/>
      <c r="N1722" s="11" t="str">
        <f t="shared" si="56"/>
        <v/>
      </c>
      <c r="O1722" s="32" t="str">
        <f t="shared" si="57"/>
        <v/>
      </c>
    </row>
    <row r="1723" spans="2:15" ht="15" customHeight="1" x14ac:dyDescent="0.4">
      <c r="B1723" s="10">
        <v>2047</v>
      </c>
      <c r="C1723" s="34"/>
      <c r="D1723" s="77"/>
      <c r="E1723" s="77"/>
      <c r="F1723" s="77"/>
      <c r="G1723" s="77"/>
      <c r="H1723" s="91"/>
      <c r="I1723" s="89"/>
      <c r="J1723" s="77"/>
      <c r="K1723" s="110"/>
      <c r="L1723" s="107"/>
      <c r="M1723" s="109"/>
      <c r="N1723" s="11" t="str">
        <f t="shared" si="56"/>
        <v/>
      </c>
      <c r="O1723" s="32" t="str">
        <f t="shared" si="57"/>
        <v/>
      </c>
    </row>
    <row r="1724" spans="2:15" ht="15" customHeight="1" x14ac:dyDescent="0.4">
      <c r="B1724" s="10">
        <v>2048</v>
      </c>
      <c r="C1724" s="34"/>
      <c r="D1724" s="77"/>
      <c r="E1724" s="77"/>
      <c r="F1724" s="77"/>
      <c r="G1724" s="77"/>
      <c r="H1724" s="91"/>
      <c r="I1724" s="89"/>
      <c r="J1724" s="77"/>
      <c r="K1724" s="110"/>
      <c r="L1724" s="107"/>
      <c r="M1724" s="109"/>
      <c r="N1724" s="11" t="str">
        <f t="shared" si="56"/>
        <v/>
      </c>
      <c r="O1724" s="32" t="str">
        <f t="shared" si="57"/>
        <v/>
      </c>
    </row>
    <row r="1725" spans="2:15" ht="15" customHeight="1" x14ac:dyDescent="0.4">
      <c r="B1725" s="10">
        <v>2049</v>
      </c>
      <c r="C1725" s="34"/>
      <c r="D1725" s="77"/>
      <c r="E1725" s="77"/>
      <c r="F1725" s="77"/>
      <c r="G1725" s="77"/>
      <c r="H1725" s="91"/>
      <c r="I1725" s="89"/>
      <c r="J1725" s="77"/>
      <c r="K1725" s="110"/>
      <c r="L1725" s="107"/>
      <c r="M1725" s="109"/>
      <c r="N1725" s="11" t="str">
        <f t="shared" si="56"/>
        <v/>
      </c>
      <c r="O1725" s="32" t="str">
        <f t="shared" si="57"/>
        <v/>
      </c>
    </row>
    <row r="1726" spans="2:15" ht="15" customHeight="1" x14ac:dyDescent="0.4">
      <c r="B1726" s="10">
        <v>2050</v>
      </c>
      <c r="C1726" s="34"/>
      <c r="D1726" s="77"/>
      <c r="E1726" s="77"/>
      <c r="F1726" s="77"/>
      <c r="G1726" s="77"/>
      <c r="H1726" s="91"/>
      <c r="I1726" s="89"/>
      <c r="J1726" s="77"/>
      <c r="K1726" s="110"/>
      <c r="L1726" s="107"/>
      <c r="M1726" s="109"/>
      <c r="N1726" s="11" t="str">
        <f t="shared" si="56"/>
        <v/>
      </c>
      <c r="O1726" s="32" t="str">
        <f t="shared" si="57"/>
        <v/>
      </c>
    </row>
    <row r="1727" spans="2:15" ht="15" customHeight="1" x14ac:dyDescent="0.4">
      <c r="B1727" s="10">
        <v>2051</v>
      </c>
      <c r="C1727" s="34"/>
      <c r="D1727" s="77"/>
      <c r="E1727" s="77"/>
      <c r="F1727" s="77"/>
      <c r="G1727" s="77"/>
      <c r="H1727" s="91"/>
      <c r="I1727" s="89"/>
      <c r="J1727" s="77"/>
      <c r="K1727" s="110"/>
      <c r="L1727" s="107"/>
      <c r="M1727" s="109"/>
      <c r="N1727" s="11" t="str">
        <f t="shared" si="56"/>
        <v/>
      </c>
      <c r="O1727" s="32" t="str">
        <f t="shared" si="57"/>
        <v/>
      </c>
    </row>
    <row r="1728" spans="2:15" ht="15" customHeight="1" x14ac:dyDescent="0.4">
      <c r="B1728" s="10">
        <v>2052</v>
      </c>
      <c r="C1728" s="34"/>
      <c r="D1728" s="77"/>
      <c r="E1728" s="77"/>
      <c r="F1728" s="77"/>
      <c r="G1728" s="77"/>
      <c r="H1728" s="91"/>
      <c r="I1728" s="89"/>
      <c r="J1728" s="77"/>
      <c r="K1728" s="110"/>
      <c r="L1728" s="107"/>
      <c r="M1728" s="109"/>
      <c r="N1728" s="11" t="str">
        <f t="shared" si="56"/>
        <v/>
      </c>
      <c r="O1728" s="32" t="str">
        <f t="shared" si="57"/>
        <v/>
      </c>
    </row>
    <row r="1729" spans="2:15" ht="15" customHeight="1" x14ac:dyDescent="0.4">
      <c r="B1729" s="10">
        <v>2053</v>
      </c>
      <c r="C1729" s="34"/>
      <c r="D1729" s="77"/>
      <c r="E1729" s="77"/>
      <c r="F1729" s="77"/>
      <c r="G1729" s="77"/>
      <c r="H1729" s="91"/>
      <c r="I1729" s="89"/>
      <c r="J1729" s="77"/>
      <c r="K1729" s="110"/>
      <c r="L1729" s="107"/>
      <c r="M1729" s="109"/>
      <c r="N1729" s="11" t="str">
        <f t="shared" si="56"/>
        <v/>
      </c>
      <c r="O1729" s="32" t="str">
        <f t="shared" si="57"/>
        <v/>
      </c>
    </row>
    <row r="1730" spans="2:15" ht="15" customHeight="1" x14ac:dyDescent="0.4">
      <c r="B1730" s="10">
        <v>2054</v>
      </c>
      <c r="C1730" s="34"/>
      <c r="D1730" s="77"/>
      <c r="E1730" s="77"/>
      <c r="F1730" s="77"/>
      <c r="G1730" s="77"/>
      <c r="H1730" s="91"/>
      <c r="I1730" s="89"/>
      <c r="J1730" s="77"/>
      <c r="K1730" s="110"/>
      <c r="L1730" s="107"/>
      <c r="M1730" s="109"/>
      <c r="N1730" s="11" t="str">
        <f t="shared" si="56"/>
        <v/>
      </c>
      <c r="O1730" s="32" t="str">
        <f t="shared" si="57"/>
        <v/>
      </c>
    </row>
    <row r="1731" spans="2:15" ht="15" customHeight="1" x14ac:dyDescent="0.4">
      <c r="B1731" s="10">
        <v>2055</v>
      </c>
      <c r="C1731" s="34"/>
      <c r="D1731" s="77"/>
      <c r="E1731" s="77"/>
      <c r="F1731" s="77"/>
      <c r="G1731" s="77"/>
      <c r="H1731" s="91"/>
      <c r="I1731" s="89"/>
      <c r="J1731" s="77"/>
      <c r="K1731" s="110"/>
      <c r="L1731" s="107"/>
      <c r="M1731" s="109"/>
      <c r="N1731" s="11" t="str">
        <f t="shared" si="56"/>
        <v/>
      </c>
      <c r="O1731" s="32" t="str">
        <f t="shared" si="57"/>
        <v/>
      </c>
    </row>
    <row r="1732" spans="2:15" ht="15" customHeight="1" x14ac:dyDescent="0.4">
      <c r="B1732" s="10">
        <v>2056</v>
      </c>
      <c r="C1732" s="34"/>
      <c r="D1732" s="77"/>
      <c r="E1732" s="77"/>
      <c r="F1732" s="77"/>
      <c r="G1732" s="77"/>
      <c r="H1732" s="91"/>
      <c r="I1732" s="89"/>
      <c r="J1732" s="77"/>
      <c r="K1732" s="110"/>
      <c r="L1732" s="107"/>
      <c r="M1732" s="109"/>
      <c r="N1732" s="11" t="str">
        <f t="shared" si="56"/>
        <v/>
      </c>
      <c r="O1732" s="32" t="str">
        <f t="shared" si="57"/>
        <v/>
      </c>
    </row>
    <row r="1733" spans="2:15" ht="15" customHeight="1" x14ac:dyDescent="0.4">
      <c r="B1733" s="10">
        <v>2057</v>
      </c>
      <c r="C1733" s="34"/>
      <c r="D1733" s="77"/>
      <c r="E1733" s="77"/>
      <c r="F1733" s="77"/>
      <c r="G1733" s="77"/>
      <c r="H1733" s="91"/>
      <c r="I1733" s="89"/>
      <c r="J1733" s="77"/>
      <c r="K1733" s="110"/>
      <c r="L1733" s="107"/>
      <c r="M1733" s="109"/>
      <c r="N1733" s="11" t="str">
        <f t="shared" si="56"/>
        <v/>
      </c>
      <c r="O1733" s="32" t="str">
        <f t="shared" si="57"/>
        <v/>
      </c>
    </row>
    <row r="1734" spans="2:15" ht="15" customHeight="1" x14ac:dyDescent="0.4">
      <c r="B1734" s="10">
        <v>2058</v>
      </c>
      <c r="C1734" s="34"/>
      <c r="D1734" s="77"/>
      <c r="E1734" s="77"/>
      <c r="F1734" s="77"/>
      <c r="G1734" s="77"/>
      <c r="H1734" s="91"/>
      <c r="I1734" s="89"/>
      <c r="J1734" s="77"/>
      <c r="K1734" s="110"/>
      <c r="L1734" s="107"/>
      <c r="M1734" s="109"/>
      <c r="N1734" s="11" t="str">
        <f t="shared" si="56"/>
        <v/>
      </c>
      <c r="O1734" s="32" t="str">
        <f t="shared" si="57"/>
        <v/>
      </c>
    </row>
    <row r="1735" spans="2:15" ht="15" customHeight="1" x14ac:dyDescent="0.4">
      <c r="B1735" s="10">
        <v>2059</v>
      </c>
      <c r="C1735" s="34"/>
      <c r="D1735" s="77"/>
      <c r="E1735" s="77"/>
      <c r="F1735" s="77"/>
      <c r="G1735" s="77"/>
      <c r="H1735" s="91"/>
      <c r="I1735" s="89"/>
      <c r="J1735" s="77"/>
      <c r="K1735" s="110"/>
      <c r="L1735" s="107"/>
      <c r="M1735" s="109"/>
      <c r="N1735" s="11" t="str">
        <f t="shared" si="56"/>
        <v/>
      </c>
      <c r="O1735" s="32" t="str">
        <f t="shared" si="57"/>
        <v/>
      </c>
    </row>
    <row r="1736" spans="2:15" ht="15" customHeight="1" x14ac:dyDescent="0.4">
      <c r="B1736" s="10">
        <v>2060</v>
      </c>
      <c r="C1736" s="34"/>
      <c r="D1736" s="77"/>
      <c r="E1736" s="77"/>
      <c r="F1736" s="77"/>
      <c r="G1736" s="77"/>
      <c r="H1736" s="91"/>
      <c r="I1736" s="89"/>
      <c r="J1736" s="77"/>
      <c r="K1736" s="110"/>
      <c r="L1736" s="107"/>
      <c r="M1736" s="109"/>
      <c r="N1736" s="11" t="str">
        <f t="shared" si="56"/>
        <v/>
      </c>
      <c r="O1736" s="32" t="str">
        <f t="shared" si="57"/>
        <v/>
      </c>
    </row>
    <row r="1737" spans="2:15" ht="15" customHeight="1" x14ac:dyDescent="0.4">
      <c r="B1737" s="10">
        <v>2061</v>
      </c>
      <c r="C1737" s="34"/>
      <c r="D1737" s="77"/>
      <c r="E1737" s="77"/>
      <c r="F1737" s="77"/>
      <c r="G1737" s="77"/>
      <c r="H1737" s="91"/>
      <c r="I1737" s="89"/>
      <c r="J1737" s="77"/>
      <c r="K1737" s="110"/>
      <c r="L1737" s="107"/>
      <c r="M1737" s="109"/>
      <c r="N1737" s="11" t="str">
        <f t="shared" si="56"/>
        <v/>
      </c>
      <c r="O1737" s="32" t="str">
        <f t="shared" si="57"/>
        <v/>
      </c>
    </row>
    <row r="1738" spans="2:15" ht="15" customHeight="1" x14ac:dyDescent="0.4">
      <c r="B1738" s="10">
        <v>2062</v>
      </c>
      <c r="C1738" s="34"/>
      <c r="D1738" s="77"/>
      <c r="E1738" s="77"/>
      <c r="F1738" s="77"/>
      <c r="G1738" s="77"/>
      <c r="H1738" s="91"/>
      <c r="I1738" s="89"/>
      <c r="J1738" s="77"/>
      <c r="K1738" s="110"/>
      <c r="L1738" s="107"/>
      <c r="M1738" s="109"/>
      <c r="N1738" s="11" t="str">
        <f t="shared" si="56"/>
        <v/>
      </c>
      <c r="O1738" s="32" t="str">
        <f t="shared" si="57"/>
        <v/>
      </c>
    </row>
    <row r="1739" spans="2:15" ht="15" customHeight="1" x14ac:dyDescent="0.4">
      <c r="B1739" s="10">
        <v>2063</v>
      </c>
      <c r="C1739" s="34"/>
      <c r="D1739" s="77"/>
      <c r="E1739" s="77"/>
      <c r="F1739" s="77"/>
      <c r="G1739" s="77"/>
      <c r="H1739" s="91"/>
      <c r="I1739" s="89"/>
      <c r="J1739" s="77"/>
      <c r="K1739" s="110"/>
      <c r="L1739" s="107"/>
      <c r="M1739" s="109"/>
      <c r="N1739" s="11" t="str">
        <f t="shared" si="56"/>
        <v/>
      </c>
      <c r="O1739" s="32" t="str">
        <f t="shared" si="57"/>
        <v/>
      </c>
    </row>
    <row r="1740" spans="2:15" ht="15" customHeight="1" x14ac:dyDescent="0.4">
      <c r="B1740" s="10">
        <v>2064</v>
      </c>
      <c r="C1740" s="34"/>
      <c r="D1740" s="77"/>
      <c r="E1740" s="77"/>
      <c r="F1740" s="77"/>
      <c r="G1740" s="77"/>
      <c r="H1740" s="91"/>
      <c r="I1740" s="89"/>
      <c r="J1740" s="77"/>
      <c r="K1740" s="110"/>
      <c r="L1740" s="107"/>
      <c r="M1740" s="109"/>
      <c r="N1740" s="11" t="str">
        <f t="shared" si="56"/>
        <v/>
      </c>
      <c r="O1740" s="32" t="str">
        <f t="shared" si="57"/>
        <v/>
      </c>
    </row>
    <row r="1741" spans="2:15" ht="15" customHeight="1" x14ac:dyDescent="0.4">
      <c r="B1741" s="10">
        <v>2065</v>
      </c>
      <c r="C1741" s="34"/>
      <c r="D1741" s="77"/>
      <c r="E1741" s="77"/>
      <c r="F1741" s="77"/>
      <c r="G1741" s="77"/>
      <c r="H1741" s="91"/>
      <c r="I1741" s="89"/>
      <c r="J1741" s="77"/>
      <c r="K1741" s="110"/>
      <c r="L1741" s="107"/>
      <c r="M1741" s="109"/>
      <c r="N1741" s="11" t="str">
        <f t="shared" si="56"/>
        <v/>
      </c>
      <c r="O1741" s="32" t="str">
        <f t="shared" si="57"/>
        <v/>
      </c>
    </row>
    <row r="1742" spans="2:15" ht="15" customHeight="1" x14ac:dyDescent="0.4">
      <c r="B1742" s="10">
        <v>2066</v>
      </c>
      <c r="C1742" s="34"/>
      <c r="D1742" s="77"/>
      <c r="E1742" s="77"/>
      <c r="F1742" s="77"/>
      <c r="G1742" s="77"/>
      <c r="H1742" s="91"/>
      <c r="I1742" s="89"/>
      <c r="J1742" s="77"/>
      <c r="K1742" s="110"/>
      <c r="L1742" s="107"/>
      <c r="M1742" s="109"/>
      <c r="N1742" s="11" t="str">
        <f t="shared" si="56"/>
        <v/>
      </c>
      <c r="O1742" s="32" t="str">
        <f t="shared" si="57"/>
        <v/>
      </c>
    </row>
    <row r="1743" spans="2:15" ht="15" customHeight="1" x14ac:dyDescent="0.4">
      <c r="B1743" s="10">
        <v>2067</v>
      </c>
      <c r="C1743" s="34"/>
      <c r="D1743" s="77"/>
      <c r="E1743" s="77"/>
      <c r="F1743" s="77"/>
      <c r="G1743" s="77"/>
      <c r="H1743" s="91"/>
      <c r="I1743" s="89"/>
      <c r="J1743" s="77"/>
      <c r="K1743" s="110"/>
      <c r="L1743" s="107"/>
      <c r="M1743" s="109"/>
      <c r="N1743" s="11" t="str">
        <f t="shared" si="56"/>
        <v/>
      </c>
      <c r="O1743" s="32" t="str">
        <f t="shared" si="57"/>
        <v/>
      </c>
    </row>
    <row r="1744" spans="2:15" ht="15" customHeight="1" x14ac:dyDescent="0.4">
      <c r="B1744" s="10">
        <v>2068</v>
      </c>
      <c r="C1744" s="34"/>
      <c r="D1744" s="77"/>
      <c r="E1744" s="77"/>
      <c r="F1744" s="77"/>
      <c r="G1744" s="77"/>
      <c r="H1744" s="91"/>
      <c r="I1744" s="89"/>
      <c r="J1744" s="77"/>
      <c r="K1744" s="110"/>
      <c r="L1744" s="107"/>
      <c r="M1744" s="109"/>
      <c r="N1744" s="11" t="str">
        <f t="shared" si="56"/>
        <v/>
      </c>
      <c r="O1744" s="32" t="str">
        <f t="shared" si="57"/>
        <v/>
      </c>
    </row>
    <row r="1745" spans="2:15" ht="15" customHeight="1" x14ac:dyDescent="0.4">
      <c r="B1745" s="10">
        <v>2069</v>
      </c>
      <c r="C1745" s="34"/>
      <c r="D1745" s="77"/>
      <c r="E1745" s="77"/>
      <c r="F1745" s="77"/>
      <c r="G1745" s="77"/>
      <c r="H1745" s="91"/>
      <c r="I1745" s="89"/>
      <c r="J1745" s="77"/>
      <c r="K1745" s="110"/>
      <c r="L1745" s="107"/>
      <c r="M1745" s="109"/>
      <c r="N1745" s="11" t="str">
        <f t="shared" si="56"/>
        <v/>
      </c>
      <c r="O1745" s="32" t="str">
        <f t="shared" si="57"/>
        <v/>
      </c>
    </row>
    <row r="1746" spans="2:15" ht="15" customHeight="1" x14ac:dyDescent="0.4">
      <c r="B1746" s="10">
        <v>2070</v>
      </c>
      <c r="C1746" s="34"/>
      <c r="D1746" s="77"/>
      <c r="E1746" s="77"/>
      <c r="F1746" s="77"/>
      <c r="G1746" s="77"/>
      <c r="H1746" s="91"/>
      <c r="I1746" s="89"/>
      <c r="J1746" s="77"/>
      <c r="K1746" s="110"/>
      <c r="L1746" s="107"/>
      <c r="M1746" s="109"/>
      <c r="N1746" s="11" t="str">
        <f t="shared" si="56"/>
        <v/>
      </c>
      <c r="O1746" s="32" t="str">
        <f t="shared" si="57"/>
        <v/>
      </c>
    </row>
    <row r="1747" spans="2:15" ht="15" customHeight="1" x14ac:dyDescent="0.4">
      <c r="B1747" s="10">
        <v>2071</v>
      </c>
      <c r="C1747" s="34"/>
      <c r="D1747" s="77"/>
      <c r="E1747" s="77"/>
      <c r="F1747" s="77"/>
      <c r="G1747" s="77"/>
      <c r="H1747" s="91"/>
      <c r="I1747" s="89"/>
      <c r="J1747" s="77"/>
      <c r="K1747" s="110"/>
      <c r="L1747" s="107"/>
      <c r="M1747" s="109"/>
      <c r="N1747" s="11" t="str">
        <f t="shared" si="56"/>
        <v/>
      </c>
      <c r="O1747" s="32" t="str">
        <f t="shared" si="57"/>
        <v/>
      </c>
    </row>
    <row r="1748" spans="2:15" ht="15" customHeight="1" x14ac:dyDescent="0.4">
      <c r="B1748" s="10">
        <v>2072</v>
      </c>
      <c r="C1748" s="34"/>
      <c r="D1748" s="77"/>
      <c r="E1748" s="77"/>
      <c r="F1748" s="77"/>
      <c r="G1748" s="77"/>
      <c r="H1748" s="91"/>
      <c r="I1748" s="89"/>
      <c r="J1748" s="77"/>
      <c r="K1748" s="110"/>
      <c r="L1748" s="107"/>
      <c r="M1748" s="109"/>
      <c r="N1748" s="11" t="str">
        <f t="shared" si="56"/>
        <v/>
      </c>
      <c r="O1748" s="32" t="str">
        <f t="shared" si="57"/>
        <v/>
      </c>
    </row>
    <row r="1749" spans="2:15" ht="15" customHeight="1" x14ac:dyDescent="0.4">
      <c r="B1749" s="10">
        <v>2073</v>
      </c>
      <c r="C1749" s="34"/>
      <c r="D1749" s="77"/>
      <c r="E1749" s="77"/>
      <c r="F1749" s="77"/>
      <c r="G1749" s="77"/>
      <c r="H1749" s="91"/>
      <c r="I1749" s="89"/>
      <c r="J1749" s="77"/>
      <c r="K1749" s="110"/>
      <c r="L1749" s="107"/>
      <c r="M1749" s="109"/>
      <c r="N1749" s="11" t="str">
        <f t="shared" si="56"/>
        <v/>
      </c>
      <c r="O1749" s="32" t="str">
        <f t="shared" si="57"/>
        <v/>
      </c>
    </row>
    <row r="1750" spans="2:15" ht="15" customHeight="1" x14ac:dyDescent="0.4">
      <c r="B1750" s="10">
        <v>2074</v>
      </c>
      <c r="C1750" s="34"/>
      <c r="D1750" s="77"/>
      <c r="E1750" s="77"/>
      <c r="F1750" s="77"/>
      <c r="G1750" s="77"/>
      <c r="H1750" s="91"/>
      <c r="I1750" s="89"/>
      <c r="J1750" s="77"/>
      <c r="K1750" s="110"/>
      <c r="L1750" s="107"/>
      <c r="M1750" s="109"/>
      <c r="N1750" s="11" t="str">
        <f t="shared" si="56"/>
        <v/>
      </c>
      <c r="O1750" s="32" t="str">
        <f t="shared" si="57"/>
        <v/>
      </c>
    </row>
    <row r="1751" spans="2:15" ht="15" customHeight="1" x14ac:dyDescent="0.4">
      <c r="B1751" s="10">
        <v>2075</v>
      </c>
      <c r="C1751" s="34"/>
      <c r="D1751" s="77"/>
      <c r="E1751" s="77"/>
      <c r="F1751" s="77"/>
      <c r="G1751" s="77"/>
      <c r="H1751" s="91"/>
      <c r="I1751" s="89"/>
      <c r="J1751" s="77"/>
      <c r="K1751" s="110"/>
      <c r="L1751" s="107"/>
      <c r="M1751" s="109"/>
      <c r="N1751" s="11" t="str">
        <f t="shared" si="56"/>
        <v/>
      </c>
      <c r="O1751" s="32" t="str">
        <f t="shared" si="57"/>
        <v/>
      </c>
    </row>
    <row r="1752" spans="2:15" ht="15" customHeight="1" x14ac:dyDescent="0.4">
      <c r="B1752" s="10">
        <v>2076</v>
      </c>
      <c r="C1752" s="34"/>
      <c r="D1752" s="77"/>
      <c r="E1752" s="77"/>
      <c r="F1752" s="77"/>
      <c r="G1752" s="77"/>
      <c r="H1752" s="91"/>
      <c r="I1752" s="89"/>
      <c r="J1752" s="77"/>
      <c r="K1752" s="110"/>
      <c r="L1752" s="107"/>
      <c r="M1752" s="109"/>
      <c r="N1752" s="11" t="str">
        <f t="shared" si="56"/>
        <v/>
      </c>
      <c r="O1752" s="32" t="str">
        <f t="shared" si="57"/>
        <v/>
      </c>
    </row>
    <row r="1753" spans="2:15" ht="15" customHeight="1" x14ac:dyDescent="0.4">
      <c r="B1753" s="10">
        <v>2077</v>
      </c>
      <c r="C1753" s="34"/>
      <c r="D1753" s="77"/>
      <c r="E1753" s="77"/>
      <c r="F1753" s="77"/>
      <c r="G1753" s="77"/>
      <c r="H1753" s="91"/>
      <c r="I1753" s="89"/>
      <c r="J1753" s="77"/>
      <c r="K1753" s="110"/>
      <c r="L1753" s="107"/>
      <c r="M1753" s="109"/>
      <c r="N1753" s="11" t="str">
        <f t="shared" si="56"/>
        <v/>
      </c>
      <c r="O1753" s="32" t="str">
        <f t="shared" si="57"/>
        <v/>
      </c>
    </row>
    <row r="1754" spans="2:15" ht="15" customHeight="1" x14ac:dyDescent="0.4">
      <c r="B1754" s="10">
        <v>2078</v>
      </c>
      <c r="C1754" s="34"/>
      <c r="D1754" s="77"/>
      <c r="E1754" s="77"/>
      <c r="F1754" s="77"/>
      <c r="G1754" s="77"/>
      <c r="H1754" s="91"/>
      <c r="I1754" s="89"/>
      <c r="J1754" s="77"/>
      <c r="K1754" s="110"/>
      <c r="L1754" s="107"/>
      <c r="M1754" s="109"/>
      <c r="N1754" s="11" t="str">
        <f t="shared" si="56"/>
        <v/>
      </c>
      <c r="O1754" s="32" t="str">
        <f t="shared" si="57"/>
        <v/>
      </c>
    </row>
    <row r="1755" spans="2:15" ht="15" customHeight="1" x14ac:dyDescent="0.4">
      <c r="B1755" s="10">
        <v>2079</v>
      </c>
      <c r="C1755" s="34"/>
      <c r="D1755" s="77"/>
      <c r="E1755" s="77"/>
      <c r="F1755" s="77"/>
      <c r="G1755" s="77"/>
      <c r="H1755" s="91"/>
      <c r="I1755" s="89"/>
      <c r="J1755" s="77"/>
      <c r="K1755" s="110"/>
      <c r="L1755" s="107"/>
      <c r="M1755" s="109"/>
      <c r="N1755" s="11" t="str">
        <f t="shared" si="56"/>
        <v/>
      </c>
      <c r="O1755" s="32" t="str">
        <f t="shared" si="57"/>
        <v/>
      </c>
    </row>
    <row r="1756" spans="2:15" ht="15" customHeight="1" x14ac:dyDescent="0.4">
      <c r="B1756" s="10">
        <v>2080</v>
      </c>
      <c r="C1756" s="34"/>
      <c r="D1756" s="77"/>
      <c r="E1756" s="77"/>
      <c r="F1756" s="77"/>
      <c r="G1756" s="77"/>
      <c r="H1756" s="91"/>
      <c r="I1756" s="89"/>
      <c r="J1756" s="77"/>
      <c r="K1756" s="110"/>
      <c r="L1756" s="107"/>
      <c r="M1756" s="109"/>
      <c r="N1756" s="11" t="str">
        <f t="shared" si="56"/>
        <v/>
      </c>
      <c r="O1756" s="32" t="str">
        <f t="shared" si="57"/>
        <v/>
      </c>
    </row>
    <row r="1757" spans="2:15" ht="15" customHeight="1" x14ac:dyDescent="0.4">
      <c r="B1757" s="10">
        <v>2081</v>
      </c>
      <c r="C1757" s="34"/>
      <c r="D1757" s="77"/>
      <c r="E1757" s="77"/>
      <c r="F1757" s="77"/>
      <c r="G1757" s="77"/>
      <c r="H1757" s="91"/>
      <c r="I1757" s="89"/>
      <c r="J1757" s="77"/>
      <c r="K1757" s="110"/>
      <c r="L1757" s="107"/>
      <c r="M1757" s="109"/>
      <c r="N1757" s="11" t="str">
        <f t="shared" si="56"/>
        <v/>
      </c>
      <c r="O1757" s="32" t="str">
        <f t="shared" si="57"/>
        <v/>
      </c>
    </row>
    <row r="1758" spans="2:15" ht="15" customHeight="1" x14ac:dyDescent="0.4">
      <c r="B1758" s="10">
        <v>2082</v>
      </c>
      <c r="C1758" s="34"/>
      <c r="D1758" s="77"/>
      <c r="E1758" s="77"/>
      <c r="F1758" s="77"/>
      <c r="G1758" s="77"/>
      <c r="H1758" s="91"/>
      <c r="I1758" s="89"/>
      <c r="J1758" s="77"/>
      <c r="K1758" s="110"/>
      <c r="L1758" s="107"/>
      <c r="M1758" s="109"/>
      <c r="N1758" s="11" t="str">
        <f t="shared" si="56"/>
        <v/>
      </c>
      <c r="O1758" s="32" t="str">
        <f t="shared" si="57"/>
        <v/>
      </c>
    </row>
    <row r="1759" spans="2:15" ht="15" customHeight="1" x14ac:dyDescent="0.4">
      <c r="B1759" s="10">
        <v>2083</v>
      </c>
      <c r="C1759" s="34"/>
      <c r="D1759" s="77"/>
      <c r="E1759" s="77"/>
      <c r="F1759" s="77"/>
      <c r="G1759" s="77"/>
      <c r="H1759" s="91"/>
      <c r="I1759" s="89"/>
      <c r="J1759" s="77"/>
      <c r="K1759" s="110"/>
      <c r="L1759" s="107"/>
      <c r="M1759" s="109"/>
      <c r="N1759" s="11" t="str">
        <f t="shared" si="56"/>
        <v/>
      </c>
      <c r="O1759" s="32" t="str">
        <f t="shared" si="57"/>
        <v/>
      </c>
    </row>
    <row r="1760" spans="2:15" ht="15" customHeight="1" x14ac:dyDescent="0.4">
      <c r="B1760" s="10">
        <v>2084</v>
      </c>
      <c r="C1760" s="34"/>
      <c r="D1760" s="77"/>
      <c r="E1760" s="77"/>
      <c r="F1760" s="77"/>
      <c r="G1760" s="77"/>
      <c r="H1760" s="91"/>
      <c r="I1760" s="89"/>
      <c r="J1760" s="77"/>
      <c r="K1760" s="110"/>
      <c r="L1760" s="107"/>
      <c r="M1760" s="109"/>
      <c r="N1760" s="11" t="str">
        <f t="shared" si="56"/>
        <v/>
      </c>
      <c r="O1760" s="32" t="str">
        <f t="shared" si="57"/>
        <v/>
      </c>
    </row>
    <row r="1761" spans="2:15" ht="15" customHeight="1" x14ac:dyDescent="0.4">
      <c r="B1761" s="10">
        <v>2085</v>
      </c>
      <c r="C1761" s="34"/>
      <c r="D1761" s="77"/>
      <c r="E1761" s="77"/>
      <c r="F1761" s="77"/>
      <c r="G1761" s="77"/>
      <c r="H1761" s="91"/>
      <c r="I1761" s="89"/>
      <c r="J1761" s="77"/>
      <c r="K1761" s="110"/>
      <c r="L1761" s="107"/>
      <c r="M1761" s="109"/>
      <c r="N1761" s="11" t="str">
        <f t="shared" si="56"/>
        <v/>
      </c>
      <c r="O1761" s="32" t="str">
        <f t="shared" si="57"/>
        <v/>
      </c>
    </row>
    <row r="1762" spans="2:15" ht="15" customHeight="1" x14ac:dyDescent="0.4">
      <c r="B1762" s="10">
        <v>2086</v>
      </c>
      <c r="C1762" s="34"/>
      <c r="D1762" s="77"/>
      <c r="E1762" s="77"/>
      <c r="F1762" s="77"/>
      <c r="G1762" s="77"/>
      <c r="H1762" s="91"/>
      <c r="I1762" s="89"/>
      <c r="J1762" s="77"/>
      <c r="K1762" s="110"/>
      <c r="L1762" s="107"/>
      <c r="M1762" s="109"/>
      <c r="N1762" s="11" t="str">
        <f t="shared" si="56"/>
        <v/>
      </c>
      <c r="O1762" s="32" t="str">
        <f t="shared" si="57"/>
        <v/>
      </c>
    </row>
    <row r="1763" spans="2:15" ht="15" customHeight="1" x14ac:dyDescent="0.4">
      <c r="B1763" s="10">
        <v>2087</v>
      </c>
      <c r="C1763" s="34"/>
      <c r="D1763" s="77"/>
      <c r="E1763" s="77"/>
      <c r="F1763" s="77"/>
      <c r="G1763" s="77"/>
      <c r="H1763" s="91"/>
      <c r="I1763" s="89"/>
      <c r="J1763" s="77"/>
      <c r="K1763" s="110"/>
      <c r="L1763" s="107"/>
      <c r="M1763" s="109"/>
      <c r="N1763" s="11" t="str">
        <f t="shared" si="56"/>
        <v/>
      </c>
      <c r="O1763" s="32" t="str">
        <f t="shared" si="57"/>
        <v/>
      </c>
    </row>
    <row r="1764" spans="2:15" ht="15" customHeight="1" x14ac:dyDescent="0.4">
      <c r="B1764" s="10">
        <v>2088</v>
      </c>
      <c r="C1764" s="34"/>
      <c r="D1764" s="77"/>
      <c r="E1764" s="77"/>
      <c r="F1764" s="77"/>
      <c r="G1764" s="77"/>
      <c r="H1764" s="91"/>
      <c r="I1764" s="89"/>
      <c r="J1764" s="77"/>
      <c r="K1764" s="110"/>
      <c r="L1764" s="107"/>
      <c r="M1764" s="109"/>
      <c r="N1764" s="11" t="str">
        <f t="shared" si="56"/>
        <v/>
      </c>
      <c r="O1764" s="32" t="str">
        <f t="shared" si="57"/>
        <v/>
      </c>
    </row>
    <row r="1765" spans="2:15" ht="15" customHeight="1" x14ac:dyDescent="0.4">
      <c r="B1765" s="10">
        <v>2089</v>
      </c>
      <c r="C1765" s="34"/>
      <c r="D1765" s="77"/>
      <c r="E1765" s="77"/>
      <c r="F1765" s="77"/>
      <c r="G1765" s="77"/>
      <c r="H1765" s="91"/>
      <c r="I1765" s="89"/>
      <c r="J1765" s="77"/>
      <c r="K1765" s="110"/>
      <c r="L1765" s="107"/>
      <c r="M1765" s="109"/>
      <c r="N1765" s="11" t="str">
        <f t="shared" ref="N1765:N1828" si="58">IF(OR(M1765="", K1765=""),"", M1765- K1765)</f>
        <v/>
      </c>
      <c r="O1765" s="32" t="str">
        <f t="shared" ref="O1765:O1828" si="59">IF(OR(M1765="", K1765="", L1765=""), "", IF((M1765 - K1765) &gt; L1765, "No", "Yes"))</f>
        <v/>
      </c>
    </row>
    <row r="1766" spans="2:15" ht="15" customHeight="1" x14ac:dyDescent="0.4">
      <c r="B1766" s="10">
        <v>2090</v>
      </c>
      <c r="C1766" s="34"/>
      <c r="D1766" s="77"/>
      <c r="E1766" s="77"/>
      <c r="F1766" s="77"/>
      <c r="G1766" s="77"/>
      <c r="H1766" s="91"/>
      <c r="I1766" s="89"/>
      <c r="J1766" s="77"/>
      <c r="K1766" s="110"/>
      <c r="L1766" s="107"/>
      <c r="M1766" s="109"/>
      <c r="N1766" s="11" t="str">
        <f t="shared" si="58"/>
        <v/>
      </c>
      <c r="O1766" s="32" t="str">
        <f t="shared" si="59"/>
        <v/>
      </c>
    </row>
    <row r="1767" spans="2:15" ht="15" customHeight="1" x14ac:dyDescent="0.4">
      <c r="B1767" s="10">
        <v>2091</v>
      </c>
      <c r="C1767" s="34"/>
      <c r="D1767" s="77"/>
      <c r="E1767" s="77"/>
      <c r="F1767" s="77"/>
      <c r="G1767" s="77"/>
      <c r="H1767" s="91"/>
      <c r="I1767" s="89"/>
      <c r="J1767" s="77"/>
      <c r="K1767" s="110"/>
      <c r="L1767" s="107"/>
      <c r="M1767" s="109"/>
      <c r="N1767" s="11" t="str">
        <f t="shared" si="58"/>
        <v/>
      </c>
      <c r="O1767" s="32" t="str">
        <f t="shared" si="59"/>
        <v/>
      </c>
    </row>
    <row r="1768" spans="2:15" ht="15" customHeight="1" x14ac:dyDescent="0.4">
      <c r="B1768" s="10">
        <v>2092</v>
      </c>
      <c r="C1768" s="34"/>
      <c r="D1768" s="77"/>
      <c r="E1768" s="77"/>
      <c r="F1768" s="77"/>
      <c r="G1768" s="77"/>
      <c r="H1768" s="91"/>
      <c r="I1768" s="89"/>
      <c r="J1768" s="77"/>
      <c r="K1768" s="110"/>
      <c r="L1768" s="107"/>
      <c r="M1768" s="109"/>
      <c r="N1768" s="11" t="str">
        <f t="shared" si="58"/>
        <v/>
      </c>
      <c r="O1768" s="32" t="str">
        <f t="shared" si="59"/>
        <v/>
      </c>
    </row>
    <row r="1769" spans="2:15" ht="15" customHeight="1" x14ac:dyDescent="0.4">
      <c r="B1769" s="10">
        <v>2093</v>
      </c>
      <c r="C1769" s="34"/>
      <c r="D1769" s="77"/>
      <c r="E1769" s="77"/>
      <c r="F1769" s="77"/>
      <c r="G1769" s="77"/>
      <c r="H1769" s="91"/>
      <c r="I1769" s="89"/>
      <c r="J1769" s="77"/>
      <c r="K1769" s="110"/>
      <c r="L1769" s="107"/>
      <c r="M1769" s="109"/>
      <c r="N1769" s="11" t="str">
        <f t="shared" si="58"/>
        <v/>
      </c>
      <c r="O1769" s="32" t="str">
        <f t="shared" si="59"/>
        <v/>
      </c>
    </row>
    <row r="1770" spans="2:15" ht="15" customHeight="1" x14ac:dyDescent="0.4">
      <c r="B1770" s="10">
        <v>2094</v>
      </c>
      <c r="C1770" s="34"/>
      <c r="D1770" s="77"/>
      <c r="E1770" s="77"/>
      <c r="F1770" s="77"/>
      <c r="G1770" s="77"/>
      <c r="H1770" s="91"/>
      <c r="I1770" s="89"/>
      <c r="J1770" s="77"/>
      <c r="K1770" s="110"/>
      <c r="L1770" s="107"/>
      <c r="M1770" s="109"/>
      <c r="N1770" s="11" t="str">
        <f t="shared" si="58"/>
        <v/>
      </c>
      <c r="O1770" s="32" t="str">
        <f t="shared" si="59"/>
        <v/>
      </c>
    </row>
    <row r="1771" spans="2:15" ht="15" customHeight="1" x14ac:dyDescent="0.4">
      <c r="B1771" s="10">
        <v>2095</v>
      </c>
      <c r="C1771" s="34"/>
      <c r="D1771" s="77"/>
      <c r="E1771" s="77"/>
      <c r="F1771" s="77"/>
      <c r="G1771" s="77"/>
      <c r="H1771" s="91"/>
      <c r="I1771" s="89"/>
      <c r="J1771" s="77"/>
      <c r="K1771" s="110"/>
      <c r="L1771" s="107"/>
      <c r="M1771" s="109"/>
      <c r="N1771" s="11" t="str">
        <f t="shared" si="58"/>
        <v/>
      </c>
      <c r="O1771" s="32" t="str">
        <f t="shared" si="59"/>
        <v/>
      </c>
    </row>
    <row r="1772" spans="2:15" ht="15" customHeight="1" x14ac:dyDescent="0.4">
      <c r="B1772" s="10">
        <v>2096</v>
      </c>
      <c r="C1772" s="34"/>
      <c r="D1772" s="77"/>
      <c r="E1772" s="77"/>
      <c r="F1772" s="77"/>
      <c r="G1772" s="77"/>
      <c r="H1772" s="91"/>
      <c r="I1772" s="89"/>
      <c r="J1772" s="77"/>
      <c r="K1772" s="110"/>
      <c r="L1772" s="107"/>
      <c r="M1772" s="109"/>
      <c r="N1772" s="11" t="str">
        <f t="shared" si="58"/>
        <v/>
      </c>
      <c r="O1772" s="32" t="str">
        <f t="shared" si="59"/>
        <v/>
      </c>
    </row>
    <row r="1773" spans="2:15" ht="15" customHeight="1" x14ac:dyDescent="0.4">
      <c r="B1773" s="10">
        <v>2097</v>
      </c>
      <c r="C1773" s="34"/>
      <c r="D1773" s="77"/>
      <c r="E1773" s="77"/>
      <c r="F1773" s="77"/>
      <c r="G1773" s="77"/>
      <c r="H1773" s="91"/>
      <c r="I1773" s="89"/>
      <c r="J1773" s="77"/>
      <c r="K1773" s="110"/>
      <c r="L1773" s="107"/>
      <c r="M1773" s="109"/>
      <c r="N1773" s="11" t="str">
        <f t="shared" si="58"/>
        <v/>
      </c>
      <c r="O1773" s="32" t="str">
        <f t="shared" si="59"/>
        <v/>
      </c>
    </row>
    <row r="1774" spans="2:15" ht="15" customHeight="1" x14ac:dyDescent="0.4">
      <c r="B1774" s="10">
        <v>2098</v>
      </c>
      <c r="C1774" s="34"/>
      <c r="D1774" s="77"/>
      <c r="E1774" s="77"/>
      <c r="F1774" s="77"/>
      <c r="G1774" s="77"/>
      <c r="H1774" s="91"/>
      <c r="I1774" s="89"/>
      <c r="J1774" s="77"/>
      <c r="K1774" s="110"/>
      <c r="L1774" s="107"/>
      <c r="M1774" s="109"/>
      <c r="N1774" s="11" t="str">
        <f t="shared" si="58"/>
        <v/>
      </c>
      <c r="O1774" s="32" t="str">
        <f t="shared" si="59"/>
        <v/>
      </c>
    </row>
    <row r="1775" spans="2:15" ht="15" customHeight="1" x14ac:dyDescent="0.4">
      <c r="B1775" s="10">
        <v>2099</v>
      </c>
      <c r="C1775" s="34"/>
      <c r="D1775" s="77"/>
      <c r="E1775" s="77"/>
      <c r="F1775" s="77"/>
      <c r="G1775" s="77"/>
      <c r="H1775" s="91"/>
      <c r="I1775" s="89"/>
      <c r="J1775" s="77"/>
      <c r="K1775" s="110"/>
      <c r="L1775" s="107"/>
      <c r="M1775" s="109"/>
      <c r="N1775" s="11" t="str">
        <f t="shared" si="58"/>
        <v/>
      </c>
      <c r="O1775" s="32" t="str">
        <f t="shared" si="59"/>
        <v/>
      </c>
    </row>
    <row r="1776" spans="2:15" ht="15" customHeight="1" x14ac:dyDescent="0.4">
      <c r="B1776" s="10">
        <v>2100</v>
      </c>
      <c r="C1776" s="34"/>
      <c r="D1776" s="77"/>
      <c r="E1776" s="77"/>
      <c r="F1776" s="77"/>
      <c r="G1776" s="77"/>
      <c r="H1776" s="91"/>
      <c r="I1776" s="89"/>
      <c r="J1776" s="77"/>
      <c r="K1776" s="110"/>
      <c r="L1776" s="107"/>
      <c r="M1776" s="109"/>
      <c r="N1776" s="11" t="str">
        <f t="shared" si="58"/>
        <v/>
      </c>
      <c r="O1776" s="32" t="str">
        <f t="shared" si="59"/>
        <v/>
      </c>
    </row>
    <row r="1777" spans="2:15" ht="15" customHeight="1" x14ac:dyDescent="0.4">
      <c r="B1777" s="10">
        <v>2101</v>
      </c>
      <c r="C1777" s="34"/>
      <c r="D1777" s="77"/>
      <c r="E1777" s="77"/>
      <c r="F1777" s="77"/>
      <c r="G1777" s="77"/>
      <c r="H1777" s="91"/>
      <c r="I1777" s="89"/>
      <c r="J1777" s="77"/>
      <c r="K1777" s="110"/>
      <c r="L1777" s="107"/>
      <c r="M1777" s="109"/>
      <c r="N1777" s="11" t="str">
        <f t="shared" si="58"/>
        <v/>
      </c>
      <c r="O1777" s="32" t="str">
        <f t="shared" si="59"/>
        <v/>
      </c>
    </row>
    <row r="1778" spans="2:15" ht="15" customHeight="1" x14ac:dyDescent="0.4">
      <c r="B1778" s="10">
        <v>2102</v>
      </c>
      <c r="C1778" s="34"/>
      <c r="D1778" s="77"/>
      <c r="E1778" s="77"/>
      <c r="F1778" s="77"/>
      <c r="G1778" s="77"/>
      <c r="H1778" s="91"/>
      <c r="I1778" s="89"/>
      <c r="J1778" s="77"/>
      <c r="K1778" s="110"/>
      <c r="L1778" s="107"/>
      <c r="M1778" s="109"/>
      <c r="N1778" s="11" t="str">
        <f t="shared" si="58"/>
        <v/>
      </c>
      <c r="O1778" s="32" t="str">
        <f t="shared" si="59"/>
        <v/>
      </c>
    </row>
    <row r="1779" spans="2:15" ht="15" customHeight="1" x14ac:dyDescent="0.4">
      <c r="B1779" s="10">
        <v>2103</v>
      </c>
      <c r="C1779" s="34"/>
      <c r="D1779" s="77"/>
      <c r="E1779" s="77"/>
      <c r="F1779" s="77"/>
      <c r="G1779" s="77"/>
      <c r="H1779" s="91"/>
      <c r="I1779" s="89"/>
      <c r="J1779" s="77"/>
      <c r="K1779" s="110"/>
      <c r="L1779" s="107"/>
      <c r="M1779" s="109"/>
      <c r="N1779" s="11" t="str">
        <f t="shared" si="58"/>
        <v/>
      </c>
      <c r="O1779" s="32" t="str">
        <f t="shared" si="59"/>
        <v/>
      </c>
    </row>
    <row r="1780" spans="2:15" ht="15" customHeight="1" x14ac:dyDescent="0.4">
      <c r="B1780" s="10">
        <v>2104</v>
      </c>
      <c r="C1780" s="34"/>
      <c r="D1780" s="77"/>
      <c r="E1780" s="77"/>
      <c r="F1780" s="77"/>
      <c r="G1780" s="77"/>
      <c r="H1780" s="91"/>
      <c r="I1780" s="89"/>
      <c r="J1780" s="77"/>
      <c r="K1780" s="110"/>
      <c r="L1780" s="107"/>
      <c r="M1780" s="109"/>
      <c r="N1780" s="11" t="str">
        <f t="shared" si="58"/>
        <v/>
      </c>
      <c r="O1780" s="32" t="str">
        <f t="shared" si="59"/>
        <v/>
      </c>
    </row>
    <row r="1781" spans="2:15" ht="15" customHeight="1" x14ac:dyDescent="0.4">
      <c r="B1781" s="10">
        <v>2105</v>
      </c>
      <c r="C1781" s="34"/>
      <c r="D1781" s="77"/>
      <c r="E1781" s="77"/>
      <c r="F1781" s="77"/>
      <c r="G1781" s="77"/>
      <c r="H1781" s="91"/>
      <c r="I1781" s="89"/>
      <c r="J1781" s="77"/>
      <c r="K1781" s="110"/>
      <c r="L1781" s="107"/>
      <c r="M1781" s="109"/>
      <c r="N1781" s="11" t="str">
        <f t="shared" si="58"/>
        <v/>
      </c>
      <c r="O1781" s="32" t="str">
        <f t="shared" si="59"/>
        <v/>
      </c>
    </row>
    <row r="1782" spans="2:15" ht="15" customHeight="1" x14ac:dyDescent="0.35">
      <c r="B1782" s="10">
        <v>2106</v>
      </c>
      <c r="C1782" s="34"/>
      <c r="N1782" s="11" t="str">
        <f t="shared" si="58"/>
        <v/>
      </c>
      <c r="O1782" s="32" t="str">
        <f t="shared" si="59"/>
        <v/>
      </c>
    </row>
    <row r="1783" spans="2:15" ht="15" customHeight="1" x14ac:dyDescent="0.35">
      <c r="B1783" s="10">
        <v>2107</v>
      </c>
      <c r="C1783" s="34"/>
      <c r="N1783" s="11" t="str">
        <f t="shared" si="58"/>
        <v/>
      </c>
      <c r="O1783" s="32" t="str">
        <f t="shared" si="59"/>
        <v/>
      </c>
    </row>
    <row r="1784" spans="2:15" ht="15" customHeight="1" x14ac:dyDescent="0.35">
      <c r="B1784" s="10">
        <v>2108</v>
      </c>
      <c r="C1784" s="34"/>
      <c r="N1784" s="11" t="str">
        <f t="shared" si="58"/>
        <v/>
      </c>
      <c r="O1784" s="32" t="str">
        <f t="shared" si="59"/>
        <v/>
      </c>
    </row>
    <row r="1785" spans="2:15" ht="15" customHeight="1" x14ac:dyDescent="0.35">
      <c r="B1785" s="10">
        <v>2109</v>
      </c>
      <c r="C1785" s="34"/>
      <c r="N1785" s="11" t="str">
        <f t="shared" si="58"/>
        <v/>
      </c>
      <c r="O1785" s="32" t="str">
        <f t="shared" si="59"/>
        <v/>
      </c>
    </row>
    <row r="1786" spans="2:15" ht="15" customHeight="1" x14ac:dyDescent="0.35">
      <c r="B1786" s="10">
        <v>2110</v>
      </c>
      <c r="C1786" s="34"/>
      <c r="N1786" s="11" t="str">
        <f t="shared" si="58"/>
        <v/>
      </c>
      <c r="O1786" s="32" t="str">
        <f t="shared" si="59"/>
        <v/>
      </c>
    </row>
    <row r="1787" spans="2:15" ht="15" customHeight="1" x14ac:dyDescent="0.35">
      <c r="B1787" s="10">
        <v>2111</v>
      </c>
      <c r="C1787" s="34"/>
      <c r="N1787" s="11" t="str">
        <f t="shared" si="58"/>
        <v/>
      </c>
      <c r="O1787" s="32" t="str">
        <f t="shared" si="59"/>
        <v/>
      </c>
    </row>
    <row r="1788" spans="2:15" ht="15" customHeight="1" x14ac:dyDescent="0.35">
      <c r="B1788" s="10">
        <v>2112</v>
      </c>
      <c r="C1788" s="34"/>
      <c r="N1788" s="11" t="str">
        <f t="shared" si="58"/>
        <v/>
      </c>
      <c r="O1788" s="32" t="str">
        <f t="shared" si="59"/>
        <v/>
      </c>
    </row>
    <row r="1789" spans="2:15" ht="15" customHeight="1" x14ac:dyDescent="0.35">
      <c r="B1789" s="10">
        <v>2113</v>
      </c>
      <c r="C1789" s="34"/>
      <c r="N1789" s="11" t="str">
        <f t="shared" si="58"/>
        <v/>
      </c>
      <c r="O1789" s="32" t="str">
        <f t="shared" si="59"/>
        <v/>
      </c>
    </row>
    <row r="1790" spans="2:15" ht="15" customHeight="1" x14ac:dyDescent="0.35">
      <c r="B1790" s="10">
        <v>2114</v>
      </c>
      <c r="C1790" s="34"/>
      <c r="N1790" s="11" t="str">
        <f t="shared" si="58"/>
        <v/>
      </c>
      <c r="O1790" s="32" t="str">
        <f t="shared" si="59"/>
        <v/>
      </c>
    </row>
    <row r="1791" spans="2:15" ht="15" customHeight="1" x14ac:dyDescent="0.35">
      <c r="B1791" s="10">
        <v>2115</v>
      </c>
      <c r="C1791" s="34"/>
      <c r="N1791" s="11" t="str">
        <f t="shared" si="58"/>
        <v/>
      </c>
      <c r="O1791" s="32" t="str">
        <f t="shared" si="59"/>
        <v/>
      </c>
    </row>
    <row r="1792" spans="2:15" ht="15" customHeight="1" x14ac:dyDescent="0.35">
      <c r="B1792" s="10">
        <v>2116</v>
      </c>
      <c r="C1792" s="34"/>
      <c r="N1792" s="11" t="str">
        <f t="shared" si="58"/>
        <v/>
      </c>
      <c r="O1792" s="32" t="str">
        <f t="shared" si="59"/>
        <v/>
      </c>
    </row>
    <row r="1793" spans="2:15" ht="15" customHeight="1" x14ac:dyDescent="0.35">
      <c r="B1793" s="10">
        <v>2117</v>
      </c>
      <c r="C1793" s="34"/>
      <c r="N1793" s="11" t="str">
        <f t="shared" si="58"/>
        <v/>
      </c>
      <c r="O1793" s="32" t="str">
        <f t="shared" si="59"/>
        <v/>
      </c>
    </row>
    <row r="1794" spans="2:15" ht="15" customHeight="1" x14ac:dyDescent="0.35">
      <c r="B1794" s="10">
        <v>2118</v>
      </c>
      <c r="C1794" s="34"/>
      <c r="N1794" s="11" t="str">
        <f t="shared" si="58"/>
        <v/>
      </c>
      <c r="O1794" s="32" t="str">
        <f t="shared" si="59"/>
        <v/>
      </c>
    </row>
    <row r="1795" spans="2:15" ht="15" customHeight="1" x14ac:dyDescent="0.35">
      <c r="B1795" s="10">
        <v>2119</v>
      </c>
      <c r="C1795" s="34"/>
      <c r="N1795" s="11" t="str">
        <f t="shared" si="58"/>
        <v/>
      </c>
      <c r="O1795" s="32" t="str">
        <f t="shared" si="59"/>
        <v/>
      </c>
    </row>
    <row r="1796" spans="2:15" ht="15" customHeight="1" x14ac:dyDescent="0.35">
      <c r="B1796" s="10">
        <v>2120</v>
      </c>
      <c r="C1796" s="34"/>
      <c r="N1796" s="11" t="str">
        <f t="shared" si="58"/>
        <v/>
      </c>
      <c r="O1796" s="32" t="str">
        <f t="shared" si="59"/>
        <v/>
      </c>
    </row>
    <row r="1797" spans="2:15" ht="15" customHeight="1" x14ac:dyDescent="0.35">
      <c r="B1797" s="10">
        <v>2121</v>
      </c>
      <c r="C1797" s="34"/>
      <c r="N1797" s="11" t="str">
        <f t="shared" si="58"/>
        <v/>
      </c>
      <c r="O1797" s="32" t="str">
        <f t="shared" si="59"/>
        <v/>
      </c>
    </row>
    <row r="1798" spans="2:15" ht="15" customHeight="1" x14ac:dyDescent="0.35">
      <c r="B1798" s="10">
        <v>2122</v>
      </c>
      <c r="C1798" s="34"/>
      <c r="N1798" s="11" t="str">
        <f t="shared" si="58"/>
        <v/>
      </c>
      <c r="O1798" s="32" t="str">
        <f t="shared" si="59"/>
        <v/>
      </c>
    </row>
    <row r="1799" spans="2:15" ht="15" customHeight="1" x14ac:dyDescent="0.35">
      <c r="B1799" s="10">
        <v>2123</v>
      </c>
      <c r="C1799" s="34"/>
      <c r="N1799" s="11" t="str">
        <f t="shared" si="58"/>
        <v/>
      </c>
      <c r="O1799" s="32" t="str">
        <f t="shared" si="59"/>
        <v/>
      </c>
    </row>
    <row r="1800" spans="2:15" ht="15" customHeight="1" x14ac:dyDescent="0.35">
      <c r="B1800" s="213">
        <v>2124</v>
      </c>
      <c r="C1800" s="34"/>
      <c r="D1800" s="219"/>
      <c r="E1800" s="219"/>
      <c r="F1800" s="220"/>
      <c r="G1800" s="220"/>
      <c r="H1800" s="221"/>
      <c r="I1800" s="222"/>
      <c r="J1800" s="220"/>
      <c r="K1800" s="223"/>
      <c r="N1800" s="11" t="str">
        <f t="shared" si="58"/>
        <v/>
      </c>
      <c r="O1800" s="32" t="str">
        <f t="shared" si="59"/>
        <v/>
      </c>
    </row>
    <row r="1801" spans="2:15" ht="15" customHeight="1" x14ac:dyDescent="0.35">
      <c r="B1801" s="213">
        <v>2125</v>
      </c>
      <c r="C1801" s="34"/>
      <c r="D1801" s="219"/>
      <c r="E1801" s="219"/>
      <c r="F1801" s="220"/>
      <c r="G1801" s="220"/>
      <c r="H1801" s="221"/>
      <c r="I1801" s="222"/>
      <c r="J1801" s="220"/>
      <c r="K1801" s="223"/>
      <c r="N1801" s="11" t="str">
        <f t="shared" si="58"/>
        <v/>
      </c>
      <c r="O1801" s="32" t="str">
        <f t="shared" si="59"/>
        <v/>
      </c>
    </row>
    <row r="1802" spans="2:15" ht="15" customHeight="1" x14ac:dyDescent="0.35">
      <c r="B1802" s="10">
        <v>2126</v>
      </c>
      <c r="C1802" s="34"/>
      <c r="N1802" s="11" t="str">
        <f t="shared" si="58"/>
        <v/>
      </c>
      <c r="O1802" s="32" t="str">
        <f t="shared" si="59"/>
        <v/>
      </c>
    </row>
    <row r="1803" spans="2:15" ht="15" customHeight="1" x14ac:dyDescent="0.35">
      <c r="B1803" s="10">
        <v>2127</v>
      </c>
      <c r="C1803" s="34"/>
      <c r="N1803" s="11" t="str">
        <f t="shared" si="58"/>
        <v/>
      </c>
      <c r="O1803" s="32" t="str">
        <f t="shared" si="59"/>
        <v/>
      </c>
    </row>
    <row r="1804" spans="2:15" ht="15" customHeight="1" x14ac:dyDescent="0.35">
      <c r="B1804" s="10">
        <v>2128</v>
      </c>
      <c r="C1804" s="34"/>
      <c r="N1804" s="11" t="str">
        <f t="shared" si="58"/>
        <v/>
      </c>
      <c r="O1804" s="32" t="str">
        <f t="shared" si="59"/>
        <v/>
      </c>
    </row>
    <row r="1805" spans="2:15" ht="15" customHeight="1" x14ac:dyDescent="0.35">
      <c r="B1805" s="10">
        <v>2129</v>
      </c>
      <c r="C1805" s="34"/>
      <c r="N1805" s="11" t="str">
        <f t="shared" si="58"/>
        <v/>
      </c>
      <c r="O1805" s="32" t="str">
        <f t="shared" si="59"/>
        <v/>
      </c>
    </row>
    <row r="1806" spans="2:15" ht="15" customHeight="1" x14ac:dyDescent="0.35">
      <c r="B1806" s="10">
        <v>2130</v>
      </c>
      <c r="C1806" s="34"/>
      <c r="N1806" s="11" t="str">
        <f t="shared" si="58"/>
        <v/>
      </c>
      <c r="O1806" s="32" t="str">
        <f t="shared" si="59"/>
        <v/>
      </c>
    </row>
    <row r="1807" spans="2:15" ht="15" customHeight="1" x14ac:dyDescent="0.35">
      <c r="B1807" s="10">
        <v>2131</v>
      </c>
      <c r="C1807" s="34"/>
      <c r="N1807" s="11" t="str">
        <f t="shared" si="58"/>
        <v/>
      </c>
      <c r="O1807" s="32" t="str">
        <f t="shared" si="59"/>
        <v/>
      </c>
    </row>
    <row r="1808" spans="2:15" ht="15" customHeight="1" x14ac:dyDescent="0.35">
      <c r="B1808" s="10">
        <v>2132</v>
      </c>
      <c r="C1808" s="34"/>
      <c r="N1808" s="11" t="str">
        <f t="shared" si="58"/>
        <v/>
      </c>
      <c r="O1808" s="32" t="str">
        <f t="shared" si="59"/>
        <v/>
      </c>
    </row>
    <row r="1809" spans="2:15" ht="15" customHeight="1" x14ac:dyDescent="0.35">
      <c r="B1809" s="10">
        <v>2133</v>
      </c>
      <c r="C1809" s="34"/>
      <c r="N1809" s="11" t="str">
        <f t="shared" si="58"/>
        <v/>
      </c>
      <c r="O1809" s="32" t="str">
        <f t="shared" si="59"/>
        <v/>
      </c>
    </row>
    <row r="1810" spans="2:15" ht="15" customHeight="1" x14ac:dyDescent="0.35">
      <c r="B1810" s="10">
        <v>2134</v>
      </c>
      <c r="C1810" s="34"/>
      <c r="N1810" s="11" t="str">
        <f t="shared" si="58"/>
        <v/>
      </c>
      <c r="O1810" s="32" t="str">
        <f t="shared" si="59"/>
        <v/>
      </c>
    </row>
    <row r="1811" spans="2:15" ht="15" customHeight="1" x14ac:dyDescent="0.35">
      <c r="B1811" s="10">
        <v>2135</v>
      </c>
      <c r="C1811" s="34"/>
      <c r="N1811" s="11" t="str">
        <f t="shared" si="58"/>
        <v/>
      </c>
      <c r="O1811" s="32" t="str">
        <f t="shared" si="59"/>
        <v/>
      </c>
    </row>
    <row r="1812" spans="2:15" ht="15" customHeight="1" x14ac:dyDescent="0.35">
      <c r="B1812" s="10">
        <v>2136</v>
      </c>
      <c r="C1812" s="34"/>
      <c r="N1812" s="11" t="str">
        <f t="shared" si="58"/>
        <v/>
      </c>
      <c r="O1812" s="32" t="str">
        <f t="shared" si="59"/>
        <v/>
      </c>
    </row>
    <row r="1813" spans="2:15" ht="15" customHeight="1" x14ac:dyDescent="0.35">
      <c r="B1813" s="10">
        <v>2137</v>
      </c>
      <c r="C1813" s="34"/>
      <c r="N1813" s="11" t="str">
        <f t="shared" si="58"/>
        <v/>
      </c>
      <c r="O1813" s="32" t="str">
        <f t="shared" si="59"/>
        <v/>
      </c>
    </row>
    <row r="1814" spans="2:15" ht="15" customHeight="1" x14ac:dyDescent="0.35">
      <c r="B1814" s="10">
        <v>2138</v>
      </c>
      <c r="C1814" s="34"/>
      <c r="N1814" s="11" t="str">
        <f t="shared" si="58"/>
        <v/>
      </c>
      <c r="O1814" s="32" t="str">
        <f t="shared" si="59"/>
        <v/>
      </c>
    </row>
    <row r="1815" spans="2:15" ht="15" customHeight="1" x14ac:dyDescent="0.35">
      <c r="B1815" s="10">
        <v>2139</v>
      </c>
      <c r="C1815" s="34"/>
      <c r="N1815" s="11" t="str">
        <f t="shared" si="58"/>
        <v/>
      </c>
      <c r="O1815" s="32" t="str">
        <f t="shared" si="59"/>
        <v/>
      </c>
    </row>
    <row r="1816" spans="2:15" ht="15" customHeight="1" x14ac:dyDescent="0.35">
      <c r="B1816" s="10">
        <v>2140</v>
      </c>
      <c r="C1816" s="34"/>
      <c r="N1816" s="11" t="str">
        <f t="shared" si="58"/>
        <v/>
      </c>
      <c r="O1816" s="32" t="str">
        <f t="shared" si="59"/>
        <v/>
      </c>
    </row>
    <row r="1817" spans="2:15" ht="15" customHeight="1" x14ac:dyDescent="0.35">
      <c r="B1817" s="10">
        <v>2141</v>
      </c>
      <c r="C1817" s="34"/>
      <c r="N1817" s="11" t="str">
        <f t="shared" si="58"/>
        <v/>
      </c>
      <c r="O1817" s="32" t="str">
        <f t="shared" si="59"/>
        <v/>
      </c>
    </row>
    <row r="1818" spans="2:15" ht="15" customHeight="1" x14ac:dyDescent="0.35">
      <c r="B1818" s="10">
        <v>2142</v>
      </c>
      <c r="C1818" s="34"/>
      <c r="N1818" s="11" t="str">
        <f t="shared" si="58"/>
        <v/>
      </c>
      <c r="O1818" s="32" t="str">
        <f t="shared" si="59"/>
        <v/>
      </c>
    </row>
    <row r="1819" spans="2:15" ht="15" customHeight="1" x14ac:dyDescent="0.35">
      <c r="B1819" s="10">
        <v>2143</v>
      </c>
      <c r="C1819" s="34"/>
      <c r="N1819" s="11" t="str">
        <f t="shared" si="58"/>
        <v/>
      </c>
      <c r="O1819" s="32" t="str">
        <f t="shared" si="59"/>
        <v/>
      </c>
    </row>
    <row r="1820" spans="2:15" ht="15" customHeight="1" x14ac:dyDescent="0.35">
      <c r="B1820" s="10">
        <v>2144</v>
      </c>
      <c r="C1820" s="34"/>
      <c r="N1820" s="11" t="str">
        <f t="shared" si="58"/>
        <v/>
      </c>
      <c r="O1820" s="32" t="str">
        <f t="shared" si="59"/>
        <v/>
      </c>
    </row>
    <row r="1821" spans="2:15" ht="15" customHeight="1" x14ac:dyDescent="0.35">
      <c r="B1821" s="10">
        <v>2145</v>
      </c>
      <c r="C1821" s="34"/>
      <c r="N1821" s="11" t="str">
        <f t="shared" si="58"/>
        <v/>
      </c>
      <c r="O1821" s="32" t="str">
        <f t="shared" si="59"/>
        <v/>
      </c>
    </row>
    <row r="1822" spans="2:15" ht="15" customHeight="1" x14ac:dyDescent="0.35">
      <c r="B1822" s="10">
        <v>2146</v>
      </c>
      <c r="C1822" s="34"/>
      <c r="N1822" s="11" t="str">
        <f t="shared" si="58"/>
        <v/>
      </c>
      <c r="O1822" s="32" t="str">
        <f t="shared" si="59"/>
        <v/>
      </c>
    </row>
    <row r="1823" spans="2:15" ht="15" customHeight="1" x14ac:dyDescent="0.35">
      <c r="B1823" s="10">
        <v>2147</v>
      </c>
      <c r="C1823" s="34"/>
      <c r="N1823" s="11" t="str">
        <f t="shared" si="58"/>
        <v/>
      </c>
      <c r="O1823" s="32" t="str">
        <f t="shared" si="59"/>
        <v/>
      </c>
    </row>
    <row r="1824" spans="2:15" ht="15" customHeight="1" x14ac:dyDescent="0.35">
      <c r="B1824" s="10">
        <v>2148</v>
      </c>
      <c r="C1824" s="34"/>
      <c r="N1824" s="11" t="str">
        <f t="shared" si="58"/>
        <v/>
      </c>
      <c r="O1824" s="32" t="str">
        <f t="shared" si="59"/>
        <v/>
      </c>
    </row>
    <row r="1825" spans="2:15" ht="15" customHeight="1" x14ac:dyDescent="0.35">
      <c r="B1825" s="10">
        <v>2149</v>
      </c>
      <c r="C1825" s="34"/>
      <c r="N1825" s="11" t="str">
        <f t="shared" si="58"/>
        <v/>
      </c>
      <c r="O1825" s="32" t="str">
        <f t="shared" si="59"/>
        <v/>
      </c>
    </row>
    <row r="1826" spans="2:15" ht="15" customHeight="1" x14ac:dyDescent="0.35">
      <c r="B1826" s="10">
        <v>2150</v>
      </c>
      <c r="C1826" s="34"/>
      <c r="N1826" s="11" t="str">
        <f t="shared" si="58"/>
        <v/>
      </c>
      <c r="O1826" s="32" t="str">
        <f t="shared" si="59"/>
        <v/>
      </c>
    </row>
    <row r="1827" spans="2:15" ht="15" customHeight="1" x14ac:dyDescent="0.35">
      <c r="B1827" s="10">
        <v>2151</v>
      </c>
      <c r="C1827" s="34"/>
      <c r="N1827" s="11" t="str">
        <f t="shared" si="58"/>
        <v/>
      </c>
      <c r="O1827" s="32" t="str">
        <f t="shared" si="59"/>
        <v/>
      </c>
    </row>
    <row r="1828" spans="2:15" ht="15" customHeight="1" x14ac:dyDescent="0.35">
      <c r="B1828" s="10">
        <v>2152</v>
      </c>
      <c r="C1828" s="34"/>
      <c r="N1828" s="11" t="str">
        <f t="shared" si="58"/>
        <v/>
      </c>
      <c r="O1828" s="32" t="str">
        <f t="shared" si="59"/>
        <v/>
      </c>
    </row>
    <row r="1829" spans="2:15" ht="15" customHeight="1" x14ac:dyDescent="0.35">
      <c r="B1829" s="10">
        <v>2153</v>
      </c>
      <c r="C1829" s="34"/>
      <c r="N1829" s="11" t="str">
        <f t="shared" ref="N1829:N1892" si="60">IF(OR(M1829="", K1829=""),"", M1829- K1829)</f>
        <v/>
      </c>
      <c r="O1829" s="32" t="str">
        <f t="shared" ref="O1829:O1892" si="61">IF(OR(M1829="", K1829="", L1829=""), "", IF((M1829 - K1829) &gt; L1829, "No", "Yes"))</f>
        <v/>
      </c>
    </row>
    <row r="1830" spans="2:15" ht="15" customHeight="1" x14ac:dyDescent="0.35">
      <c r="B1830" s="10">
        <v>2154</v>
      </c>
      <c r="C1830" s="34"/>
      <c r="N1830" s="11" t="str">
        <f t="shared" si="60"/>
        <v/>
      </c>
      <c r="O1830" s="32" t="str">
        <f t="shared" si="61"/>
        <v/>
      </c>
    </row>
    <row r="1831" spans="2:15" ht="15" customHeight="1" x14ac:dyDescent="0.35">
      <c r="B1831" s="10">
        <v>2155</v>
      </c>
      <c r="C1831" s="34"/>
      <c r="N1831" s="11" t="str">
        <f t="shared" si="60"/>
        <v/>
      </c>
      <c r="O1831" s="32" t="str">
        <f t="shared" si="61"/>
        <v/>
      </c>
    </row>
    <row r="1832" spans="2:15" ht="15" customHeight="1" x14ac:dyDescent="0.35">
      <c r="B1832" s="10">
        <v>2156</v>
      </c>
      <c r="C1832" s="34"/>
      <c r="N1832" s="11" t="str">
        <f t="shared" si="60"/>
        <v/>
      </c>
      <c r="O1832" s="32" t="str">
        <f t="shared" si="61"/>
        <v/>
      </c>
    </row>
    <row r="1833" spans="2:15" ht="15" customHeight="1" x14ac:dyDescent="0.35">
      <c r="B1833" s="10">
        <v>2157</v>
      </c>
      <c r="C1833" s="34"/>
      <c r="N1833" s="11" t="str">
        <f t="shared" si="60"/>
        <v/>
      </c>
      <c r="O1833" s="32" t="str">
        <f t="shared" si="61"/>
        <v/>
      </c>
    </row>
    <row r="1834" spans="2:15" ht="15" customHeight="1" x14ac:dyDescent="0.35">
      <c r="B1834" s="10">
        <v>2158</v>
      </c>
      <c r="C1834" s="34"/>
      <c r="N1834" s="11" t="str">
        <f t="shared" si="60"/>
        <v/>
      </c>
      <c r="O1834" s="32" t="str">
        <f t="shared" si="61"/>
        <v/>
      </c>
    </row>
    <row r="1835" spans="2:15" ht="15" customHeight="1" x14ac:dyDescent="0.35">
      <c r="B1835" s="10">
        <v>2159</v>
      </c>
      <c r="C1835" s="34"/>
      <c r="N1835" s="11" t="str">
        <f t="shared" si="60"/>
        <v/>
      </c>
      <c r="O1835" s="32" t="str">
        <f t="shared" si="61"/>
        <v/>
      </c>
    </row>
    <row r="1836" spans="2:15" ht="15" customHeight="1" x14ac:dyDescent="0.35">
      <c r="B1836" s="10">
        <v>2160</v>
      </c>
      <c r="C1836" s="34"/>
      <c r="N1836" s="11" t="str">
        <f t="shared" si="60"/>
        <v/>
      </c>
      <c r="O1836" s="32" t="str">
        <f t="shared" si="61"/>
        <v/>
      </c>
    </row>
    <row r="1837" spans="2:15" ht="15" customHeight="1" x14ac:dyDescent="0.35">
      <c r="B1837" s="10">
        <v>2161</v>
      </c>
      <c r="C1837" s="34"/>
      <c r="N1837" s="11" t="str">
        <f t="shared" si="60"/>
        <v/>
      </c>
      <c r="O1837" s="32" t="str">
        <f t="shared" si="61"/>
        <v/>
      </c>
    </row>
    <row r="1838" spans="2:15" ht="15" customHeight="1" x14ac:dyDescent="0.35">
      <c r="B1838" s="10">
        <v>2162</v>
      </c>
      <c r="C1838" s="34"/>
      <c r="N1838" s="11" t="str">
        <f t="shared" si="60"/>
        <v/>
      </c>
      <c r="O1838" s="32" t="str">
        <f t="shared" si="61"/>
        <v/>
      </c>
    </row>
    <row r="1839" spans="2:15" ht="15" customHeight="1" x14ac:dyDescent="0.35">
      <c r="B1839" s="10">
        <v>2163</v>
      </c>
      <c r="C1839" s="34"/>
      <c r="N1839" s="11" t="str">
        <f t="shared" si="60"/>
        <v/>
      </c>
      <c r="O1839" s="32" t="str">
        <f t="shared" si="61"/>
        <v/>
      </c>
    </row>
    <row r="1840" spans="2:15" ht="15" customHeight="1" x14ac:dyDescent="0.35">
      <c r="B1840" s="10">
        <v>2164</v>
      </c>
      <c r="C1840" s="34"/>
      <c r="N1840" s="11" t="str">
        <f t="shared" si="60"/>
        <v/>
      </c>
      <c r="O1840" s="32" t="str">
        <f t="shared" si="61"/>
        <v/>
      </c>
    </row>
    <row r="1841" spans="2:15" ht="15" customHeight="1" x14ac:dyDescent="0.35">
      <c r="B1841" s="10">
        <v>2165</v>
      </c>
      <c r="C1841" s="34"/>
      <c r="N1841" s="11" t="str">
        <f t="shared" si="60"/>
        <v/>
      </c>
      <c r="O1841" s="32" t="str">
        <f t="shared" si="61"/>
        <v/>
      </c>
    </row>
    <row r="1842" spans="2:15" ht="15" customHeight="1" x14ac:dyDescent="0.35">
      <c r="B1842" s="10">
        <v>2166</v>
      </c>
      <c r="C1842" s="34"/>
      <c r="N1842" s="11" t="str">
        <f t="shared" si="60"/>
        <v/>
      </c>
      <c r="O1842" s="32" t="str">
        <f t="shared" si="61"/>
        <v/>
      </c>
    </row>
    <row r="1843" spans="2:15" ht="15" customHeight="1" x14ac:dyDescent="0.35">
      <c r="B1843" s="10">
        <v>2167</v>
      </c>
      <c r="C1843" s="34"/>
      <c r="N1843" s="11" t="str">
        <f t="shared" si="60"/>
        <v/>
      </c>
      <c r="O1843" s="32" t="str">
        <f t="shared" si="61"/>
        <v/>
      </c>
    </row>
    <row r="1844" spans="2:15" ht="15" customHeight="1" x14ac:dyDescent="0.35">
      <c r="B1844" s="10">
        <v>2168</v>
      </c>
      <c r="C1844" s="34"/>
      <c r="N1844" s="11" t="str">
        <f t="shared" si="60"/>
        <v/>
      </c>
      <c r="O1844" s="32" t="str">
        <f t="shared" si="61"/>
        <v/>
      </c>
    </row>
    <row r="1845" spans="2:15" ht="15" customHeight="1" x14ac:dyDescent="0.35">
      <c r="B1845" s="10">
        <v>2169</v>
      </c>
      <c r="C1845" s="34"/>
      <c r="N1845" s="11" t="str">
        <f t="shared" si="60"/>
        <v/>
      </c>
      <c r="O1845" s="32" t="str">
        <f t="shared" si="61"/>
        <v/>
      </c>
    </row>
    <row r="1846" spans="2:15" ht="15" customHeight="1" x14ac:dyDescent="0.35">
      <c r="B1846" s="10">
        <v>2170</v>
      </c>
      <c r="C1846" s="34"/>
      <c r="N1846" s="11" t="str">
        <f t="shared" si="60"/>
        <v/>
      </c>
      <c r="O1846" s="32" t="str">
        <f t="shared" si="61"/>
        <v/>
      </c>
    </row>
    <row r="1847" spans="2:15" ht="15" customHeight="1" x14ac:dyDescent="0.35">
      <c r="B1847" s="10">
        <v>2171</v>
      </c>
      <c r="C1847" s="34"/>
      <c r="N1847" s="11" t="str">
        <f t="shared" si="60"/>
        <v/>
      </c>
      <c r="O1847" s="32" t="str">
        <f t="shared" si="61"/>
        <v/>
      </c>
    </row>
    <row r="1848" spans="2:15" ht="15" customHeight="1" x14ac:dyDescent="0.35">
      <c r="B1848" s="10">
        <v>2172</v>
      </c>
      <c r="C1848" s="34"/>
      <c r="N1848" s="11" t="str">
        <f t="shared" si="60"/>
        <v/>
      </c>
      <c r="O1848" s="32" t="str">
        <f t="shared" si="61"/>
        <v/>
      </c>
    </row>
    <row r="1849" spans="2:15" ht="15" customHeight="1" x14ac:dyDescent="0.35">
      <c r="B1849" s="10">
        <v>2173</v>
      </c>
      <c r="C1849" s="34"/>
      <c r="N1849" s="11" t="str">
        <f t="shared" si="60"/>
        <v/>
      </c>
      <c r="O1849" s="32" t="str">
        <f t="shared" si="61"/>
        <v/>
      </c>
    </row>
    <row r="1850" spans="2:15" ht="15" customHeight="1" x14ac:dyDescent="0.35">
      <c r="B1850" s="10">
        <v>2174</v>
      </c>
      <c r="C1850" s="34"/>
      <c r="N1850" s="11" t="str">
        <f t="shared" si="60"/>
        <v/>
      </c>
      <c r="O1850" s="32" t="str">
        <f t="shared" si="61"/>
        <v/>
      </c>
    </row>
    <row r="1851" spans="2:15" ht="15" customHeight="1" x14ac:dyDescent="0.35">
      <c r="B1851" s="10">
        <v>2175</v>
      </c>
      <c r="C1851" s="34"/>
      <c r="N1851" s="11" t="str">
        <f t="shared" si="60"/>
        <v/>
      </c>
      <c r="O1851" s="32" t="str">
        <f t="shared" si="61"/>
        <v/>
      </c>
    </row>
    <row r="1852" spans="2:15" ht="15" customHeight="1" x14ac:dyDescent="0.35">
      <c r="B1852" s="10">
        <v>2176</v>
      </c>
      <c r="C1852" s="34"/>
      <c r="N1852" s="11" t="str">
        <f t="shared" si="60"/>
        <v/>
      </c>
      <c r="O1852" s="32" t="str">
        <f t="shared" si="61"/>
        <v/>
      </c>
    </row>
    <row r="1853" spans="2:15" ht="15" customHeight="1" x14ac:dyDescent="0.35">
      <c r="B1853" s="10">
        <v>2177</v>
      </c>
      <c r="C1853" s="34"/>
      <c r="N1853" s="11" t="str">
        <f t="shared" si="60"/>
        <v/>
      </c>
      <c r="O1853" s="32" t="str">
        <f t="shared" si="61"/>
        <v/>
      </c>
    </row>
    <row r="1854" spans="2:15" ht="15" customHeight="1" x14ac:dyDescent="0.35">
      <c r="B1854" s="10">
        <v>2178</v>
      </c>
      <c r="C1854" s="34"/>
      <c r="N1854" s="11" t="str">
        <f t="shared" si="60"/>
        <v/>
      </c>
      <c r="O1854" s="32" t="str">
        <f t="shared" si="61"/>
        <v/>
      </c>
    </row>
    <row r="1855" spans="2:15" ht="15" customHeight="1" x14ac:dyDescent="0.35">
      <c r="B1855" s="10">
        <v>2179</v>
      </c>
      <c r="C1855" s="34"/>
      <c r="N1855" s="11" t="str">
        <f t="shared" si="60"/>
        <v/>
      </c>
      <c r="O1855" s="32" t="str">
        <f t="shared" si="61"/>
        <v/>
      </c>
    </row>
    <row r="1856" spans="2:15" ht="15" customHeight="1" x14ac:dyDescent="0.35">
      <c r="B1856" s="10">
        <v>2180</v>
      </c>
      <c r="C1856" s="34"/>
      <c r="N1856" s="11" t="str">
        <f t="shared" si="60"/>
        <v/>
      </c>
      <c r="O1856" s="32" t="str">
        <f t="shared" si="61"/>
        <v/>
      </c>
    </row>
    <row r="1857" spans="2:15" ht="15" customHeight="1" x14ac:dyDescent="0.35">
      <c r="B1857" s="10">
        <v>2181</v>
      </c>
      <c r="C1857" s="34"/>
      <c r="N1857" s="11" t="str">
        <f t="shared" si="60"/>
        <v/>
      </c>
      <c r="O1857" s="32" t="str">
        <f t="shared" si="61"/>
        <v/>
      </c>
    </row>
    <row r="1858" spans="2:15" ht="15" customHeight="1" x14ac:dyDescent="0.35">
      <c r="B1858" s="10">
        <v>2182</v>
      </c>
      <c r="C1858" s="34"/>
      <c r="N1858" s="11" t="str">
        <f t="shared" si="60"/>
        <v/>
      </c>
      <c r="O1858" s="32" t="str">
        <f t="shared" si="61"/>
        <v/>
      </c>
    </row>
    <row r="1859" spans="2:15" ht="15" customHeight="1" x14ac:dyDescent="0.35">
      <c r="B1859" s="10">
        <v>2183</v>
      </c>
      <c r="C1859" s="34"/>
      <c r="N1859" s="11" t="str">
        <f t="shared" si="60"/>
        <v/>
      </c>
      <c r="O1859" s="32" t="str">
        <f t="shared" si="61"/>
        <v/>
      </c>
    </row>
    <row r="1860" spans="2:15" ht="15" customHeight="1" x14ac:dyDescent="0.35">
      <c r="B1860" s="10">
        <v>2184</v>
      </c>
      <c r="C1860" s="34"/>
      <c r="N1860" s="11" t="str">
        <f t="shared" si="60"/>
        <v/>
      </c>
      <c r="O1860" s="32" t="str">
        <f t="shared" si="61"/>
        <v/>
      </c>
    </row>
    <row r="1861" spans="2:15" ht="15" customHeight="1" x14ac:dyDescent="0.35">
      <c r="B1861" s="10">
        <v>2185</v>
      </c>
      <c r="C1861" s="34"/>
      <c r="N1861" s="11" t="str">
        <f t="shared" si="60"/>
        <v/>
      </c>
      <c r="O1861" s="32" t="str">
        <f t="shared" si="61"/>
        <v/>
      </c>
    </row>
    <row r="1862" spans="2:15" ht="15" customHeight="1" x14ac:dyDescent="0.35">
      <c r="B1862" s="10">
        <v>2186</v>
      </c>
      <c r="C1862" s="34"/>
      <c r="N1862" s="11" t="str">
        <f t="shared" si="60"/>
        <v/>
      </c>
      <c r="O1862" s="32" t="str">
        <f t="shared" si="61"/>
        <v/>
      </c>
    </row>
    <row r="1863" spans="2:15" ht="15" customHeight="1" x14ac:dyDescent="0.35">
      <c r="B1863" s="10">
        <v>2187</v>
      </c>
      <c r="C1863" s="34"/>
      <c r="N1863" s="11" t="str">
        <f t="shared" si="60"/>
        <v/>
      </c>
      <c r="O1863" s="32" t="str">
        <f t="shared" si="61"/>
        <v/>
      </c>
    </row>
    <row r="1864" spans="2:15" ht="15" customHeight="1" x14ac:dyDescent="0.35">
      <c r="B1864" s="10">
        <v>2188</v>
      </c>
      <c r="C1864" s="34"/>
      <c r="N1864" s="11" t="str">
        <f t="shared" si="60"/>
        <v/>
      </c>
      <c r="O1864" s="32" t="str">
        <f t="shared" si="61"/>
        <v/>
      </c>
    </row>
    <row r="1865" spans="2:15" ht="15" customHeight="1" x14ac:dyDescent="0.35">
      <c r="B1865" s="10">
        <v>2189</v>
      </c>
      <c r="C1865" s="34"/>
      <c r="N1865" s="11" t="str">
        <f t="shared" si="60"/>
        <v/>
      </c>
      <c r="O1865" s="32" t="str">
        <f t="shared" si="61"/>
        <v/>
      </c>
    </row>
    <row r="1866" spans="2:15" ht="15" customHeight="1" x14ac:dyDescent="0.35">
      <c r="B1866" s="10">
        <v>2190</v>
      </c>
      <c r="C1866" s="34"/>
      <c r="N1866" s="11" t="str">
        <f t="shared" si="60"/>
        <v/>
      </c>
      <c r="O1866" s="32" t="str">
        <f t="shared" si="61"/>
        <v/>
      </c>
    </row>
    <row r="1867" spans="2:15" ht="15" customHeight="1" x14ac:dyDescent="0.35">
      <c r="B1867" s="10">
        <v>2191</v>
      </c>
      <c r="C1867" s="34"/>
      <c r="N1867" s="11" t="str">
        <f t="shared" si="60"/>
        <v/>
      </c>
      <c r="O1867" s="32" t="str">
        <f t="shared" si="61"/>
        <v/>
      </c>
    </row>
    <row r="1868" spans="2:15" ht="15" customHeight="1" x14ac:dyDescent="0.35">
      <c r="B1868" s="10">
        <v>2192</v>
      </c>
      <c r="C1868" s="34"/>
      <c r="N1868" s="11" t="str">
        <f t="shared" si="60"/>
        <v/>
      </c>
      <c r="O1868" s="32" t="str">
        <f t="shared" si="61"/>
        <v/>
      </c>
    </row>
    <row r="1869" spans="2:15" ht="15" customHeight="1" x14ac:dyDescent="0.35">
      <c r="B1869" s="10">
        <v>2193</v>
      </c>
      <c r="C1869" s="34"/>
      <c r="N1869" s="11" t="str">
        <f t="shared" si="60"/>
        <v/>
      </c>
      <c r="O1869" s="32" t="str">
        <f t="shared" si="61"/>
        <v/>
      </c>
    </row>
    <row r="1870" spans="2:15" ht="15" customHeight="1" x14ac:dyDescent="0.35">
      <c r="B1870" s="10">
        <v>2194</v>
      </c>
      <c r="C1870" s="34"/>
      <c r="N1870" s="11" t="str">
        <f t="shared" si="60"/>
        <v/>
      </c>
      <c r="O1870" s="32" t="str">
        <f t="shared" si="61"/>
        <v/>
      </c>
    </row>
    <row r="1871" spans="2:15" ht="15" customHeight="1" x14ac:dyDescent="0.35">
      <c r="B1871" s="10">
        <v>2195</v>
      </c>
      <c r="C1871" s="34"/>
      <c r="N1871" s="11" t="str">
        <f t="shared" si="60"/>
        <v/>
      </c>
      <c r="O1871" s="32" t="str">
        <f t="shared" si="61"/>
        <v/>
      </c>
    </row>
    <row r="1872" spans="2:15" ht="15" customHeight="1" x14ac:dyDescent="0.35">
      <c r="B1872" s="10">
        <v>2196</v>
      </c>
      <c r="C1872" s="34"/>
      <c r="N1872" s="11" t="str">
        <f t="shared" si="60"/>
        <v/>
      </c>
      <c r="O1872" s="32" t="str">
        <f t="shared" si="61"/>
        <v/>
      </c>
    </row>
    <row r="1873" spans="2:15" ht="15" customHeight="1" x14ac:dyDescent="0.35">
      <c r="B1873" s="10">
        <v>2197</v>
      </c>
      <c r="C1873" s="34"/>
      <c r="N1873" s="11" t="str">
        <f t="shared" si="60"/>
        <v/>
      </c>
      <c r="O1873" s="32" t="str">
        <f t="shared" si="61"/>
        <v/>
      </c>
    </row>
    <row r="1874" spans="2:15" ht="15" customHeight="1" x14ac:dyDescent="0.35">
      <c r="B1874" s="10">
        <v>2198</v>
      </c>
      <c r="C1874" s="34"/>
      <c r="N1874" s="11" t="str">
        <f t="shared" si="60"/>
        <v/>
      </c>
      <c r="O1874" s="32" t="str">
        <f t="shared" si="61"/>
        <v/>
      </c>
    </row>
    <row r="1875" spans="2:15" ht="15" customHeight="1" x14ac:dyDescent="0.35">
      <c r="B1875" s="10">
        <v>2199</v>
      </c>
      <c r="C1875" s="34"/>
      <c r="N1875" s="11" t="str">
        <f t="shared" si="60"/>
        <v/>
      </c>
      <c r="O1875" s="32" t="str">
        <f t="shared" si="61"/>
        <v/>
      </c>
    </row>
    <row r="1876" spans="2:15" ht="15" customHeight="1" x14ac:dyDescent="0.35">
      <c r="B1876" s="10">
        <v>2200</v>
      </c>
      <c r="C1876" s="34"/>
      <c r="N1876" s="11" t="str">
        <f t="shared" si="60"/>
        <v/>
      </c>
      <c r="O1876" s="32" t="str">
        <f t="shared" si="61"/>
        <v/>
      </c>
    </row>
    <row r="1877" spans="2:15" ht="15" customHeight="1" x14ac:dyDescent="0.35">
      <c r="B1877" s="10">
        <v>2201</v>
      </c>
      <c r="C1877" s="34"/>
      <c r="N1877" s="11" t="str">
        <f t="shared" si="60"/>
        <v/>
      </c>
      <c r="O1877" s="32" t="str">
        <f t="shared" si="61"/>
        <v/>
      </c>
    </row>
    <row r="1878" spans="2:15" ht="15" customHeight="1" x14ac:dyDescent="0.35">
      <c r="B1878" s="10">
        <v>2202</v>
      </c>
      <c r="C1878" s="34"/>
      <c r="N1878" s="11" t="str">
        <f t="shared" si="60"/>
        <v/>
      </c>
      <c r="O1878" s="32" t="str">
        <f t="shared" si="61"/>
        <v/>
      </c>
    </row>
    <row r="1879" spans="2:15" ht="15" customHeight="1" x14ac:dyDescent="0.35">
      <c r="B1879" s="10">
        <v>2203</v>
      </c>
      <c r="C1879" s="34"/>
      <c r="N1879" s="11" t="str">
        <f t="shared" si="60"/>
        <v/>
      </c>
      <c r="O1879" s="32" t="str">
        <f t="shared" si="61"/>
        <v/>
      </c>
    </row>
    <row r="1880" spans="2:15" ht="15" customHeight="1" x14ac:dyDescent="0.35">
      <c r="B1880" s="10">
        <v>2204</v>
      </c>
      <c r="C1880" s="34"/>
      <c r="N1880" s="11" t="str">
        <f t="shared" si="60"/>
        <v/>
      </c>
      <c r="O1880" s="32" t="str">
        <f t="shared" si="61"/>
        <v/>
      </c>
    </row>
    <row r="1881" spans="2:15" ht="15" customHeight="1" x14ac:dyDescent="0.35">
      <c r="B1881" s="10">
        <v>2205</v>
      </c>
      <c r="C1881" s="34"/>
      <c r="N1881" s="11" t="str">
        <f t="shared" si="60"/>
        <v/>
      </c>
      <c r="O1881" s="32" t="str">
        <f t="shared" si="61"/>
        <v/>
      </c>
    </row>
    <row r="1882" spans="2:15" ht="15" customHeight="1" x14ac:dyDescent="0.35">
      <c r="B1882" s="10">
        <v>2206</v>
      </c>
      <c r="C1882" s="34"/>
      <c r="N1882" s="11" t="str">
        <f t="shared" si="60"/>
        <v/>
      </c>
      <c r="O1882" s="32" t="str">
        <f t="shared" si="61"/>
        <v/>
      </c>
    </row>
    <row r="1883" spans="2:15" ht="15" customHeight="1" x14ac:dyDescent="0.35">
      <c r="B1883" s="10">
        <v>2207</v>
      </c>
      <c r="C1883" s="34"/>
      <c r="N1883" s="11" t="str">
        <f t="shared" si="60"/>
        <v/>
      </c>
      <c r="O1883" s="32" t="str">
        <f t="shared" si="61"/>
        <v/>
      </c>
    </row>
    <row r="1884" spans="2:15" ht="15" customHeight="1" x14ac:dyDescent="0.35">
      <c r="B1884" s="10">
        <v>2208</v>
      </c>
      <c r="C1884" s="34"/>
      <c r="N1884" s="11" t="str">
        <f t="shared" si="60"/>
        <v/>
      </c>
      <c r="O1884" s="32" t="str">
        <f t="shared" si="61"/>
        <v/>
      </c>
    </row>
    <row r="1885" spans="2:15" ht="15" customHeight="1" x14ac:dyDescent="0.35">
      <c r="B1885" s="10">
        <v>2209</v>
      </c>
      <c r="C1885" s="34"/>
      <c r="N1885" s="11" t="str">
        <f t="shared" si="60"/>
        <v/>
      </c>
      <c r="O1885" s="32" t="str">
        <f t="shared" si="61"/>
        <v/>
      </c>
    </row>
    <row r="1886" spans="2:15" ht="15" customHeight="1" x14ac:dyDescent="0.35">
      <c r="B1886" s="10">
        <v>2210</v>
      </c>
      <c r="C1886" s="34"/>
      <c r="N1886" s="11" t="str">
        <f t="shared" si="60"/>
        <v/>
      </c>
      <c r="O1886" s="32" t="str">
        <f t="shared" si="61"/>
        <v/>
      </c>
    </row>
    <row r="1887" spans="2:15" ht="15" customHeight="1" x14ac:dyDescent="0.35">
      <c r="B1887" s="10">
        <v>2211</v>
      </c>
      <c r="C1887" s="34"/>
      <c r="N1887" s="11" t="str">
        <f t="shared" si="60"/>
        <v/>
      </c>
      <c r="O1887" s="32" t="str">
        <f t="shared" si="61"/>
        <v/>
      </c>
    </row>
    <row r="1888" spans="2:15" ht="15" customHeight="1" x14ac:dyDescent="0.35">
      <c r="B1888" s="10">
        <v>2212</v>
      </c>
      <c r="C1888" s="34"/>
      <c r="N1888" s="11" t="str">
        <f t="shared" si="60"/>
        <v/>
      </c>
      <c r="O1888" s="32" t="str">
        <f t="shared" si="61"/>
        <v/>
      </c>
    </row>
    <row r="1889" spans="2:15" ht="15" customHeight="1" x14ac:dyDescent="0.35">
      <c r="B1889" s="10">
        <v>2213</v>
      </c>
      <c r="C1889" s="34"/>
      <c r="N1889" s="11" t="str">
        <f t="shared" si="60"/>
        <v/>
      </c>
      <c r="O1889" s="32" t="str">
        <f t="shared" si="61"/>
        <v/>
      </c>
    </row>
    <row r="1890" spans="2:15" ht="15" customHeight="1" x14ac:dyDescent="0.35">
      <c r="B1890" s="10">
        <v>2214</v>
      </c>
      <c r="C1890" s="34"/>
      <c r="N1890" s="11" t="str">
        <f t="shared" si="60"/>
        <v/>
      </c>
      <c r="O1890" s="32" t="str">
        <f t="shared" si="61"/>
        <v/>
      </c>
    </row>
    <row r="1891" spans="2:15" ht="15" customHeight="1" x14ac:dyDescent="0.35">
      <c r="B1891" s="10">
        <v>2215</v>
      </c>
      <c r="C1891" s="34"/>
      <c r="N1891" s="11" t="str">
        <f t="shared" si="60"/>
        <v/>
      </c>
      <c r="O1891" s="32" t="str">
        <f t="shared" si="61"/>
        <v/>
      </c>
    </row>
    <row r="1892" spans="2:15" ht="15" customHeight="1" x14ac:dyDescent="0.35">
      <c r="B1892" s="10">
        <v>2216</v>
      </c>
      <c r="C1892" s="34"/>
      <c r="N1892" s="11" t="str">
        <f t="shared" si="60"/>
        <v/>
      </c>
      <c r="O1892" s="32" t="str">
        <f t="shared" si="61"/>
        <v/>
      </c>
    </row>
    <row r="1893" spans="2:15" ht="15" customHeight="1" x14ac:dyDescent="0.35">
      <c r="B1893" s="10">
        <v>2217</v>
      </c>
      <c r="C1893" s="34"/>
      <c r="N1893" s="11" t="str">
        <f t="shared" ref="N1893:N1956" si="62">IF(OR(M1893="", K1893=""),"", M1893- K1893)</f>
        <v/>
      </c>
      <c r="O1893" s="32" t="str">
        <f t="shared" ref="O1893:O1956" si="63">IF(OR(M1893="", K1893="", L1893=""), "", IF((M1893 - K1893) &gt; L1893, "No", "Yes"))</f>
        <v/>
      </c>
    </row>
    <row r="1894" spans="2:15" ht="15" customHeight="1" x14ac:dyDescent="0.35">
      <c r="B1894" s="10">
        <v>2218</v>
      </c>
      <c r="C1894" s="34"/>
      <c r="N1894" s="11" t="str">
        <f t="shared" si="62"/>
        <v/>
      </c>
      <c r="O1894" s="32" t="str">
        <f t="shared" si="63"/>
        <v/>
      </c>
    </row>
    <row r="1895" spans="2:15" ht="15" customHeight="1" x14ac:dyDescent="0.35">
      <c r="B1895" s="10">
        <v>2219</v>
      </c>
      <c r="C1895" s="34"/>
      <c r="N1895" s="11" t="str">
        <f t="shared" si="62"/>
        <v/>
      </c>
      <c r="O1895" s="32" t="str">
        <f t="shared" si="63"/>
        <v/>
      </c>
    </row>
    <row r="1896" spans="2:15" ht="15" customHeight="1" x14ac:dyDescent="0.35">
      <c r="B1896" s="10">
        <v>2220</v>
      </c>
      <c r="C1896" s="34"/>
      <c r="N1896" s="11" t="str">
        <f t="shared" si="62"/>
        <v/>
      </c>
      <c r="O1896" s="32" t="str">
        <f t="shared" si="63"/>
        <v/>
      </c>
    </row>
    <row r="1897" spans="2:15" ht="15" customHeight="1" x14ac:dyDescent="0.35">
      <c r="B1897" s="10">
        <v>2221</v>
      </c>
      <c r="C1897" s="34"/>
      <c r="N1897" s="11" t="str">
        <f t="shared" si="62"/>
        <v/>
      </c>
      <c r="O1897" s="32" t="str">
        <f t="shared" si="63"/>
        <v/>
      </c>
    </row>
    <row r="1898" spans="2:15" ht="15" customHeight="1" x14ac:dyDescent="0.35">
      <c r="B1898" s="10">
        <v>2222</v>
      </c>
      <c r="C1898" s="34"/>
      <c r="N1898" s="11" t="str">
        <f t="shared" si="62"/>
        <v/>
      </c>
      <c r="O1898" s="32" t="str">
        <f t="shared" si="63"/>
        <v/>
      </c>
    </row>
    <row r="1899" spans="2:15" ht="15" customHeight="1" x14ac:dyDescent="0.35">
      <c r="B1899" s="10">
        <v>2223</v>
      </c>
      <c r="C1899" s="34"/>
      <c r="N1899" s="11" t="str">
        <f t="shared" si="62"/>
        <v/>
      </c>
      <c r="O1899" s="32" t="str">
        <f t="shared" si="63"/>
        <v/>
      </c>
    </row>
    <row r="1900" spans="2:15" ht="15" customHeight="1" x14ac:dyDescent="0.35">
      <c r="B1900" s="10">
        <v>2224</v>
      </c>
      <c r="C1900" s="34"/>
      <c r="N1900" s="11" t="str">
        <f t="shared" si="62"/>
        <v/>
      </c>
      <c r="O1900" s="32" t="str">
        <f t="shared" si="63"/>
        <v/>
      </c>
    </row>
    <row r="1901" spans="2:15" ht="15" customHeight="1" x14ac:dyDescent="0.35">
      <c r="B1901" s="10">
        <v>2225</v>
      </c>
      <c r="C1901" s="34"/>
      <c r="N1901" s="11" t="str">
        <f t="shared" si="62"/>
        <v/>
      </c>
      <c r="O1901" s="32" t="str">
        <f t="shared" si="63"/>
        <v/>
      </c>
    </row>
    <row r="1902" spans="2:15" ht="15" customHeight="1" x14ac:dyDescent="0.35">
      <c r="B1902" s="10">
        <v>2226</v>
      </c>
      <c r="C1902" s="34"/>
      <c r="N1902" s="11" t="str">
        <f t="shared" si="62"/>
        <v/>
      </c>
      <c r="O1902" s="32" t="str">
        <f t="shared" si="63"/>
        <v/>
      </c>
    </row>
    <row r="1903" spans="2:15" ht="15" customHeight="1" x14ac:dyDescent="0.35">
      <c r="B1903" s="10">
        <v>2227</v>
      </c>
      <c r="C1903" s="34"/>
      <c r="N1903" s="11" t="str">
        <f t="shared" si="62"/>
        <v/>
      </c>
      <c r="O1903" s="32" t="str">
        <f t="shared" si="63"/>
        <v/>
      </c>
    </row>
    <row r="1904" spans="2:15" ht="15" customHeight="1" x14ac:dyDescent="0.35">
      <c r="B1904" s="10">
        <v>2228</v>
      </c>
      <c r="C1904" s="34"/>
      <c r="N1904" s="11" t="str">
        <f t="shared" si="62"/>
        <v/>
      </c>
      <c r="O1904" s="32" t="str">
        <f t="shared" si="63"/>
        <v/>
      </c>
    </row>
    <row r="1905" spans="2:15" ht="15" customHeight="1" x14ac:dyDescent="0.35">
      <c r="B1905" s="10">
        <v>2229</v>
      </c>
      <c r="C1905" s="34"/>
      <c r="N1905" s="11" t="str">
        <f t="shared" si="62"/>
        <v/>
      </c>
      <c r="O1905" s="32" t="str">
        <f t="shared" si="63"/>
        <v/>
      </c>
    </row>
    <row r="1906" spans="2:15" ht="15" customHeight="1" x14ac:dyDescent="0.35">
      <c r="B1906" s="10">
        <v>2230</v>
      </c>
      <c r="C1906" s="34"/>
      <c r="N1906" s="11" t="str">
        <f t="shared" si="62"/>
        <v/>
      </c>
      <c r="O1906" s="32" t="str">
        <f t="shared" si="63"/>
        <v/>
      </c>
    </row>
    <row r="1907" spans="2:15" ht="15" customHeight="1" x14ac:dyDescent="0.35">
      <c r="B1907" s="10">
        <v>2231</v>
      </c>
      <c r="C1907" s="34"/>
      <c r="N1907" s="11" t="str">
        <f t="shared" si="62"/>
        <v/>
      </c>
      <c r="O1907" s="32" t="str">
        <f t="shared" si="63"/>
        <v/>
      </c>
    </row>
    <row r="1908" spans="2:15" ht="15" customHeight="1" x14ac:dyDescent="0.35">
      <c r="B1908" s="10">
        <v>2232</v>
      </c>
      <c r="C1908" s="34"/>
      <c r="N1908" s="11" t="str">
        <f t="shared" si="62"/>
        <v/>
      </c>
      <c r="O1908" s="32" t="str">
        <f t="shared" si="63"/>
        <v/>
      </c>
    </row>
    <row r="1909" spans="2:15" ht="15" customHeight="1" x14ac:dyDescent="0.35">
      <c r="B1909" s="10">
        <v>2233</v>
      </c>
      <c r="C1909" s="34"/>
      <c r="N1909" s="11" t="str">
        <f t="shared" si="62"/>
        <v/>
      </c>
      <c r="O1909" s="32" t="str">
        <f t="shared" si="63"/>
        <v/>
      </c>
    </row>
    <row r="1910" spans="2:15" ht="15" customHeight="1" x14ac:dyDescent="0.35">
      <c r="B1910" s="10">
        <v>2234</v>
      </c>
      <c r="C1910" s="34"/>
      <c r="N1910" s="11" t="str">
        <f t="shared" si="62"/>
        <v/>
      </c>
      <c r="O1910" s="32" t="str">
        <f t="shared" si="63"/>
        <v/>
      </c>
    </row>
    <row r="1911" spans="2:15" ht="15" customHeight="1" x14ac:dyDescent="0.35">
      <c r="B1911" s="10">
        <v>2235</v>
      </c>
      <c r="C1911" s="34"/>
      <c r="N1911" s="11" t="str">
        <f t="shared" si="62"/>
        <v/>
      </c>
      <c r="O1911" s="32" t="str">
        <f t="shared" si="63"/>
        <v/>
      </c>
    </row>
    <row r="1912" spans="2:15" ht="15" customHeight="1" x14ac:dyDescent="0.35">
      <c r="B1912" s="10">
        <v>2236</v>
      </c>
      <c r="C1912" s="34"/>
      <c r="N1912" s="11" t="str">
        <f t="shared" si="62"/>
        <v/>
      </c>
      <c r="O1912" s="32" t="str">
        <f t="shared" si="63"/>
        <v/>
      </c>
    </row>
    <row r="1913" spans="2:15" ht="15" customHeight="1" x14ac:dyDescent="0.35">
      <c r="B1913" s="10">
        <v>2237</v>
      </c>
      <c r="C1913" s="34"/>
      <c r="N1913" s="11" t="str">
        <f t="shared" si="62"/>
        <v/>
      </c>
      <c r="O1913" s="32" t="str">
        <f t="shared" si="63"/>
        <v/>
      </c>
    </row>
    <row r="1914" spans="2:15" ht="15" customHeight="1" x14ac:dyDescent="0.35">
      <c r="B1914" s="10">
        <v>2238</v>
      </c>
      <c r="C1914" s="34"/>
      <c r="N1914" s="11" t="str">
        <f t="shared" si="62"/>
        <v/>
      </c>
      <c r="O1914" s="32" t="str">
        <f t="shared" si="63"/>
        <v/>
      </c>
    </row>
    <row r="1915" spans="2:15" ht="15" customHeight="1" x14ac:dyDescent="0.35">
      <c r="B1915" s="10">
        <v>2239</v>
      </c>
      <c r="C1915" s="34"/>
      <c r="N1915" s="11" t="str">
        <f t="shared" si="62"/>
        <v/>
      </c>
      <c r="O1915" s="32" t="str">
        <f t="shared" si="63"/>
        <v/>
      </c>
    </row>
    <row r="1916" spans="2:15" ht="15" customHeight="1" x14ac:dyDescent="0.35">
      <c r="B1916" s="10">
        <v>2240</v>
      </c>
      <c r="C1916" s="34"/>
      <c r="N1916" s="11" t="str">
        <f t="shared" si="62"/>
        <v/>
      </c>
      <c r="O1916" s="32" t="str">
        <f t="shared" si="63"/>
        <v/>
      </c>
    </row>
    <row r="1917" spans="2:15" ht="15" customHeight="1" x14ac:dyDescent="0.35">
      <c r="B1917" s="10">
        <v>2241</v>
      </c>
      <c r="C1917" s="34"/>
      <c r="N1917" s="11" t="str">
        <f t="shared" si="62"/>
        <v/>
      </c>
      <c r="O1917" s="32" t="str">
        <f t="shared" si="63"/>
        <v/>
      </c>
    </row>
    <row r="1918" spans="2:15" ht="15" customHeight="1" x14ac:dyDescent="0.35">
      <c r="B1918" s="10">
        <v>2242</v>
      </c>
      <c r="C1918" s="34"/>
      <c r="N1918" s="11" t="str">
        <f t="shared" si="62"/>
        <v/>
      </c>
      <c r="O1918" s="32" t="str">
        <f t="shared" si="63"/>
        <v/>
      </c>
    </row>
    <row r="1919" spans="2:15" ht="15" customHeight="1" x14ac:dyDescent="0.35">
      <c r="B1919" s="10">
        <v>2243</v>
      </c>
      <c r="C1919" s="34"/>
      <c r="N1919" s="11" t="str">
        <f t="shared" si="62"/>
        <v/>
      </c>
      <c r="O1919" s="32" t="str">
        <f t="shared" si="63"/>
        <v/>
      </c>
    </row>
    <row r="1920" spans="2:15" ht="15" customHeight="1" x14ac:dyDescent="0.35">
      <c r="B1920" s="10">
        <v>2244</v>
      </c>
      <c r="C1920" s="34"/>
      <c r="N1920" s="11" t="str">
        <f t="shared" si="62"/>
        <v/>
      </c>
      <c r="O1920" s="32" t="str">
        <f t="shared" si="63"/>
        <v/>
      </c>
    </row>
    <row r="1921" spans="2:15" ht="15" customHeight="1" x14ac:dyDescent="0.35">
      <c r="B1921" s="10">
        <v>2245</v>
      </c>
      <c r="C1921" s="34"/>
      <c r="N1921" s="11" t="str">
        <f t="shared" si="62"/>
        <v/>
      </c>
      <c r="O1921" s="32" t="str">
        <f t="shared" si="63"/>
        <v/>
      </c>
    </row>
    <row r="1922" spans="2:15" ht="15" customHeight="1" x14ac:dyDescent="0.35">
      <c r="B1922" s="10">
        <v>2246</v>
      </c>
      <c r="C1922" s="34"/>
      <c r="N1922" s="11" t="str">
        <f t="shared" si="62"/>
        <v/>
      </c>
      <c r="O1922" s="32" t="str">
        <f t="shared" si="63"/>
        <v/>
      </c>
    </row>
    <row r="1923" spans="2:15" ht="15" customHeight="1" x14ac:dyDescent="0.35">
      <c r="B1923" s="10">
        <v>2247</v>
      </c>
      <c r="C1923" s="34"/>
      <c r="N1923" s="11" t="str">
        <f t="shared" si="62"/>
        <v/>
      </c>
      <c r="O1923" s="32" t="str">
        <f t="shared" si="63"/>
        <v/>
      </c>
    </row>
    <row r="1924" spans="2:15" ht="15" customHeight="1" x14ac:dyDescent="0.35">
      <c r="B1924" s="10">
        <v>2248</v>
      </c>
      <c r="C1924" s="34"/>
      <c r="N1924" s="11" t="str">
        <f t="shared" si="62"/>
        <v/>
      </c>
      <c r="O1924" s="32" t="str">
        <f t="shared" si="63"/>
        <v/>
      </c>
    </row>
    <row r="1925" spans="2:15" ht="15" customHeight="1" x14ac:dyDescent="0.35">
      <c r="B1925" s="10">
        <v>2249</v>
      </c>
      <c r="C1925" s="34"/>
      <c r="N1925" s="11" t="str">
        <f t="shared" si="62"/>
        <v/>
      </c>
      <c r="O1925" s="32" t="str">
        <f t="shared" si="63"/>
        <v/>
      </c>
    </row>
    <row r="1926" spans="2:15" ht="15" customHeight="1" x14ac:dyDescent="0.35">
      <c r="B1926" s="10">
        <v>2250</v>
      </c>
      <c r="C1926" s="34"/>
      <c r="N1926" s="11" t="str">
        <f t="shared" si="62"/>
        <v/>
      </c>
      <c r="O1926" s="32" t="str">
        <f t="shared" si="63"/>
        <v/>
      </c>
    </row>
    <row r="1927" spans="2:15" ht="15" customHeight="1" x14ac:dyDescent="0.35">
      <c r="B1927" s="10">
        <v>2251</v>
      </c>
      <c r="C1927" s="34"/>
      <c r="N1927" s="11" t="str">
        <f t="shared" si="62"/>
        <v/>
      </c>
      <c r="O1927" s="32" t="str">
        <f t="shared" si="63"/>
        <v/>
      </c>
    </row>
    <row r="1928" spans="2:15" ht="15" customHeight="1" x14ac:dyDescent="0.35">
      <c r="B1928" s="10">
        <v>2252</v>
      </c>
      <c r="C1928" s="34"/>
      <c r="N1928" s="11" t="str">
        <f t="shared" si="62"/>
        <v/>
      </c>
      <c r="O1928" s="32" t="str">
        <f t="shared" si="63"/>
        <v/>
      </c>
    </row>
    <row r="1929" spans="2:15" ht="15" customHeight="1" x14ac:dyDescent="0.35">
      <c r="B1929" s="10">
        <v>2253</v>
      </c>
      <c r="C1929" s="34"/>
      <c r="N1929" s="11" t="str">
        <f t="shared" si="62"/>
        <v/>
      </c>
      <c r="O1929" s="32" t="str">
        <f t="shared" si="63"/>
        <v/>
      </c>
    </row>
    <row r="1930" spans="2:15" ht="15" customHeight="1" x14ac:dyDescent="0.35">
      <c r="B1930" s="10">
        <v>2254</v>
      </c>
      <c r="C1930" s="34"/>
      <c r="N1930" s="11" t="str">
        <f t="shared" si="62"/>
        <v/>
      </c>
      <c r="O1930" s="32" t="str">
        <f t="shared" si="63"/>
        <v/>
      </c>
    </row>
    <row r="1931" spans="2:15" ht="15" customHeight="1" x14ac:dyDescent="0.35">
      <c r="B1931" s="10">
        <v>2255</v>
      </c>
      <c r="C1931" s="34"/>
      <c r="N1931" s="11" t="str">
        <f t="shared" si="62"/>
        <v/>
      </c>
      <c r="O1931" s="32" t="str">
        <f t="shared" si="63"/>
        <v/>
      </c>
    </row>
    <row r="1932" spans="2:15" ht="15" customHeight="1" x14ac:dyDescent="0.35">
      <c r="B1932" s="10">
        <v>2256</v>
      </c>
      <c r="C1932" s="34"/>
      <c r="N1932" s="11" t="str">
        <f t="shared" si="62"/>
        <v/>
      </c>
      <c r="O1932" s="32" t="str">
        <f t="shared" si="63"/>
        <v/>
      </c>
    </row>
    <row r="1933" spans="2:15" ht="15" customHeight="1" x14ac:dyDescent="0.35">
      <c r="B1933" s="10">
        <v>2257</v>
      </c>
      <c r="C1933" s="34"/>
      <c r="N1933" s="11" t="str">
        <f t="shared" si="62"/>
        <v/>
      </c>
      <c r="O1933" s="32" t="str">
        <f t="shared" si="63"/>
        <v/>
      </c>
    </row>
    <row r="1934" spans="2:15" ht="15" customHeight="1" x14ac:dyDescent="0.35">
      <c r="B1934" s="10">
        <v>2258</v>
      </c>
      <c r="C1934" s="34"/>
      <c r="N1934" s="11" t="str">
        <f t="shared" si="62"/>
        <v/>
      </c>
      <c r="O1934" s="32" t="str">
        <f t="shared" si="63"/>
        <v/>
      </c>
    </row>
    <row r="1935" spans="2:15" ht="15" customHeight="1" x14ac:dyDescent="0.35">
      <c r="B1935" s="10">
        <v>2259</v>
      </c>
      <c r="C1935" s="34"/>
      <c r="N1935" s="11" t="str">
        <f t="shared" si="62"/>
        <v/>
      </c>
      <c r="O1935" s="32" t="str">
        <f t="shared" si="63"/>
        <v/>
      </c>
    </row>
    <row r="1936" spans="2:15" ht="15" customHeight="1" x14ac:dyDescent="0.35">
      <c r="B1936" s="10">
        <v>2260</v>
      </c>
      <c r="C1936" s="34"/>
      <c r="N1936" s="11" t="str">
        <f t="shared" si="62"/>
        <v/>
      </c>
      <c r="O1936" s="32" t="str">
        <f t="shared" si="63"/>
        <v/>
      </c>
    </row>
    <row r="1937" spans="2:15" ht="15" customHeight="1" x14ac:dyDescent="0.35">
      <c r="B1937" s="10">
        <v>2261</v>
      </c>
      <c r="C1937" s="34"/>
      <c r="N1937" s="11" t="str">
        <f t="shared" si="62"/>
        <v/>
      </c>
      <c r="O1937" s="32" t="str">
        <f t="shared" si="63"/>
        <v/>
      </c>
    </row>
    <row r="1938" spans="2:15" ht="15" customHeight="1" x14ac:dyDescent="0.35">
      <c r="B1938" s="10">
        <v>2262</v>
      </c>
      <c r="C1938" s="34"/>
      <c r="N1938" s="11" t="str">
        <f t="shared" si="62"/>
        <v/>
      </c>
      <c r="O1938" s="32" t="str">
        <f t="shared" si="63"/>
        <v/>
      </c>
    </row>
    <row r="1939" spans="2:15" ht="15" customHeight="1" x14ac:dyDescent="0.35">
      <c r="B1939" s="10">
        <v>2263</v>
      </c>
      <c r="C1939" s="34"/>
      <c r="N1939" s="11" t="str">
        <f t="shared" si="62"/>
        <v/>
      </c>
      <c r="O1939" s="32" t="str">
        <f t="shared" si="63"/>
        <v/>
      </c>
    </row>
    <row r="1940" spans="2:15" ht="15" customHeight="1" x14ac:dyDescent="0.35">
      <c r="B1940" s="10">
        <v>2264</v>
      </c>
      <c r="C1940" s="34"/>
      <c r="N1940" s="11" t="str">
        <f t="shared" si="62"/>
        <v/>
      </c>
      <c r="O1940" s="32" t="str">
        <f t="shared" si="63"/>
        <v/>
      </c>
    </row>
    <row r="1941" spans="2:15" ht="15" customHeight="1" x14ac:dyDescent="0.35">
      <c r="B1941" s="10">
        <v>2265</v>
      </c>
      <c r="C1941" s="34"/>
      <c r="N1941" s="11" t="str">
        <f t="shared" si="62"/>
        <v/>
      </c>
      <c r="O1941" s="32" t="str">
        <f t="shared" si="63"/>
        <v/>
      </c>
    </row>
    <row r="1942" spans="2:15" ht="15" customHeight="1" x14ac:dyDescent="0.35">
      <c r="B1942" s="10">
        <v>2266</v>
      </c>
      <c r="C1942" s="34"/>
      <c r="N1942" s="11" t="str">
        <f t="shared" si="62"/>
        <v/>
      </c>
      <c r="O1942" s="32" t="str">
        <f t="shared" si="63"/>
        <v/>
      </c>
    </row>
    <row r="1943" spans="2:15" ht="15" customHeight="1" x14ac:dyDescent="0.35">
      <c r="B1943" s="10">
        <v>2267</v>
      </c>
      <c r="C1943" s="34"/>
      <c r="N1943" s="11" t="str">
        <f t="shared" si="62"/>
        <v/>
      </c>
      <c r="O1943" s="32" t="str">
        <f t="shared" si="63"/>
        <v/>
      </c>
    </row>
    <row r="1944" spans="2:15" ht="15" customHeight="1" x14ac:dyDescent="0.35">
      <c r="B1944" s="10">
        <v>2268</v>
      </c>
      <c r="C1944" s="34"/>
      <c r="N1944" s="11" t="str">
        <f t="shared" si="62"/>
        <v/>
      </c>
      <c r="O1944" s="32" t="str">
        <f t="shared" si="63"/>
        <v/>
      </c>
    </row>
    <row r="1945" spans="2:15" ht="15" customHeight="1" x14ac:dyDescent="0.35">
      <c r="B1945" s="10">
        <v>2269</v>
      </c>
      <c r="C1945" s="34"/>
      <c r="N1945" s="11" t="str">
        <f t="shared" si="62"/>
        <v/>
      </c>
      <c r="O1945" s="32" t="str">
        <f t="shared" si="63"/>
        <v/>
      </c>
    </row>
    <row r="1946" spans="2:15" ht="15" customHeight="1" x14ac:dyDescent="0.35">
      <c r="B1946" s="10">
        <v>2270</v>
      </c>
      <c r="C1946" s="34"/>
      <c r="N1946" s="11" t="str">
        <f t="shared" si="62"/>
        <v/>
      </c>
      <c r="O1946" s="32" t="str">
        <f t="shared" si="63"/>
        <v/>
      </c>
    </row>
    <row r="1947" spans="2:15" ht="15" customHeight="1" x14ac:dyDescent="0.35">
      <c r="B1947" s="10">
        <v>2271</v>
      </c>
      <c r="C1947" s="34"/>
      <c r="N1947" s="11" t="str">
        <f t="shared" si="62"/>
        <v/>
      </c>
      <c r="O1947" s="32" t="str">
        <f t="shared" si="63"/>
        <v/>
      </c>
    </row>
    <row r="1948" spans="2:15" ht="15" customHeight="1" x14ac:dyDescent="0.35">
      <c r="B1948" s="10">
        <v>2272</v>
      </c>
      <c r="C1948" s="34"/>
      <c r="N1948" s="11" t="str">
        <f t="shared" si="62"/>
        <v/>
      </c>
      <c r="O1948" s="32" t="str">
        <f t="shared" si="63"/>
        <v/>
      </c>
    </row>
    <row r="1949" spans="2:15" ht="15" customHeight="1" x14ac:dyDescent="0.35">
      <c r="B1949" s="10">
        <v>2273</v>
      </c>
      <c r="C1949" s="34"/>
      <c r="N1949" s="11" t="str">
        <f t="shared" si="62"/>
        <v/>
      </c>
      <c r="O1949" s="32" t="str">
        <f t="shared" si="63"/>
        <v/>
      </c>
    </row>
    <row r="1950" spans="2:15" ht="15" customHeight="1" x14ac:dyDescent="0.35">
      <c r="B1950" s="10">
        <v>2274</v>
      </c>
      <c r="C1950" s="34"/>
      <c r="N1950" s="11" t="str">
        <f t="shared" si="62"/>
        <v/>
      </c>
      <c r="O1950" s="32" t="str">
        <f t="shared" si="63"/>
        <v/>
      </c>
    </row>
    <row r="1951" spans="2:15" ht="15" customHeight="1" x14ac:dyDescent="0.35">
      <c r="B1951" s="10">
        <v>2275</v>
      </c>
      <c r="C1951" s="34"/>
      <c r="N1951" s="11" t="str">
        <f t="shared" si="62"/>
        <v/>
      </c>
      <c r="O1951" s="32" t="str">
        <f t="shared" si="63"/>
        <v/>
      </c>
    </row>
    <row r="1952" spans="2:15" ht="15" customHeight="1" x14ac:dyDescent="0.35">
      <c r="B1952" s="10">
        <v>2276</v>
      </c>
      <c r="C1952" s="34"/>
      <c r="N1952" s="11" t="str">
        <f t="shared" si="62"/>
        <v/>
      </c>
      <c r="O1952" s="32" t="str">
        <f t="shared" si="63"/>
        <v/>
      </c>
    </row>
    <row r="1953" spans="2:15" ht="15" customHeight="1" x14ac:dyDescent="0.35">
      <c r="B1953" s="10">
        <v>2277</v>
      </c>
      <c r="C1953" s="34"/>
      <c r="N1953" s="11" t="str">
        <f t="shared" si="62"/>
        <v/>
      </c>
      <c r="O1953" s="32" t="str">
        <f t="shared" si="63"/>
        <v/>
      </c>
    </row>
    <row r="1954" spans="2:15" ht="15" customHeight="1" x14ac:dyDescent="0.35">
      <c r="B1954" s="10">
        <v>2278</v>
      </c>
      <c r="C1954" s="34"/>
      <c r="N1954" s="11" t="str">
        <f t="shared" si="62"/>
        <v/>
      </c>
      <c r="O1954" s="32" t="str">
        <f t="shared" si="63"/>
        <v/>
      </c>
    </row>
    <row r="1955" spans="2:15" ht="15" customHeight="1" x14ac:dyDescent="0.35">
      <c r="B1955" s="10">
        <v>2279</v>
      </c>
      <c r="C1955" s="34"/>
      <c r="N1955" s="11" t="str">
        <f t="shared" si="62"/>
        <v/>
      </c>
      <c r="O1955" s="32" t="str">
        <f t="shared" si="63"/>
        <v/>
      </c>
    </row>
    <row r="1956" spans="2:15" ht="15" customHeight="1" x14ac:dyDescent="0.35">
      <c r="B1956" s="10">
        <v>2280</v>
      </c>
      <c r="C1956" s="34"/>
      <c r="N1956" s="11" t="str">
        <f t="shared" si="62"/>
        <v/>
      </c>
      <c r="O1956" s="32" t="str">
        <f t="shared" si="63"/>
        <v/>
      </c>
    </row>
    <row r="1957" spans="2:15" ht="15" customHeight="1" x14ac:dyDescent="0.35">
      <c r="B1957" s="10">
        <v>2281</v>
      </c>
      <c r="C1957" s="34"/>
      <c r="N1957" s="11" t="str">
        <f t="shared" ref="N1957:N2020" si="64">IF(OR(M1957="", K1957=""),"", M1957- K1957)</f>
        <v/>
      </c>
      <c r="O1957" s="32" t="str">
        <f t="shared" ref="O1957:O2020" si="65">IF(OR(M1957="", K1957="", L1957=""), "", IF((M1957 - K1957) &gt; L1957, "No", "Yes"))</f>
        <v/>
      </c>
    </row>
    <row r="1958" spans="2:15" ht="15" customHeight="1" x14ac:dyDescent="0.35">
      <c r="B1958" s="10">
        <v>2282</v>
      </c>
      <c r="C1958" s="34"/>
      <c r="N1958" s="11" t="str">
        <f t="shared" si="64"/>
        <v/>
      </c>
      <c r="O1958" s="32" t="str">
        <f t="shared" si="65"/>
        <v/>
      </c>
    </row>
    <row r="1959" spans="2:15" ht="15" customHeight="1" x14ac:dyDescent="0.35">
      <c r="B1959" s="10">
        <v>2283</v>
      </c>
      <c r="C1959" s="34"/>
      <c r="N1959" s="11" t="str">
        <f t="shared" si="64"/>
        <v/>
      </c>
      <c r="O1959" s="32" t="str">
        <f t="shared" si="65"/>
        <v/>
      </c>
    </row>
    <row r="1960" spans="2:15" ht="15" customHeight="1" x14ac:dyDescent="0.35">
      <c r="B1960" s="10">
        <v>2284</v>
      </c>
      <c r="C1960" s="34"/>
      <c r="N1960" s="11" t="str">
        <f t="shared" si="64"/>
        <v/>
      </c>
      <c r="O1960" s="32" t="str">
        <f t="shared" si="65"/>
        <v/>
      </c>
    </row>
    <row r="1961" spans="2:15" ht="15" customHeight="1" x14ac:dyDescent="0.35">
      <c r="B1961" s="10">
        <v>2285</v>
      </c>
      <c r="C1961" s="34"/>
      <c r="N1961" s="11" t="str">
        <f t="shared" si="64"/>
        <v/>
      </c>
      <c r="O1961" s="32" t="str">
        <f t="shared" si="65"/>
        <v/>
      </c>
    </row>
    <row r="1962" spans="2:15" ht="15" customHeight="1" x14ac:dyDescent="0.35">
      <c r="B1962" s="10">
        <v>2286</v>
      </c>
      <c r="C1962" s="34"/>
      <c r="N1962" s="11" t="str">
        <f t="shared" si="64"/>
        <v/>
      </c>
      <c r="O1962" s="32" t="str">
        <f t="shared" si="65"/>
        <v/>
      </c>
    </row>
    <row r="1963" spans="2:15" ht="15" customHeight="1" x14ac:dyDescent="0.35">
      <c r="B1963" s="10">
        <v>2287</v>
      </c>
      <c r="C1963" s="34"/>
      <c r="N1963" s="11" t="str">
        <f t="shared" si="64"/>
        <v/>
      </c>
      <c r="O1963" s="32" t="str">
        <f t="shared" si="65"/>
        <v/>
      </c>
    </row>
    <row r="1964" spans="2:15" ht="15" customHeight="1" x14ac:dyDescent="0.35">
      <c r="B1964" s="10">
        <v>2288</v>
      </c>
      <c r="C1964" s="34"/>
      <c r="N1964" s="11" t="str">
        <f t="shared" si="64"/>
        <v/>
      </c>
      <c r="O1964" s="32" t="str">
        <f t="shared" si="65"/>
        <v/>
      </c>
    </row>
    <row r="1965" spans="2:15" ht="15" customHeight="1" x14ac:dyDescent="0.35">
      <c r="B1965" s="10">
        <v>2289</v>
      </c>
      <c r="C1965" s="34"/>
      <c r="N1965" s="11" t="str">
        <f t="shared" si="64"/>
        <v/>
      </c>
      <c r="O1965" s="32" t="str">
        <f t="shared" si="65"/>
        <v/>
      </c>
    </row>
    <row r="1966" spans="2:15" ht="15" customHeight="1" x14ac:dyDescent="0.35">
      <c r="B1966" s="10">
        <v>2290</v>
      </c>
      <c r="C1966" s="34"/>
      <c r="N1966" s="11" t="str">
        <f t="shared" si="64"/>
        <v/>
      </c>
      <c r="O1966" s="32" t="str">
        <f t="shared" si="65"/>
        <v/>
      </c>
    </row>
    <row r="1967" spans="2:15" ht="15" customHeight="1" x14ac:dyDescent="0.35">
      <c r="B1967" s="10">
        <v>2291</v>
      </c>
      <c r="C1967" s="34"/>
      <c r="N1967" s="11" t="str">
        <f t="shared" si="64"/>
        <v/>
      </c>
      <c r="O1967" s="32" t="str">
        <f t="shared" si="65"/>
        <v/>
      </c>
    </row>
    <row r="1968" spans="2:15" ht="15" customHeight="1" x14ac:dyDescent="0.35">
      <c r="B1968" s="10">
        <v>2292</v>
      </c>
      <c r="C1968" s="34"/>
      <c r="N1968" s="11" t="str">
        <f t="shared" si="64"/>
        <v/>
      </c>
      <c r="O1968" s="32" t="str">
        <f t="shared" si="65"/>
        <v/>
      </c>
    </row>
    <row r="1969" spans="2:15" ht="15" customHeight="1" x14ac:dyDescent="0.35">
      <c r="B1969" s="10">
        <v>2293</v>
      </c>
      <c r="C1969" s="34"/>
      <c r="N1969" s="11" t="str">
        <f t="shared" si="64"/>
        <v/>
      </c>
      <c r="O1969" s="32" t="str">
        <f t="shared" si="65"/>
        <v/>
      </c>
    </row>
    <row r="1970" spans="2:15" ht="15" customHeight="1" x14ac:dyDescent="0.35">
      <c r="B1970" s="10">
        <v>2294</v>
      </c>
      <c r="C1970" s="34"/>
      <c r="N1970" s="11" t="str">
        <f t="shared" si="64"/>
        <v/>
      </c>
      <c r="O1970" s="32" t="str">
        <f t="shared" si="65"/>
        <v/>
      </c>
    </row>
    <row r="1971" spans="2:15" ht="15" customHeight="1" x14ac:dyDescent="0.35">
      <c r="B1971" s="10">
        <v>2295</v>
      </c>
      <c r="C1971" s="34"/>
      <c r="N1971" s="11" t="str">
        <f t="shared" si="64"/>
        <v/>
      </c>
      <c r="O1971" s="32" t="str">
        <f t="shared" si="65"/>
        <v/>
      </c>
    </row>
    <row r="1972" spans="2:15" ht="15" customHeight="1" x14ac:dyDescent="0.35">
      <c r="B1972" s="10">
        <v>2296</v>
      </c>
      <c r="C1972" s="34"/>
      <c r="N1972" s="11" t="str">
        <f t="shared" si="64"/>
        <v/>
      </c>
      <c r="O1972" s="32" t="str">
        <f t="shared" si="65"/>
        <v/>
      </c>
    </row>
    <row r="1973" spans="2:15" ht="15" customHeight="1" x14ac:dyDescent="0.35">
      <c r="B1973" s="10">
        <v>2297</v>
      </c>
      <c r="C1973" s="34"/>
      <c r="N1973" s="11" t="str">
        <f t="shared" si="64"/>
        <v/>
      </c>
      <c r="O1973" s="32" t="str">
        <f t="shared" si="65"/>
        <v/>
      </c>
    </row>
    <row r="1974" spans="2:15" ht="15" customHeight="1" x14ac:dyDescent="0.35">
      <c r="B1974" s="10">
        <v>2298</v>
      </c>
      <c r="C1974" s="34"/>
      <c r="N1974" s="11" t="str">
        <f t="shared" si="64"/>
        <v/>
      </c>
      <c r="O1974" s="32" t="str">
        <f t="shared" si="65"/>
        <v/>
      </c>
    </row>
    <row r="1975" spans="2:15" ht="15" customHeight="1" x14ac:dyDescent="0.35">
      <c r="B1975" s="10">
        <v>2299</v>
      </c>
      <c r="C1975" s="34"/>
      <c r="N1975" s="11" t="str">
        <f t="shared" si="64"/>
        <v/>
      </c>
      <c r="O1975" s="32" t="str">
        <f t="shared" si="65"/>
        <v/>
      </c>
    </row>
    <row r="1976" spans="2:15" ht="15" customHeight="1" x14ac:dyDescent="0.35">
      <c r="B1976" s="10">
        <v>2300</v>
      </c>
      <c r="C1976" s="34"/>
      <c r="N1976" s="11" t="str">
        <f t="shared" si="64"/>
        <v/>
      </c>
      <c r="O1976" s="32" t="str">
        <f t="shared" si="65"/>
        <v/>
      </c>
    </row>
    <row r="1977" spans="2:15" ht="15" customHeight="1" x14ac:dyDescent="0.35">
      <c r="B1977" s="10">
        <v>2301</v>
      </c>
      <c r="C1977" s="34"/>
      <c r="N1977" s="11" t="str">
        <f t="shared" si="64"/>
        <v/>
      </c>
      <c r="O1977" s="32" t="str">
        <f t="shared" si="65"/>
        <v/>
      </c>
    </row>
    <row r="1978" spans="2:15" ht="15" customHeight="1" x14ac:dyDescent="0.35">
      <c r="B1978" s="10">
        <v>2302</v>
      </c>
      <c r="C1978" s="34"/>
      <c r="N1978" s="11" t="str">
        <f t="shared" si="64"/>
        <v/>
      </c>
      <c r="O1978" s="32" t="str">
        <f t="shared" si="65"/>
        <v/>
      </c>
    </row>
    <row r="1979" spans="2:15" ht="15" customHeight="1" x14ac:dyDescent="0.35">
      <c r="B1979" s="10">
        <v>2303</v>
      </c>
      <c r="C1979" s="34"/>
      <c r="N1979" s="11" t="str">
        <f t="shared" si="64"/>
        <v/>
      </c>
      <c r="O1979" s="32" t="str">
        <f t="shared" si="65"/>
        <v/>
      </c>
    </row>
    <row r="1980" spans="2:15" ht="15" customHeight="1" x14ac:dyDescent="0.35">
      <c r="B1980" s="10">
        <v>2304</v>
      </c>
      <c r="C1980" s="34"/>
      <c r="N1980" s="11" t="str">
        <f t="shared" si="64"/>
        <v/>
      </c>
      <c r="O1980" s="32" t="str">
        <f t="shared" si="65"/>
        <v/>
      </c>
    </row>
    <row r="1981" spans="2:15" ht="15" customHeight="1" x14ac:dyDescent="0.35">
      <c r="B1981" s="10">
        <v>2305</v>
      </c>
      <c r="C1981" s="34"/>
      <c r="N1981" s="11" t="str">
        <f t="shared" si="64"/>
        <v/>
      </c>
      <c r="O1981" s="32" t="str">
        <f t="shared" si="65"/>
        <v/>
      </c>
    </row>
    <row r="1982" spans="2:15" ht="15" customHeight="1" x14ac:dyDescent="0.35">
      <c r="B1982" s="10">
        <v>2306</v>
      </c>
      <c r="C1982" s="34"/>
      <c r="N1982" s="11" t="str">
        <f t="shared" si="64"/>
        <v/>
      </c>
      <c r="O1982" s="32" t="str">
        <f t="shared" si="65"/>
        <v/>
      </c>
    </row>
    <row r="1983" spans="2:15" ht="15" customHeight="1" x14ac:dyDescent="0.35">
      <c r="B1983" s="10">
        <v>2307</v>
      </c>
      <c r="C1983" s="34"/>
      <c r="N1983" s="11" t="str">
        <f t="shared" si="64"/>
        <v/>
      </c>
      <c r="O1983" s="32" t="str">
        <f t="shared" si="65"/>
        <v/>
      </c>
    </row>
    <row r="1984" spans="2:15" ht="15" customHeight="1" x14ac:dyDescent="0.35">
      <c r="B1984" s="10">
        <v>2308</v>
      </c>
      <c r="C1984" s="34"/>
      <c r="N1984" s="11" t="str">
        <f t="shared" si="64"/>
        <v/>
      </c>
      <c r="O1984" s="32" t="str">
        <f t="shared" si="65"/>
        <v/>
      </c>
    </row>
    <row r="1985" spans="2:15" ht="15" customHeight="1" x14ac:dyDescent="0.35">
      <c r="B1985" s="10">
        <v>2309</v>
      </c>
      <c r="C1985" s="34"/>
      <c r="N1985" s="11" t="str">
        <f t="shared" si="64"/>
        <v/>
      </c>
      <c r="O1985" s="32" t="str">
        <f t="shared" si="65"/>
        <v/>
      </c>
    </row>
    <row r="1986" spans="2:15" ht="15" customHeight="1" x14ac:dyDescent="0.35">
      <c r="B1986" s="10">
        <v>2310</v>
      </c>
      <c r="C1986" s="34"/>
      <c r="N1986" s="11" t="str">
        <f t="shared" si="64"/>
        <v/>
      </c>
      <c r="O1986" s="32" t="str">
        <f t="shared" si="65"/>
        <v/>
      </c>
    </row>
    <row r="1987" spans="2:15" ht="15" customHeight="1" x14ac:dyDescent="0.35">
      <c r="B1987" s="10">
        <v>2311</v>
      </c>
      <c r="C1987" s="34"/>
      <c r="N1987" s="11" t="str">
        <f t="shared" si="64"/>
        <v/>
      </c>
      <c r="O1987" s="32" t="str">
        <f t="shared" si="65"/>
        <v/>
      </c>
    </row>
    <row r="1988" spans="2:15" ht="15" customHeight="1" x14ac:dyDescent="0.35">
      <c r="B1988" s="10">
        <v>2312</v>
      </c>
      <c r="C1988" s="34"/>
      <c r="N1988" s="11" t="str">
        <f t="shared" si="64"/>
        <v/>
      </c>
      <c r="O1988" s="32" t="str">
        <f t="shared" si="65"/>
        <v/>
      </c>
    </row>
    <row r="1989" spans="2:15" ht="15" customHeight="1" x14ac:dyDescent="0.35">
      <c r="B1989" s="10">
        <v>2313</v>
      </c>
      <c r="C1989" s="34"/>
      <c r="N1989" s="11" t="str">
        <f t="shared" si="64"/>
        <v/>
      </c>
      <c r="O1989" s="32" t="str">
        <f t="shared" si="65"/>
        <v/>
      </c>
    </row>
    <row r="1990" spans="2:15" ht="15" customHeight="1" x14ac:dyDescent="0.35">
      <c r="B1990" s="10">
        <v>2314</v>
      </c>
      <c r="C1990" s="34"/>
      <c r="N1990" s="11" t="str">
        <f t="shared" si="64"/>
        <v/>
      </c>
      <c r="O1990" s="32" t="str">
        <f t="shared" si="65"/>
        <v/>
      </c>
    </row>
    <row r="1991" spans="2:15" ht="15" customHeight="1" x14ac:dyDescent="0.35">
      <c r="B1991" s="10">
        <v>2315</v>
      </c>
      <c r="C1991" s="34"/>
      <c r="N1991" s="11" t="str">
        <f t="shared" si="64"/>
        <v/>
      </c>
      <c r="O1991" s="32" t="str">
        <f t="shared" si="65"/>
        <v/>
      </c>
    </row>
    <row r="1992" spans="2:15" ht="15" customHeight="1" x14ac:dyDescent="0.35">
      <c r="B1992" s="10">
        <v>2316</v>
      </c>
      <c r="C1992" s="34"/>
      <c r="N1992" s="11" t="str">
        <f t="shared" si="64"/>
        <v/>
      </c>
      <c r="O1992" s="32" t="str">
        <f t="shared" si="65"/>
        <v/>
      </c>
    </row>
    <row r="1993" spans="2:15" ht="15" customHeight="1" x14ac:dyDescent="0.35">
      <c r="B1993" s="10">
        <v>2317</v>
      </c>
      <c r="C1993" s="34"/>
      <c r="N1993" s="11" t="str">
        <f t="shared" si="64"/>
        <v/>
      </c>
      <c r="O1993" s="32" t="str">
        <f t="shared" si="65"/>
        <v/>
      </c>
    </row>
    <row r="1994" spans="2:15" ht="15" customHeight="1" x14ac:dyDescent="0.35">
      <c r="B1994" s="10">
        <v>2318</v>
      </c>
      <c r="C1994" s="34"/>
      <c r="N1994" s="11" t="str">
        <f t="shared" si="64"/>
        <v/>
      </c>
      <c r="O1994" s="32" t="str">
        <f t="shared" si="65"/>
        <v/>
      </c>
    </row>
    <row r="1995" spans="2:15" ht="15" customHeight="1" x14ac:dyDescent="0.35">
      <c r="B1995" s="10">
        <v>2319</v>
      </c>
      <c r="C1995" s="34"/>
      <c r="N1995" s="11" t="str">
        <f t="shared" si="64"/>
        <v/>
      </c>
      <c r="O1995" s="32" t="str">
        <f t="shared" si="65"/>
        <v/>
      </c>
    </row>
    <row r="1996" spans="2:15" ht="15" customHeight="1" x14ac:dyDescent="0.35">
      <c r="B1996" s="10">
        <v>2320</v>
      </c>
      <c r="C1996" s="34"/>
      <c r="N1996" s="11" t="str">
        <f t="shared" si="64"/>
        <v/>
      </c>
      <c r="O1996" s="32" t="str">
        <f t="shared" si="65"/>
        <v/>
      </c>
    </row>
    <row r="1997" spans="2:15" ht="15" customHeight="1" x14ac:dyDescent="0.35">
      <c r="B1997" s="10">
        <v>2321</v>
      </c>
      <c r="C1997" s="34"/>
      <c r="N1997" s="11" t="str">
        <f t="shared" si="64"/>
        <v/>
      </c>
      <c r="O1997" s="32" t="str">
        <f t="shared" si="65"/>
        <v/>
      </c>
    </row>
    <row r="1998" spans="2:15" ht="15" customHeight="1" x14ac:dyDescent="0.35">
      <c r="B1998" s="10">
        <v>2322</v>
      </c>
      <c r="C1998" s="34"/>
      <c r="N1998" s="11" t="str">
        <f t="shared" si="64"/>
        <v/>
      </c>
      <c r="O1998" s="32" t="str">
        <f t="shared" si="65"/>
        <v/>
      </c>
    </row>
    <row r="1999" spans="2:15" ht="15" customHeight="1" x14ac:dyDescent="0.35">
      <c r="B1999" s="10">
        <v>2323</v>
      </c>
      <c r="C1999" s="34"/>
      <c r="N1999" s="11" t="str">
        <f t="shared" si="64"/>
        <v/>
      </c>
      <c r="O1999" s="32" t="str">
        <f t="shared" si="65"/>
        <v/>
      </c>
    </row>
    <row r="2000" spans="2:15" ht="15" customHeight="1" x14ac:dyDescent="0.35">
      <c r="B2000" s="10">
        <v>2324</v>
      </c>
      <c r="C2000" s="34"/>
      <c r="N2000" s="11" t="str">
        <f t="shared" si="64"/>
        <v/>
      </c>
      <c r="O2000" s="32" t="str">
        <f t="shared" si="65"/>
        <v/>
      </c>
    </row>
    <row r="2001" spans="2:15" ht="15" customHeight="1" x14ac:dyDescent="0.35">
      <c r="B2001" s="10">
        <v>2325</v>
      </c>
      <c r="C2001" s="34"/>
      <c r="N2001" s="11" t="str">
        <f t="shared" si="64"/>
        <v/>
      </c>
      <c r="O2001" s="32" t="str">
        <f t="shared" si="65"/>
        <v/>
      </c>
    </row>
    <row r="2002" spans="2:15" ht="15" customHeight="1" x14ac:dyDescent="0.35">
      <c r="B2002" s="10">
        <v>2326</v>
      </c>
      <c r="C2002" s="34"/>
      <c r="N2002" s="11" t="str">
        <f t="shared" si="64"/>
        <v/>
      </c>
      <c r="O2002" s="32" t="str">
        <f t="shared" si="65"/>
        <v/>
      </c>
    </row>
    <row r="2003" spans="2:15" ht="15" customHeight="1" x14ac:dyDescent="0.35">
      <c r="B2003" s="10">
        <v>2327</v>
      </c>
      <c r="C2003" s="34"/>
      <c r="N2003" s="11" t="str">
        <f t="shared" si="64"/>
        <v/>
      </c>
      <c r="O2003" s="32" t="str">
        <f t="shared" si="65"/>
        <v/>
      </c>
    </row>
    <row r="2004" spans="2:15" ht="15" customHeight="1" x14ac:dyDescent="0.35">
      <c r="B2004" s="10">
        <v>2328</v>
      </c>
      <c r="C2004" s="34"/>
      <c r="N2004" s="11" t="str">
        <f t="shared" si="64"/>
        <v/>
      </c>
      <c r="O2004" s="32" t="str">
        <f t="shared" si="65"/>
        <v/>
      </c>
    </row>
    <row r="2005" spans="2:15" ht="15" customHeight="1" x14ac:dyDescent="0.35">
      <c r="B2005" s="10">
        <v>2329</v>
      </c>
      <c r="C2005" s="34"/>
      <c r="N2005" s="11" t="str">
        <f t="shared" si="64"/>
        <v/>
      </c>
      <c r="O2005" s="32" t="str">
        <f t="shared" si="65"/>
        <v/>
      </c>
    </row>
    <row r="2006" spans="2:15" ht="15" customHeight="1" x14ac:dyDescent="0.35">
      <c r="B2006" s="10">
        <v>2330</v>
      </c>
      <c r="C2006" s="34"/>
      <c r="N2006" s="11" t="str">
        <f t="shared" si="64"/>
        <v/>
      </c>
      <c r="O2006" s="32" t="str">
        <f t="shared" si="65"/>
        <v/>
      </c>
    </row>
    <row r="2007" spans="2:15" ht="15" customHeight="1" x14ac:dyDescent="0.35">
      <c r="B2007" s="10">
        <v>2331</v>
      </c>
      <c r="C2007" s="34"/>
      <c r="N2007" s="11" t="str">
        <f t="shared" si="64"/>
        <v/>
      </c>
      <c r="O2007" s="32" t="str">
        <f t="shared" si="65"/>
        <v/>
      </c>
    </row>
    <row r="2008" spans="2:15" ht="15" customHeight="1" x14ac:dyDescent="0.35">
      <c r="B2008" s="10">
        <v>2332</v>
      </c>
      <c r="C2008" s="34"/>
      <c r="N2008" s="11" t="str">
        <f t="shared" si="64"/>
        <v/>
      </c>
      <c r="O2008" s="32" t="str">
        <f t="shared" si="65"/>
        <v/>
      </c>
    </row>
    <row r="2009" spans="2:15" ht="15" customHeight="1" x14ac:dyDescent="0.35">
      <c r="B2009" s="10">
        <v>2333</v>
      </c>
      <c r="C2009" s="34"/>
      <c r="N2009" s="11" t="str">
        <f t="shared" si="64"/>
        <v/>
      </c>
      <c r="O2009" s="32" t="str">
        <f t="shared" si="65"/>
        <v/>
      </c>
    </row>
    <row r="2010" spans="2:15" ht="15" customHeight="1" x14ac:dyDescent="0.35">
      <c r="B2010" s="10">
        <v>2334</v>
      </c>
      <c r="C2010" s="34"/>
      <c r="N2010" s="11" t="str">
        <f t="shared" si="64"/>
        <v/>
      </c>
      <c r="O2010" s="32" t="str">
        <f t="shared" si="65"/>
        <v/>
      </c>
    </row>
    <row r="2011" spans="2:15" ht="15" customHeight="1" x14ac:dyDescent="0.35">
      <c r="B2011" s="10">
        <v>2335</v>
      </c>
      <c r="C2011" s="34"/>
      <c r="N2011" s="11" t="str">
        <f t="shared" si="64"/>
        <v/>
      </c>
      <c r="O2011" s="32" t="str">
        <f t="shared" si="65"/>
        <v/>
      </c>
    </row>
    <row r="2012" spans="2:15" ht="15" customHeight="1" x14ac:dyDescent="0.35">
      <c r="B2012" s="10">
        <v>2336</v>
      </c>
      <c r="C2012" s="34"/>
      <c r="N2012" s="11" t="str">
        <f t="shared" si="64"/>
        <v/>
      </c>
      <c r="O2012" s="32" t="str">
        <f t="shared" si="65"/>
        <v/>
      </c>
    </row>
    <row r="2013" spans="2:15" ht="15" customHeight="1" x14ac:dyDescent="0.35">
      <c r="B2013" s="10">
        <v>2337</v>
      </c>
      <c r="C2013" s="34"/>
      <c r="N2013" s="11" t="str">
        <f t="shared" si="64"/>
        <v/>
      </c>
      <c r="O2013" s="32" t="str">
        <f t="shared" si="65"/>
        <v/>
      </c>
    </row>
    <row r="2014" spans="2:15" ht="15" customHeight="1" x14ac:dyDescent="0.35">
      <c r="B2014" s="10">
        <v>2338</v>
      </c>
      <c r="C2014" s="34"/>
      <c r="N2014" s="11" t="str">
        <f t="shared" si="64"/>
        <v/>
      </c>
      <c r="O2014" s="32" t="str">
        <f t="shared" si="65"/>
        <v/>
      </c>
    </row>
    <row r="2015" spans="2:15" ht="15" customHeight="1" x14ac:dyDescent="0.35">
      <c r="B2015" s="10">
        <v>2339</v>
      </c>
      <c r="C2015" s="34"/>
      <c r="N2015" s="11" t="str">
        <f t="shared" si="64"/>
        <v/>
      </c>
      <c r="O2015" s="32" t="str">
        <f t="shared" si="65"/>
        <v/>
      </c>
    </row>
    <row r="2016" spans="2:15" ht="15" customHeight="1" x14ac:dyDescent="0.35">
      <c r="B2016" s="10">
        <v>2340</v>
      </c>
      <c r="C2016" s="34"/>
      <c r="N2016" s="11" t="str">
        <f t="shared" si="64"/>
        <v/>
      </c>
      <c r="O2016" s="32" t="str">
        <f t="shared" si="65"/>
        <v/>
      </c>
    </row>
    <row r="2017" spans="2:15" ht="15" customHeight="1" x14ac:dyDescent="0.35">
      <c r="B2017" s="10">
        <v>2341</v>
      </c>
      <c r="C2017" s="34"/>
      <c r="N2017" s="11" t="str">
        <f t="shared" si="64"/>
        <v/>
      </c>
      <c r="O2017" s="32" t="str">
        <f t="shared" si="65"/>
        <v/>
      </c>
    </row>
    <row r="2018" spans="2:15" ht="15" customHeight="1" x14ac:dyDescent="0.35">
      <c r="B2018" s="10">
        <v>2342</v>
      </c>
      <c r="C2018" s="34"/>
      <c r="N2018" s="11" t="str">
        <f t="shared" si="64"/>
        <v/>
      </c>
      <c r="O2018" s="32" t="str">
        <f t="shared" si="65"/>
        <v/>
      </c>
    </row>
    <row r="2019" spans="2:15" ht="15" customHeight="1" x14ac:dyDescent="0.35">
      <c r="B2019" s="10">
        <v>2343</v>
      </c>
      <c r="C2019" s="34"/>
      <c r="N2019" s="11" t="str">
        <f t="shared" si="64"/>
        <v/>
      </c>
      <c r="O2019" s="32" t="str">
        <f t="shared" si="65"/>
        <v/>
      </c>
    </row>
    <row r="2020" spans="2:15" ht="15" customHeight="1" x14ac:dyDescent="0.35">
      <c r="B2020" s="10">
        <v>2344</v>
      </c>
      <c r="C2020" s="34"/>
      <c r="N2020" s="11" t="str">
        <f t="shared" si="64"/>
        <v/>
      </c>
      <c r="O2020" s="32" t="str">
        <f t="shared" si="65"/>
        <v/>
      </c>
    </row>
    <row r="2021" spans="2:15" ht="15" customHeight="1" x14ac:dyDescent="0.35">
      <c r="B2021" s="10">
        <v>2345</v>
      </c>
      <c r="C2021" s="34"/>
      <c r="N2021" s="11" t="str">
        <f t="shared" ref="N2021:N2084" si="66">IF(OR(M2021="", K2021=""),"", M2021- K2021)</f>
        <v/>
      </c>
      <c r="O2021" s="32" t="str">
        <f t="shared" ref="O2021:O2084" si="67">IF(OR(M2021="", K2021="", L2021=""), "", IF((M2021 - K2021) &gt; L2021, "No", "Yes"))</f>
        <v/>
      </c>
    </row>
    <row r="2022" spans="2:15" ht="15" customHeight="1" x14ac:dyDescent="0.35">
      <c r="B2022" s="10">
        <v>2346</v>
      </c>
      <c r="C2022" s="34"/>
      <c r="N2022" s="11" t="str">
        <f t="shared" si="66"/>
        <v/>
      </c>
      <c r="O2022" s="32" t="str">
        <f t="shared" si="67"/>
        <v/>
      </c>
    </row>
    <row r="2023" spans="2:15" ht="15" customHeight="1" x14ac:dyDescent="0.35">
      <c r="B2023" s="10">
        <v>2347</v>
      </c>
      <c r="C2023" s="34"/>
      <c r="N2023" s="11" t="str">
        <f t="shared" si="66"/>
        <v/>
      </c>
      <c r="O2023" s="32" t="str">
        <f t="shared" si="67"/>
        <v/>
      </c>
    </row>
    <row r="2024" spans="2:15" ht="15" customHeight="1" x14ac:dyDescent="0.35">
      <c r="B2024" s="10">
        <v>2348</v>
      </c>
      <c r="C2024" s="34"/>
      <c r="N2024" s="11" t="str">
        <f t="shared" si="66"/>
        <v/>
      </c>
      <c r="O2024" s="32" t="str">
        <f t="shared" si="67"/>
        <v/>
      </c>
    </row>
    <row r="2025" spans="2:15" ht="15" customHeight="1" x14ac:dyDescent="0.35">
      <c r="B2025" s="10">
        <v>2349</v>
      </c>
      <c r="C2025" s="34"/>
      <c r="N2025" s="11" t="str">
        <f t="shared" si="66"/>
        <v/>
      </c>
      <c r="O2025" s="32" t="str">
        <f t="shared" si="67"/>
        <v/>
      </c>
    </row>
    <row r="2026" spans="2:15" ht="15" customHeight="1" x14ac:dyDescent="0.35">
      <c r="B2026" s="10">
        <v>2350</v>
      </c>
      <c r="C2026" s="34"/>
      <c r="N2026" s="11" t="str">
        <f t="shared" si="66"/>
        <v/>
      </c>
      <c r="O2026" s="32" t="str">
        <f t="shared" si="67"/>
        <v/>
      </c>
    </row>
    <row r="2027" spans="2:15" ht="15" customHeight="1" x14ac:dyDescent="0.35">
      <c r="B2027" s="10">
        <v>2351</v>
      </c>
      <c r="C2027" s="34"/>
      <c r="N2027" s="11" t="str">
        <f t="shared" si="66"/>
        <v/>
      </c>
      <c r="O2027" s="32" t="str">
        <f t="shared" si="67"/>
        <v/>
      </c>
    </row>
    <row r="2028" spans="2:15" ht="15" customHeight="1" x14ac:dyDescent="0.35">
      <c r="B2028" s="10">
        <v>2352</v>
      </c>
      <c r="C2028" s="34"/>
      <c r="N2028" s="11" t="str">
        <f t="shared" si="66"/>
        <v/>
      </c>
      <c r="O2028" s="32" t="str">
        <f t="shared" si="67"/>
        <v/>
      </c>
    </row>
    <row r="2029" spans="2:15" ht="15" customHeight="1" x14ac:dyDescent="0.35">
      <c r="B2029" s="10">
        <v>2353</v>
      </c>
      <c r="C2029" s="34"/>
      <c r="N2029" s="11" t="str">
        <f t="shared" si="66"/>
        <v/>
      </c>
      <c r="O2029" s="32" t="str">
        <f t="shared" si="67"/>
        <v/>
      </c>
    </row>
    <row r="2030" spans="2:15" ht="15" customHeight="1" x14ac:dyDescent="0.35">
      <c r="B2030" s="10">
        <v>2354</v>
      </c>
      <c r="C2030" s="34"/>
      <c r="N2030" s="11" t="str">
        <f t="shared" si="66"/>
        <v/>
      </c>
      <c r="O2030" s="32" t="str">
        <f t="shared" si="67"/>
        <v/>
      </c>
    </row>
    <row r="2031" spans="2:15" ht="15" customHeight="1" x14ac:dyDescent="0.35">
      <c r="B2031" s="10">
        <v>2355</v>
      </c>
      <c r="C2031" s="34"/>
      <c r="N2031" s="11" t="str">
        <f t="shared" si="66"/>
        <v/>
      </c>
      <c r="O2031" s="32" t="str">
        <f t="shared" si="67"/>
        <v/>
      </c>
    </row>
    <row r="2032" spans="2:15" ht="15" customHeight="1" x14ac:dyDescent="0.35">
      <c r="B2032" s="10">
        <v>2356</v>
      </c>
      <c r="C2032" s="34"/>
      <c r="N2032" s="11" t="str">
        <f t="shared" si="66"/>
        <v/>
      </c>
      <c r="O2032" s="32" t="str">
        <f t="shared" si="67"/>
        <v/>
      </c>
    </row>
    <row r="2033" spans="2:15" ht="15" customHeight="1" x14ac:dyDescent="0.35">
      <c r="B2033" s="10">
        <v>2357</v>
      </c>
      <c r="C2033" s="34"/>
      <c r="N2033" s="11" t="str">
        <f t="shared" si="66"/>
        <v/>
      </c>
      <c r="O2033" s="32" t="str">
        <f t="shared" si="67"/>
        <v/>
      </c>
    </row>
    <row r="2034" spans="2:15" ht="15" customHeight="1" x14ac:dyDescent="0.35">
      <c r="B2034" s="10">
        <v>2358</v>
      </c>
      <c r="C2034" s="34"/>
      <c r="N2034" s="11" t="str">
        <f t="shared" si="66"/>
        <v/>
      </c>
      <c r="O2034" s="32" t="str">
        <f t="shared" si="67"/>
        <v/>
      </c>
    </row>
    <row r="2035" spans="2:15" ht="15" customHeight="1" x14ac:dyDescent="0.35">
      <c r="B2035" s="10">
        <v>2359</v>
      </c>
      <c r="C2035" s="34"/>
      <c r="N2035" s="11" t="str">
        <f t="shared" si="66"/>
        <v/>
      </c>
      <c r="O2035" s="32" t="str">
        <f t="shared" si="67"/>
        <v/>
      </c>
    </row>
    <row r="2036" spans="2:15" ht="15" customHeight="1" x14ac:dyDescent="0.35">
      <c r="B2036" s="10">
        <v>2360</v>
      </c>
      <c r="C2036" s="34"/>
      <c r="N2036" s="11" t="str">
        <f t="shared" si="66"/>
        <v/>
      </c>
      <c r="O2036" s="32" t="str">
        <f t="shared" si="67"/>
        <v/>
      </c>
    </row>
    <row r="2037" spans="2:15" ht="15" customHeight="1" x14ac:dyDescent="0.35">
      <c r="B2037" s="10">
        <v>2361</v>
      </c>
      <c r="C2037" s="34"/>
      <c r="N2037" s="11" t="str">
        <f t="shared" si="66"/>
        <v/>
      </c>
      <c r="O2037" s="32" t="str">
        <f t="shared" si="67"/>
        <v/>
      </c>
    </row>
    <row r="2038" spans="2:15" ht="15" customHeight="1" x14ac:dyDescent="0.35">
      <c r="B2038" s="10">
        <v>2362</v>
      </c>
      <c r="C2038" s="34"/>
      <c r="N2038" s="11" t="str">
        <f t="shared" si="66"/>
        <v/>
      </c>
      <c r="O2038" s="32" t="str">
        <f t="shared" si="67"/>
        <v/>
      </c>
    </row>
    <row r="2039" spans="2:15" ht="15" customHeight="1" x14ac:dyDescent="0.35">
      <c r="B2039" s="10">
        <v>2363</v>
      </c>
      <c r="C2039" s="34"/>
      <c r="N2039" s="11" t="str">
        <f t="shared" si="66"/>
        <v/>
      </c>
      <c r="O2039" s="32" t="str">
        <f t="shared" si="67"/>
        <v/>
      </c>
    </row>
    <row r="2040" spans="2:15" ht="15" customHeight="1" x14ac:dyDescent="0.35">
      <c r="B2040" s="10">
        <v>2364</v>
      </c>
      <c r="C2040" s="34"/>
      <c r="N2040" s="11" t="str">
        <f t="shared" si="66"/>
        <v/>
      </c>
      <c r="O2040" s="32" t="str">
        <f t="shared" si="67"/>
        <v/>
      </c>
    </row>
    <row r="2041" spans="2:15" ht="15" customHeight="1" x14ac:dyDescent="0.35">
      <c r="B2041" s="10">
        <v>2365</v>
      </c>
      <c r="C2041" s="34"/>
      <c r="N2041" s="11" t="str">
        <f t="shared" si="66"/>
        <v/>
      </c>
      <c r="O2041" s="32" t="str">
        <f t="shared" si="67"/>
        <v/>
      </c>
    </row>
    <row r="2042" spans="2:15" ht="15" customHeight="1" x14ac:dyDescent="0.35">
      <c r="B2042" s="10">
        <v>2366</v>
      </c>
      <c r="C2042" s="34"/>
      <c r="N2042" s="11" t="str">
        <f t="shared" si="66"/>
        <v/>
      </c>
      <c r="O2042" s="32" t="str">
        <f t="shared" si="67"/>
        <v/>
      </c>
    </row>
    <row r="2043" spans="2:15" ht="15" customHeight="1" x14ac:dyDescent="0.35">
      <c r="B2043" s="10">
        <v>2367</v>
      </c>
      <c r="C2043" s="34"/>
      <c r="N2043" s="11" t="str">
        <f t="shared" si="66"/>
        <v/>
      </c>
      <c r="O2043" s="32" t="str">
        <f t="shared" si="67"/>
        <v/>
      </c>
    </row>
    <row r="2044" spans="2:15" ht="15" customHeight="1" x14ac:dyDescent="0.35">
      <c r="B2044" s="10">
        <v>2368</v>
      </c>
      <c r="C2044" s="34"/>
      <c r="N2044" s="11" t="str">
        <f t="shared" si="66"/>
        <v/>
      </c>
      <c r="O2044" s="32" t="str">
        <f t="shared" si="67"/>
        <v/>
      </c>
    </row>
    <row r="2045" spans="2:15" ht="15" customHeight="1" x14ac:dyDescent="0.35">
      <c r="B2045" s="10">
        <v>2369</v>
      </c>
      <c r="C2045" s="34"/>
      <c r="N2045" s="11" t="str">
        <f t="shared" si="66"/>
        <v/>
      </c>
      <c r="O2045" s="32" t="str">
        <f t="shared" si="67"/>
        <v/>
      </c>
    </row>
    <row r="2046" spans="2:15" ht="15" customHeight="1" x14ac:dyDescent="0.35">
      <c r="B2046" s="10">
        <v>2370</v>
      </c>
      <c r="C2046" s="34"/>
      <c r="N2046" s="11" t="str">
        <f t="shared" si="66"/>
        <v/>
      </c>
      <c r="O2046" s="32" t="str">
        <f t="shared" si="67"/>
        <v/>
      </c>
    </row>
    <row r="2047" spans="2:15" ht="15" customHeight="1" x14ac:dyDescent="0.35">
      <c r="B2047" s="10">
        <v>2371</v>
      </c>
      <c r="C2047" s="34"/>
      <c r="N2047" s="11" t="str">
        <f t="shared" si="66"/>
        <v/>
      </c>
      <c r="O2047" s="32" t="str">
        <f t="shared" si="67"/>
        <v/>
      </c>
    </row>
    <row r="2048" spans="2:15" ht="15" customHeight="1" x14ac:dyDescent="0.35">
      <c r="B2048" s="10">
        <v>2372</v>
      </c>
      <c r="C2048" s="34"/>
      <c r="N2048" s="11" t="str">
        <f t="shared" si="66"/>
        <v/>
      </c>
      <c r="O2048" s="32" t="str">
        <f t="shared" si="67"/>
        <v/>
      </c>
    </row>
    <row r="2049" spans="2:15" ht="15" customHeight="1" x14ac:dyDescent="0.35">
      <c r="B2049" s="10">
        <v>2373</v>
      </c>
      <c r="C2049" s="34"/>
      <c r="N2049" s="11" t="str">
        <f t="shared" si="66"/>
        <v/>
      </c>
      <c r="O2049" s="32" t="str">
        <f t="shared" si="67"/>
        <v/>
      </c>
    </row>
    <row r="2050" spans="2:15" ht="15" customHeight="1" x14ac:dyDescent="0.35">
      <c r="B2050" s="10">
        <v>2374</v>
      </c>
      <c r="C2050" s="34"/>
      <c r="N2050" s="11" t="str">
        <f t="shared" si="66"/>
        <v/>
      </c>
      <c r="O2050" s="32" t="str">
        <f t="shared" si="67"/>
        <v/>
      </c>
    </row>
    <row r="2051" spans="2:15" ht="15" customHeight="1" x14ac:dyDescent="0.35">
      <c r="B2051" s="10">
        <v>2375</v>
      </c>
      <c r="C2051" s="34"/>
      <c r="N2051" s="11" t="str">
        <f t="shared" si="66"/>
        <v/>
      </c>
      <c r="O2051" s="32" t="str">
        <f t="shared" si="67"/>
        <v/>
      </c>
    </row>
    <row r="2052" spans="2:15" ht="15" customHeight="1" x14ac:dyDescent="0.35">
      <c r="B2052" s="10">
        <v>2376</v>
      </c>
      <c r="C2052" s="34"/>
      <c r="N2052" s="11" t="str">
        <f t="shared" si="66"/>
        <v/>
      </c>
      <c r="O2052" s="32" t="str">
        <f t="shared" si="67"/>
        <v/>
      </c>
    </row>
    <row r="2053" spans="2:15" ht="15" customHeight="1" x14ac:dyDescent="0.35">
      <c r="B2053" s="10">
        <v>2377</v>
      </c>
      <c r="C2053" s="34"/>
      <c r="N2053" s="11" t="str">
        <f t="shared" si="66"/>
        <v/>
      </c>
      <c r="O2053" s="32" t="str">
        <f t="shared" si="67"/>
        <v/>
      </c>
    </row>
    <row r="2054" spans="2:15" ht="15" customHeight="1" x14ac:dyDescent="0.35">
      <c r="B2054" s="10">
        <v>2378</v>
      </c>
      <c r="C2054" s="34"/>
      <c r="N2054" s="11" t="str">
        <f t="shared" si="66"/>
        <v/>
      </c>
      <c r="O2054" s="32" t="str">
        <f t="shared" si="67"/>
        <v/>
      </c>
    </row>
    <row r="2055" spans="2:15" ht="15" customHeight="1" x14ac:dyDescent="0.35">
      <c r="B2055" s="10">
        <v>2379</v>
      </c>
      <c r="C2055" s="34"/>
      <c r="N2055" s="11" t="str">
        <f t="shared" si="66"/>
        <v/>
      </c>
      <c r="O2055" s="32" t="str">
        <f t="shared" si="67"/>
        <v/>
      </c>
    </row>
    <row r="2056" spans="2:15" ht="15" customHeight="1" x14ac:dyDescent="0.35">
      <c r="B2056" s="10">
        <v>2380</v>
      </c>
      <c r="C2056" s="34"/>
      <c r="N2056" s="11" t="str">
        <f t="shared" si="66"/>
        <v/>
      </c>
      <c r="O2056" s="32" t="str">
        <f t="shared" si="67"/>
        <v/>
      </c>
    </row>
    <row r="2057" spans="2:15" ht="15" customHeight="1" x14ac:dyDescent="0.35">
      <c r="B2057" s="10">
        <v>2381</v>
      </c>
      <c r="C2057" s="34"/>
      <c r="N2057" s="11" t="str">
        <f t="shared" si="66"/>
        <v/>
      </c>
      <c r="O2057" s="32" t="str">
        <f t="shared" si="67"/>
        <v/>
      </c>
    </row>
    <row r="2058" spans="2:15" ht="15" customHeight="1" x14ac:dyDescent="0.35">
      <c r="B2058" s="10">
        <v>2382</v>
      </c>
      <c r="C2058" s="34"/>
      <c r="N2058" s="11" t="str">
        <f t="shared" si="66"/>
        <v/>
      </c>
      <c r="O2058" s="32" t="str">
        <f t="shared" si="67"/>
        <v/>
      </c>
    </row>
    <row r="2059" spans="2:15" ht="15" customHeight="1" x14ac:dyDescent="0.35">
      <c r="B2059" s="10">
        <v>2383</v>
      </c>
      <c r="C2059" s="34"/>
      <c r="N2059" s="11" t="str">
        <f t="shared" si="66"/>
        <v/>
      </c>
      <c r="O2059" s="32" t="str">
        <f t="shared" si="67"/>
        <v/>
      </c>
    </row>
    <row r="2060" spans="2:15" ht="15" customHeight="1" x14ac:dyDescent="0.35">
      <c r="B2060" s="10">
        <v>2384</v>
      </c>
      <c r="C2060" s="34"/>
      <c r="N2060" s="11" t="str">
        <f t="shared" si="66"/>
        <v/>
      </c>
      <c r="O2060" s="32" t="str">
        <f t="shared" si="67"/>
        <v/>
      </c>
    </row>
    <row r="2061" spans="2:15" ht="15" customHeight="1" x14ac:dyDescent="0.35">
      <c r="B2061" s="10">
        <v>2385</v>
      </c>
      <c r="C2061" s="34"/>
      <c r="N2061" s="11" t="str">
        <f t="shared" si="66"/>
        <v/>
      </c>
      <c r="O2061" s="32" t="str">
        <f t="shared" si="67"/>
        <v/>
      </c>
    </row>
    <row r="2062" spans="2:15" ht="15" customHeight="1" x14ac:dyDescent="0.35">
      <c r="B2062" s="10">
        <v>2386</v>
      </c>
      <c r="C2062" s="34"/>
      <c r="N2062" s="11" t="str">
        <f t="shared" si="66"/>
        <v/>
      </c>
      <c r="O2062" s="32" t="str">
        <f t="shared" si="67"/>
        <v/>
      </c>
    </row>
    <row r="2063" spans="2:15" ht="15" customHeight="1" x14ac:dyDescent="0.35">
      <c r="B2063" s="10">
        <v>2387</v>
      </c>
      <c r="C2063" s="34"/>
      <c r="N2063" s="11" t="str">
        <f t="shared" si="66"/>
        <v/>
      </c>
      <c r="O2063" s="32" t="str">
        <f t="shared" si="67"/>
        <v/>
      </c>
    </row>
    <row r="2064" spans="2:15" ht="15" customHeight="1" x14ac:dyDescent="0.35">
      <c r="B2064" s="10">
        <v>2388</v>
      </c>
      <c r="C2064" s="34"/>
      <c r="N2064" s="11" t="str">
        <f t="shared" si="66"/>
        <v/>
      </c>
      <c r="O2064" s="32" t="str">
        <f t="shared" si="67"/>
        <v/>
      </c>
    </row>
    <row r="2065" spans="2:15" ht="15" customHeight="1" x14ac:dyDescent="0.35">
      <c r="B2065" s="10">
        <v>2389</v>
      </c>
      <c r="C2065" s="34"/>
      <c r="N2065" s="11" t="str">
        <f t="shared" si="66"/>
        <v/>
      </c>
      <c r="O2065" s="32" t="str">
        <f t="shared" si="67"/>
        <v/>
      </c>
    </row>
    <row r="2066" spans="2:15" ht="15" customHeight="1" x14ac:dyDescent="0.35">
      <c r="B2066" s="10">
        <v>2390</v>
      </c>
      <c r="C2066" s="34"/>
      <c r="N2066" s="11" t="str">
        <f t="shared" si="66"/>
        <v/>
      </c>
      <c r="O2066" s="32" t="str">
        <f t="shared" si="67"/>
        <v/>
      </c>
    </row>
    <row r="2067" spans="2:15" ht="15" customHeight="1" x14ac:dyDescent="0.35">
      <c r="B2067" s="10">
        <v>2391</v>
      </c>
      <c r="C2067" s="34"/>
      <c r="N2067" s="11" t="str">
        <f t="shared" si="66"/>
        <v/>
      </c>
      <c r="O2067" s="32" t="str">
        <f t="shared" si="67"/>
        <v/>
      </c>
    </row>
    <row r="2068" spans="2:15" ht="15" customHeight="1" x14ac:dyDescent="0.35">
      <c r="B2068" s="10">
        <v>2392</v>
      </c>
      <c r="C2068" s="34"/>
      <c r="N2068" s="11" t="str">
        <f t="shared" si="66"/>
        <v/>
      </c>
      <c r="O2068" s="32" t="str">
        <f t="shared" si="67"/>
        <v/>
      </c>
    </row>
    <row r="2069" spans="2:15" ht="15" customHeight="1" x14ac:dyDescent="0.35">
      <c r="B2069" s="10">
        <v>2393</v>
      </c>
      <c r="C2069" s="34"/>
      <c r="N2069" s="11" t="str">
        <f t="shared" si="66"/>
        <v/>
      </c>
      <c r="O2069" s="32" t="str">
        <f t="shared" si="67"/>
        <v/>
      </c>
    </row>
    <row r="2070" spans="2:15" ht="15" customHeight="1" x14ac:dyDescent="0.35">
      <c r="B2070" s="10">
        <v>2394</v>
      </c>
      <c r="C2070" s="34"/>
      <c r="N2070" s="11" t="str">
        <f t="shared" si="66"/>
        <v/>
      </c>
      <c r="O2070" s="32" t="str">
        <f t="shared" si="67"/>
        <v/>
      </c>
    </row>
    <row r="2071" spans="2:15" ht="15" customHeight="1" x14ac:dyDescent="0.35">
      <c r="B2071" s="10">
        <v>2395</v>
      </c>
      <c r="C2071" s="34"/>
      <c r="N2071" s="11" t="str">
        <f t="shared" si="66"/>
        <v/>
      </c>
      <c r="O2071" s="32" t="str">
        <f t="shared" si="67"/>
        <v/>
      </c>
    </row>
    <row r="2072" spans="2:15" ht="15" customHeight="1" x14ac:dyDescent="0.35">
      <c r="B2072" s="10">
        <v>2396</v>
      </c>
      <c r="C2072" s="34"/>
      <c r="N2072" s="11" t="str">
        <f t="shared" si="66"/>
        <v/>
      </c>
      <c r="O2072" s="32" t="str">
        <f t="shared" si="67"/>
        <v/>
      </c>
    </row>
    <row r="2073" spans="2:15" ht="15" customHeight="1" x14ac:dyDescent="0.35">
      <c r="B2073" s="10">
        <v>2397</v>
      </c>
      <c r="C2073" s="34"/>
      <c r="N2073" s="11" t="str">
        <f t="shared" si="66"/>
        <v/>
      </c>
      <c r="O2073" s="32" t="str">
        <f t="shared" si="67"/>
        <v/>
      </c>
    </row>
    <row r="2074" spans="2:15" ht="15" customHeight="1" x14ac:dyDescent="0.35">
      <c r="B2074" s="10">
        <v>2398</v>
      </c>
      <c r="C2074" s="34"/>
      <c r="N2074" s="11" t="str">
        <f t="shared" si="66"/>
        <v/>
      </c>
      <c r="O2074" s="32" t="str">
        <f t="shared" si="67"/>
        <v/>
      </c>
    </row>
    <row r="2075" spans="2:15" ht="15" customHeight="1" x14ac:dyDescent="0.35">
      <c r="B2075" s="10">
        <v>2399</v>
      </c>
      <c r="C2075" s="34"/>
      <c r="N2075" s="11" t="str">
        <f t="shared" si="66"/>
        <v/>
      </c>
      <c r="O2075" s="32" t="str">
        <f t="shared" si="67"/>
        <v/>
      </c>
    </row>
    <row r="2076" spans="2:15" ht="15" customHeight="1" x14ac:dyDescent="0.35">
      <c r="B2076" s="10">
        <v>2400</v>
      </c>
      <c r="C2076" s="34"/>
      <c r="N2076" s="11" t="str">
        <f t="shared" si="66"/>
        <v/>
      </c>
      <c r="O2076" s="32" t="str">
        <f t="shared" si="67"/>
        <v/>
      </c>
    </row>
    <row r="2077" spans="2:15" ht="15" customHeight="1" x14ac:dyDescent="0.35">
      <c r="B2077" s="10">
        <v>2401</v>
      </c>
      <c r="C2077" s="34"/>
      <c r="N2077" s="11" t="str">
        <f t="shared" si="66"/>
        <v/>
      </c>
      <c r="O2077" s="32" t="str">
        <f t="shared" si="67"/>
        <v/>
      </c>
    </row>
    <row r="2078" spans="2:15" ht="15" customHeight="1" x14ac:dyDescent="0.35">
      <c r="B2078" s="10">
        <v>2402</v>
      </c>
      <c r="C2078" s="34"/>
      <c r="N2078" s="11" t="str">
        <f t="shared" si="66"/>
        <v/>
      </c>
      <c r="O2078" s="32" t="str">
        <f t="shared" si="67"/>
        <v/>
      </c>
    </row>
    <row r="2079" spans="2:15" ht="15" customHeight="1" x14ac:dyDescent="0.35">
      <c r="B2079" s="10">
        <v>2403</v>
      </c>
      <c r="C2079" s="34"/>
      <c r="N2079" s="11" t="str">
        <f t="shared" si="66"/>
        <v/>
      </c>
      <c r="O2079" s="32" t="str">
        <f t="shared" si="67"/>
        <v/>
      </c>
    </row>
    <row r="2080" spans="2:15" ht="15" customHeight="1" x14ac:dyDescent="0.35">
      <c r="B2080" s="10">
        <v>2404</v>
      </c>
      <c r="C2080" s="34"/>
      <c r="N2080" s="11" t="str">
        <f t="shared" si="66"/>
        <v/>
      </c>
      <c r="O2080" s="32" t="str">
        <f t="shared" si="67"/>
        <v/>
      </c>
    </row>
    <row r="2081" spans="2:15" ht="15" customHeight="1" x14ac:dyDescent="0.35">
      <c r="B2081" s="10">
        <v>2405</v>
      </c>
      <c r="C2081" s="34"/>
      <c r="N2081" s="11" t="str">
        <f t="shared" si="66"/>
        <v/>
      </c>
      <c r="O2081" s="32" t="str">
        <f t="shared" si="67"/>
        <v/>
      </c>
    </row>
    <row r="2082" spans="2:15" ht="15" customHeight="1" x14ac:dyDescent="0.35">
      <c r="B2082" s="10">
        <v>2406</v>
      </c>
      <c r="C2082" s="34"/>
      <c r="N2082" s="11" t="str">
        <f t="shared" si="66"/>
        <v/>
      </c>
      <c r="O2082" s="32" t="str">
        <f t="shared" si="67"/>
        <v/>
      </c>
    </row>
    <row r="2083" spans="2:15" ht="15" customHeight="1" x14ac:dyDescent="0.35">
      <c r="B2083" s="10">
        <v>2407</v>
      </c>
      <c r="C2083" s="34"/>
      <c r="N2083" s="11" t="str">
        <f t="shared" si="66"/>
        <v/>
      </c>
      <c r="O2083" s="32" t="str">
        <f t="shared" si="67"/>
        <v/>
      </c>
    </row>
    <row r="2084" spans="2:15" ht="15" customHeight="1" x14ac:dyDescent="0.35">
      <c r="B2084" s="10">
        <v>2408</v>
      </c>
      <c r="C2084" s="34"/>
      <c r="N2084" s="11" t="str">
        <f t="shared" si="66"/>
        <v/>
      </c>
      <c r="O2084" s="32" t="str">
        <f t="shared" si="67"/>
        <v/>
      </c>
    </row>
    <row r="2085" spans="2:15" ht="15" customHeight="1" x14ac:dyDescent="0.35">
      <c r="B2085" s="10">
        <v>2409</v>
      </c>
      <c r="C2085" s="34"/>
      <c r="N2085" s="11" t="str">
        <f t="shared" ref="N2085:N2105" si="68">IF(OR(M2085="", K2085=""),"", M2085- K2085)</f>
        <v/>
      </c>
      <c r="O2085" s="32" t="str">
        <f t="shared" ref="O2085:O2105" si="69">IF(OR(M2085="", K2085="", L2085=""), "", IF((M2085 - K2085) &gt; L2085, "No", "Yes"))</f>
        <v/>
      </c>
    </row>
    <row r="2086" spans="2:15" ht="15" customHeight="1" x14ac:dyDescent="0.35">
      <c r="B2086" s="10">
        <v>2410</v>
      </c>
      <c r="C2086" s="34"/>
      <c r="N2086" s="11" t="str">
        <f t="shared" si="68"/>
        <v/>
      </c>
      <c r="O2086" s="32" t="str">
        <f t="shared" si="69"/>
        <v/>
      </c>
    </row>
    <row r="2087" spans="2:15" ht="15" customHeight="1" x14ac:dyDescent="0.35">
      <c r="B2087" s="10">
        <v>2411</v>
      </c>
      <c r="C2087" s="34"/>
      <c r="N2087" s="11" t="str">
        <f t="shared" si="68"/>
        <v/>
      </c>
      <c r="O2087" s="32" t="str">
        <f t="shared" si="69"/>
        <v/>
      </c>
    </row>
    <row r="2088" spans="2:15" ht="15" customHeight="1" x14ac:dyDescent="0.35">
      <c r="B2088" s="10">
        <v>2412</v>
      </c>
      <c r="C2088" s="34"/>
      <c r="N2088" s="11" t="str">
        <f t="shared" si="68"/>
        <v/>
      </c>
      <c r="O2088" s="32" t="str">
        <f t="shared" si="69"/>
        <v/>
      </c>
    </row>
    <row r="2089" spans="2:15" ht="15" customHeight="1" x14ac:dyDescent="0.35">
      <c r="B2089" s="10">
        <v>2413</v>
      </c>
      <c r="C2089" s="34"/>
      <c r="N2089" s="11" t="str">
        <f t="shared" si="68"/>
        <v/>
      </c>
      <c r="O2089" s="32" t="str">
        <f t="shared" si="69"/>
        <v/>
      </c>
    </row>
    <row r="2090" spans="2:15" ht="15" customHeight="1" x14ac:dyDescent="0.35">
      <c r="B2090" s="10">
        <v>2414</v>
      </c>
      <c r="C2090" s="34"/>
      <c r="N2090" s="11" t="str">
        <f t="shared" si="68"/>
        <v/>
      </c>
      <c r="O2090" s="32" t="str">
        <f t="shared" si="69"/>
        <v/>
      </c>
    </row>
    <row r="2091" spans="2:15" ht="15" customHeight="1" x14ac:dyDescent="0.35">
      <c r="B2091" s="10">
        <v>2415</v>
      </c>
      <c r="C2091" s="34"/>
      <c r="N2091" s="11" t="str">
        <f t="shared" si="68"/>
        <v/>
      </c>
      <c r="O2091" s="32" t="str">
        <f t="shared" si="69"/>
        <v/>
      </c>
    </row>
    <row r="2092" spans="2:15" ht="15" customHeight="1" x14ac:dyDescent="0.35">
      <c r="B2092" s="10">
        <v>2416</v>
      </c>
      <c r="C2092" s="34"/>
      <c r="N2092" s="11" t="str">
        <f t="shared" si="68"/>
        <v/>
      </c>
      <c r="O2092" s="32" t="str">
        <f t="shared" si="69"/>
        <v/>
      </c>
    </row>
    <row r="2093" spans="2:15" ht="15" customHeight="1" x14ac:dyDescent="0.35">
      <c r="B2093" s="10">
        <v>2417</v>
      </c>
      <c r="C2093" s="34"/>
      <c r="N2093" s="11" t="str">
        <f t="shared" si="68"/>
        <v/>
      </c>
      <c r="O2093" s="32" t="str">
        <f t="shared" si="69"/>
        <v/>
      </c>
    </row>
    <row r="2094" spans="2:15" ht="15" customHeight="1" x14ac:dyDescent="0.35">
      <c r="B2094" s="10">
        <v>2418</v>
      </c>
      <c r="C2094" s="34"/>
      <c r="N2094" s="11" t="str">
        <f t="shared" si="68"/>
        <v/>
      </c>
      <c r="O2094" s="32" t="str">
        <f t="shared" si="69"/>
        <v/>
      </c>
    </row>
    <row r="2095" spans="2:15" ht="15" customHeight="1" x14ac:dyDescent="0.35">
      <c r="B2095" s="10">
        <v>2419</v>
      </c>
      <c r="C2095" s="34"/>
      <c r="N2095" s="11" t="str">
        <f t="shared" si="68"/>
        <v/>
      </c>
      <c r="O2095" s="32" t="str">
        <f t="shared" si="69"/>
        <v/>
      </c>
    </row>
    <row r="2096" spans="2:15" ht="15" customHeight="1" x14ac:dyDescent="0.35">
      <c r="B2096" s="10">
        <v>2420</v>
      </c>
      <c r="C2096" s="34"/>
      <c r="N2096" s="11" t="str">
        <f t="shared" si="68"/>
        <v/>
      </c>
      <c r="O2096" s="32" t="str">
        <f t="shared" si="69"/>
        <v/>
      </c>
    </row>
    <row r="2097" spans="2:15" ht="15" customHeight="1" x14ac:dyDescent="0.35">
      <c r="B2097" s="10">
        <v>2421</v>
      </c>
      <c r="C2097" s="34"/>
      <c r="N2097" s="11" t="str">
        <f t="shared" si="68"/>
        <v/>
      </c>
      <c r="O2097" s="32" t="str">
        <f t="shared" si="69"/>
        <v/>
      </c>
    </row>
    <row r="2098" spans="2:15" ht="15" customHeight="1" x14ac:dyDescent="0.35">
      <c r="B2098" s="10">
        <v>2422</v>
      </c>
      <c r="C2098" s="34"/>
      <c r="N2098" s="11" t="str">
        <f t="shared" si="68"/>
        <v/>
      </c>
      <c r="O2098" s="32" t="str">
        <f t="shared" si="69"/>
        <v/>
      </c>
    </row>
    <row r="2099" spans="2:15" ht="15" customHeight="1" x14ac:dyDescent="0.35">
      <c r="B2099" s="10">
        <v>2423</v>
      </c>
      <c r="C2099" s="34"/>
      <c r="N2099" s="11" t="str">
        <f t="shared" si="68"/>
        <v/>
      </c>
      <c r="O2099" s="32" t="str">
        <f t="shared" si="69"/>
        <v/>
      </c>
    </row>
    <row r="2100" spans="2:15" ht="15" customHeight="1" x14ac:dyDescent="0.35">
      <c r="B2100" s="10">
        <v>2424</v>
      </c>
      <c r="C2100" s="34"/>
      <c r="N2100" s="11" t="str">
        <f t="shared" si="68"/>
        <v/>
      </c>
      <c r="O2100" s="32" t="str">
        <f t="shared" si="69"/>
        <v/>
      </c>
    </row>
    <row r="2101" spans="2:15" ht="15" customHeight="1" x14ac:dyDescent="0.35">
      <c r="B2101" s="10">
        <v>2425</v>
      </c>
      <c r="C2101" s="34"/>
      <c r="N2101" s="11" t="str">
        <f t="shared" si="68"/>
        <v/>
      </c>
      <c r="O2101" s="32" t="str">
        <f t="shared" si="69"/>
        <v/>
      </c>
    </row>
    <row r="2102" spans="2:15" ht="15" customHeight="1" x14ac:dyDescent="0.35">
      <c r="B2102" s="10">
        <v>2426</v>
      </c>
      <c r="C2102" s="34"/>
      <c r="N2102" s="11" t="str">
        <f t="shared" si="68"/>
        <v/>
      </c>
      <c r="O2102" s="32" t="str">
        <f t="shared" si="69"/>
        <v/>
      </c>
    </row>
    <row r="2103" spans="2:15" ht="15" customHeight="1" x14ac:dyDescent="0.35">
      <c r="B2103" s="10">
        <v>2427</v>
      </c>
      <c r="C2103" s="34"/>
      <c r="N2103" s="11" t="str">
        <f t="shared" si="68"/>
        <v/>
      </c>
      <c r="O2103" s="32" t="str">
        <f t="shared" si="69"/>
        <v/>
      </c>
    </row>
    <row r="2104" spans="2:15" ht="15" customHeight="1" x14ac:dyDescent="0.35">
      <c r="B2104" s="10">
        <v>2428</v>
      </c>
      <c r="C2104" s="34"/>
      <c r="N2104" s="11" t="str">
        <f t="shared" si="68"/>
        <v/>
      </c>
      <c r="O2104" s="32" t="str">
        <f t="shared" si="69"/>
        <v/>
      </c>
    </row>
    <row r="2105" spans="2:15" ht="15" customHeight="1" x14ac:dyDescent="0.35">
      <c r="B2105" s="10">
        <v>2429</v>
      </c>
      <c r="C2105" s="34"/>
      <c r="N2105" s="11" t="str">
        <f t="shared" si="68"/>
        <v/>
      </c>
      <c r="O2105" s="32" t="str">
        <f t="shared" si="69"/>
        <v/>
      </c>
    </row>
  </sheetData>
  <autoFilter ref="B4:O2105" xr:uid="{00000000-0009-0000-0000-000004000000}"/>
  <mergeCells count="7">
    <mergeCell ref="B1:O1"/>
    <mergeCell ref="C2:C3"/>
    <mergeCell ref="K2:K3"/>
    <mergeCell ref="M2:M3"/>
    <mergeCell ref="L2:L3"/>
    <mergeCell ref="N2:N3"/>
    <mergeCell ref="O2:O3"/>
  </mergeCells>
  <conditionalFormatting sqref="O5:O2105">
    <cfRule type="cellIs" dxfId="19" priority="1" stopIfTrue="1" operator="equal">
      <formula>"No"</formula>
    </cfRule>
    <cfRule type="cellIs" dxfId="18" priority="4" stopIfTrue="1" operator="equal">
      <formula>"YES"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H15"/>
  <sheetViews>
    <sheetView workbookViewId="0">
      <selection activeCell="D5" sqref="D5:H15"/>
    </sheetView>
  </sheetViews>
  <sheetFormatPr baseColWidth="10" defaultColWidth="8.7265625" defaultRowHeight="14.5" x14ac:dyDescent="0.35"/>
  <cols>
    <col min="2" max="2" width="61.453125" bestFit="1" customWidth="1"/>
    <col min="3" max="3" width="13" customWidth="1"/>
    <col min="4" max="8" width="13.54296875" customWidth="1"/>
  </cols>
  <sheetData>
    <row r="1" spans="2:8" x14ac:dyDescent="0.35">
      <c r="C1" s="7" t="s">
        <v>0</v>
      </c>
      <c r="D1" s="7" t="s">
        <v>1</v>
      </c>
      <c r="E1" s="7" t="s">
        <v>2</v>
      </c>
      <c r="F1" s="7" t="s">
        <v>3</v>
      </c>
      <c r="G1" s="7" t="s">
        <v>4</v>
      </c>
      <c r="H1" s="7" t="s">
        <v>5</v>
      </c>
    </row>
    <row r="2" spans="2:8" x14ac:dyDescent="0.35">
      <c r="C2" s="272" t="s">
        <v>6</v>
      </c>
      <c r="D2" s="4"/>
      <c r="E2" s="4"/>
      <c r="F2" s="4"/>
      <c r="G2" s="4"/>
      <c r="H2" s="4"/>
    </row>
    <row r="3" spans="2:8" x14ac:dyDescent="0.35">
      <c r="C3" s="235"/>
      <c r="D3" s="4"/>
      <c r="E3" s="4"/>
      <c r="F3" s="4"/>
      <c r="G3" s="4"/>
      <c r="H3" s="4"/>
    </row>
    <row r="4" spans="2:8" ht="15" thickBot="1" x14ac:dyDescent="0.4">
      <c r="C4" s="235"/>
      <c r="D4" s="4"/>
      <c r="E4" s="4"/>
      <c r="F4" s="4"/>
      <c r="G4" s="4"/>
      <c r="H4" s="4"/>
    </row>
    <row r="5" spans="2:8" x14ac:dyDescent="0.35">
      <c r="B5" s="3" t="s">
        <v>29</v>
      </c>
      <c r="C5" s="1">
        <v>0.1</v>
      </c>
      <c r="D5" s="209">
        <v>4.8171294096934276E-2</v>
      </c>
      <c r="E5" s="209">
        <v>0.16677990700565659</v>
      </c>
      <c r="F5" s="209">
        <v>3.313484726035399E-2</v>
      </c>
      <c r="G5" s="209">
        <v>2.527432992858937E-2</v>
      </c>
      <c r="H5" s="210">
        <v>8.4332494369860192E-2</v>
      </c>
    </row>
    <row r="6" spans="2:8" x14ac:dyDescent="0.35">
      <c r="B6" s="40" t="s">
        <v>30</v>
      </c>
      <c r="C6" s="2"/>
      <c r="D6" s="152">
        <v>2313580.9749779254</v>
      </c>
      <c r="E6" s="152">
        <v>1405117.3483655159</v>
      </c>
      <c r="F6" s="152">
        <v>2944643.0478628334</v>
      </c>
      <c r="G6" s="152">
        <v>5911843.2783816447</v>
      </c>
      <c r="H6" s="153">
        <v>4057811.9150561714</v>
      </c>
    </row>
    <row r="7" spans="2:8" x14ac:dyDescent="0.35">
      <c r="B7" s="3" t="s">
        <v>12</v>
      </c>
      <c r="C7" s="8">
        <v>4</v>
      </c>
      <c r="D7" s="203">
        <v>2.6799645390070923</v>
      </c>
      <c r="E7" s="203">
        <v>2.2793522267206479</v>
      </c>
      <c r="F7" s="203">
        <v>2.5273522975929978</v>
      </c>
      <c r="G7" s="203">
        <v>4.4675716440422324</v>
      </c>
      <c r="H7" s="155">
        <v>10.029999999999999</v>
      </c>
    </row>
    <row r="8" spans="2:8" x14ac:dyDescent="0.35">
      <c r="B8" s="3" t="s">
        <v>13</v>
      </c>
      <c r="C8" s="1">
        <v>0.9</v>
      </c>
      <c r="D8" s="211">
        <v>0.82062647754137119</v>
      </c>
      <c r="E8" s="211">
        <v>0.92307692307692313</v>
      </c>
      <c r="F8" s="211">
        <v>0.89934354485776802</v>
      </c>
      <c r="G8" s="211">
        <v>0.67469879518072284</v>
      </c>
      <c r="H8" s="171">
        <v>0.37090909090909091</v>
      </c>
    </row>
    <row r="9" spans="2:8" x14ac:dyDescent="0.35">
      <c r="B9" s="3" t="s">
        <v>31</v>
      </c>
      <c r="C9" s="8">
        <v>4</v>
      </c>
      <c r="D9" s="203">
        <v>3.978723404255319</v>
      </c>
      <c r="E9" s="203">
        <v>5.0769230769230766</v>
      </c>
      <c r="F9" s="203">
        <v>4.9474835886214441</v>
      </c>
      <c r="G9" s="203">
        <v>5.4630467571644044</v>
      </c>
      <c r="H9" s="155">
        <v>10.289090909090909</v>
      </c>
    </row>
    <row r="10" spans="2:8" x14ac:dyDescent="0.35">
      <c r="B10" s="3" t="s">
        <v>15</v>
      </c>
      <c r="C10" s="1">
        <v>0.9</v>
      </c>
      <c r="D10" s="172">
        <v>0.9657210401891253</v>
      </c>
      <c r="E10" s="173">
        <v>0.93117408906882593</v>
      </c>
      <c r="F10" s="173">
        <v>0.57330415754923414</v>
      </c>
      <c r="G10" s="173">
        <v>1</v>
      </c>
      <c r="H10" s="174">
        <v>0.64181818181818184</v>
      </c>
    </row>
    <row r="11" spans="2:8" x14ac:dyDescent="0.35">
      <c r="B11" s="3" t="s">
        <v>17</v>
      </c>
      <c r="C11" s="8">
        <v>5</v>
      </c>
      <c r="D11" s="203">
        <v>4.7954545454545459</v>
      </c>
      <c r="E11" s="203">
        <v>8.75</v>
      </c>
      <c r="F11" s="203">
        <v>5.7115384615384617</v>
      </c>
      <c r="G11" s="203">
        <v>5.9318181818181817</v>
      </c>
      <c r="H11" s="155">
        <v>8.7857142857142865</v>
      </c>
    </row>
    <row r="12" spans="2:8" x14ac:dyDescent="0.35">
      <c r="B12" s="3" t="s">
        <v>18</v>
      </c>
      <c r="C12" s="8">
        <v>10</v>
      </c>
      <c r="D12" s="158">
        <v>8.8235294117647065</v>
      </c>
      <c r="E12" s="175">
        <v>12</v>
      </c>
      <c r="F12" s="175">
        <v>6.9333333333333336</v>
      </c>
      <c r="G12" s="175">
        <v>17.166666666666668</v>
      </c>
      <c r="H12" s="159">
        <v>11.384615384615385</v>
      </c>
    </row>
    <row r="13" spans="2:8" x14ac:dyDescent="0.35">
      <c r="B13" s="3" t="s">
        <v>19</v>
      </c>
      <c r="C13" s="1">
        <v>0.7</v>
      </c>
      <c r="D13" s="211">
        <v>0.63120567375886527</v>
      </c>
      <c r="E13" s="211">
        <v>0.34008097165991902</v>
      </c>
      <c r="F13" s="211">
        <v>0.42669584245076586</v>
      </c>
      <c r="G13" s="211">
        <v>0.67168674698795183</v>
      </c>
      <c r="H13" s="171">
        <v>0.69272727272727275</v>
      </c>
    </row>
    <row r="14" spans="2:8" x14ac:dyDescent="0.35">
      <c r="B14" s="3" t="s">
        <v>70</v>
      </c>
      <c r="C14" s="1"/>
      <c r="D14" s="176">
        <v>0.86749214239949346</v>
      </c>
      <c r="E14" s="176">
        <v>0.68475341676910695</v>
      </c>
      <c r="F14" s="176">
        <v>0.34244347495100352</v>
      </c>
      <c r="G14" s="176">
        <v>0.86533851894573544</v>
      </c>
      <c r="H14" s="174">
        <v>0.63832356103025467</v>
      </c>
    </row>
    <row r="15" spans="2:8" ht="15" thickBot="1" x14ac:dyDescent="0.4">
      <c r="B15" s="3" t="s">
        <v>21</v>
      </c>
      <c r="C15" s="1">
        <v>0.7</v>
      </c>
      <c r="D15" s="138">
        <v>0.69405174713256867</v>
      </c>
      <c r="E15" s="138">
        <v>0.87044145873320533</v>
      </c>
      <c r="F15" s="139">
        <v>0</v>
      </c>
      <c r="G15" s="138">
        <v>0.45753968253968252</v>
      </c>
      <c r="H15" s="140">
        <v>0.77419354838709675</v>
      </c>
    </row>
  </sheetData>
  <mergeCells count="1">
    <mergeCell ref="C2:C4"/>
  </mergeCells>
  <conditionalFormatting sqref="D5:H5">
    <cfRule type="cellIs" dxfId="17" priority="9" stopIfTrue="1" operator="lessThan">
      <formula>$C$5</formula>
    </cfRule>
    <cfRule type="cellIs" dxfId="16" priority="10" stopIfTrue="1" operator="greaterThanOrEqual">
      <formula>$C$5</formula>
    </cfRule>
  </conditionalFormatting>
  <conditionalFormatting sqref="D7:H7">
    <cfRule type="cellIs" dxfId="15" priority="17" stopIfTrue="1" operator="greaterThan">
      <formula>$C$7</formula>
    </cfRule>
    <cfRule type="cellIs" dxfId="14" priority="18" stopIfTrue="1" operator="lessThanOrEqual">
      <formula>C7+$C$7</formula>
    </cfRule>
  </conditionalFormatting>
  <conditionalFormatting sqref="D8:H8">
    <cfRule type="cellIs" dxfId="13" priority="15" stopIfTrue="1" operator="lessThan">
      <formula>$C$8</formula>
    </cfRule>
    <cfRule type="cellIs" dxfId="12" priority="16" stopIfTrue="1" operator="greaterThanOrEqual">
      <formula>$C$8</formula>
    </cfRule>
  </conditionalFormatting>
  <conditionalFormatting sqref="D9:H9">
    <cfRule type="cellIs" dxfId="11" priority="13" stopIfTrue="1" operator="greaterThan">
      <formula>$C$9</formula>
    </cfRule>
    <cfRule type="cellIs" dxfId="10" priority="14" stopIfTrue="1" operator="lessThanOrEqual">
      <formula>$C$9</formula>
    </cfRule>
  </conditionalFormatting>
  <conditionalFormatting sqref="D10:H10">
    <cfRule type="cellIs" dxfId="9" priority="1" stopIfTrue="1" operator="lessThan">
      <formula>$C$8</formula>
    </cfRule>
    <cfRule type="cellIs" dxfId="8" priority="2" stopIfTrue="1" operator="greaterThanOrEqual">
      <formula>$C$8</formula>
    </cfRule>
  </conditionalFormatting>
  <conditionalFormatting sqref="D11:H11">
    <cfRule type="cellIs" dxfId="7" priority="7" stopIfTrue="1" operator="greaterThan">
      <formula>$C$11</formula>
    </cfRule>
    <cfRule type="cellIs" dxfId="6" priority="8" stopIfTrue="1" operator="lessThanOrEqual">
      <formula>$C$11</formula>
    </cfRule>
  </conditionalFormatting>
  <conditionalFormatting sqref="D12:H12">
    <cfRule type="cellIs" dxfId="5" priority="5" stopIfTrue="1" operator="greaterThan">
      <formula>$C$12</formula>
    </cfRule>
    <cfRule type="cellIs" dxfId="4" priority="6" stopIfTrue="1" operator="lessThanOrEqual">
      <formula>$C$12</formula>
    </cfRule>
  </conditionalFormatting>
  <conditionalFormatting sqref="D13:H14">
    <cfRule type="cellIs" dxfId="3" priority="11" stopIfTrue="1" operator="lessThan">
      <formula>$C$13</formula>
    </cfRule>
    <cfRule type="cellIs" dxfId="2" priority="12" stopIfTrue="1" operator="greaterThanOrEqual">
      <formula>$C$13</formula>
    </cfRule>
  </conditionalFormatting>
  <conditionalFormatting sqref="D15:H15">
    <cfRule type="cellIs" dxfId="1" priority="3" operator="lessThan">
      <formula>$C$15</formula>
    </cfRule>
    <cfRule type="cellIs" dxfId="0" priority="4" operator="greaterThanOrEqual">
      <formula>$C$15</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C6421-FA3E-4B66-921D-7ABB7587EB67}">
  <dimension ref="B2:E16"/>
  <sheetViews>
    <sheetView workbookViewId="0">
      <selection activeCell="D13" sqref="D13:D16"/>
    </sheetView>
  </sheetViews>
  <sheetFormatPr baseColWidth="10" defaultColWidth="8.7265625" defaultRowHeight="14.5" x14ac:dyDescent="0.35"/>
  <cols>
    <col min="2" max="2" width="17.1796875" customWidth="1"/>
    <col min="3" max="3" width="34.453125" customWidth="1"/>
    <col min="4" max="4" width="24.08984375" bestFit="1" customWidth="1"/>
    <col min="5" max="5" width="19.08984375" customWidth="1"/>
    <col min="6" max="6" width="10.6328125" bestFit="1" customWidth="1"/>
  </cols>
  <sheetData>
    <row r="2" spans="2:5" ht="15" thickBot="1" x14ac:dyDescent="0.4"/>
    <row r="3" spans="2:5" ht="15" thickBot="1" x14ac:dyDescent="0.4">
      <c r="B3" s="181" t="s">
        <v>109</v>
      </c>
      <c r="C3" s="162" t="s">
        <v>135</v>
      </c>
    </row>
    <row r="4" spans="2:5" x14ac:dyDescent="0.35">
      <c r="B4" s="161" t="s">
        <v>1</v>
      </c>
      <c r="C4" s="177"/>
    </row>
    <row r="5" spans="2:5" x14ac:dyDescent="0.35">
      <c r="B5" s="160" t="s">
        <v>2</v>
      </c>
      <c r="C5" s="177"/>
    </row>
    <row r="6" spans="2:5" x14ac:dyDescent="0.35">
      <c r="B6" s="160" t="s">
        <v>3</v>
      </c>
      <c r="C6" s="212"/>
    </row>
    <row r="7" spans="2:5" x14ac:dyDescent="0.35">
      <c r="B7" s="160" t="s">
        <v>4</v>
      </c>
      <c r="C7" s="177"/>
    </row>
    <row r="8" spans="2:5" x14ac:dyDescent="0.35">
      <c r="B8" s="160" t="s">
        <v>5</v>
      </c>
      <c r="C8" s="177"/>
    </row>
    <row r="11" spans="2:5" ht="15" thickBot="1" x14ac:dyDescent="0.4"/>
    <row r="12" spans="2:5" ht="15" thickBot="1" x14ac:dyDescent="0.4">
      <c r="B12" s="181" t="s">
        <v>213</v>
      </c>
      <c r="C12" s="162" t="s">
        <v>233</v>
      </c>
      <c r="D12" s="162" t="s">
        <v>226</v>
      </c>
      <c r="E12" s="162" t="s">
        <v>87</v>
      </c>
    </row>
    <row r="13" spans="2:5" x14ac:dyDescent="0.35">
      <c r="B13" s="160" t="s">
        <v>214</v>
      </c>
      <c r="C13" s="160" t="s">
        <v>215</v>
      </c>
      <c r="D13" s="160" t="s">
        <v>229</v>
      </c>
      <c r="E13" s="160" t="s">
        <v>222</v>
      </c>
    </row>
    <row r="14" spans="2:5" x14ac:dyDescent="0.35">
      <c r="B14" s="160" t="s">
        <v>216</v>
      </c>
      <c r="C14" s="160" t="s">
        <v>219</v>
      </c>
      <c r="D14" s="160" t="s">
        <v>230</v>
      </c>
      <c r="E14" s="160" t="s">
        <v>223</v>
      </c>
    </row>
    <row r="15" spans="2:5" x14ac:dyDescent="0.35">
      <c r="B15" s="160" t="s">
        <v>217</v>
      </c>
      <c r="C15" s="160" t="s">
        <v>220</v>
      </c>
      <c r="D15" s="160" t="s">
        <v>232</v>
      </c>
      <c r="E15" s="160"/>
    </row>
    <row r="16" spans="2:5" x14ac:dyDescent="0.35">
      <c r="B16" s="160" t="s">
        <v>218</v>
      </c>
      <c r="C16" s="160" t="s">
        <v>221</v>
      </c>
      <c r="D16" s="160" t="s">
        <v>231</v>
      </c>
      <c r="E16" s="160"/>
    </row>
  </sheetData>
  <phoneticPr fontId="3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DASHBOARD</vt:lpstr>
      <vt:lpstr>PR-PO SLA &amp; Contract%</vt:lpstr>
      <vt:lpstr>Customs_Clearance</vt:lpstr>
      <vt:lpstr>Open Projects</vt:lpstr>
      <vt:lpstr>Open Projects Pivot</vt:lpstr>
      <vt:lpstr>List</vt:lpstr>
      <vt:lpstr>PPOT</vt:lpstr>
      <vt:lpstr>M-1 YTD performance</vt:lpstr>
      <vt:lpstr>Submissions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Oumara Abdou</dc:creator>
  <cp:lastModifiedBy>Faniry Ravorombato</cp:lastModifiedBy>
  <dcterms:created xsi:type="dcterms:W3CDTF">2025-11-11T12:39:07Z</dcterms:created>
  <dcterms:modified xsi:type="dcterms:W3CDTF">2026-09-17T11:55:00Z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0x0101002E876574E8D9694BA722FF8FE812CCEC</vt:lpwstr>
  </property>
</Properties>
</file>